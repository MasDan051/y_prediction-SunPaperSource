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2025\10. OKTOBER\"/>
    </mc:Choice>
  </mc:AlternateContent>
  <bookViews>
    <workbookView xWindow="0" yWindow="0" windowWidth="19200" windowHeight="10635" tabRatio="941" activeTab="10"/>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s>
  <definedNames>
    <definedName name="_xlnm.Print_Area" localSheetId="41">'1'!$A$1:$M$62</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'31'!$A$1:$M$63</definedName>
    <definedName name="_xlnm.Print_Area" localSheetId="38">'4'!$A$1:$M$61</definedName>
    <definedName name="_xlnm.Print_Area" localSheetId="37">'5'!$A$1:$M$61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6">Chem!$CE$7:$CQ$16</definedName>
    <definedName name="_xlnm.Print_Area" localSheetId="4">Efficiency1!$A$1:$AD$195</definedName>
    <definedName name="_xlnm.Print_Area" localSheetId="5">Efficiency2!$A$1:$AD$195</definedName>
    <definedName name="_xlnm.Print_Area" localSheetId="2">Listrik!$A$2:$AT$40</definedName>
    <definedName name="_xlnm.Print_Area" localSheetId="0">Report1!$A$3:$AK$41</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122" i="55" l="1"/>
  <c r="KV40" i="1" l="1"/>
  <c r="N147" i="55" l="1"/>
  <c r="H147" i="55" s="1"/>
  <c r="N145" i="55"/>
  <c r="H145" i="55" s="1"/>
  <c r="N144" i="55"/>
  <c r="H144" i="55" s="1"/>
  <c r="N143" i="55"/>
  <c r="H143" i="55" s="1"/>
  <c r="N142" i="55"/>
  <c r="H142" i="55" s="1"/>
  <c r="N141" i="55"/>
  <c r="H141" i="55" s="1"/>
  <c r="N137" i="55"/>
  <c r="H137" i="55" s="1"/>
  <c r="N136" i="55"/>
  <c r="H136" i="55" s="1"/>
  <c r="N132" i="55"/>
  <c r="H132" i="55" s="1"/>
  <c r="N126" i="55"/>
  <c r="H126" i="55" s="1"/>
  <c r="N122" i="55"/>
  <c r="H122" i="55" s="1"/>
  <c r="N118" i="55"/>
  <c r="H118" i="55" s="1"/>
  <c r="N117" i="55"/>
  <c r="H117" i="55" s="1"/>
  <c r="N114" i="55"/>
  <c r="H114" i="55" s="1"/>
  <c r="N113" i="55"/>
  <c r="H113" i="55" s="1"/>
  <c r="N112" i="55"/>
  <c r="H112" i="55" s="1"/>
  <c r="N110" i="55"/>
  <c r="H110" i="55" s="1"/>
  <c r="N109" i="55"/>
  <c r="H109" i="55" s="1"/>
  <c r="N108" i="55"/>
  <c r="H108" i="55" s="1"/>
  <c r="N106" i="55"/>
  <c r="H106" i="55" s="1"/>
  <c r="N105" i="55"/>
  <c r="H105" i="55" s="1"/>
  <c r="N104" i="55"/>
  <c r="H104" i="55" s="1"/>
  <c r="N101" i="55"/>
  <c r="H101" i="55" s="1"/>
  <c r="N100" i="55"/>
  <c r="H100" i="55"/>
  <c r="N99" i="55"/>
  <c r="J99" i="55"/>
  <c r="N95" i="55"/>
  <c r="J95" i="55"/>
  <c r="N91" i="55"/>
  <c r="J91" i="55"/>
  <c r="N87" i="55"/>
  <c r="J87" i="55"/>
  <c r="N83" i="55"/>
  <c r="J83" i="55"/>
  <c r="N80" i="55"/>
  <c r="J80" i="55"/>
  <c r="N79" i="55"/>
  <c r="H79" i="55" s="1"/>
  <c r="N78" i="55"/>
  <c r="H78" i="55" s="1"/>
  <c r="N76" i="55"/>
  <c r="H76" i="55" s="1"/>
  <c r="N75" i="55"/>
  <c r="H75" i="55" s="1"/>
  <c r="J75" i="55" s="1"/>
  <c r="N74" i="55"/>
  <c r="H74" i="55" s="1"/>
  <c r="N71" i="55"/>
  <c r="H71" i="55" s="1"/>
  <c r="N70" i="55"/>
  <c r="H70" i="55"/>
  <c r="N66" i="55"/>
  <c r="H66" i="55" s="1"/>
  <c r="J66" i="55" s="1"/>
  <c r="N61" i="55"/>
  <c r="H61" i="55" s="1"/>
  <c r="N57" i="55"/>
  <c r="H57" i="55" s="1"/>
  <c r="N52" i="55"/>
  <c r="H52" i="55" s="1"/>
  <c r="N47" i="55"/>
  <c r="H47" i="55" s="1"/>
  <c r="N46" i="55"/>
  <c r="H46" i="55" s="1"/>
  <c r="N41" i="55"/>
  <c r="H41" i="55" s="1"/>
  <c r="N36" i="55"/>
  <c r="H36" i="55"/>
  <c r="N31" i="55"/>
  <c r="H31" i="55" s="1"/>
  <c r="N26" i="55"/>
  <c r="H26" i="55" s="1"/>
  <c r="N21" i="55"/>
  <c r="H21" i="55" s="1"/>
  <c r="N16" i="55"/>
  <c r="H16" i="55" s="1"/>
  <c r="N11" i="55"/>
  <c r="H11" i="55" s="1"/>
  <c r="N6" i="55"/>
  <c r="H6" i="55" s="1"/>
  <c r="A6" i="55"/>
  <c r="Z147" i="55"/>
  <c r="Y141" i="55"/>
  <c r="Z136" i="55"/>
  <c r="Y136" i="55"/>
  <c r="Z132" i="55"/>
  <c r="Y132" i="55"/>
  <c r="Z126" i="55"/>
  <c r="Y126" i="55"/>
  <c r="Z122" i="55"/>
  <c r="Y122" i="55"/>
  <c r="Z118" i="55"/>
  <c r="Z117" i="55"/>
  <c r="Y117" i="55"/>
  <c r="Z114" i="55"/>
  <c r="Z112" i="55"/>
  <c r="Y112" i="55"/>
  <c r="Z110" i="55"/>
  <c r="Z108" i="55"/>
  <c r="Y108" i="55"/>
  <c r="W105" i="55"/>
  <c r="Z104" i="55"/>
  <c r="Y104" i="55"/>
  <c r="Y99" i="55"/>
  <c r="Y95" i="55"/>
  <c r="Y91" i="55"/>
  <c r="Z78" i="55"/>
  <c r="W76" i="55"/>
  <c r="Z74" i="55"/>
  <c r="Z70" i="55"/>
  <c r="Z66" i="55"/>
  <c r="Z61" i="55"/>
  <c r="Z57" i="55"/>
  <c r="Z52" i="55"/>
  <c r="Z46" i="55"/>
  <c r="Z41" i="55"/>
  <c r="Z36" i="55"/>
  <c r="Z31" i="55"/>
  <c r="W31" i="55"/>
  <c r="W26" i="55"/>
  <c r="W21" i="55"/>
  <c r="W16" i="55"/>
  <c r="W11" i="55"/>
  <c r="AR152" i="55"/>
  <c r="BA152" i="55" s="1"/>
  <c r="AD152" i="55" s="1"/>
  <c r="AN151" i="55"/>
  <c r="AR151" i="55" s="1"/>
  <c r="BA151" i="55" s="1"/>
  <c r="AM151" i="55"/>
  <c r="AR150" i="55"/>
  <c r="BA150" i="55" s="1"/>
  <c r="AD150" i="55" s="1"/>
  <c r="AM150" i="55"/>
  <c r="AR149" i="55"/>
  <c r="BA149" i="55" s="1"/>
  <c r="AM149" i="55"/>
  <c r="AR148" i="55"/>
  <c r="BA148" i="55" s="1"/>
  <c r="AM148" i="55"/>
  <c r="AR147" i="55"/>
  <c r="BA147" i="55" s="1"/>
  <c r="AM147" i="55"/>
  <c r="AR152" i="46"/>
  <c r="BA152" i="46" s="1"/>
  <c r="AD152" i="46" s="1"/>
  <c r="AN151" i="46"/>
  <c r="AF4" i="51"/>
  <c r="AF3" i="51"/>
  <c r="J142" i="55" l="1"/>
  <c r="AD148" i="55"/>
  <c r="J21" i="55"/>
  <c r="J109" i="55"/>
  <c r="J144" i="55"/>
  <c r="J11" i="55"/>
  <c r="J61" i="55"/>
  <c r="J113" i="55"/>
  <c r="J137" i="55"/>
  <c r="J145" i="55"/>
  <c r="J79" i="55"/>
  <c r="J110" i="55"/>
  <c r="J132" i="55"/>
  <c r="J78" i="55"/>
  <c r="J141" i="55"/>
  <c r="J126" i="55"/>
  <c r="J26" i="55"/>
  <c r="J41" i="55"/>
  <c r="J114" i="55"/>
  <c r="J31" i="55"/>
  <c r="J6" i="55"/>
  <c r="J46" i="55"/>
  <c r="J74" i="55"/>
  <c r="J108" i="55"/>
  <c r="J122" i="55"/>
  <c r="J47" i="55"/>
  <c r="J101" i="55"/>
  <c r="J71" i="55"/>
  <c r="J104" i="55"/>
  <c r="J57" i="55"/>
  <c r="J105" i="55"/>
  <c r="J117" i="55"/>
  <c r="J16" i="55"/>
  <c r="J36" i="55"/>
  <c r="J52" i="55"/>
  <c r="J70" i="55"/>
  <c r="J76" i="55"/>
  <c r="J100" i="55"/>
  <c r="J106" i="55"/>
  <c r="J112" i="55"/>
  <c r="J118" i="55"/>
  <c r="J136" i="55"/>
  <c r="J143" i="55"/>
  <c r="J147" i="55"/>
  <c r="AD149" i="55"/>
  <c r="AD147" i="55"/>
  <c r="AD151" i="55"/>
  <c r="EY40" i="2"/>
  <c r="EU42" i="2"/>
  <c r="EW10" i="2"/>
  <c r="EY41" i="2"/>
  <c r="EW11" i="2" l="1"/>
  <c r="EW12" i="2" l="1"/>
  <c r="EW13" i="2" l="1"/>
  <c r="EW14" i="2" s="1"/>
  <c r="EW15" i="2" s="1"/>
  <c r="EW16" i="2" l="1"/>
  <c r="EW17" i="2" l="1"/>
  <c r="EW18" i="2" l="1"/>
  <c r="EW19" i="2" l="1"/>
  <c r="EW20" i="2" l="1"/>
  <c r="EW21" i="2" l="1"/>
  <c r="EW22" i="2" l="1"/>
  <c r="EW23" i="2" l="1"/>
  <c r="EW24" i="2" l="1"/>
  <c r="EW25" i="2" l="1"/>
  <c r="EW26" i="2" l="1"/>
  <c r="EW27" i="2" l="1"/>
  <c r="EW28" i="2" l="1"/>
  <c r="EW29" i="2" l="1"/>
  <c r="EW30" i="2" l="1"/>
  <c r="EW31" i="2" l="1"/>
  <c r="EW32" i="2" l="1"/>
  <c r="EW33" i="2" l="1"/>
  <c r="EW34" i="2" l="1"/>
  <c r="EW35" i="2" l="1"/>
  <c r="EW36" i="2" l="1"/>
  <c r="EW37" i="2" l="1"/>
  <c r="EW38" i="2" l="1"/>
  <c r="EW39" i="2" l="1"/>
  <c r="EW40" i="2" l="1"/>
  <c r="Z147" i="46" l="1"/>
  <c r="E93" i="47"/>
  <c r="H93" i="47" s="1"/>
  <c r="O147" i="55" s="1"/>
  <c r="P147" i="55" l="1"/>
  <c r="V147" i="55"/>
  <c r="C147" i="55"/>
  <c r="K147" i="55"/>
  <c r="AC147" i="55" s="1"/>
  <c r="T147" i="55"/>
  <c r="U147" i="55"/>
  <c r="O147" i="46"/>
  <c r="U147" i="46" s="1"/>
  <c r="G93" i="47"/>
  <c r="AM151" i="46"/>
  <c r="AR151" i="46"/>
  <c r="BA151" i="46" s="1"/>
  <c r="AM150" i="46"/>
  <c r="AR150" i="46"/>
  <c r="BA150" i="46" s="1"/>
  <c r="N147" i="46"/>
  <c r="AR149" i="46"/>
  <c r="BA149" i="46" s="1"/>
  <c r="AM149" i="46"/>
  <c r="AR148" i="46"/>
  <c r="BA148" i="46" s="1"/>
  <c r="AM148" i="46"/>
  <c r="AR147" i="46"/>
  <c r="BA147" i="46" s="1"/>
  <c r="AM147" i="46"/>
  <c r="T39" i="48"/>
  <c r="I38" i="43"/>
  <c r="I93" i="47" s="1"/>
  <c r="G42" i="43"/>
  <c r="I37" i="43" s="1"/>
  <c r="F42" i="43"/>
  <c r="N39" i="43"/>
  <c r="P25" i="43"/>
  <c r="Q24" i="43"/>
  <c r="P24" i="43"/>
  <c r="Q30" i="43"/>
  <c r="Q31" i="43" s="1"/>
  <c r="S28" i="43"/>
  <c r="R28" i="43"/>
  <c r="S27" i="43"/>
  <c r="R27" i="43"/>
  <c r="S26" i="43"/>
  <c r="R26" i="43"/>
  <c r="R25" i="43"/>
  <c r="S25" i="43"/>
  <c r="R24" i="43"/>
  <c r="P16" i="43"/>
  <c r="Q15" i="43"/>
  <c r="P15" i="43"/>
  <c r="S19" i="43"/>
  <c r="R19" i="43"/>
  <c r="S18" i="43"/>
  <c r="R18" i="43"/>
  <c r="S17" i="43"/>
  <c r="R17" i="43"/>
  <c r="Q21" i="43"/>
  <c r="Q22" i="43" s="1"/>
  <c r="P6" i="43"/>
  <c r="S6" i="43" s="1"/>
  <c r="S10" i="43"/>
  <c r="R10" i="43"/>
  <c r="S9" i="43"/>
  <c r="R9" i="43"/>
  <c r="S8" i="43"/>
  <c r="R8" i="43"/>
  <c r="Q7" i="43"/>
  <c r="Q12" i="43" s="1"/>
  <c r="Q13" i="43" s="1"/>
  <c r="P7" i="43"/>
  <c r="R6" i="43"/>
  <c r="S15" i="43" l="1"/>
  <c r="S7" i="43"/>
  <c r="V147" i="46"/>
  <c r="AD151" i="46"/>
  <c r="AD148" i="46"/>
  <c r="AD150" i="46"/>
  <c r="P147" i="46"/>
  <c r="T147" i="46"/>
  <c r="C147" i="46"/>
  <c r="N39" i="48" s="1"/>
  <c r="H147" i="46"/>
  <c r="AD147" i="46"/>
  <c r="AD149" i="46"/>
  <c r="R30" i="43"/>
  <c r="R31" i="43" s="1"/>
  <c r="S24" i="43"/>
  <c r="S30" i="43"/>
  <c r="S31" i="43" s="1"/>
  <c r="R15" i="43"/>
  <c r="S16" i="43"/>
  <c r="S21" i="43"/>
  <c r="S22" i="43" s="1"/>
  <c r="R16" i="43"/>
  <c r="S12" i="43"/>
  <c r="S13" i="43" s="1"/>
  <c r="R7" i="43"/>
  <c r="R12" i="43" s="1"/>
  <c r="R13" i="43" s="1"/>
  <c r="J4" i="43"/>
  <c r="R21" i="43" l="1"/>
  <c r="R22" i="43" s="1"/>
  <c r="AY39" i="48"/>
  <c r="J147" i="46"/>
  <c r="K147" i="46"/>
  <c r="L39" i="48" s="1"/>
  <c r="AE7" i="51"/>
  <c r="AC4" i="51"/>
  <c r="AD4" i="51"/>
  <c r="AD3" i="51"/>
  <c r="AE4" i="51"/>
  <c r="AE3" i="51"/>
  <c r="AG4" i="51"/>
  <c r="AG3" i="51"/>
  <c r="V18" i="51"/>
  <c r="Y11" i="51"/>
  <c r="AB7" i="51"/>
  <c r="AB6" i="51"/>
  <c r="Y147" i="55" l="1"/>
  <c r="Y147" i="46"/>
  <c r="AC147" i="46"/>
  <c r="Q46" i="55"/>
  <c r="R46" i="55"/>
  <c r="AU49" i="55"/>
  <c r="AR50" i="55"/>
  <c r="BA50" i="55" s="1"/>
  <c r="AM50" i="55"/>
  <c r="AR49" i="55"/>
  <c r="AM49" i="55"/>
  <c r="AR48" i="55"/>
  <c r="BA48" i="55" s="1"/>
  <c r="AM48" i="55"/>
  <c r="AR47" i="55"/>
  <c r="BA47" i="55" s="1"/>
  <c r="AM47" i="55"/>
  <c r="AR46" i="55"/>
  <c r="BA46" i="55" s="1"/>
  <c r="AD46" i="55" s="1"/>
  <c r="AM46" i="55"/>
  <c r="Q46" i="46"/>
  <c r="Q114" i="55"/>
  <c r="Q141" i="55"/>
  <c r="S141" i="55"/>
  <c r="AT144" i="55"/>
  <c r="AD47" i="55" l="1"/>
  <c r="BA49" i="55"/>
  <c r="AD49" i="55" s="1"/>
  <c r="AD50" i="55"/>
  <c r="AD48" i="55"/>
  <c r="KV39" i="1"/>
  <c r="BW40" i="2" l="1"/>
  <c r="DY40" i="2"/>
  <c r="EE40" i="2"/>
  <c r="EY11" i="2"/>
  <c r="EY12" i="2"/>
  <c r="EY13" i="2"/>
  <c r="EY14" i="2"/>
  <c r="EY15" i="2"/>
  <c r="EY16" i="2"/>
  <c r="EY17" i="2"/>
  <c r="EY18" i="2"/>
  <c r="EY19" i="2"/>
  <c r="EY20" i="2"/>
  <c r="EY21" i="2"/>
  <c r="EY22" i="2"/>
  <c r="EY23" i="2"/>
  <c r="EY24" i="2"/>
  <c r="EY25" i="2"/>
  <c r="EY26" i="2"/>
  <c r="EY27" i="2"/>
  <c r="EY28" i="2"/>
  <c r="EY29" i="2"/>
  <c r="EY30" i="2"/>
  <c r="EY31" i="2"/>
  <c r="EY32" i="2"/>
  <c r="EY33" i="2"/>
  <c r="EY34" i="2"/>
  <c r="EY35" i="2"/>
  <c r="EY36" i="2"/>
  <c r="EY37" i="2"/>
  <c r="EY38" i="2"/>
  <c r="EY39" i="2"/>
  <c r="EY10" i="2"/>
  <c r="EQ42" i="2"/>
  <c r="ES10" i="2"/>
  <c r="EM42" i="2"/>
  <c r="EO10" i="2"/>
  <c r="EK10" i="2"/>
  <c r="EK11" i="2" s="1"/>
  <c r="FH40" i="2" l="1"/>
  <c r="ES11" i="2"/>
  <c r="DK40" i="2"/>
  <c r="FC40" i="2" s="1"/>
  <c r="EV40" i="2" s="1"/>
  <c r="EO11" i="2"/>
  <c r="FA10" i="2"/>
  <c r="EK12" i="2"/>
  <c r="ES12" i="2" l="1"/>
  <c r="CF40" i="2"/>
  <c r="EO12" i="2"/>
  <c r="FA11" i="2"/>
  <c r="EK13" i="2"/>
  <c r="ES13" i="2" l="1"/>
  <c r="EN40" i="2"/>
  <c r="ER40" i="2"/>
  <c r="T40" i="2"/>
  <c r="AZ40" i="2"/>
  <c r="CR40" i="2"/>
  <c r="AF40" i="2"/>
  <c r="AR40" i="2"/>
  <c r="CJ40" i="2"/>
  <c r="EB40" i="2"/>
  <c r="X40" i="2"/>
  <c r="BD40" i="2"/>
  <c r="CV40" i="2"/>
  <c r="DX40" i="2"/>
  <c r="AJ40" i="2"/>
  <c r="DT40" i="2"/>
  <c r="AN40" i="2"/>
  <c r="P40" i="2"/>
  <c r="AV40" i="2"/>
  <c r="CB40" i="2"/>
  <c r="CN40" i="2"/>
  <c r="DP40" i="2"/>
  <c r="H40" i="2"/>
  <c r="AB40" i="2"/>
  <c r="BH40" i="2"/>
  <c r="CZ40" i="2"/>
  <c r="DD40" i="2"/>
  <c r="BX40" i="2"/>
  <c r="L40" i="2"/>
  <c r="EF40" i="2"/>
  <c r="DL40" i="2"/>
  <c r="EO13" i="2"/>
  <c r="FA12" i="2"/>
  <c r="EK14" i="2"/>
  <c r="ES14" i="2" l="1"/>
  <c r="EO14" i="2"/>
  <c r="FA13" i="2"/>
  <c r="EK15" i="2"/>
  <c r="ES15" i="2" l="1"/>
  <c r="EO15" i="2"/>
  <c r="FA14" i="2"/>
  <c r="EK16" i="2"/>
  <c r="ES16" i="2" l="1"/>
  <c r="EO16" i="2"/>
  <c r="FA15" i="2"/>
  <c r="EK17" i="2"/>
  <c r="ES17" i="2" l="1"/>
  <c r="EO17" i="2"/>
  <c r="FA16" i="2"/>
  <c r="EK18" i="2"/>
  <c r="ES18" i="2" l="1"/>
  <c r="EO18" i="2"/>
  <c r="FA17" i="2"/>
  <c r="EK19" i="2"/>
  <c r="ES19" i="2" l="1"/>
  <c r="EO19" i="2"/>
  <c r="FA18" i="2"/>
  <c r="EK20" i="2"/>
  <c r="ES20" i="2" l="1"/>
  <c r="EO20" i="2"/>
  <c r="FA19" i="2"/>
  <c r="EK21" i="2"/>
  <c r="ES21" i="2" l="1"/>
  <c r="EO21" i="2"/>
  <c r="FA20" i="2"/>
  <c r="EK22" i="2"/>
  <c r="ES22" i="2" l="1"/>
  <c r="EO22" i="2"/>
  <c r="FA21" i="2"/>
  <c r="EK23" i="2"/>
  <c r="ES23" i="2" l="1"/>
  <c r="EO23" i="2"/>
  <c r="FA22" i="2"/>
  <c r="EK24" i="2"/>
  <c r="ES24" i="2" l="1"/>
  <c r="EO24" i="2"/>
  <c r="FA23" i="2"/>
  <c r="EK25" i="2"/>
  <c r="ES25" i="2" l="1"/>
  <c r="EO25" i="2"/>
  <c r="FA24" i="2"/>
  <c r="EK26" i="2"/>
  <c r="ES26" i="2" l="1"/>
  <c r="EO26" i="2"/>
  <c r="FA25" i="2"/>
  <c r="EK27" i="2"/>
  <c r="ES27" i="2" l="1"/>
  <c r="EO27" i="2"/>
  <c r="FA26" i="2"/>
  <c r="EK28" i="2"/>
  <c r="ES28" i="2" l="1"/>
  <c r="EO28" i="2"/>
  <c r="FA27" i="2"/>
  <c r="EK29" i="2"/>
  <c r="ES29" i="2" l="1"/>
  <c r="EO29" i="2"/>
  <c r="FA28" i="2"/>
  <c r="EK30" i="2"/>
  <c r="ES30" i="2" l="1"/>
  <c r="EO30" i="2"/>
  <c r="FA29" i="2"/>
  <c r="EK31" i="2"/>
  <c r="ES31" i="2" l="1"/>
  <c r="EO31" i="2"/>
  <c r="FA30" i="2"/>
  <c r="EK32" i="2"/>
  <c r="ES32" i="2" l="1"/>
  <c r="EO32" i="2"/>
  <c r="FA31" i="2"/>
  <c r="EK33" i="2"/>
  <c r="ES33" i="2" l="1"/>
  <c r="EO33" i="2"/>
  <c r="FA32" i="2"/>
  <c r="EK34" i="2"/>
  <c r="ES34" i="2" l="1"/>
  <c r="EO34" i="2"/>
  <c r="FA33" i="2"/>
  <c r="EK35" i="2"/>
  <c r="ES35" i="2" l="1"/>
  <c r="EO35" i="2"/>
  <c r="FA34" i="2"/>
  <c r="EK36" i="2"/>
  <c r="ES36" i="2" l="1"/>
  <c r="EO36" i="2"/>
  <c r="FA35" i="2"/>
  <c r="EK37" i="2"/>
  <c r="ES37" i="2" l="1"/>
  <c r="EO37" i="2"/>
  <c r="FA36" i="2"/>
  <c r="EK38" i="2"/>
  <c r="ES38" i="2" l="1"/>
  <c r="EO38" i="2"/>
  <c r="FA37" i="2"/>
  <c r="EK39" i="2"/>
  <c r="ES39" i="2" l="1"/>
  <c r="EO39" i="2"/>
  <c r="FA38" i="2"/>
  <c r="EO40" i="2" l="1"/>
  <c r="ES40" i="2"/>
  <c r="FA39" i="2"/>
  <c r="AR144" i="55" l="1"/>
  <c r="BA144" i="55" s="1"/>
  <c r="AM144" i="55"/>
  <c r="AR143" i="55"/>
  <c r="BA143" i="55" s="1"/>
  <c r="AM143" i="55"/>
  <c r="AD143" i="55" s="1"/>
  <c r="AR142" i="55"/>
  <c r="BA142" i="55" s="1"/>
  <c r="AM142" i="55"/>
  <c r="AR141" i="55"/>
  <c r="BA141" i="55" s="1"/>
  <c r="AM141" i="55"/>
  <c r="K22" i="4"/>
  <c r="W144" i="55" s="1"/>
  <c r="K21" i="4"/>
  <c r="K18" i="4"/>
  <c r="C17" i="4"/>
  <c r="C9" i="4"/>
  <c r="K17" i="4" s="1"/>
  <c r="W142" i="55" s="1"/>
  <c r="C8" i="4"/>
  <c r="K20" i="4" s="1"/>
  <c r="W141" i="55" s="1"/>
  <c r="H89" i="47"/>
  <c r="G90" i="47"/>
  <c r="E91" i="47"/>
  <c r="G91" i="47" s="1"/>
  <c r="E90" i="47"/>
  <c r="H90" i="47" s="1"/>
  <c r="O144" i="55" s="1"/>
  <c r="E89" i="47"/>
  <c r="G89" i="47" s="1"/>
  <c r="E88" i="47"/>
  <c r="H88" i="47" s="1"/>
  <c r="O141" i="55" s="1"/>
  <c r="E87" i="47"/>
  <c r="G87" i="47" s="1"/>
  <c r="C144" i="55" l="1"/>
  <c r="K144" i="55"/>
  <c r="W145" i="46"/>
  <c r="W145" i="55"/>
  <c r="O142" i="46"/>
  <c r="O142" i="55"/>
  <c r="U142" i="55" s="1"/>
  <c r="C141" i="55"/>
  <c r="K141" i="55"/>
  <c r="W143" i="46"/>
  <c r="W143" i="55"/>
  <c r="W141" i="46"/>
  <c r="O141" i="46"/>
  <c r="W142" i="46"/>
  <c r="U144" i="55"/>
  <c r="O144" i="46"/>
  <c r="H91" i="47"/>
  <c r="O145" i="55" s="1"/>
  <c r="W144" i="46"/>
  <c r="AD142" i="55"/>
  <c r="AD141" i="55"/>
  <c r="AD144" i="55"/>
  <c r="P142" i="55"/>
  <c r="T144" i="55"/>
  <c r="G88" i="47"/>
  <c r="H87" i="47"/>
  <c r="O143" i="55" s="1"/>
  <c r="AC144" i="55" l="1"/>
  <c r="C142" i="55"/>
  <c r="K142" i="55"/>
  <c r="C143" i="55"/>
  <c r="K143" i="55"/>
  <c r="C145" i="55"/>
  <c r="K145" i="55"/>
  <c r="T142" i="55"/>
  <c r="P141" i="55"/>
  <c r="U141" i="55"/>
  <c r="T141" i="55"/>
  <c r="AC141" i="55" s="1"/>
  <c r="P144" i="55"/>
  <c r="O145" i="46"/>
  <c r="V144" i="55"/>
  <c r="V141" i="55"/>
  <c r="O143" i="46"/>
  <c r="V142" i="55"/>
  <c r="X141" i="55" l="1"/>
  <c r="AC142" i="55"/>
  <c r="U143" i="55"/>
  <c r="V143" i="55"/>
  <c r="T143" i="55"/>
  <c r="AC143" i="55" s="1"/>
  <c r="P143" i="55"/>
  <c r="U145" i="55"/>
  <c r="T145" i="55"/>
  <c r="AC145" i="55" s="1"/>
  <c r="V145" i="55"/>
  <c r="P145" i="55"/>
  <c r="DC39" i="2"/>
  <c r="K39" i="2"/>
  <c r="AY38" i="48" l="1"/>
  <c r="AM144" i="46"/>
  <c r="AR144" i="46"/>
  <c r="BA144" i="46"/>
  <c r="S142" i="46"/>
  <c r="N142" i="46"/>
  <c r="H142" i="46" s="1"/>
  <c r="J142" i="46" s="1"/>
  <c r="N143" i="46"/>
  <c r="H143" i="46" s="1"/>
  <c r="T143" i="46"/>
  <c r="N144" i="46"/>
  <c r="H144" i="46" s="1"/>
  <c r="P144" i="46"/>
  <c r="N145" i="46"/>
  <c r="H145" i="46" s="1"/>
  <c r="C145" i="46"/>
  <c r="U141" i="46"/>
  <c r="N141" i="46"/>
  <c r="AR143" i="46"/>
  <c r="BA143" i="46" s="1"/>
  <c r="AM143" i="46"/>
  <c r="AR142" i="46"/>
  <c r="BA142" i="46" s="1"/>
  <c r="AM142" i="46"/>
  <c r="AR141" i="46"/>
  <c r="BA141" i="46" s="1"/>
  <c r="AM141" i="46"/>
  <c r="Y141" i="46"/>
  <c r="F17" i="4"/>
  <c r="I38" i="4"/>
  <c r="I87" i="47" s="1"/>
  <c r="AD143" i="46" l="1"/>
  <c r="T145" i="46"/>
  <c r="U145" i="46"/>
  <c r="P145" i="46"/>
  <c r="U143" i="46"/>
  <c r="V141" i="46"/>
  <c r="P143" i="46"/>
  <c r="T144" i="46"/>
  <c r="C143" i="46"/>
  <c r="AD144" i="46"/>
  <c r="AD142" i="46"/>
  <c r="AD141" i="46"/>
  <c r="P142" i="46"/>
  <c r="J145" i="46"/>
  <c r="K145" i="46"/>
  <c r="AC145" i="46" s="1"/>
  <c r="J144" i="46"/>
  <c r="K144" i="46"/>
  <c r="J143" i="46"/>
  <c r="K143" i="46"/>
  <c r="AC143" i="46" s="1"/>
  <c r="V142" i="46"/>
  <c r="U142" i="46"/>
  <c r="C142" i="46"/>
  <c r="V144" i="46"/>
  <c r="T142" i="46"/>
  <c r="U144" i="46"/>
  <c r="C144" i="46"/>
  <c r="V143" i="46"/>
  <c r="K142" i="46"/>
  <c r="V145" i="46"/>
  <c r="P141" i="46"/>
  <c r="T141" i="46"/>
  <c r="C141" i="46"/>
  <c r="H141" i="46"/>
  <c r="Q40" i="4"/>
  <c r="Z28" i="4"/>
  <c r="Y28" i="4"/>
  <c r="Z27" i="4"/>
  <c r="Y27" i="4"/>
  <c r="Z26" i="4"/>
  <c r="Y26" i="4"/>
  <c r="Y25" i="4"/>
  <c r="Z24" i="4"/>
  <c r="Y24" i="4"/>
  <c r="Z10" i="4"/>
  <c r="Y10" i="4"/>
  <c r="Y9" i="4"/>
  <c r="Z9" i="4"/>
  <c r="Y8" i="4"/>
  <c r="Z8" i="4"/>
  <c r="Z7" i="4"/>
  <c r="Y7" i="4"/>
  <c r="X12" i="4"/>
  <c r="X13" i="4" s="1"/>
  <c r="Z6" i="4"/>
  <c r="AC142" i="46" l="1"/>
  <c r="AC144" i="46"/>
  <c r="Y30" i="4"/>
  <c r="N38" i="48"/>
  <c r="K141" i="46"/>
  <c r="X141" i="46" s="1"/>
  <c r="J141" i="46"/>
  <c r="Z25" i="4"/>
  <c r="Z30" i="4" s="1"/>
  <c r="X30" i="4"/>
  <c r="X31" i="4" s="1"/>
  <c r="Z12" i="4"/>
  <c r="Z13" i="4" s="1"/>
  <c r="Y6" i="4"/>
  <c r="Y12" i="4" s="1"/>
  <c r="Y13" i="4" s="1"/>
  <c r="P25" i="4"/>
  <c r="S28" i="4"/>
  <c r="R28" i="4"/>
  <c r="S27" i="4"/>
  <c r="R27" i="4"/>
  <c r="S26" i="4"/>
  <c r="R26" i="4"/>
  <c r="Q25" i="4"/>
  <c r="R25" i="4" s="1"/>
  <c r="R24" i="4"/>
  <c r="P24" i="4"/>
  <c r="S24" i="4" s="1"/>
  <c r="Q15" i="4"/>
  <c r="R15" i="4" s="1"/>
  <c r="P16" i="4"/>
  <c r="P15" i="4"/>
  <c r="S19" i="4"/>
  <c r="R19" i="4"/>
  <c r="R18" i="4"/>
  <c r="S18" i="4"/>
  <c r="R17" i="4"/>
  <c r="S17" i="4"/>
  <c r="Q8" i="4"/>
  <c r="R8" i="4" s="1"/>
  <c r="Q7" i="4"/>
  <c r="R7" i="4" s="1"/>
  <c r="P9" i="4"/>
  <c r="S9" i="4" s="1"/>
  <c r="P8" i="4"/>
  <c r="P7" i="4"/>
  <c r="Q6" i="4"/>
  <c r="R6" i="4" s="1"/>
  <c r="P6" i="4"/>
  <c r="S6" i="4" s="1"/>
  <c r="S10" i="4"/>
  <c r="R10" i="4"/>
  <c r="R9" i="4"/>
  <c r="J4" i="4"/>
  <c r="S8" i="4" l="1"/>
  <c r="Q16" i="4"/>
  <c r="R16" i="4" s="1"/>
  <c r="AC141" i="46"/>
  <c r="L38" i="48"/>
  <c r="Z31" i="4"/>
  <c r="Y31" i="4"/>
  <c r="S25" i="4"/>
  <c r="S30" i="4" s="1"/>
  <c r="R30" i="4"/>
  <c r="Q30" i="4"/>
  <c r="Q31" i="4" s="1"/>
  <c r="S16" i="4"/>
  <c r="S15" i="4"/>
  <c r="S21" i="4"/>
  <c r="R21" i="4"/>
  <c r="Q21" i="4"/>
  <c r="Q22" i="4" s="1"/>
  <c r="R12" i="4"/>
  <c r="Q12" i="4"/>
  <c r="Q13" i="4" s="1"/>
  <c r="S7" i="4"/>
  <c r="S12" i="4" s="1"/>
  <c r="DC38" i="2"/>
  <c r="K38" i="2"/>
  <c r="R31" i="4" l="1"/>
  <c r="S31" i="4"/>
  <c r="R22" i="4"/>
  <c r="S22" i="4"/>
  <c r="S13" i="4"/>
  <c r="R13" i="4"/>
  <c r="AR139" i="55"/>
  <c r="BA139" i="55" s="1"/>
  <c r="AM139" i="55"/>
  <c r="AR138" i="55"/>
  <c r="BA138" i="55" s="1"/>
  <c r="AM138" i="55"/>
  <c r="AR137" i="55"/>
  <c r="BA137" i="55" s="1"/>
  <c r="AM137" i="55"/>
  <c r="AR136" i="55"/>
  <c r="BA136" i="55" s="1"/>
  <c r="AM136" i="55"/>
  <c r="F83" i="47"/>
  <c r="H83" i="47" s="1"/>
  <c r="E85" i="47"/>
  <c r="H85" i="47" s="1"/>
  <c r="O137" i="55" s="1"/>
  <c r="E84" i="47"/>
  <c r="G84" i="47" s="1"/>
  <c r="E83" i="47"/>
  <c r="K19" i="37"/>
  <c r="C26" i="37"/>
  <c r="K20" i="37" s="1"/>
  <c r="W137" i="55" s="1"/>
  <c r="O136" i="46" l="1"/>
  <c r="O136" i="55"/>
  <c r="W136" i="46"/>
  <c r="W136" i="55"/>
  <c r="AD139" i="55"/>
  <c r="C137" i="55"/>
  <c r="K137" i="55"/>
  <c r="AC137" i="55" s="1"/>
  <c r="W137" i="46"/>
  <c r="P137" i="55"/>
  <c r="O137" i="46"/>
  <c r="AD136" i="55"/>
  <c r="G83" i="47"/>
  <c r="AD138" i="55"/>
  <c r="T137" i="55"/>
  <c r="U137" i="55"/>
  <c r="V136" i="55"/>
  <c r="V137" i="55"/>
  <c r="AD137" i="55"/>
  <c r="P136" i="55"/>
  <c r="U136" i="55"/>
  <c r="G85" i="47"/>
  <c r="C136" i="55" l="1"/>
  <c r="K136" i="55"/>
  <c r="T136" i="55"/>
  <c r="AA136" i="55"/>
  <c r="AY37" i="48"/>
  <c r="X136" i="55" l="1"/>
  <c r="AC136" i="55"/>
  <c r="AB136" i="55"/>
  <c r="AM139" i="46" l="1"/>
  <c r="AR139" i="46"/>
  <c r="BA139" i="46"/>
  <c r="I38" i="37"/>
  <c r="I83" i="47" s="1"/>
  <c r="W11" i="37"/>
  <c r="Z10" i="37"/>
  <c r="Y10" i="37"/>
  <c r="Z9" i="37"/>
  <c r="Y9" i="37"/>
  <c r="Y8" i="37"/>
  <c r="Z8" i="37"/>
  <c r="W7" i="37"/>
  <c r="X6" i="37"/>
  <c r="Y6" i="37" s="1"/>
  <c r="W6" i="37"/>
  <c r="Z6" i="37" s="1"/>
  <c r="X7" i="37" l="1"/>
  <c r="Y7" i="37" s="1"/>
  <c r="AD139" i="46"/>
  <c r="Y12" i="37"/>
  <c r="X12" i="37"/>
  <c r="X13" i="37" s="1"/>
  <c r="N137" i="46"/>
  <c r="H137" i="46" s="1"/>
  <c r="J137" i="46" s="1"/>
  <c r="P137" i="46"/>
  <c r="AR138" i="46"/>
  <c r="BA138" i="46" s="1"/>
  <c r="AM138" i="46"/>
  <c r="AD138" i="46" s="1"/>
  <c r="AR137" i="46"/>
  <c r="BA137" i="46" s="1"/>
  <c r="AM137" i="46"/>
  <c r="AR136" i="46"/>
  <c r="BA136" i="46" s="1"/>
  <c r="AM136" i="46"/>
  <c r="AD136" i="46" s="1"/>
  <c r="Z136" i="46"/>
  <c r="Y136" i="46"/>
  <c r="T136" i="46"/>
  <c r="U136" i="46"/>
  <c r="N136" i="46"/>
  <c r="V136" i="46" s="1"/>
  <c r="Q36" i="37"/>
  <c r="Q38" i="37" s="1"/>
  <c r="Q24" i="37"/>
  <c r="Q25" i="37" s="1"/>
  <c r="R25" i="37" s="1"/>
  <c r="P25" i="37"/>
  <c r="P29" i="37"/>
  <c r="S28" i="37"/>
  <c r="R28" i="37"/>
  <c r="S27" i="37"/>
  <c r="R27" i="37"/>
  <c r="R26" i="37"/>
  <c r="P26" i="37"/>
  <c r="S26" i="37" s="1"/>
  <c r="P24" i="37"/>
  <c r="P20" i="37"/>
  <c r="S19" i="37"/>
  <c r="R19" i="37"/>
  <c r="S18" i="37"/>
  <c r="R18" i="37"/>
  <c r="R17" i="37"/>
  <c r="P17" i="37"/>
  <c r="S17" i="37" s="1"/>
  <c r="Q16" i="37"/>
  <c r="P16" i="37"/>
  <c r="R15" i="37"/>
  <c r="P15" i="37"/>
  <c r="S15" i="37" s="1"/>
  <c r="Q6" i="37"/>
  <c r="Q7" i="37" s="1"/>
  <c r="R7" i="37" s="1"/>
  <c r="P11" i="37"/>
  <c r="S10" i="37"/>
  <c r="R10" i="37"/>
  <c r="S9" i="37"/>
  <c r="R9" i="37"/>
  <c r="R8" i="37"/>
  <c r="P8" i="37"/>
  <c r="S8" i="37" s="1"/>
  <c r="P7" i="37"/>
  <c r="P6" i="37"/>
  <c r="J4" i="37"/>
  <c r="R6" i="37" l="1"/>
  <c r="S16" i="37"/>
  <c r="S6" i="37"/>
  <c r="R16" i="37"/>
  <c r="Q21" i="37"/>
  <c r="Q22" i="37" s="1"/>
  <c r="Z7" i="37"/>
  <c r="Z12" i="37" s="1"/>
  <c r="Z13" i="37" s="1"/>
  <c r="K137" i="46"/>
  <c r="AC137" i="46" s="1"/>
  <c r="C137" i="46"/>
  <c r="V137" i="46"/>
  <c r="U137" i="46"/>
  <c r="AA136" i="46" s="1"/>
  <c r="T137" i="46"/>
  <c r="AD137" i="46"/>
  <c r="Y13" i="37"/>
  <c r="P136" i="46"/>
  <c r="C136" i="46"/>
  <c r="N37" i="48" s="1"/>
  <c r="H136" i="46"/>
  <c r="S24" i="37"/>
  <c r="R24" i="37"/>
  <c r="R30" i="37" s="1"/>
  <c r="S25" i="37"/>
  <c r="Q30" i="37"/>
  <c r="Q31" i="37" s="1"/>
  <c r="R21" i="37"/>
  <c r="R22" i="37" s="1"/>
  <c r="S21" i="37"/>
  <c r="S22" i="37" s="1"/>
  <c r="S7" i="37"/>
  <c r="S12" i="37" s="1"/>
  <c r="Q12" i="37"/>
  <c r="Q13" i="37" s="1"/>
  <c r="R12" i="37"/>
  <c r="AR134" i="55"/>
  <c r="BA134" i="55" s="1"/>
  <c r="AM134" i="55"/>
  <c r="AR133" i="55"/>
  <c r="BA133" i="55" s="1"/>
  <c r="AM133" i="55"/>
  <c r="AR132" i="55"/>
  <c r="BA132" i="55" s="1"/>
  <c r="AM132" i="55"/>
  <c r="Z132" i="46"/>
  <c r="F81" i="47"/>
  <c r="F80" i="47"/>
  <c r="E81" i="47"/>
  <c r="G81" i="47" s="1"/>
  <c r="E80" i="47"/>
  <c r="G80" i="47" s="1"/>
  <c r="H80" i="47" l="1"/>
  <c r="O132" i="55" s="1"/>
  <c r="R13" i="37"/>
  <c r="V132" i="55"/>
  <c r="O132" i="46"/>
  <c r="S13" i="37"/>
  <c r="AD132" i="55"/>
  <c r="AD133" i="55"/>
  <c r="AD134" i="55"/>
  <c r="J136" i="46"/>
  <c r="K136" i="46"/>
  <c r="S30" i="37"/>
  <c r="S31" i="37" s="1"/>
  <c r="R31" i="37"/>
  <c r="T132" i="55"/>
  <c r="P132" i="55"/>
  <c r="U132" i="55"/>
  <c r="C132" i="55" l="1"/>
  <c r="K132" i="55"/>
  <c r="AC132" i="55" s="1"/>
  <c r="L37" i="48"/>
  <c r="X136" i="46"/>
  <c r="AC136" i="46"/>
  <c r="AB136" i="46"/>
  <c r="AY36" i="48" l="1"/>
  <c r="DC37" i="2"/>
  <c r="K37" i="2"/>
  <c r="AR134" i="46" l="1"/>
  <c r="BA134" i="46" s="1"/>
  <c r="AM134" i="46"/>
  <c r="AR133" i="46"/>
  <c r="BA133" i="46" s="1"/>
  <c r="AM133" i="46"/>
  <c r="AR132" i="46"/>
  <c r="BA132" i="46" s="1"/>
  <c r="AM132" i="46"/>
  <c r="Y132" i="46"/>
  <c r="T132" i="46"/>
  <c r="U132" i="46"/>
  <c r="P132" i="46"/>
  <c r="N132" i="46"/>
  <c r="V132" i="46" s="1"/>
  <c r="C132" i="46"/>
  <c r="N36" i="48" s="1"/>
  <c r="I38" i="6"/>
  <c r="I80" i="47" s="1"/>
  <c r="F17" i="6"/>
  <c r="G42" i="6"/>
  <c r="I37" i="6" s="1"/>
  <c r="F42" i="6"/>
  <c r="Q30" i="6"/>
  <c r="Q31" i="6" s="1"/>
  <c r="P29" i="6"/>
  <c r="S28" i="6"/>
  <c r="R28" i="6"/>
  <c r="S27" i="6"/>
  <c r="R27" i="6"/>
  <c r="R26" i="6"/>
  <c r="P26" i="6"/>
  <c r="S26" i="6" s="1"/>
  <c r="R25" i="6"/>
  <c r="P25" i="6"/>
  <c r="S25" i="6" s="1"/>
  <c r="R24" i="6"/>
  <c r="P24" i="6"/>
  <c r="S24" i="6" s="1"/>
  <c r="Q21" i="6"/>
  <c r="Q22" i="6" s="1"/>
  <c r="P20" i="6"/>
  <c r="S19" i="6"/>
  <c r="R19" i="6"/>
  <c r="S18" i="6"/>
  <c r="R18" i="6"/>
  <c r="R17" i="6"/>
  <c r="P17" i="6"/>
  <c r="S17" i="6" s="1"/>
  <c r="R16" i="6"/>
  <c r="P16" i="6"/>
  <c r="S16" i="6" s="1"/>
  <c r="R15" i="6"/>
  <c r="P15" i="6"/>
  <c r="S15" i="6" s="1"/>
  <c r="Q12" i="6"/>
  <c r="Q13" i="6" s="1"/>
  <c r="P11" i="6"/>
  <c r="S10" i="6"/>
  <c r="R10" i="6"/>
  <c r="S9" i="6"/>
  <c r="R9" i="6"/>
  <c r="R8" i="6"/>
  <c r="P8" i="6"/>
  <c r="S8" i="6" s="1"/>
  <c r="R7" i="6"/>
  <c r="P7" i="6"/>
  <c r="S7" i="6" s="1"/>
  <c r="R6" i="6"/>
  <c r="P6" i="6"/>
  <c r="S6" i="6" s="1"/>
  <c r="J4" i="6"/>
  <c r="R30" i="6" l="1"/>
  <c r="R31" i="6" s="1"/>
  <c r="R12" i="6"/>
  <c r="R13" i="6" s="1"/>
  <c r="AD134" i="46"/>
  <c r="AD133" i="46"/>
  <c r="AD132" i="46"/>
  <c r="H132" i="46"/>
  <c r="S30" i="6"/>
  <c r="S31" i="6" s="1"/>
  <c r="R21" i="6"/>
  <c r="R22" i="6" s="1"/>
  <c r="S21" i="6"/>
  <c r="S22" i="6" s="1"/>
  <c r="S12" i="6"/>
  <c r="S13" i="6" s="1"/>
  <c r="Z4" i="51"/>
  <c r="Z3" i="51"/>
  <c r="AA3" i="51"/>
  <c r="AB4" i="51"/>
  <c r="AB3" i="51"/>
  <c r="K132" i="46" l="1"/>
  <c r="L36" i="48" s="1"/>
  <c r="J132" i="46"/>
  <c r="S114" i="55"/>
  <c r="AT115" i="55"/>
  <c r="AR130" i="55"/>
  <c r="BA130" i="55" s="1"/>
  <c r="AM130" i="55"/>
  <c r="AR129" i="55"/>
  <c r="BA129" i="55" s="1"/>
  <c r="AM129" i="55"/>
  <c r="AR128" i="55"/>
  <c r="BA128" i="55" s="1"/>
  <c r="AM128" i="55"/>
  <c r="AR127" i="55"/>
  <c r="BA127" i="55" s="1"/>
  <c r="AM127" i="55"/>
  <c r="AR126" i="55"/>
  <c r="BA126" i="55" s="1"/>
  <c r="AM126" i="55"/>
  <c r="R126" i="55"/>
  <c r="Z126" i="46"/>
  <c r="E78" i="47"/>
  <c r="G78" i="47" s="1"/>
  <c r="F77" i="47"/>
  <c r="E77" i="47"/>
  <c r="G77" i="47" s="1"/>
  <c r="H77" i="47" l="1"/>
  <c r="O126" i="55" s="1"/>
  <c r="O126" i="46"/>
  <c r="U126" i="55"/>
  <c r="P126" i="55"/>
  <c r="T126" i="55"/>
  <c r="V126" i="55"/>
  <c r="AC132" i="46"/>
  <c r="AD127" i="55"/>
  <c r="AD129" i="55"/>
  <c r="AD128" i="55"/>
  <c r="AD126" i="55"/>
  <c r="AD130" i="55"/>
  <c r="C126" i="55" l="1"/>
  <c r="K126" i="55"/>
  <c r="AC126" i="55" s="1"/>
  <c r="AY35" i="48"/>
  <c r="DC36" i="2" l="1"/>
  <c r="K36" i="2"/>
  <c r="AM130" i="46" l="1"/>
  <c r="AR130" i="46"/>
  <c r="BA130" i="46" s="1"/>
  <c r="AM129" i="46"/>
  <c r="AR129" i="46"/>
  <c r="BA129" i="46" s="1"/>
  <c r="R126" i="46"/>
  <c r="AR128" i="46"/>
  <c r="BA128" i="46" s="1"/>
  <c r="AM128" i="46"/>
  <c r="AR127" i="46"/>
  <c r="BA127" i="46" s="1"/>
  <c r="AM127" i="46"/>
  <c r="AD127" i="46" s="1"/>
  <c r="AR126" i="46"/>
  <c r="BA126" i="46" s="1"/>
  <c r="AM126" i="46"/>
  <c r="Y126" i="46"/>
  <c r="P126" i="46"/>
  <c r="N126" i="46"/>
  <c r="F17" i="7"/>
  <c r="I38" i="7"/>
  <c r="I77" i="47" s="1"/>
  <c r="N37" i="7"/>
  <c r="Q30" i="7"/>
  <c r="Q31" i="7" s="1"/>
  <c r="P29" i="7"/>
  <c r="S28" i="7"/>
  <c r="R28" i="7"/>
  <c r="S27" i="7"/>
  <c r="R27" i="7"/>
  <c r="R26" i="7"/>
  <c r="P26" i="7"/>
  <c r="S26" i="7" s="1"/>
  <c r="R25" i="7"/>
  <c r="P25" i="7"/>
  <c r="S25" i="7" s="1"/>
  <c r="R24" i="7"/>
  <c r="P24" i="7"/>
  <c r="S24" i="7" s="1"/>
  <c r="Q21" i="7"/>
  <c r="Q22" i="7" s="1"/>
  <c r="P20" i="7"/>
  <c r="S19" i="7"/>
  <c r="R19" i="7"/>
  <c r="S18" i="7"/>
  <c r="R18" i="7"/>
  <c r="R17" i="7"/>
  <c r="P17" i="7"/>
  <c r="S17" i="7" s="1"/>
  <c r="R16" i="7"/>
  <c r="P16" i="7"/>
  <c r="S16" i="7" s="1"/>
  <c r="R15" i="7"/>
  <c r="P15" i="7"/>
  <c r="S15" i="7" s="1"/>
  <c r="Q8" i="7"/>
  <c r="Q7" i="7"/>
  <c r="R7" i="7" s="1"/>
  <c r="Q6" i="7"/>
  <c r="R6" i="7" s="1"/>
  <c r="P11" i="7"/>
  <c r="S10" i="7"/>
  <c r="R10" i="7"/>
  <c r="S9" i="7"/>
  <c r="R9" i="7"/>
  <c r="P8" i="7"/>
  <c r="P7" i="7"/>
  <c r="P6" i="7"/>
  <c r="J4" i="7"/>
  <c r="AD126" i="46" l="1"/>
  <c r="AD128" i="46"/>
  <c r="V126" i="46"/>
  <c r="AD129" i="46"/>
  <c r="AD130" i="46"/>
  <c r="T126" i="46"/>
  <c r="U126" i="46"/>
  <c r="C126" i="46"/>
  <c r="N35" i="48" s="1"/>
  <c r="H126" i="46"/>
  <c r="S30" i="7"/>
  <c r="S31" i="7" s="1"/>
  <c r="R30" i="7"/>
  <c r="R31" i="7" s="1"/>
  <c r="S21" i="7"/>
  <c r="S22" i="7" s="1"/>
  <c r="R21" i="7"/>
  <c r="R22" i="7" s="1"/>
  <c r="S7" i="7"/>
  <c r="S6" i="7"/>
  <c r="R8" i="7"/>
  <c r="R12" i="7" s="1"/>
  <c r="Q12" i="7"/>
  <c r="Q13" i="7" s="1"/>
  <c r="AR124" i="55"/>
  <c r="BA124" i="55" s="1"/>
  <c r="AM124" i="55"/>
  <c r="AD124" i="55" s="1"/>
  <c r="AR123" i="55"/>
  <c r="BA123" i="55" s="1"/>
  <c r="AM123" i="55"/>
  <c r="AR122" i="55"/>
  <c r="BA122" i="55" s="1"/>
  <c r="AM122" i="55"/>
  <c r="AD122" i="55" s="1"/>
  <c r="AR120" i="55"/>
  <c r="BA120" i="55" s="1"/>
  <c r="AM120" i="55"/>
  <c r="AR119" i="55"/>
  <c r="BA119" i="55" s="1"/>
  <c r="AM119" i="55"/>
  <c r="AR118" i="55"/>
  <c r="BA118" i="55" s="1"/>
  <c r="AM118" i="55"/>
  <c r="AR117" i="55"/>
  <c r="BA117" i="55" s="1"/>
  <c r="AM117" i="55"/>
  <c r="Z118" i="46"/>
  <c r="K16" i="9"/>
  <c r="C16" i="9"/>
  <c r="C7" i="9"/>
  <c r="K17" i="9" s="1"/>
  <c r="W117" i="55" s="1"/>
  <c r="F75" i="47"/>
  <c r="E75" i="47"/>
  <c r="F73" i="47"/>
  <c r="F72" i="47"/>
  <c r="H72" i="47" s="1"/>
  <c r="E73" i="47"/>
  <c r="E72" i="47"/>
  <c r="H73" i="47" l="1"/>
  <c r="AD123" i="55"/>
  <c r="O118" i="46"/>
  <c r="O118" i="55"/>
  <c r="O117" i="46"/>
  <c r="O117" i="55"/>
  <c r="W118" i="46"/>
  <c r="W118" i="55"/>
  <c r="AD120" i="55"/>
  <c r="W117" i="46"/>
  <c r="G72" i="47"/>
  <c r="G75" i="47"/>
  <c r="K126" i="46"/>
  <c r="L35" i="48" s="1"/>
  <c r="J126" i="46"/>
  <c r="R13" i="7"/>
  <c r="S8" i="7"/>
  <c r="S12" i="7" s="1"/>
  <c r="S13" i="7" s="1"/>
  <c r="AD119" i="55"/>
  <c r="AD117" i="55"/>
  <c r="AD118" i="55"/>
  <c r="T118" i="55"/>
  <c r="U118" i="55"/>
  <c r="H75" i="47"/>
  <c r="O122" i="55" s="1"/>
  <c r="G73" i="47"/>
  <c r="C122" i="55" l="1"/>
  <c r="K122" i="55"/>
  <c r="C118" i="55"/>
  <c r="K118" i="55"/>
  <c r="AC118" i="55" s="1"/>
  <c r="C117" i="55"/>
  <c r="K117" i="55"/>
  <c r="U117" i="55"/>
  <c r="AA117" i="55" s="1"/>
  <c r="O122" i="46"/>
  <c r="T117" i="55"/>
  <c r="V118" i="55"/>
  <c r="P118" i="55"/>
  <c r="P117" i="55"/>
  <c r="V117" i="55"/>
  <c r="AC126" i="46"/>
  <c r="AY33" i="48"/>
  <c r="X117" i="55" l="1"/>
  <c r="AC117" i="55"/>
  <c r="AB117" i="55" s="1"/>
  <c r="AY34" i="48"/>
  <c r="U122" i="55"/>
  <c r="V122" i="55"/>
  <c r="P122" i="55"/>
  <c r="T122" i="55"/>
  <c r="AC122" i="55" s="1"/>
  <c r="DC35" i="2"/>
  <c r="DC34" i="2"/>
  <c r="K35" i="2"/>
  <c r="K34" i="2"/>
  <c r="U122" i="46" l="1"/>
  <c r="N122" i="46"/>
  <c r="V122" i="46" s="1"/>
  <c r="AR124" i="46"/>
  <c r="BA124" i="46" s="1"/>
  <c r="AM124" i="46"/>
  <c r="AR123" i="46"/>
  <c r="BA123" i="46" s="1"/>
  <c r="AM123" i="46"/>
  <c r="AR122" i="46"/>
  <c r="BA122" i="46" s="1"/>
  <c r="AM122" i="46"/>
  <c r="Z122" i="46"/>
  <c r="Y122" i="46"/>
  <c r="AM120" i="46"/>
  <c r="AR120" i="46"/>
  <c r="BA120" i="46"/>
  <c r="N118" i="46"/>
  <c r="H118" i="46" s="1"/>
  <c r="C118" i="46"/>
  <c r="T118" i="46"/>
  <c r="T117" i="46"/>
  <c r="N117" i="46"/>
  <c r="H117" i="46"/>
  <c r="J117" i="46" s="1"/>
  <c r="AR119" i="46"/>
  <c r="BA119" i="46" s="1"/>
  <c r="AM119" i="46"/>
  <c r="AR118" i="46"/>
  <c r="BA118" i="46" s="1"/>
  <c r="AM118" i="46"/>
  <c r="AR117" i="46"/>
  <c r="BA117" i="46" s="1"/>
  <c r="AM117" i="46"/>
  <c r="Z117" i="46"/>
  <c r="Y117" i="46"/>
  <c r="F26" i="8"/>
  <c r="I38" i="8"/>
  <c r="I75" i="47" s="1"/>
  <c r="G42" i="8"/>
  <c r="I37" i="8" s="1"/>
  <c r="F42" i="8"/>
  <c r="R26" i="8"/>
  <c r="Q30" i="8"/>
  <c r="R30" i="8" s="1"/>
  <c r="Q29" i="8"/>
  <c r="R29" i="8" s="1"/>
  <c r="Q28" i="8"/>
  <c r="R28" i="8" s="1"/>
  <c r="Q27" i="8"/>
  <c r="R27" i="8" s="1"/>
  <c r="Q25" i="8"/>
  <c r="R25" i="8" s="1"/>
  <c r="P26" i="8"/>
  <c r="S26" i="8" s="1"/>
  <c r="P27" i="8"/>
  <c r="S27" i="8" s="1"/>
  <c r="P28" i="8"/>
  <c r="P29" i="8"/>
  <c r="P30" i="8"/>
  <c r="S30" i="8" s="1"/>
  <c r="I38" i="9"/>
  <c r="I72" i="47" s="1"/>
  <c r="P25" i="8"/>
  <c r="P15" i="8"/>
  <c r="S15" i="8" s="1"/>
  <c r="P20" i="8"/>
  <c r="S19" i="8"/>
  <c r="R19" i="8"/>
  <c r="S18" i="8"/>
  <c r="R18" i="8"/>
  <c r="Q7" i="8"/>
  <c r="R7" i="8" s="1"/>
  <c r="Q6" i="8"/>
  <c r="P7" i="8"/>
  <c r="P8" i="8"/>
  <c r="P11" i="8"/>
  <c r="S10" i="8"/>
  <c r="R10" i="8"/>
  <c r="S9" i="8"/>
  <c r="R9" i="8"/>
  <c r="R6" i="8"/>
  <c r="P6" i="8"/>
  <c r="J4" i="8"/>
  <c r="G34" i="9"/>
  <c r="F26" i="9"/>
  <c r="F7" i="9"/>
  <c r="Q39" i="9"/>
  <c r="Y32" i="9"/>
  <c r="Z32" i="9"/>
  <c r="Y33" i="9"/>
  <c r="Z33" i="9"/>
  <c r="Y31" i="9"/>
  <c r="W31" i="9"/>
  <c r="Z31" i="9" s="1"/>
  <c r="X30" i="9"/>
  <c r="Y30" i="9" s="1"/>
  <c r="W30" i="9"/>
  <c r="Z30" i="9" s="1"/>
  <c r="X29" i="9"/>
  <c r="Y29" i="9" s="1"/>
  <c r="W29" i="9"/>
  <c r="Y28" i="9"/>
  <c r="W28" i="9"/>
  <c r="Z28" i="9" s="1"/>
  <c r="X27" i="9"/>
  <c r="Y27" i="9" s="1"/>
  <c r="W27" i="9"/>
  <c r="Z27" i="9" s="1"/>
  <c r="X26" i="9"/>
  <c r="Y26" i="9" s="1"/>
  <c r="W26" i="9"/>
  <c r="Z26" i="9" s="1"/>
  <c r="X25" i="9"/>
  <c r="Y25" i="9" s="1"/>
  <c r="W25" i="9"/>
  <c r="X24" i="9"/>
  <c r="Y24" i="9" s="1"/>
  <c r="W24" i="9"/>
  <c r="Q27" i="9"/>
  <c r="R27" i="9" s="1"/>
  <c r="Q26" i="9"/>
  <c r="R26" i="9" s="1"/>
  <c r="Q25" i="9"/>
  <c r="R28" i="9"/>
  <c r="R31" i="9"/>
  <c r="Q24" i="9"/>
  <c r="Q30" i="9"/>
  <c r="R30" i="9" s="1"/>
  <c r="Q29" i="9"/>
  <c r="R29" i="9" s="1"/>
  <c r="P25" i="9"/>
  <c r="P26" i="9"/>
  <c r="P27" i="9"/>
  <c r="P28" i="9"/>
  <c r="S28" i="9" s="1"/>
  <c r="P29" i="9"/>
  <c r="P30" i="9"/>
  <c r="P31" i="9"/>
  <c r="S31" i="9" s="1"/>
  <c r="R24" i="9"/>
  <c r="P24" i="9"/>
  <c r="S24" i="9" s="1"/>
  <c r="P15" i="9"/>
  <c r="S15" i="9" s="1"/>
  <c r="P20" i="9"/>
  <c r="S19" i="9"/>
  <c r="R19" i="9"/>
  <c r="S18" i="9"/>
  <c r="R18" i="9"/>
  <c r="P17" i="9"/>
  <c r="P16" i="9"/>
  <c r="Q6" i="9"/>
  <c r="Q7" i="9" s="1"/>
  <c r="P6" i="9"/>
  <c r="S6" i="9" s="1"/>
  <c r="P7" i="9"/>
  <c r="P11" i="9"/>
  <c r="S10" i="9"/>
  <c r="R10" i="9"/>
  <c r="S9" i="9"/>
  <c r="R9" i="9"/>
  <c r="P8" i="9"/>
  <c r="J4" i="9"/>
  <c r="S30" i="9" l="1"/>
  <c r="S29" i="9"/>
  <c r="S26" i="9"/>
  <c r="S29" i="8"/>
  <c r="R34" i="8"/>
  <c r="Z25" i="9"/>
  <c r="S25" i="8"/>
  <c r="Y37" i="9"/>
  <c r="S28" i="8"/>
  <c r="Q32" i="9"/>
  <c r="Q33" i="9" s="1"/>
  <c r="Z24" i="9"/>
  <c r="Q34" i="8"/>
  <c r="Q35" i="8" s="1"/>
  <c r="X37" i="9"/>
  <c r="X38" i="9" s="1"/>
  <c r="S6" i="8"/>
  <c r="S27" i="9"/>
  <c r="AD117" i="46"/>
  <c r="AD119" i="46"/>
  <c r="AD120" i="46"/>
  <c r="AD122" i="46"/>
  <c r="U117" i="46"/>
  <c r="V117" i="46"/>
  <c r="C117" i="46"/>
  <c r="N33" i="48" s="1"/>
  <c r="AD124" i="46"/>
  <c r="AD123" i="46"/>
  <c r="P122" i="46"/>
  <c r="T122" i="46"/>
  <c r="C122" i="46"/>
  <c r="N34" i="48" s="1"/>
  <c r="H122" i="46"/>
  <c r="AD118" i="46"/>
  <c r="K117" i="46"/>
  <c r="J118" i="46"/>
  <c r="K118" i="46"/>
  <c r="AC118" i="46" s="1"/>
  <c r="P118" i="46"/>
  <c r="V118" i="46"/>
  <c r="U118" i="46"/>
  <c r="P117" i="46"/>
  <c r="R15" i="8"/>
  <c r="S7" i="8"/>
  <c r="Q8" i="8"/>
  <c r="Q12" i="8"/>
  <c r="Q13" i="8" s="1"/>
  <c r="Z29" i="9"/>
  <c r="S25" i="9"/>
  <c r="R25" i="9"/>
  <c r="R32" i="9" s="1"/>
  <c r="R15" i="9"/>
  <c r="Q16" i="9"/>
  <c r="R7" i="9"/>
  <c r="Q8" i="9"/>
  <c r="R8" i="9" s="1"/>
  <c r="S7" i="9"/>
  <c r="R6" i="9"/>
  <c r="Y4" i="51"/>
  <c r="Y3" i="51"/>
  <c r="S32" i="9" l="1"/>
  <c r="AA117" i="46"/>
  <c r="R35" i="8"/>
  <c r="S34" i="8"/>
  <c r="S35" i="8" s="1"/>
  <c r="S8" i="9"/>
  <c r="S12" i="9"/>
  <c r="Z37" i="9"/>
  <c r="Z38" i="9" s="1"/>
  <c r="Q12" i="9"/>
  <c r="Q13" i="9" s="1"/>
  <c r="X117" i="46"/>
  <c r="AC117" i="46"/>
  <c r="AB117" i="46" s="1"/>
  <c r="L33" i="48"/>
  <c r="J122" i="46"/>
  <c r="K122" i="46"/>
  <c r="L34" i="48" s="1"/>
  <c r="R21" i="8"/>
  <c r="Q21" i="8"/>
  <c r="Q22" i="8" s="1"/>
  <c r="S21" i="8"/>
  <c r="S22" i="8" s="1"/>
  <c r="R8" i="8"/>
  <c r="R12" i="8" s="1"/>
  <c r="R13" i="8" s="1"/>
  <c r="S8" i="8"/>
  <c r="S12" i="8" s="1"/>
  <c r="S13" i="8" s="1"/>
  <c r="Y38" i="9"/>
  <c r="R33" i="9"/>
  <c r="S33" i="9"/>
  <c r="R16" i="9"/>
  <c r="S16" i="9"/>
  <c r="Q17" i="9"/>
  <c r="R12" i="9"/>
  <c r="R13" i="9" l="1"/>
  <c r="R22" i="8"/>
  <c r="S13" i="9"/>
  <c r="AC122" i="46"/>
  <c r="R17" i="9"/>
  <c r="R21" i="9" s="1"/>
  <c r="S17" i="9"/>
  <c r="Q21" i="9"/>
  <c r="Q22" i="9" s="1"/>
  <c r="S21" i="9"/>
  <c r="S22" i="9" s="1"/>
  <c r="AR115" i="55"/>
  <c r="BA115" i="55" s="1"/>
  <c r="AM115" i="55"/>
  <c r="AR114" i="55"/>
  <c r="BA114" i="55" s="1"/>
  <c r="AM114" i="55"/>
  <c r="AR113" i="55"/>
  <c r="BA113" i="55" s="1"/>
  <c r="AM113" i="55"/>
  <c r="AR112" i="55"/>
  <c r="BA112" i="55" s="1"/>
  <c r="AM112" i="55"/>
  <c r="AD112" i="55" s="1"/>
  <c r="K18" i="10"/>
  <c r="W114" i="55" s="1"/>
  <c r="K9" i="10"/>
  <c r="W112" i="55" s="1"/>
  <c r="C17" i="10"/>
  <c r="K17" i="10" s="1"/>
  <c r="W113" i="55" s="1"/>
  <c r="F69" i="47"/>
  <c r="F68" i="47"/>
  <c r="E70" i="47"/>
  <c r="H70" i="47" s="1"/>
  <c r="E69" i="47"/>
  <c r="E68" i="47"/>
  <c r="AD114" i="55" l="1"/>
  <c r="O114" i="55"/>
  <c r="W112" i="46"/>
  <c r="W114" i="46"/>
  <c r="W113" i="46"/>
  <c r="R22" i="9"/>
  <c r="AD115" i="55"/>
  <c r="AD113" i="55"/>
  <c r="H69" i="47"/>
  <c r="H68" i="47"/>
  <c r="O112" i="55" s="1"/>
  <c r="O114" i="46"/>
  <c r="V114" i="55"/>
  <c r="P114" i="55"/>
  <c r="U114" i="55"/>
  <c r="G69" i="47"/>
  <c r="G68" i="47"/>
  <c r="G70" i="47"/>
  <c r="DC33" i="2"/>
  <c r="K33" i="2"/>
  <c r="C114" i="55" l="1"/>
  <c r="K114" i="55"/>
  <c r="T114" i="55"/>
  <c r="C112" i="55"/>
  <c r="K112" i="55"/>
  <c r="AC112" i="55" s="1"/>
  <c r="O113" i="55"/>
  <c r="O112" i="46"/>
  <c r="U112" i="46" s="1"/>
  <c r="O113" i="46"/>
  <c r="P113" i="46" s="1"/>
  <c r="P112" i="55"/>
  <c r="U112" i="55"/>
  <c r="V112" i="55"/>
  <c r="T112" i="55"/>
  <c r="AR115" i="46"/>
  <c r="BA115" i="46" s="1"/>
  <c r="AM115" i="46"/>
  <c r="N112" i="46"/>
  <c r="AR114" i="46"/>
  <c r="BA114" i="46" s="1"/>
  <c r="AM114" i="46"/>
  <c r="Z114" i="46"/>
  <c r="T114" i="46"/>
  <c r="N114" i="46"/>
  <c r="H114" i="46" s="1"/>
  <c r="AR113" i="46"/>
  <c r="BA113" i="46" s="1"/>
  <c r="AM113" i="46"/>
  <c r="N113" i="46"/>
  <c r="AR112" i="46"/>
  <c r="BA112" i="46" s="1"/>
  <c r="AM112" i="46"/>
  <c r="Z112" i="46"/>
  <c r="Y112" i="46"/>
  <c r="I38" i="10"/>
  <c r="Q37" i="10"/>
  <c r="W11" i="10"/>
  <c r="Z10" i="10"/>
  <c r="Y10" i="10"/>
  <c r="Z9" i="10"/>
  <c r="Y9" i="10"/>
  <c r="X12" i="10"/>
  <c r="X13" i="10" s="1"/>
  <c r="W8" i="10"/>
  <c r="Z7" i="10"/>
  <c r="Y7" i="10"/>
  <c r="Y6" i="10"/>
  <c r="Z6" i="10"/>
  <c r="W29" i="10"/>
  <c r="Z28" i="10"/>
  <c r="Y28" i="10"/>
  <c r="Z27" i="10"/>
  <c r="Y27" i="10"/>
  <c r="Z24" i="10"/>
  <c r="P24" i="10"/>
  <c r="Q24" i="10"/>
  <c r="Q25" i="10" s="1"/>
  <c r="R25" i="10" s="1"/>
  <c r="P29" i="10"/>
  <c r="S28" i="10"/>
  <c r="R28" i="10"/>
  <c r="S27" i="10"/>
  <c r="R27" i="10"/>
  <c r="P26" i="10"/>
  <c r="Q16" i="10"/>
  <c r="R16" i="10" s="1"/>
  <c r="P15" i="10"/>
  <c r="S15" i="10" s="1"/>
  <c r="P20" i="10"/>
  <c r="S19" i="10"/>
  <c r="R19" i="10"/>
  <c r="S18" i="10"/>
  <c r="R18" i="10"/>
  <c r="P17" i="10"/>
  <c r="P16" i="10"/>
  <c r="S16" i="10" s="1"/>
  <c r="R15" i="10"/>
  <c r="Q7" i="10"/>
  <c r="Q6" i="10"/>
  <c r="R6" i="10" s="1"/>
  <c r="P8" i="10"/>
  <c r="P7" i="10"/>
  <c r="P6" i="10"/>
  <c r="P11" i="10"/>
  <c r="S10" i="10"/>
  <c r="R10" i="10"/>
  <c r="S9" i="10"/>
  <c r="R9" i="10"/>
  <c r="J4" i="10"/>
  <c r="AD113" i="46" l="1"/>
  <c r="AC114" i="55"/>
  <c r="AD114" i="46"/>
  <c r="AD112" i="46"/>
  <c r="C113" i="55"/>
  <c r="K113" i="55"/>
  <c r="U113" i="55"/>
  <c r="AA112" i="55" s="1"/>
  <c r="R24" i="10"/>
  <c r="V112" i="46"/>
  <c r="T113" i="55"/>
  <c r="P113" i="55"/>
  <c r="V113" i="55"/>
  <c r="S24" i="10"/>
  <c r="Q8" i="10"/>
  <c r="S8" i="10" s="1"/>
  <c r="Q26" i="10"/>
  <c r="R26" i="10" s="1"/>
  <c r="R30" i="10" s="1"/>
  <c r="S6" i="10"/>
  <c r="V113" i="46"/>
  <c r="K114" i="46"/>
  <c r="AC114" i="46" s="1"/>
  <c r="C114" i="46"/>
  <c r="AD115" i="46"/>
  <c r="U114" i="46"/>
  <c r="P114" i="46"/>
  <c r="P112" i="46"/>
  <c r="C112" i="46"/>
  <c r="T112" i="46"/>
  <c r="H112" i="46"/>
  <c r="V114" i="46"/>
  <c r="T113" i="46"/>
  <c r="C113" i="46"/>
  <c r="U113" i="46"/>
  <c r="H113" i="46"/>
  <c r="J114" i="46"/>
  <c r="Z8" i="10"/>
  <c r="Z12" i="10" s="1"/>
  <c r="Z13" i="10" s="1"/>
  <c r="Y8" i="10"/>
  <c r="Y12" i="10" s="1"/>
  <c r="Y13" i="10" s="1"/>
  <c r="Y25" i="10"/>
  <c r="Y26" i="10"/>
  <c r="Z25" i="10"/>
  <c r="Z26" i="10"/>
  <c r="Z30" i="10" s="1"/>
  <c r="Y24" i="10"/>
  <c r="Y30" i="10" s="1"/>
  <c r="S25" i="10"/>
  <c r="Q17" i="10"/>
  <c r="R17" i="10" s="1"/>
  <c r="R21" i="10" s="1"/>
  <c r="R7" i="10"/>
  <c r="S7" i="10"/>
  <c r="W4" i="51"/>
  <c r="W3" i="51"/>
  <c r="X4" i="51"/>
  <c r="X3" i="51"/>
  <c r="AY32" i="48" l="1"/>
  <c r="AC113" i="55"/>
  <c r="R8" i="10"/>
  <c r="R12" i="10" s="1"/>
  <c r="R13" i="10" s="1"/>
  <c r="Q12" i="10"/>
  <c r="Q13" i="10" s="1"/>
  <c r="X112" i="55"/>
  <c r="S12" i="10"/>
  <c r="S13" i="10" s="1"/>
  <c r="AB112" i="55"/>
  <c r="S26" i="10"/>
  <c r="Q30" i="10"/>
  <c r="Q31" i="10" s="1"/>
  <c r="N32" i="48"/>
  <c r="AA112" i="46"/>
  <c r="K112" i="46"/>
  <c r="J112" i="46"/>
  <c r="K113" i="46"/>
  <c r="AC113" i="46" s="1"/>
  <c r="J113" i="46"/>
  <c r="X30" i="10"/>
  <c r="X31" i="10" s="1"/>
  <c r="R31" i="10"/>
  <c r="S30" i="10"/>
  <c r="S31" i="10" s="1"/>
  <c r="Q21" i="10"/>
  <c r="Q22" i="10" s="1"/>
  <c r="S17" i="10"/>
  <c r="S21" i="10" s="1"/>
  <c r="S22" i="10" s="1"/>
  <c r="AR110" i="55"/>
  <c r="BA110" i="55" s="1"/>
  <c r="AM110" i="55"/>
  <c r="S110" i="55"/>
  <c r="AR109" i="55"/>
  <c r="BA109" i="55" s="1"/>
  <c r="AM109" i="55"/>
  <c r="AR108" i="55"/>
  <c r="BA108" i="55" s="1"/>
  <c r="AM108" i="55"/>
  <c r="Z110" i="46"/>
  <c r="K9" i="11"/>
  <c r="K16" i="11"/>
  <c r="K12" i="11"/>
  <c r="F65" i="47"/>
  <c r="F64" i="47"/>
  <c r="F63" i="47"/>
  <c r="E66" i="47"/>
  <c r="G66" i="47" s="1"/>
  <c r="E65" i="47"/>
  <c r="E64" i="47"/>
  <c r="E63" i="47"/>
  <c r="AD109" i="55" l="1"/>
  <c r="W110" i="46"/>
  <c r="W110" i="55"/>
  <c r="W108" i="46"/>
  <c r="W108" i="55"/>
  <c r="AD108" i="55"/>
  <c r="W109" i="46"/>
  <c r="W109" i="55"/>
  <c r="AD110" i="55"/>
  <c r="H63" i="47"/>
  <c r="H64" i="47"/>
  <c r="H65" i="47"/>
  <c r="O110" i="55" s="1"/>
  <c r="L32" i="48"/>
  <c r="P110" i="55"/>
  <c r="O110" i="46"/>
  <c r="G64" i="47"/>
  <c r="AC112" i="46"/>
  <c r="AB112" i="46" s="1"/>
  <c r="X112" i="46"/>
  <c r="Y31" i="10"/>
  <c r="Z31" i="10"/>
  <c r="R22" i="10"/>
  <c r="G63" i="47"/>
  <c r="G65" i="47"/>
  <c r="C110" i="55" l="1"/>
  <c r="K110" i="55"/>
  <c r="O108" i="55"/>
  <c r="V108" i="55" s="1"/>
  <c r="O109" i="46"/>
  <c r="O109" i="55"/>
  <c r="P109" i="55" s="1"/>
  <c r="O108" i="46"/>
  <c r="C108" i="46" s="1"/>
  <c r="V109" i="55"/>
  <c r="T110" i="55"/>
  <c r="V110" i="55"/>
  <c r="U110" i="55"/>
  <c r="AC110" i="55" l="1"/>
  <c r="U109" i="55"/>
  <c r="T109" i="55"/>
  <c r="P108" i="55"/>
  <c r="C109" i="55"/>
  <c r="K109" i="55"/>
  <c r="AC109" i="55" s="1"/>
  <c r="C108" i="55"/>
  <c r="K108" i="55"/>
  <c r="T108" i="55"/>
  <c r="U108" i="55"/>
  <c r="AA108" i="55" s="1"/>
  <c r="X108" i="55" l="1"/>
  <c r="AC108" i="55"/>
  <c r="AB108" i="55"/>
  <c r="AY31" i="48"/>
  <c r="DC32" i="2"/>
  <c r="CE32" i="2"/>
  <c r="K32" i="2"/>
  <c r="S110" i="46" l="1"/>
  <c r="N109" i="46"/>
  <c r="H109" i="46" s="1"/>
  <c r="C109" i="46"/>
  <c r="N110" i="46"/>
  <c r="H110" i="46" s="1"/>
  <c r="T108" i="46"/>
  <c r="P108" i="46"/>
  <c r="N108" i="46"/>
  <c r="H108" i="46" s="1"/>
  <c r="AR110" i="46"/>
  <c r="BA110" i="46" s="1"/>
  <c r="AM110" i="46"/>
  <c r="AR109" i="46"/>
  <c r="BA109" i="46" s="1"/>
  <c r="AM109" i="46"/>
  <c r="AD109" i="46" s="1"/>
  <c r="AR108" i="46"/>
  <c r="BA108" i="46" s="1"/>
  <c r="AM108" i="46"/>
  <c r="Z108" i="46"/>
  <c r="Y108" i="46"/>
  <c r="I38" i="11"/>
  <c r="I63" i="47" s="1"/>
  <c r="Q39" i="11"/>
  <c r="X21" i="11"/>
  <c r="X22" i="11" s="1"/>
  <c r="W20" i="11"/>
  <c r="Z19" i="11"/>
  <c r="Y19" i="11"/>
  <c r="Z18" i="11"/>
  <c r="Y18" i="11"/>
  <c r="Z17" i="11"/>
  <c r="Y17" i="11"/>
  <c r="Y16" i="11"/>
  <c r="Z16" i="11"/>
  <c r="Y15" i="11"/>
  <c r="Z15" i="11"/>
  <c r="P24" i="11"/>
  <c r="S24" i="11" s="1"/>
  <c r="P29" i="11"/>
  <c r="S28" i="11"/>
  <c r="R28" i="11"/>
  <c r="S27" i="11"/>
  <c r="R27" i="11"/>
  <c r="S26" i="11"/>
  <c r="R26" i="11"/>
  <c r="P25" i="11"/>
  <c r="R24" i="11"/>
  <c r="P16" i="11"/>
  <c r="Q15" i="11"/>
  <c r="Q16" i="11" s="1"/>
  <c r="P20" i="11"/>
  <c r="S19" i="11"/>
  <c r="R19" i="11"/>
  <c r="S18" i="11"/>
  <c r="R18" i="11"/>
  <c r="R17" i="11"/>
  <c r="S17" i="11"/>
  <c r="P15" i="11"/>
  <c r="S15" i="11" s="1"/>
  <c r="Q8" i="11"/>
  <c r="Q7" i="11" s="1"/>
  <c r="P8" i="11"/>
  <c r="P7" i="11"/>
  <c r="P6" i="11"/>
  <c r="S6" i="11" s="1"/>
  <c r="P11" i="11"/>
  <c r="S10" i="11"/>
  <c r="R10" i="11"/>
  <c r="S9" i="11"/>
  <c r="R9" i="11"/>
  <c r="R8" i="11"/>
  <c r="R6" i="11"/>
  <c r="J4" i="11"/>
  <c r="S7" i="11" l="1"/>
  <c r="R15" i="11"/>
  <c r="J108" i="46"/>
  <c r="K108" i="46"/>
  <c r="AD108" i="46"/>
  <c r="AD110" i="46"/>
  <c r="J110" i="46"/>
  <c r="K110" i="46"/>
  <c r="AC110" i="46" s="1"/>
  <c r="J109" i="46"/>
  <c r="K109" i="46"/>
  <c r="T110" i="46"/>
  <c r="C110" i="46"/>
  <c r="N31" i="48" s="1"/>
  <c r="T109" i="46"/>
  <c r="U108" i="46"/>
  <c r="V108" i="46"/>
  <c r="AC108" i="46"/>
  <c r="Z21" i="11"/>
  <c r="Z22" i="11" s="1"/>
  <c r="Y21" i="11"/>
  <c r="Y22" i="11" s="1"/>
  <c r="S25" i="11"/>
  <c r="S30" i="11"/>
  <c r="R25" i="11"/>
  <c r="R30" i="11" s="1"/>
  <c r="Q30" i="11"/>
  <c r="Q31" i="11" s="1"/>
  <c r="S8" i="11"/>
  <c r="S12" i="11"/>
  <c r="Q12" i="11"/>
  <c r="Q13" i="11" s="1"/>
  <c r="R7" i="11"/>
  <c r="R12" i="11" s="1"/>
  <c r="AR106" i="55"/>
  <c r="BA106" i="55" s="1"/>
  <c r="AM106" i="55"/>
  <c r="S106" i="55"/>
  <c r="AR105" i="55"/>
  <c r="BA105" i="55" s="1"/>
  <c r="AM105" i="55"/>
  <c r="AR104" i="55"/>
  <c r="BA104" i="55" s="1"/>
  <c r="AD104" i="55" s="1"/>
  <c r="AM104" i="55"/>
  <c r="K15" i="12"/>
  <c r="W104" i="55" s="1"/>
  <c r="K12" i="12"/>
  <c r="F60" i="47"/>
  <c r="F59" i="47"/>
  <c r="E60" i="47"/>
  <c r="E58" i="47"/>
  <c r="G58" i="47" s="1"/>
  <c r="E59" i="47"/>
  <c r="G59" i="47" s="1"/>
  <c r="E61" i="47"/>
  <c r="G61" i="47" s="1"/>
  <c r="E57" i="47"/>
  <c r="G57" i="47" s="1"/>
  <c r="AC109" i="46" l="1"/>
  <c r="W106" i="46"/>
  <c r="W106" i="55"/>
  <c r="W104" i="46"/>
  <c r="G60" i="47"/>
  <c r="AD105" i="55"/>
  <c r="R13" i="11"/>
  <c r="L31" i="48"/>
  <c r="H60" i="47"/>
  <c r="H59" i="47"/>
  <c r="O105" i="55" s="1"/>
  <c r="H57" i="47"/>
  <c r="O104" i="55" s="1"/>
  <c r="X108" i="46"/>
  <c r="R31" i="11"/>
  <c r="S31" i="11"/>
  <c r="R16" i="11"/>
  <c r="R21" i="11" s="1"/>
  <c r="Q21" i="11"/>
  <c r="Q22" i="11" s="1"/>
  <c r="S16" i="11"/>
  <c r="S21" i="11" s="1"/>
  <c r="S13" i="11"/>
  <c r="AD106" i="55"/>
  <c r="C104" i="55" l="1"/>
  <c r="K104" i="55"/>
  <c r="O106" i="46"/>
  <c r="O106" i="55"/>
  <c r="C105" i="55"/>
  <c r="K105" i="55"/>
  <c r="P106" i="55"/>
  <c r="O105" i="46"/>
  <c r="O104" i="46"/>
  <c r="S22" i="11"/>
  <c r="R22" i="11"/>
  <c r="C106" i="55" l="1"/>
  <c r="K106" i="55"/>
  <c r="U106" i="55"/>
  <c r="T106" i="55"/>
  <c r="AY30" i="48"/>
  <c r="V106" i="55"/>
  <c r="U104" i="55"/>
  <c r="P104" i="55"/>
  <c r="T104" i="55"/>
  <c r="AC104" i="55" s="1"/>
  <c r="V104" i="55"/>
  <c r="P105" i="55"/>
  <c r="T105" i="55"/>
  <c r="AC105" i="55" s="1"/>
  <c r="U105" i="55"/>
  <c r="V105" i="55"/>
  <c r="X104" i="55" l="1"/>
  <c r="AC106" i="55"/>
  <c r="AA104" i="55"/>
  <c r="AB104" i="55" s="1"/>
  <c r="S106" i="46"/>
  <c r="N106" i="46"/>
  <c r="W105" i="46"/>
  <c r="P105" i="46"/>
  <c r="N105" i="46"/>
  <c r="H105" i="46" s="1"/>
  <c r="K105" i="46" s="1"/>
  <c r="P104" i="46"/>
  <c r="N104" i="46"/>
  <c r="AR106" i="46"/>
  <c r="BA106" i="46" s="1"/>
  <c r="AM106" i="46"/>
  <c r="AR105" i="46"/>
  <c r="BA105" i="46" s="1"/>
  <c r="AM105" i="46"/>
  <c r="AR104" i="46"/>
  <c r="BA104" i="46" s="1"/>
  <c r="AM104" i="46"/>
  <c r="Z104" i="46"/>
  <c r="Y104" i="46"/>
  <c r="AD105" i="46" l="1"/>
  <c r="AD106" i="46"/>
  <c r="V105" i="46"/>
  <c r="V104" i="46"/>
  <c r="T105" i="46"/>
  <c r="AC105" i="46" s="1"/>
  <c r="C105" i="46"/>
  <c r="AD104" i="46"/>
  <c r="V106" i="46"/>
  <c r="U106" i="46"/>
  <c r="J105" i="46"/>
  <c r="P106" i="46"/>
  <c r="C106" i="46"/>
  <c r="T106" i="46"/>
  <c r="C104" i="46"/>
  <c r="T104" i="46"/>
  <c r="H104" i="46"/>
  <c r="U104" i="46"/>
  <c r="U105" i="46"/>
  <c r="H106" i="46"/>
  <c r="I38" i="12"/>
  <c r="I57" i="47" s="1"/>
  <c r="Q38" i="12"/>
  <c r="W29" i="12"/>
  <c r="Z28" i="12"/>
  <c r="Y28" i="12"/>
  <c r="Z27" i="12"/>
  <c r="Y27" i="12"/>
  <c r="Z26" i="12"/>
  <c r="Y26" i="12"/>
  <c r="Z25" i="12"/>
  <c r="Y24" i="12"/>
  <c r="Z24" i="12"/>
  <c r="W11" i="12"/>
  <c r="Z10" i="12"/>
  <c r="Y10" i="12"/>
  <c r="Z9" i="12"/>
  <c r="Y9" i="12"/>
  <c r="Z8" i="12"/>
  <c r="Y8" i="12"/>
  <c r="X6" i="12"/>
  <c r="Y6" i="12" s="1"/>
  <c r="W6" i="12"/>
  <c r="G42" i="12"/>
  <c r="I37" i="12" s="1"/>
  <c r="F42" i="12"/>
  <c r="Q24" i="12"/>
  <c r="P25" i="12"/>
  <c r="P24" i="12"/>
  <c r="S24" i="12" s="1"/>
  <c r="P29" i="12"/>
  <c r="S28" i="12"/>
  <c r="R28" i="12"/>
  <c r="S27" i="12"/>
  <c r="R27" i="12"/>
  <c r="S26" i="12"/>
  <c r="R26" i="12"/>
  <c r="Q25" i="12"/>
  <c r="Q30" i="12" s="1"/>
  <c r="Q31" i="12" s="1"/>
  <c r="R24" i="12"/>
  <c r="Q16" i="12"/>
  <c r="Q21" i="12" s="1"/>
  <c r="Q22" i="12" s="1"/>
  <c r="P15" i="12"/>
  <c r="S15" i="12" s="1"/>
  <c r="P20" i="12"/>
  <c r="S19" i="12"/>
  <c r="R19" i="12"/>
  <c r="S18" i="12"/>
  <c r="R18" i="12"/>
  <c r="S17" i="12"/>
  <c r="R17" i="12"/>
  <c r="P16" i="12"/>
  <c r="R15" i="12"/>
  <c r="Q7" i="12"/>
  <c r="Q6" i="12"/>
  <c r="X12" i="12" l="1"/>
  <c r="X13" i="12" s="1"/>
  <c r="S16" i="12"/>
  <c r="Z6" i="12"/>
  <c r="AA104" i="46"/>
  <c r="N30" i="48"/>
  <c r="K106" i="46"/>
  <c r="AC106" i="46" s="1"/>
  <c r="J106" i="46"/>
  <c r="K104" i="46"/>
  <c r="L30" i="48" s="1"/>
  <c r="J104" i="46"/>
  <c r="Z30" i="12"/>
  <c r="Y25" i="12"/>
  <c r="Y30" i="12" s="1"/>
  <c r="X30" i="12"/>
  <c r="X31" i="12" s="1"/>
  <c r="Y7" i="12"/>
  <c r="Y12" i="12" s="1"/>
  <c r="Y13" i="12" s="1"/>
  <c r="Z7" i="12"/>
  <c r="Z12" i="12" s="1"/>
  <c r="Z13" i="12" s="1"/>
  <c r="S25" i="12"/>
  <c r="S30" i="12"/>
  <c r="S31" i="12" s="1"/>
  <c r="R25" i="12"/>
  <c r="R30" i="12" s="1"/>
  <c r="R31" i="12" s="1"/>
  <c r="S21" i="12"/>
  <c r="S22" i="12" s="1"/>
  <c r="R16" i="12"/>
  <c r="R21" i="12" s="1"/>
  <c r="R22" i="12" s="1"/>
  <c r="P7" i="12"/>
  <c r="X104" i="46" l="1"/>
  <c r="AC104" i="46"/>
  <c r="AB104" i="46" s="1"/>
  <c r="Y31" i="12"/>
  <c r="Z31" i="12"/>
  <c r="DC31" i="2"/>
  <c r="CE31" i="2"/>
  <c r="K31" i="2"/>
  <c r="P6" i="12" l="1"/>
  <c r="S6" i="12" s="1"/>
  <c r="P11" i="12"/>
  <c r="S10" i="12"/>
  <c r="R10" i="12"/>
  <c r="S9" i="12"/>
  <c r="R9" i="12"/>
  <c r="R8" i="12"/>
  <c r="S8" i="12"/>
  <c r="R7" i="12"/>
  <c r="S7" i="12"/>
  <c r="R6" i="12"/>
  <c r="J4" i="12"/>
  <c r="R12" i="12" l="1"/>
  <c r="S12" i="12"/>
  <c r="Q12" i="12"/>
  <c r="Q13" i="12" s="1"/>
  <c r="U4" i="51"/>
  <c r="U3" i="51"/>
  <c r="V4" i="51"/>
  <c r="V3" i="51"/>
  <c r="T4" i="51"/>
  <c r="T3" i="51"/>
  <c r="S4" i="51"/>
  <c r="S3" i="51"/>
  <c r="Q4" i="51"/>
  <c r="Q3" i="51"/>
  <c r="S13" i="12" l="1"/>
  <c r="R13" i="12"/>
  <c r="AR102" i="55"/>
  <c r="BA102" i="55" s="1"/>
  <c r="AM102" i="55"/>
  <c r="AR101" i="55"/>
  <c r="BA101" i="55" s="1"/>
  <c r="AM101" i="55"/>
  <c r="S101" i="55"/>
  <c r="AR100" i="55"/>
  <c r="BA100" i="55" s="1"/>
  <c r="AM100" i="55"/>
  <c r="AR99" i="55"/>
  <c r="BA99" i="55" s="1"/>
  <c r="AM99" i="55"/>
  <c r="Q99" i="55"/>
  <c r="W99" i="46"/>
  <c r="K15" i="13"/>
  <c r="W101" i="55" s="1"/>
  <c r="K14" i="13"/>
  <c r="W100" i="55" s="1"/>
  <c r="K13" i="13"/>
  <c r="W99" i="55" s="1"/>
  <c r="F54" i="47"/>
  <c r="E55" i="47"/>
  <c r="H55" i="47" s="1"/>
  <c r="O101" i="55" s="1"/>
  <c r="E54" i="47"/>
  <c r="E53" i="47"/>
  <c r="H53" i="47" s="1"/>
  <c r="O99" i="55" s="1"/>
  <c r="W100" i="46" l="1"/>
  <c r="AD102" i="55"/>
  <c r="W101" i="46"/>
  <c r="C101" i="55"/>
  <c r="K101" i="55"/>
  <c r="C99" i="55"/>
  <c r="K99" i="55"/>
  <c r="AC99" i="55" s="1"/>
  <c r="AD101" i="55"/>
  <c r="AD99" i="55"/>
  <c r="AD100" i="55"/>
  <c r="G55" i="47"/>
  <c r="H54" i="47"/>
  <c r="U101" i="55"/>
  <c r="O101" i="46"/>
  <c r="O99" i="46"/>
  <c r="T99" i="55"/>
  <c r="G54" i="47"/>
  <c r="G53" i="47"/>
  <c r="DC30" i="2"/>
  <c r="CE30" i="2"/>
  <c r="K30" i="2"/>
  <c r="O100" i="46" l="1"/>
  <c r="O100" i="55"/>
  <c r="T101" i="55"/>
  <c r="AC101" i="55" s="1"/>
  <c r="P100" i="55"/>
  <c r="P101" i="55"/>
  <c r="V101" i="55"/>
  <c r="T100" i="55"/>
  <c r="P99" i="55"/>
  <c r="U99" i="55"/>
  <c r="V99" i="55"/>
  <c r="N101" i="46"/>
  <c r="H101" i="46" s="1"/>
  <c r="C101" i="46"/>
  <c r="AM102" i="46"/>
  <c r="AR102" i="46"/>
  <c r="BA102" i="46" s="1"/>
  <c r="S101" i="46"/>
  <c r="U101" i="46" s="1"/>
  <c r="Q99" i="46"/>
  <c r="C99" i="46" s="1"/>
  <c r="C100" i="46"/>
  <c r="N100" i="46"/>
  <c r="H100" i="46" s="1"/>
  <c r="J100" i="46" s="1"/>
  <c r="P100" i="46"/>
  <c r="T101" i="46"/>
  <c r="AR101" i="46"/>
  <c r="BA101" i="46" s="1"/>
  <c r="AM101" i="46"/>
  <c r="AR100" i="46"/>
  <c r="BA100" i="46" s="1"/>
  <c r="AM100" i="46"/>
  <c r="AR99" i="46"/>
  <c r="BA99" i="46" s="1"/>
  <c r="AM99" i="46"/>
  <c r="Y99" i="46"/>
  <c r="N99" i="46"/>
  <c r="J99" i="46"/>
  <c r="F26" i="13"/>
  <c r="I38" i="13"/>
  <c r="I53" i="47" s="1"/>
  <c r="X18" i="13"/>
  <c r="Z13" i="13"/>
  <c r="Y13" i="13"/>
  <c r="Y11" i="13"/>
  <c r="Z11" i="13"/>
  <c r="Y12" i="13"/>
  <c r="Z12" i="13"/>
  <c r="Z10" i="13"/>
  <c r="Y10" i="13"/>
  <c r="Z9" i="13"/>
  <c r="Y9" i="13"/>
  <c r="Y8" i="13"/>
  <c r="Z8" i="13"/>
  <c r="Y7" i="13"/>
  <c r="Z7" i="13"/>
  <c r="Y6" i="13"/>
  <c r="Z6" i="13"/>
  <c r="Q35" i="13"/>
  <c r="Q37" i="13" s="1"/>
  <c r="G42" i="13"/>
  <c r="I37" i="13" s="1"/>
  <c r="F42" i="13"/>
  <c r="N42" i="13"/>
  <c r="Q26" i="13"/>
  <c r="R26" i="13" s="1"/>
  <c r="Q27" i="13"/>
  <c r="Q25" i="13" s="1"/>
  <c r="P25" i="13"/>
  <c r="P26" i="13"/>
  <c r="P27" i="13"/>
  <c r="P24" i="13"/>
  <c r="S24" i="13" s="1"/>
  <c r="P29" i="13"/>
  <c r="S28" i="13"/>
  <c r="R28" i="13"/>
  <c r="R27" i="13"/>
  <c r="R24" i="13"/>
  <c r="Q16" i="13"/>
  <c r="Q17" i="13" s="1"/>
  <c r="P17" i="13"/>
  <c r="P16" i="13"/>
  <c r="P15" i="13"/>
  <c r="S27" i="13" l="1"/>
  <c r="Y18" i="13"/>
  <c r="C100" i="55"/>
  <c r="K100" i="55"/>
  <c r="U100" i="55"/>
  <c r="Z18" i="13"/>
  <c r="V100" i="55"/>
  <c r="Q30" i="13"/>
  <c r="Q31" i="13" s="1"/>
  <c r="S25" i="13"/>
  <c r="R25" i="13"/>
  <c r="K99" i="46"/>
  <c r="AD99" i="46"/>
  <c r="AY29" i="48"/>
  <c r="N29" i="48"/>
  <c r="V100" i="46"/>
  <c r="K100" i="46"/>
  <c r="AC100" i="46" s="1"/>
  <c r="J101" i="46"/>
  <c r="K101" i="46"/>
  <c r="AC101" i="46" s="1"/>
  <c r="P101" i="46"/>
  <c r="AD102" i="46"/>
  <c r="AD100" i="46"/>
  <c r="V101" i="46"/>
  <c r="T100" i="46"/>
  <c r="U100" i="46"/>
  <c r="AD101" i="46"/>
  <c r="P99" i="46"/>
  <c r="U99" i="46"/>
  <c r="T99" i="46"/>
  <c r="AC99" i="46" s="1"/>
  <c r="V99" i="46"/>
  <c r="S26" i="13"/>
  <c r="R30" i="13"/>
  <c r="P20" i="13"/>
  <c r="S19" i="13"/>
  <c r="R19" i="13"/>
  <c r="R18" i="13"/>
  <c r="S18" i="13"/>
  <c r="R17" i="13"/>
  <c r="S17" i="13"/>
  <c r="S16" i="13"/>
  <c r="R16" i="13"/>
  <c r="R15" i="13"/>
  <c r="S15" i="13"/>
  <c r="P9" i="13"/>
  <c r="S9" i="13" s="1"/>
  <c r="Q8" i="13"/>
  <c r="R8" i="13" s="1"/>
  <c r="Q7" i="13"/>
  <c r="R7" i="13" s="1"/>
  <c r="Q6" i="13"/>
  <c r="Q12" i="13" s="1"/>
  <c r="Q13" i="13" s="1"/>
  <c r="P11" i="13"/>
  <c r="S10" i="13"/>
  <c r="R10" i="13"/>
  <c r="R9" i="13"/>
  <c r="P8" i="13"/>
  <c r="P7" i="13"/>
  <c r="S7" i="13" s="1"/>
  <c r="P6" i="13"/>
  <c r="S6" i="13" s="1"/>
  <c r="X99" i="55" l="1"/>
  <c r="AC100" i="55"/>
  <c r="R31" i="13"/>
  <c r="R6" i="13"/>
  <c r="S8" i="13"/>
  <c r="S30" i="13"/>
  <c r="S31" i="13" s="1"/>
  <c r="L29" i="48"/>
  <c r="X99" i="46"/>
  <c r="Y19" i="13"/>
  <c r="Z19" i="13"/>
  <c r="S21" i="13"/>
  <c r="R21" i="13"/>
  <c r="Q21" i="13"/>
  <c r="Q22" i="13" s="1"/>
  <c r="R12" i="13"/>
  <c r="R13" i="13" s="1"/>
  <c r="S12" i="13"/>
  <c r="S13" i="13" s="1"/>
  <c r="S22" i="13" l="1"/>
  <c r="R22" i="13"/>
  <c r="CE29" i="2"/>
  <c r="K29" i="2"/>
  <c r="AR97" i="55" l="1"/>
  <c r="BA97" i="55" s="1"/>
  <c r="AM97" i="55"/>
  <c r="AR96" i="55"/>
  <c r="BA96" i="55" s="1"/>
  <c r="AM96" i="55"/>
  <c r="AR95" i="55"/>
  <c r="BA95" i="55" s="1"/>
  <c r="AM95" i="55"/>
  <c r="E51" i="47"/>
  <c r="G51" i="47" s="1"/>
  <c r="AD96" i="55" l="1"/>
  <c r="AD97" i="55"/>
  <c r="AD95" i="55"/>
  <c r="H51" i="47"/>
  <c r="O95" i="55" s="1"/>
  <c r="C95" i="55" l="1"/>
  <c r="K95" i="55"/>
  <c r="O95" i="46"/>
  <c r="P95" i="46" s="1"/>
  <c r="AR97" i="46"/>
  <c r="BA97" i="46" s="1"/>
  <c r="AM97" i="46"/>
  <c r="AD97" i="46" s="1"/>
  <c r="AR96" i="46"/>
  <c r="BA96" i="46" s="1"/>
  <c r="AM96" i="46"/>
  <c r="AR95" i="46"/>
  <c r="BA95" i="46" s="1"/>
  <c r="AM95" i="46"/>
  <c r="Y95" i="46"/>
  <c r="N95" i="46"/>
  <c r="J95" i="46"/>
  <c r="I38" i="14"/>
  <c r="Q30" i="14"/>
  <c r="Q31" i="14" s="1"/>
  <c r="Q21" i="14"/>
  <c r="P15" i="14"/>
  <c r="S15" i="14" s="1"/>
  <c r="S21" i="14" s="1"/>
  <c r="P29" i="14"/>
  <c r="S28" i="14"/>
  <c r="R28" i="14"/>
  <c r="S27" i="14"/>
  <c r="R27" i="14"/>
  <c r="R26" i="14"/>
  <c r="P26" i="14"/>
  <c r="S26" i="14" s="1"/>
  <c r="R25" i="14"/>
  <c r="P25" i="14"/>
  <c r="S25" i="14" s="1"/>
  <c r="R24" i="14"/>
  <c r="P24" i="14"/>
  <c r="S24" i="14" s="1"/>
  <c r="P20" i="14"/>
  <c r="S19" i="14"/>
  <c r="R19" i="14"/>
  <c r="S18" i="14"/>
  <c r="R18" i="14"/>
  <c r="R17" i="14"/>
  <c r="P17" i="14"/>
  <c r="S17" i="14" s="1"/>
  <c r="R16" i="14"/>
  <c r="P16" i="14"/>
  <c r="S16" i="14" s="1"/>
  <c r="R15" i="14"/>
  <c r="P6" i="14"/>
  <c r="P11" i="14"/>
  <c r="S10" i="14"/>
  <c r="R10" i="14"/>
  <c r="S9" i="14"/>
  <c r="R9" i="14"/>
  <c r="R8" i="14"/>
  <c r="P8" i="14"/>
  <c r="S8" i="14" s="1"/>
  <c r="R7" i="14"/>
  <c r="P7" i="14"/>
  <c r="S7" i="14" s="1"/>
  <c r="Q6" i="14"/>
  <c r="R6" i="14" s="1"/>
  <c r="J4" i="14"/>
  <c r="R30" i="14" l="1"/>
  <c r="R21" i="14"/>
  <c r="S30" i="14"/>
  <c r="AD95" i="46"/>
  <c r="K95" i="46"/>
  <c r="L28" i="48" s="1"/>
  <c r="T95" i="55"/>
  <c r="AC95" i="55" s="1"/>
  <c r="U95" i="55"/>
  <c r="V95" i="55"/>
  <c r="P95" i="55"/>
  <c r="AD96" i="46"/>
  <c r="T95" i="46"/>
  <c r="U95" i="46"/>
  <c r="C95" i="46"/>
  <c r="N28" i="48" s="1"/>
  <c r="V95" i="46"/>
  <c r="Q12" i="14"/>
  <c r="Q13" i="14" s="1"/>
  <c r="S6" i="14"/>
  <c r="S12" i="14" s="1"/>
  <c r="Q22" i="14"/>
  <c r="R12" i="14"/>
  <c r="AR93" i="55"/>
  <c r="BA93" i="55" s="1"/>
  <c r="AM93" i="55"/>
  <c r="AR92" i="55"/>
  <c r="BA92" i="55" s="1"/>
  <c r="AM92" i="55"/>
  <c r="AD92" i="55" s="1"/>
  <c r="AR91" i="55"/>
  <c r="BA91" i="55" s="1"/>
  <c r="AM91" i="55"/>
  <c r="AR89" i="55"/>
  <c r="BA89" i="55" s="1"/>
  <c r="AM89" i="55"/>
  <c r="AR88" i="55"/>
  <c r="BA88" i="55" s="1"/>
  <c r="AM88" i="55"/>
  <c r="AR87" i="55"/>
  <c r="BA87" i="55" s="1"/>
  <c r="AM87" i="55"/>
  <c r="AD89" i="55" l="1"/>
  <c r="S13" i="14"/>
  <c r="S22" i="14" s="1"/>
  <c r="AD87" i="55"/>
  <c r="AD88" i="55"/>
  <c r="AD91" i="55"/>
  <c r="AD93" i="55"/>
  <c r="AC95" i="46"/>
  <c r="AY28" i="48"/>
  <c r="R13" i="14"/>
  <c r="S31" i="14"/>
  <c r="F49" i="47"/>
  <c r="E49" i="47"/>
  <c r="F47" i="47"/>
  <c r="E47" i="47"/>
  <c r="G49" i="47" l="1"/>
  <c r="H49" i="47"/>
  <c r="O91" i="55" s="1"/>
  <c r="H47" i="47"/>
  <c r="O87" i="55" s="1"/>
  <c r="R22" i="14"/>
  <c r="R31" i="14" s="1"/>
  <c r="G47" i="47"/>
  <c r="C91" i="55" l="1"/>
  <c r="K91" i="55"/>
  <c r="K87" i="55"/>
  <c r="C87" i="55"/>
  <c r="O87" i="46"/>
  <c r="O91" i="46"/>
  <c r="CE28" i="2"/>
  <c r="CE27" i="2"/>
  <c r="K28" i="2"/>
  <c r="K27" i="2"/>
  <c r="U91" i="55" l="1"/>
  <c r="P91" i="55"/>
  <c r="V91" i="55"/>
  <c r="T91" i="55"/>
  <c r="AC91" i="55" s="1"/>
  <c r="T87" i="55"/>
  <c r="AC87" i="55" s="1"/>
  <c r="P87" i="55"/>
  <c r="U87" i="55"/>
  <c r="V87" i="55"/>
  <c r="AR93" i="46"/>
  <c r="BA93" i="46" s="1"/>
  <c r="AM93" i="46"/>
  <c r="AR92" i="46"/>
  <c r="BA92" i="46" s="1"/>
  <c r="AM92" i="46"/>
  <c r="AR91" i="46"/>
  <c r="BA91" i="46" s="1"/>
  <c r="AM91" i="46"/>
  <c r="Y91" i="46"/>
  <c r="C91" i="46"/>
  <c r="N27" i="48" s="1"/>
  <c r="N91" i="46"/>
  <c r="K91" i="46" s="1"/>
  <c r="L27" i="48" s="1"/>
  <c r="J91" i="46"/>
  <c r="AR89" i="46"/>
  <c r="BA89" i="46" s="1"/>
  <c r="AM89" i="46"/>
  <c r="AR88" i="46"/>
  <c r="BA88" i="46" s="1"/>
  <c r="AM88" i="46"/>
  <c r="AR87" i="46"/>
  <c r="BA87" i="46" s="1"/>
  <c r="AM87" i="46"/>
  <c r="C87" i="46"/>
  <c r="N26" i="48" s="1"/>
  <c r="N87" i="46"/>
  <c r="J87" i="46"/>
  <c r="I38" i="15"/>
  <c r="I49" i="47" s="1"/>
  <c r="F17" i="15"/>
  <c r="Q25" i="15"/>
  <c r="Q24" i="15" s="1"/>
  <c r="P24" i="15"/>
  <c r="P29" i="15"/>
  <c r="S28" i="15"/>
  <c r="R28" i="15"/>
  <c r="S27" i="15"/>
  <c r="R27" i="15"/>
  <c r="R26" i="15"/>
  <c r="P26" i="15"/>
  <c r="S26" i="15" s="1"/>
  <c r="P25" i="15"/>
  <c r="P15" i="15"/>
  <c r="S15" i="15" s="1"/>
  <c r="Q21" i="15"/>
  <c r="Q22" i="15" s="1"/>
  <c r="P20" i="15"/>
  <c r="S19" i="15"/>
  <c r="R19" i="15"/>
  <c r="S18" i="15"/>
  <c r="R18" i="15"/>
  <c r="R17" i="15"/>
  <c r="P17" i="15"/>
  <c r="S17" i="15" s="1"/>
  <c r="R16" i="15"/>
  <c r="P16" i="15"/>
  <c r="S16" i="15" s="1"/>
  <c r="R15" i="15"/>
  <c r="P6" i="15"/>
  <c r="S6" i="15" s="1"/>
  <c r="Q12" i="15"/>
  <c r="Q13" i="15" s="1"/>
  <c r="P11" i="15"/>
  <c r="S10" i="15"/>
  <c r="R10" i="15"/>
  <c r="S9" i="15"/>
  <c r="R9" i="15"/>
  <c r="R8" i="15"/>
  <c r="P8" i="15"/>
  <c r="S8" i="15" s="1"/>
  <c r="R7" i="15"/>
  <c r="P7" i="15"/>
  <c r="S7" i="15" s="1"/>
  <c r="R6" i="15"/>
  <c r="J4" i="15"/>
  <c r="I38" i="16"/>
  <c r="I47" i="47" s="1"/>
  <c r="Q31" i="16"/>
  <c r="Q32" i="16" s="1"/>
  <c r="P30" i="16"/>
  <c r="S29" i="16"/>
  <c r="R29" i="16"/>
  <c r="S28" i="16"/>
  <c r="R28" i="16"/>
  <c r="R27" i="16"/>
  <c r="P27" i="16"/>
  <c r="S27" i="16" s="1"/>
  <c r="R26" i="16"/>
  <c r="P26" i="16"/>
  <c r="S26" i="16" s="1"/>
  <c r="R25" i="16"/>
  <c r="P25" i="16"/>
  <c r="S25" i="16" s="1"/>
  <c r="P16" i="16"/>
  <c r="S16" i="16" s="1"/>
  <c r="Q22" i="16"/>
  <c r="Q23" i="16" s="1"/>
  <c r="P21" i="16"/>
  <c r="S20" i="16"/>
  <c r="R20" i="16"/>
  <c r="S19" i="16"/>
  <c r="R19" i="16"/>
  <c r="R18" i="16"/>
  <c r="P18" i="16"/>
  <c r="S18" i="16" s="1"/>
  <c r="R17" i="16"/>
  <c r="P17" i="16"/>
  <c r="S17" i="16" s="1"/>
  <c r="R16" i="16"/>
  <c r="P6" i="16"/>
  <c r="Q12" i="16"/>
  <c r="Q13" i="16" s="1"/>
  <c r="P11" i="16"/>
  <c r="S10" i="16"/>
  <c r="R10" i="16"/>
  <c r="S9" i="16"/>
  <c r="R9" i="16"/>
  <c r="R8" i="16"/>
  <c r="P8" i="16"/>
  <c r="S8" i="16" s="1"/>
  <c r="R7" i="16"/>
  <c r="P7" i="16"/>
  <c r="S7" i="16" s="1"/>
  <c r="R6" i="16"/>
  <c r="S6" i="16"/>
  <c r="J4" i="16"/>
  <c r="R22" i="16" l="1"/>
  <c r="R23" i="16" s="1"/>
  <c r="R24" i="15"/>
  <c r="S24" i="15"/>
  <c r="R31" i="16"/>
  <c r="R32" i="16" s="1"/>
  <c r="R12" i="15"/>
  <c r="R13" i="15" s="1"/>
  <c r="R21" i="15" s="1"/>
  <c r="R22" i="15" s="1"/>
  <c r="R12" i="16"/>
  <c r="R13" i="16" s="1"/>
  <c r="S12" i="16"/>
  <c r="S13" i="16" s="1"/>
  <c r="AD93" i="46"/>
  <c r="AD89" i="46"/>
  <c r="AD91" i="46"/>
  <c r="AD87" i="46"/>
  <c r="AD92" i="46"/>
  <c r="AY26" i="48"/>
  <c r="AY27" i="48"/>
  <c r="K87" i="46"/>
  <c r="L26" i="48" s="1"/>
  <c r="AD88" i="46"/>
  <c r="T91" i="46"/>
  <c r="AC91" i="46" s="1"/>
  <c r="P91" i="46"/>
  <c r="U91" i="46"/>
  <c r="V91" i="46"/>
  <c r="P87" i="46"/>
  <c r="U87" i="46"/>
  <c r="T87" i="46"/>
  <c r="V87" i="46"/>
  <c r="Q30" i="15"/>
  <c r="Q31" i="15" s="1"/>
  <c r="S25" i="15"/>
  <c r="R25" i="15"/>
  <c r="S12" i="15"/>
  <c r="S13" i="15" s="1"/>
  <c r="S21" i="15" s="1"/>
  <c r="S22" i="15" s="1"/>
  <c r="S22" i="16"/>
  <c r="S23" i="16" s="1"/>
  <c r="S31" i="16" s="1"/>
  <c r="S32" i="16" s="1"/>
  <c r="AR85" i="55"/>
  <c r="BA85" i="55" s="1"/>
  <c r="AM85" i="55"/>
  <c r="AR84" i="55"/>
  <c r="BA84" i="55" s="1"/>
  <c r="AM84" i="55"/>
  <c r="AR83" i="55"/>
  <c r="BA83" i="55" s="1"/>
  <c r="AM83" i="55"/>
  <c r="AR81" i="55"/>
  <c r="BA81" i="55" s="1"/>
  <c r="AM81" i="55"/>
  <c r="AR80" i="55"/>
  <c r="BA80" i="55" s="1"/>
  <c r="AM80" i="55"/>
  <c r="S80" i="55"/>
  <c r="Q80" i="55"/>
  <c r="AR79" i="55"/>
  <c r="BA79" i="55" s="1"/>
  <c r="AM79" i="55"/>
  <c r="AR78" i="55"/>
  <c r="BA78" i="55" s="1"/>
  <c r="AM78" i="55"/>
  <c r="AD78" i="55" s="1"/>
  <c r="S30" i="15" l="1"/>
  <c r="S31" i="15" s="1"/>
  <c r="AD85" i="55"/>
  <c r="AD83" i="55"/>
  <c r="R30" i="15"/>
  <c r="R31" i="15" s="1"/>
  <c r="AC87" i="46"/>
  <c r="AD81" i="55"/>
  <c r="AD79" i="55"/>
  <c r="AD80" i="55"/>
  <c r="AD84" i="55"/>
  <c r="R4" i="51"/>
  <c r="R3" i="51"/>
  <c r="E45" i="47"/>
  <c r="H45" i="47" s="1"/>
  <c r="O83" i="55" l="1"/>
  <c r="P83" i="55"/>
  <c r="T83" i="55"/>
  <c r="U83" i="55"/>
  <c r="O83" i="46"/>
  <c r="G45" i="47"/>
  <c r="CE26" i="2"/>
  <c r="DK26" i="2" s="1"/>
  <c r="K26" i="2"/>
  <c r="C83" i="55" l="1"/>
  <c r="K83" i="55"/>
  <c r="AC83" i="55" s="1"/>
  <c r="V83" i="55"/>
  <c r="AY25" i="48"/>
  <c r="T83" i="46"/>
  <c r="N83" i="46"/>
  <c r="AR85" i="46"/>
  <c r="BA85" i="46" s="1"/>
  <c r="AM85" i="46"/>
  <c r="AR84" i="46"/>
  <c r="BA84" i="46" s="1"/>
  <c r="AM84" i="46"/>
  <c r="AR83" i="46"/>
  <c r="BA83" i="46" s="1"/>
  <c r="AM83" i="46"/>
  <c r="I38" i="17"/>
  <c r="I45" i="47" s="1"/>
  <c r="Q31" i="17"/>
  <c r="Q32" i="17" s="1"/>
  <c r="P30" i="17"/>
  <c r="S29" i="17"/>
  <c r="R29" i="17"/>
  <c r="S28" i="17"/>
  <c r="R28" i="17"/>
  <c r="R27" i="17"/>
  <c r="P27" i="17"/>
  <c r="S27" i="17" s="1"/>
  <c r="R26" i="17"/>
  <c r="P26" i="17"/>
  <c r="S26" i="17" s="1"/>
  <c r="R25" i="17"/>
  <c r="P25" i="17"/>
  <c r="S25" i="17" s="1"/>
  <c r="P15" i="17"/>
  <c r="S15" i="17" s="1"/>
  <c r="Q21" i="17"/>
  <c r="Q22" i="17" s="1"/>
  <c r="P20" i="17"/>
  <c r="S19" i="17"/>
  <c r="R19" i="17"/>
  <c r="S18" i="17"/>
  <c r="R18" i="17"/>
  <c r="R17" i="17"/>
  <c r="P17" i="17"/>
  <c r="S17" i="17" s="1"/>
  <c r="R16" i="17"/>
  <c r="P16" i="17"/>
  <c r="S16" i="17" s="1"/>
  <c r="R15" i="17"/>
  <c r="Q12" i="17"/>
  <c r="Q13" i="17" s="1"/>
  <c r="P11" i="17"/>
  <c r="S10" i="17"/>
  <c r="R10" i="17"/>
  <c r="S9" i="17"/>
  <c r="R9" i="17"/>
  <c r="R8" i="17"/>
  <c r="P8" i="17"/>
  <c r="S8" i="17" s="1"/>
  <c r="R7" i="17"/>
  <c r="P7" i="17"/>
  <c r="S7" i="17" s="1"/>
  <c r="R6" i="17"/>
  <c r="P6" i="17"/>
  <c r="S6" i="17" s="1"/>
  <c r="J4" i="17"/>
  <c r="S21" i="17" l="1"/>
  <c r="S22" i="17" s="1"/>
  <c r="R12" i="17"/>
  <c r="R13" i="17" s="1"/>
  <c r="R21" i="17"/>
  <c r="R22" i="17" s="1"/>
  <c r="R31" i="17"/>
  <c r="R32" i="17" s="1"/>
  <c r="AD83" i="46"/>
  <c r="AD85" i="46"/>
  <c r="C83" i="46"/>
  <c r="N25" i="48" s="1"/>
  <c r="U83" i="46"/>
  <c r="AD84" i="46"/>
  <c r="V83" i="46"/>
  <c r="J83" i="46"/>
  <c r="K83" i="46"/>
  <c r="P83" i="46"/>
  <c r="S31" i="17"/>
  <c r="S32" i="17" s="1"/>
  <c r="S12" i="17"/>
  <c r="S13" i="17" s="1"/>
  <c r="P7" i="18"/>
  <c r="P8" i="18"/>
  <c r="AC83" i="46" l="1"/>
  <c r="L25" i="48"/>
  <c r="K13" i="18"/>
  <c r="W80" i="55" s="1"/>
  <c r="K10" i="18"/>
  <c r="W81" i="55" s="1"/>
  <c r="K11" i="18"/>
  <c r="W79" i="55" s="1"/>
  <c r="W80" i="46" l="1"/>
  <c r="W81" i="46"/>
  <c r="W79" i="46"/>
  <c r="K12" i="18"/>
  <c r="W78" i="55" s="1"/>
  <c r="J11" i="18"/>
  <c r="F43" i="47"/>
  <c r="E43" i="47"/>
  <c r="E42" i="47"/>
  <c r="H42" i="47" s="1"/>
  <c r="O79" i="55" s="1"/>
  <c r="E41" i="47"/>
  <c r="H41" i="47" s="1"/>
  <c r="E40" i="47"/>
  <c r="G40" i="47" s="1"/>
  <c r="C79" i="55" l="1"/>
  <c r="K79" i="55"/>
  <c r="G43" i="47"/>
  <c r="H43" i="47"/>
  <c r="T79" i="55"/>
  <c r="V79" i="55"/>
  <c r="P79" i="55"/>
  <c r="U79" i="55"/>
  <c r="O79" i="46"/>
  <c r="W78" i="46"/>
  <c r="G42" i="47"/>
  <c r="H40" i="47"/>
  <c r="O78" i="55" s="1"/>
  <c r="G41" i="47"/>
  <c r="AC79" i="55" l="1"/>
  <c r="O80" i="55"/>
  <c r="C78" i="55"/>
  <c r="K78" i="55"/>
  <c r="O80" i="46"/>
  <c r="P78" i="55"/>
  <c r="U78" i="55"/>
  <c r="T78" i="55"/>
  <c r="V78" i="55"/>
  <c r="O78" i="46"/>
  <c r="AC78" i="55" l="1"/>
  <c r="C80" i="55"/>
  <c r="K80" i="55"/>
  <c r="V80" i="55"/>
  <c r="U80" i="55"/>
  <c r="T80" i="55"/>
  <c r="P80" i="55"/>
  <c r="CE25" i="2"/>
  <c r="K25" i="2"/>
  <c r="X78" i="55" l="1"/>
  <c r="AC80" i="55"/>
  <c r="AY24" i="48"/>
  <c r="AM81" i="46"/>
  <c r="AR81" i="46"/>
  <c r="BA81" i="46" s="1"/>
  <c r="S80" i="46"/>
  <c r="Q80" i="46"/>
  <c r="N78" i="46"/>
  <c r="H78" i="46" s="1"/>
  <c r="AR80" i="46"/>
  <c r="BA80" i="46" s="1"/>
  <c r="AM80" i="46"/>
  <c r="N80" i="46"/>
  <c r="AR79" i="46"/>
  <c r="BA79" i="46" s="1"/>
  <c r="AM79" i="46"/>
  <c r="U79" i="46"/>
  <c r="N79" i="46"/>
  <c r="AR78" i="46"/>
  <c r="BA78" i="46" s="1"/>
  <c r="AM78" i="46"/>
  <c r="Z78" i="46"/>
  <c r="F9" i="18"/>
  <c r="I38" i="18"/>
  <c r="I40" i="47" s="1"/>
  <c r="Q36" i="18"/>
  <c r="W30" i="18"/>
  <c r="W31" i="18" s="1"/>
  <c r="V29" i="18"/>
  <c r="Y28" i="18"/>
  <c r="X28" i="18"/>
  <c r="Y27" i="18"/>
  <c r="X27" i="18"/>
  <c r="X26" i="18"/>
  <c r="Y26" i="18"/>
  <c r="X25" i="18"/>
  <c r="Y25" i="18"/>
  <c r="X24" i="18"/>
  <c r="Y24" i="18"/>
  <c r="G42" i="18"/>
  <c r="I37" i="18" s="1"/>
  <c r="F42" i="18"/>
  <c r="N41" i="18"/>
  <c r="Q30" i="18"/>
  <c r="Q31" i="18" s="1"/>
  <c r="P29" i="18"/>
  <c r="S28" i="18"/>
  <c r="R28" i="18"/>
  <c r="S27" i="18"/>
  <c r="R27" i="18"/>
  <c r="R26" i="18"/>
  <c r="P26" i="18"/>
  <c r="S26" i="18" s="1"/>
  <c r="R25" i="18"/>
  <c r="P25" i="18"/>
  <c r="S25" i="18" s="1"/>
  <c r="R24" i="18"/>
  <c r="P24" i="18"/>
  <c r="S24" i="18" s="1"/>
  <c r="Q15" i="18"/>
  <c r="Q21" i="18" s="1"/>
  <c r="Q22" i="18" s="1"/>
  <c r="P15" i="18"/>
  <c r="S15" i="18" s="1"/>
  <c r="P20" i="18"/>
  <c r="S19" i="18"/>
  <c r="R19" i="18"/>
  <c r="S18" i="18"/>
  <c r="R18" i="18"/>
  <c r="R17" i="18"/>
  <c r="P17" i="18"/>
  <c r="S17" i="18" s="1"/>
  <c r="R16" i="18"/>
  <c r="P16" i="18"/>
  <c r="S16" i="18" s="1"/>
  <c r="Q8" i="18"/>
  <c r="Q7" i="18"/>
  <c r="Q6" i="18"/>
  <c r="S8" i="18"/>
  <c r="P6" i="18"/>
  <c r="P11" i="18"/>
  <c r="S10" i="18"/>
  <c r="R10" i="18"/>
  <c r="S9" i="18"/>
  <c r="R9" i="18"/>
  <c r="R8" i="18"/>
  <c r="J4" i="18"/>
  <c r="AD78" i="46" l="1"/>
  <c r="V79" i="46"/>
  <c r="K80" i="46"/>
  <c r="AD79" i="46"/>
  <c r="K78" i="46"/>
  <c r="AD81" i="46"/>
  <c r="V80" i="46"/>
  <c r="V78" i="46"/>
  <c r="P78" i="46"/>
  <c r="T78" i="46"/>
  <c r="C78" i="46"/>
  <c r="U78" i="46"/>
  <c r="J78" i="46"/>
  <c r="AD80" i="46"/>
  <c r="P79" i="46"/>
  <c r="T80" i="46"/>
  <c r="T79" i="46"/>
  <c r="C80" i="46"/>
  <c r="U80" i="46"/>
  <c r="P80" i="46"/>
  <c r="C79" i="46"/>
  <c r="H79" i="46"/>
  <c r="J80" i="46"/>
  <c r="X30" i="18"/>
  <c r="X31" i="18" s="1"/>
  <c r="Y30" i="18"/>
  <c r="Y31" i="18" s="1"/>
  <c r="R15" i="18"/>
  <c r="S6" i="18"/>
  <c r="R6" i="18"/>
  <c r="S7" i="18"/>
  <c r="S12" i="18" s="1"/>
  <c r="R7" i="18"/>
  <c r="Q12" i="18"/>
  <c r="Q13" i="18" s="1"/>
  <c r="L3" i="51"/>
  <c r="M4" i="51"/>
  <c r="M3" i="51"/>
  <c r="N4" i="51"/>
  <c r="N3" i="51"/>
  <c r="O4" i="51"/>
  <c r="O3" i="51"/>
  <c r="P4" i="51"/>
  <c r="P3" i="51"/>
  <c r="AC80" i="46" l="1"/>
  <c r="N24" i="48"/>
  <c r="AC78" i="46"/>
  <c r="R12" i="18"/>
  <c r="K79" i="46"/>
  <c r="J79" i="46"/>
  <c r="R13" i="18"/>
  <c r="R21" i="18" s="1"/>
  <c r="R22" i="18" s="1"/>
  <c r="R30" i="18" s="1"/>
  <c r="R31" i="18" s="1"/>
  <c r="S13" i="18"/>
  <c r="S21" i="18" s="1"/>
  <c r="S22" i="18" s="1"/>
  <c r="S30" i="18" s="1"/>
  <c r="S31" i="18" s="1"/>
  <c r="AR76" i="55"/>
  <c r="BA76" i="55" s="1"/>
  <c r="AM76" i="55"/>
  <c r="AR75" i="55"/>
  <c r="BA75" i="55" s="1"/>
  <c r="AM75" i="55"/>
  <c r="AR74" i="55"/>
  <c r="BA74" i="55" s="1"/>
  <c r="AM74" i="55"/>
  <c r="AD74" i="55" s="1"/>
  <c r="S74" i="55"/>
  <c r="K11" i="19"/>
  <c r="K10" i="19"/>
  <c r="E38" i="47"/>
  <c r="H38" i="47" s="1"/>
  <c r="O76" i="55" s="1"/>
  <c r="E37" i="47"/>
  <c r="H37" i="47" s="1"/>
  <c r="O75" i="55" s="1"/>
  <c r="E36" i="47"/>
  <c r="E35" i="47"/>
  <c r="G35" i="47" s="1"/>
  <c r="L24" i="48" l="1"/>
  <c r="AC79" i="46"/>
  <c r="W74" i="46"/>
  <c r="W74" i="55"/>
  <c r="W75" i="46"/>
  <c r="W75" i="55"/>
  <c r="C75" i="55"/>
  <c r="K75" i="55"/>
  <c r="C76" i="55"/>
  <c r="K76" i="55"/>
  <c r="H35" i="47"/>
  <c r="AD75" i="55"/>
  <c r="G37" i="47"/>
  <c r="V76" i="55"/>
  <c r="G38" i="47"/>
  <c r="G36" i="47"/>
  <c r="X78" i="46"/>
  <c r="P76" i="55"/>
  <c r="U76" i="55"/>
  <c r="T76" i="55"/>
  <c r="O75" i="46"/>
  <c r="U75" i="55"/>
  <c r="O76" i="46"/>
  <c r="AD76" i="55"/>
  <c r="EA24" i="2"/>
  <c r="CE24" i="2"/>
  <c r="K24" i="2"/>
  <c r="AC76" i="55" l="1"/>
  <c r="O74" i="55"/>
  <c r="U74" i="55"/>
  <c r="O74" i="46"/>
  <c r="V74" i="55"/>
  <c r="T74" i="55"/>
  <c r="T75" i="55"/>
  <c r="AC75" i="55" s="1"/>
  <c r="V75" i="55"/>
  <c r="P75" i="55"/>
  <c r="S74" i="46"/>
  <c r="N76" i="46"/>
  <c r="H76" i="46" s="1"/>
  <c r="C76" i="46"/>
  <c r="W76" i="46"/>
  <c r="I38" i="19"/>
  <c r="I35" i="47" s="1"/>
  <c r="Q39" i="19"/>
  <c r="W12" i="19"/>
  <c r="W13" i="19" s="1"/>
  <c r="V11" i="19"/>
  <c r="Y10" i="19"/>
  <c r="X10" i="19"/>
  <c r="Y9" i="19"/>
  <c r="X9" i="19"/>
  <c r="X8" i="19"/>
  <c r="Y8" i="19"/>
  <c r="Y7" i="19"/>
  <c r="X7" i="19"/>
  <c r="X6" i="19"/>
  <c r="V6" i="19"/>
  <c r="Y6" i="19" s="1"/>
  <c r="AR76" i="46"/>
  <c r="BA76" i="46" s="1"/>
  <c r="AM76" i="46"/>
  <c r="AR75" i="46"/>
  <c r="BA75" i="46" s="1"/>
  <c r="AM75" i="46"/>
  <c r="N75" i="46"/>
  <c r="AR74" i="46"/>
  <c r="BA74" i="46" s="1"/>
  <c r="AM74" i="46"/>
  <c r="Z74" i="46"/>
  <c r="N74" i="46"/>
  <c r="F26" i="19"/>
  <c r="F9" i="19"/>
  <c r="Q25" i="19"/>
  <c r="P26" i="19"/>
  <c r="P30" i="19"/>
  <c r="S29" i="19"/>
  <c r="R29" i="19"/>
  <c r="S28" i="19"/>
  <c r="R28" i="19"/>
  <c r="R27" i="19"/>
  <c r="P27" i="19"/>
  <c r="S27" i="19" s="1"/>
  <c r="P25" i="19"/>
  <c r="P15" i="19"/>
  <c r="S15" i="19" s="1"/>
  <c r="P20" i="19"/>
  <c r="S19" i="19"/>
  <c r="R19" i="19"/>
  <c r="S18" i="19"/>
  <c r="R18" i="19"/>
  <c r="R17" i="19"/>
  <c r="P17" i="19"/>
  <c r="S17" i="19" s="1"/>
  <c r="R16" i="19"/>
  <c r="Q21" i="19"/>
  <c r="Q22" i="19" s="1"/>
  <c r="P16" i="19"/>
  <c r="S16" i="19" s="1"/>
  <c r="R15" i="19"/>
  <c r="Q7" i="19"/>
  <c r="Q12" i="19"/>
  <c r="Q13" i="19" s="1"/>
  <c r="P8" i="19"/>
  <c r="S8" i="19" s="1"/>
  <c r="P7" i="19"/>
  <c r="P11" i="19"/>
  <c r="S10" i="19"/>
  <c r="R10" i="19"/>
  <c r="S9" i="19"/>
  <c r="R9" i="19"/>
  <c r="R8" i="19"/>
  <c r="R6" i="19"/>
  <c r="P6" i="19"/>
  <c r="S6" i="19" s="1"/>
  <c r="J4" i="19"/>
  <c r="C74" i="55" l="1"/>
  <c r="K74" i="55"/>
  <c r="P74" i="55"/>
  <c r="S7" i="19"/>
  <c r="S12" i="19" s="1"/>
  <c r="S13" i="19" s="1"/>
  <c r="S21" i="19" s="1"/>
  <c r="S22" i="19" s="1"/>
  <c r="AD74" i="46"/>
  <c r="Q26" i="19"/>
  <c r="AY23" i="48"/>
  <c r="AD75" i="46"/>
  <c r="H74" i="46"/>
  <c r="K74" i="46" s="1"/>
  <c r="J76" i="46"/>
  <c r="K76" i="46"/>
  <c r="T76" i="46"/>
  <c r="X12" i="19"/>
  <c r="X13" i="19" s="1"/>
  <c r="Y12" i="19"/>
  <c r="Y13" i="19" s="1"/>
  <c r="AD76" i="46"/>
  <c r="C75" i="46"/>
  <c r="T75" i="46"/>
  <c r="H75" i="46"/>
  <c r="T74" i="46"/>
  <c r="C74" i="46"/>
  <c r="S25" i="19"/>
  <c r="R25" i="19"/>
  <c r="R7" i="19"/>
  <c r="R12" i="19" s="1"/>
  <c r="R13" i="19" s="1"/>
  <c r="R21" i="19" s="1"/>
  <c r="R22" i="19" s="1"/>
  <c r="AC76" i="46" l="1"/>
  <c r="X74" i="55"/>
  <c r="AC74" i="55"/>
  <c r="R26" i="19"/>
  <c r="R31" i="19" s="1"/>
  <c r="S26" i="19"/>
  <c r="S31" i="19" s="1"/>
  <c r="J74" i="46"/>
  <c r="Q31" i="19"/>
  <c r="Q32" i="19" s="1"/>
  <c r="N23" i="48"/>
  <c r="AC74" i="46"/>
  <c r="K75" i="46"/>
  <c r="J75" i="46"/>
  <c r="CE23" i="2"/>
  <c r="K23" i="2"/>
  <c r="L23" i="48" l="1"/>
  <c r="AC75" i="46"/>
  <c r="S32" i="19"/>
  <c r="R32" i="19"/>
  <c r="X74" i="46"/>
  <c r="AR72" i="55"/>
  <c r="BA72" i="55" s="1"/>
  <c r="AM72" i="55"/>
  <c r="AR71" i="55"/>
  <c r="BA71" i="55" s="1"/>
  <c r="AM71" i="55"/>
  <c r="S71" i="55"/>
  <c r="AR70" i="55"/>
  <c r="BA70" i="55" s="1"/>
  <c r="AM70" i="55"/>
  <c r="AD71" i="55" l="1"/>
  <c r="AD70" i="55"/>
  <c r="AD72" i="55"/>
  <c r="F32" i="47"/>
  <c r="E33" i="47"/>
  <c r="H33" i="47" s="1"/>
  <c r="O71" i="55" s="1"/>
  <c r="E32" i="47"/>
  <c r="K10" i="20"/>
  <c r="W71" i="55" s="1"/>
  <c r="K9" i="20"/>
  <c r="W70" i="55" s="1"/>
  <c r="C71" i="55" l="1"/>
  <c r="K71" i="55"/>
  <c r="H32" i="47"/>
  <c r="O70" i="55" s="1"/>
  <c r="O71" i="46"/>
  <c r="G32" i="47"/>
  <c r="W71" i="46"/>
  <c r="W70" i="46"/>
  <c r="G33" i="47"/>
  <c r="C70" i="55" l="1"/>
  <c r="K70" i="55"/>
  <c r="O70" i="46"/>
  <c r="U70" i="46" s="1"/>
  <c r="U71" i="55"/>
  <c r="V71" i="55"/>
  <c r="T71" i="55"/>
  <c r="AC71" i="55" s="1"/>
  <c r="P71" i="55"/>
  <c r="P70" i="55"/>
  <c r="U70" i="55"/>
  <c r="T70" i="55"/>
  <c r="V70" i="55"/>
  <c r="S71" i="46"/>
  <c r="S180" i="46" s="1"/>
  <c r="N71" i="46"/>
  <c r="H71" i="46" s="1"/>
  <c r="AR72" i="46"/>
  <c r="BA72" i="46" s="1"/>
  <c r="AM72" i="46"/>
  <c r="AR71" i="46"/>
  <c r="BA71" i="46" s="1"/>
  <c r="AM71" i="46"/>
  <c r="AR70" i="46"/>
  <c r="BA70" i="46" s="1"/>
  <c r="AM70" i="46"/>
  <c r="Z70" i="46"/>
  <c r="T70" i="46"/>
  <c r="P70" i="46"/>
  <c r="N70" i="46"/>
  <c r="I38" i="20"/>
  <c r="I32" i="47" s="1"/>
  <c r="Q39" i="20"/>
  <c r="W32" i="20"/>
  <c r="Z31" i="20"/>
  <c r="Y31" i="20"/>
  <c r="Z30" i="20"/>
  <c r="Y30" i="20"/>
  <c r="Z29" i="20"/>
  <c r="Y29" i="20"/>
  <c r="X28" i="20"/>
  <c r="Y28" i="20" s="1"/>
  <c r="W28" i="20"/>
  <c r="X27" i="20"/>
  <c r="Y27" i="20" s="1"/>
  <c r="W27" i="20"/>
  <c r="Z27" i="20" s="1"/>
  <c r="X26" i="20"/>
  <c r="W26" i="20"/>
  <c r="W13" i="20"/>
  <c r="W14" i="20" s="1"/>
  <c r="V12" i="20"/>
  <c r="Y11" i="20"/>
  <c r="X11" i="20"/>
  <c r="Y10" i="20"/>
  <c r="X10" i="20"/>
  <c r="Y9" i="20"/>
  <c r="X9" i="20"/>
  <c r="X8" i="20"/>
  <c r="Y8" i="20"/>
  <c r="X7" i="20"/>
  <c r="Y7" i="20"/>
  <c r="X6" i="20"/>
  <c r="V6" i="20"/>
  <c r="Y6" i="20" s="1"/>
  <c r="G42" i="20"/>
  <c r="I37" i="20" s="1"/>
  <c r="F42" i="20"/>
  <c r="Q28" i="20"/>
  <c r="Q27" i="20"/>
  <c r="Q26" i="20"/>
  <c r="P27" i="20"/>
  <c r="P28" i="20"/>
  <c r="P26" i="20"/>
  <c r="S26" i="20" s="1"/>
  <c r="P32" i="20"/>
  <c r="S31" i="20"/>
  <c r="R31" i="20"/>
  <c r="S30" i="20"/>
  <c r="R30" i="20"/>
  <c r="S29" i="20"/>
  <c r="R29" i="20"/>
  <c r="R26" i="20"/>
  <c r="Q18" i="20"/>
  <c r="Q17" i="20"/>
  <c r="R17" i="20" s="1"/>
  <c r="Q19" i="20"/>
  <c r="R19" i="20" s="1"/>
  <c r="P17" i="20"/>
  <c r="P18" i="20"/>
  <c r="P19" i="20"/>
  <c r="P22" i="20"/>
  <c r="S21" i="20"/>
  <c r="R21" i="20"/>
  <c r="S20" i="20"/>
  <c r="R20" i="20"/>
  <c r="R16" i="20"/>
  <c r="P16" i="20"/>
  <c r="S16" i="20" s="1"/>
  <c r="Q13" i="20"/>
  <c r="Q14" i="20" s="1"/>
  <c r="P12" i="20"/>
  <c r="S11" i="20"/>
  <c r="R11" i="20"/>
  <c r="S10" i="20"/>
  <c r="R10" i="20"/>
  <c r="S9" i="20"/>
  <c r="R9" i="20"/>
  <c r="R8" i="20"/>
  <c r="P8" i="20"/>
  <c r="S8" i="20" s="1"/>
  <c r="R7" i="20"/>
  <c r="P7" i="20"/>
  <c r="S7" i="20" s="1"/>
  <c r="R6" i="20"/>
  <c r="P6" i="20"/>
  <c r="S6" i="20" s="1"/>
  <c r="J4" i="20"/>
  <c r="X70" i="55" l="1"/>
  <c r="AC70" i="55"/>
  <c r="AY22" i="48"/>
  <c r="V70" i="46"/>
  <c r="S19" i="20"/>
  <c r="H70" i="46"/>
  <c r="AD70" i="46"/>
  <c r="Q23" i="20"/>
  <c r="Q24" i="20" s="1"/>
  <c r="S17" i="20"/>
  <c r="Z26" i="20"/>
  <c r="S27" i="20"/>
  <c r="S28" i="20"/>
  <c r="C70" i="46"/>
  <c r="K70" i="46"/>
  <c r="AD72" i="46"/>
  <c r="AD71" i="46"/>
  <c r="V71" i="46"/>
  <c r="J71" i="46"/>
  <c r="K71" i="46"/>
  <c r="U71" i="46"/>
  <c r="C71" i="46"/>
  <c r="T71" i="46"/>
  <c r="P71" i="46"/>
  <c r="J70" i="46"/>
  <c r="X33" i="20"/>
  <c r="X34" i="20" s="1"/>
  <c r="Z28" i="20"/>
  <c r="Z33" i="20" s="1"/>
  <c r="Y26" i="20"/>
  <c r="Y33" i="20" s="1"/>
  <c r="X13" i="20"/>
  <c r="X14" i="20" s="1"/>
  <c r="Y13" i="20"/>
  <c r="Y14" i="20" s="1"/>
  <c r="R28" i="20"/>
  <c r="R27" i="20"/>
  <c r="Q33" i="20"/>
  <c r="Q34" i="20" s="1"/>
  <c r="S18" i="20"/>
  <c r="R18" i="20"/>
  <c r="R23" i="20" s="1"/>
  <c r="S13" i="20"/>
  <c r="S14" i="20" s="1"/>
  <c r="R13" i="20"/>
  <c r="R14" i="20" s="1"/>
  <c r="AR68" i="55"/>
  <c r="BA68" i="55" s="1"/>
  <c r="AM68" i="55"/>
  <c r="AR67" i="55"/>
  <c r="BA67" i="55" s="1"/>
  <c r="AM67" i="55"/>
  <c r="AR66" i="55"/>
  <c r="BA66" i="55" s="1"/>
  <c r="AM66" i="55"/>
  <c r="E30" i="47"/>
  <c r="AC71" i="46" l="1"/>
  <c r="R24" i="20"/>
  <c r="S23" i="20"/>
  <c r="S24" i="20" s="1"/>
  <c r="Y34" i="20"/>
  <c r="S33" i="20"/>
  <c r="S34" i="20" s="1"/>
  <c r="R33" i="20"/>
  <c r="R34" i="20" s="1"/>
  <c r="Z34" i="20"/>
  <c r="AD68" i="55"/>
  <c r="G30" i="47"/>
  <c r="H30" i="47"/>
  <c r="O66" i="55" s="1"/>
  <c r="X70" i="46"/>
  <c r="N22" i="48"/>
  <c r="AC70" i="46"/>
  <c r="L22" i="48"/>
  <c r="AD66" i="55"/>
  <c r="AD67" i="55"/>
  <c r="C66" i="55" l="1"/>
  <c r="K66" i="55"/>
  <c r="O66" i="46"/>
  <c r="AY21" i="48" l="1"/>
  <c r="U66" i="55"/>
  <c r="V66" i="55"/>
  <c r="P66" i="55"/>
  <c r="T66" i="55"/>
  <c r="AC66" i="55" s="1"/>
  <c r="CE22" i="2" l="1"/>
  <c r="K22" i="2"/>
  <c r="AR68" i="46" l="1"/>
  <c r="BA68" i="46" s="1"/>
  <c r="AM68" i="46"/>
  <c r="AR67" i="46"/>
  <c r="BA67" i="46" s="1"/>
  <c r="AM67" i="46"/>
  <c r="AR66" i="46"/>
  <c r="BA66" i="46" s="1"/>
  <c r="AM66" i="46"/>
  <c r="Z66" i="46"/>
  <c r="C66" i="46"/>
  <c r="N21" i="48" s="1"/>
  <c r="N66" i="46"/>
  <c r="V66" i="46" s="1"/>
  <c r="I38" i="22"/>
  <c r="I30" i="47" s="1"/>
  <c r="Q28" i="22"/>
  <c r="R28" i="22" s="1"/>
  <c r="Q27" i="22"/>
  <c r="R27" i="22" s="1"/>
  <c r="Q26" i="22"/>
  <c r="R26" i="22" s="1"/>
  <c r="Q30" i="22"/>
  <c r="R30" i="22" s="1"/>
  <c r="P30" i="22"/>
  <c r="P29" i="22"/>
  <c r="P28" i="22"/>
  <c r="P34" i="22"/>
  <c r="P32" i="22"/>
  <c r="S31" i="22"/>
  <c r="R31" i="22"/>
  <c r="P27" i="22"/>
  <c r="P26" i="22"/>
  <c r="Q19" i="22"/>
  <c r="Q18" i="22"/>
  <c r="R18" i="22" s="1"/>
  <c r="Q17" i="22"/>
  <c r="R17" i="22" s="1"/>
  <c r="P17" i="22"/>
  <c r="S17" i="22" s="1"/>
  <c r="P18" i="22"/>
  <c r="S18" i="22" s="1"/>
  <c r="P19" i="22"/>
  <c r="P24" i="22"/>
  <c r="P22" i="22"/>
  <c r="S21" i="22"/>
  <c r="R21" i="22"/>
  <c r="S20" i="22"/>
  <c r="R20" i="22"/>
  <c r="R16" i="22"/>
  <c r="P16" i="22"/>
  <c r="S16" i="22" s="1"/>
  <c r="Q8" i="22"/>
  <c r="Q7" i="22"/>
  <c r="R7" i="22" s="1"/>
  <c r="Q6" i="22"/>
  <c r="R6" i="22" s="1"/>
  <c r="P8" i="22"/>
  <c r="P7" i="22"/>
  <c r="P6" i="22"/>
  <c r="P14" i="22"/>
  <c r="P12" i="22"/>
  <c r="S11" i="22"/>
  <c r="R11" i="22"/>
  <c r="S10" i="22"/>
  <c r="R10" i="22"/>
  <c r="S9" i="22"/>
  <c r="R9" i="22"/>
  <c r="J4" i="22"/>
  <c r="S28" i="22" l="1"/>
  <c r="AD68" i="46"/>
  <c r="AD67" i="46"/>
  <c r="S19" i="22"/>
  <c r="S23" i="22" s="1"/>
  <c r="S27" i="22"/>
  <c r="Q23" i="22"/>
  <c r="Q24" i="22" s="1"/>
  <c r="Q29" i="22"/>
  <c r="R29" i="22" s="1"/>
  <c r="R33" i="22" s="1"/>
  <c r="S26" i="22"/>
  <c r="R19" i="22"/>
  <c r="R23" i="22" s="1"/>
  <c r="S6" i="22"/>
  <c r="S7" i="22"/>
  <c r="AD66" i="46"/>
  <c r="U66" i="46"/>
  <c r="P66" i="46"/>
  <c r="T66" i="46"/>
  <c r="H66" i="46"/>
  <c r="S30" i="22"/>
  <c r="S8" i="22"/>
  <c r="Q13" i="22"/>
  <c r="Q14" i="22" s="1"/>
  <c r="R8" i="22"/>
  <c r="R13" i="22" s="1"/>
  <c r="AR64" i="55"/>
  <c r="BA64" i="55" s="1"/>
  <c r="AM64" i="55"/>
  <c r="AR63" i="55"/>
  <c r="BA63" i="55" s="1"/>
  <c r="AM63" i="55"/>
  <c r="AR62" i="55"/>
  <c r="BA62" i="55" s="1"/>
  <c r="AM62" i="55"/>
  <c r="AR61" i="55"/>
  <c r="BA61" i="55" s="1"/>
  <c r="AM61" i="55"/>
  <c r="AR59" i="55"/>
  <c r="BA59" i="55" s="1"/>
  <c r="AM59" i="55"/>
  <c r="AR58" i="55"/>
  <c r="BA58" i="55" s="1"/>
  <c r="AM58" i="55"/>
  <c r="AR57" i="55"/>
  <c r="BA57" i="55" s="1"/>
  <c r="AM57" i="55"/>
  <c r="E28" i="47"/>
  <c r="E26" i="47"/>
  <c r="C23" i="23"/>
  <c r="C14" i="23"/>
  <c r="R24" i="22" l="1"/>
  <c r="AD63" i="55"/>
  <c r="H26" i="47"/>
  <c r="O57" i="55" s="1"/>
  <c r="G28" i="47"/>
  <c r="H28" i="47"/>
  <c r="O61" i="55" s="1"/>
  <c r="G26" i="47"/>
  <c r="AD61" i="55"/>
  <c r="Q33" i="22"/>
  <c r="Q34" i="22" s="1"/>
  <c r="AD57" i="55"/>
  <c r="AD58" i="55"/>
  <c r="R14" i="22"/>
  <c r="AD62" i="55"/>
  <c r="AD59" i="55"/>
  <c r="S13" i="22"/>
  <c r="S14" i="22" s="1"/>
  <c r="AD64" i="55"/>
  <c r="S24" i="22"/>
  <c r="S29" i="22"/>
  <c r="S33" i="22" s="1"/>
  <c r="K66" i="46"/>
  <c r="L21" i="48" s="1"/>
  <c r="J66" i="46"/>
  <c r="CE21" i="2"/>
  <c r="CE20" i="2"/>
  <c r="K21" i="2"/>
  <c r="K20" i="2"/>
  <c r="C61" i="55" l="1"/>
  <c r="K61" i="55"/>
  <c r="C57" i="55"/>
  <c r="K57" i="55"/>
  <c r="O57" i="46"/>
  <c r="P57" i="55"/>
  <c r="O61" i="46"/>
  <c r="T57" i="55"/>
  <c r="R34" i="22"/>
  <c r="S34" i="22"/>
  <c r="AC66" i="46"/>
  <c r="I38" i="21"/>
  <c r="I28" i="47" s="1"/>
  <c r="G42" i="21"/>
  <c r="I37" i="21" s="1"/>
  <c r="F42" i="21"/>
  <c r="N38" i="21"/>
  <c r="Q28" i="21"/>
  <c r="R28" i="21" s="1"/>
  <c r="Q27" i="21"/>
  <c r="P28" i="21"/>
  <c r="P26" i="21"/>
  <c r="S26" i="21" s="1"/>
  <c r="P34" i="21"/>
  <c r="P32" i="21"/>
  <c r="S31" i="21"/>
  <c r="R31" i="21"/>
  <c r="S30" i="21"/>
  <c r="R30" i="21"/>
  <c r="S29" i="21"/>
  <c r="R29" i="21"/>
  <c r="P27" i="21"/>
  <c r="F26" i="23"/>
  <c r="F9" i="23"/>
  <c r="I38" i="23"/>
  <c r="I26" i="47" s="1"/>
  <c r="F28" i="21"/>
  <c r="J4" i="21"/>
  <c r="AC57" i="55" l="1"/>
  <c r="U57" i="55"/>
  <c r="AY19" i="48"/>
  <c r="V57" i="55"/>
  <c r="T61" i="55"/>
  <c r="AC61" i="55" s="1"/>
  <c r="P61" i="55"/>
  <c r="V61" i="55"/>
  <c r="U61" i="55"/>
  <c r="S28" i="21"/>
  <c r="R27" i="21"/>
  <c r="S27" i="21"/>
  <c r="Q33" i="21"/>
  <c r="Q34" i="21" s="1"/>
  <c r="R26" i="21"/>
  <c r="R33" i="21" s="1"/>
  <c r="S33" i="21" l="1"/>
  <c r="S34" i="21" s="1"/>
  <c r="AY20" i="48"/>
  <c r="R34" i="21"/>
  <c r="AR64" i="46" l="1"/>
  <c r="BA64" i="46" s="1"/>
  <c r="AM64" i="46"/>
  <c r="AR63" i="46"/>
  <c r="BA63" i="46" s="1"/>
  <c r="AM63" i="46"/>
  <c r="AR62" i="46"/>
  <c r="BA62" i="46" s="1"/>
  <c r="AM62" i="46"/>
  <c r="AR61" i="46"/>
  <c r="BA61" i="46" s="1"/>
  <c r="AM61" i="46"/>
  <c r="Z61" i="46"/>
  <c r="T61" i="46"/>
  <c r="N61" i="46"/>
  <c r="H61" i="46" s="1"/>
  <c r="J61" i="46" s="1"/>
  <c r="C61" i="46"/>
  <c r="N20" i="48" s="1"/>
  <c r="AR59" i="46"/>
  <c r="BA59" i="46" s="1"/>
  <c r="AM59" i="46"/>
  <c r="AR58" i="46"/>
  <c r="BA58" i="46" s="1"/>
  <c r="AM58" i="46"/>
  <c r="AR57" i="46"/>
  <c r="BA57" i="46" s="1"/>
  <c r="AM57" i="46"/>
  <c r="Z57" i="46"/>
  <c r="U57" i="46"/>
  <c r="T57" i="46"/>
  <c r="P57" i="46"/>
  <c r="N57" i="46"/>
  <c r="V57" i="46" s="1"/>
  <c r="C57" i="46"/>
  <c r="N19" i="48" s="1"/>
  <c r="N39" i="21"/>
  <c r="Q16" i="21"/>
  <c r="R16" i="21" s="1"/>
  <c r="P17" i="21"/>
  <c r="P24" i="21"/>
  <c r="P22" i="21"/>
  <c r="S21" i="21"/>
  <c r="R21" i="21"/>
  <c r="S20" i="21"/>
  <c r="R20" i="21"/>
  <c r="S19" i="21"/>
  <c r="R19" i="21"/>
  <c r="S18" i="21"/>
  <c r="R18" i="21"/>
  <c r="P16" i="21"/>
  <c r="Q7" i="21"/>
  <c r="P14" i="21"/>
  <c r="Q6" i="21"/>
  <c r="R6" i="21" s="1"/>
  <c r="P7" i="21"/>
  <c r="P12" i="21"/>
  <c r="S11" i="21"/>
  <c r="R11" i="21"/>
  <c r="S10" i="21"/>
  <c r="R10" i="21"/>
  <c r="S9" i="21"/>
  <c r="R9" i="21"/>
  <c r="S8" i="21"/>
  <c r="R8" i="21"/>
  <c r="P6" i="21"/>
  <c r="Q13" i="21" l="1"/>
  <c r="Q14" i="21" s="1"/>
  <c r="S6" i="21"/>
  <c r="AD61" i="46"/>
  <c r="Q17" i="21"/>
  <c r="R17" i="21" s="1"/>
  <c r="R23" i="21" s="1"/>
  <c r="AD64" i="46"/>
  <c r="R7" i="21"/>
  <c r="R13" i="21" s="1"/>
  <c r="R14" i="21" s="1"/>
  <c r="U61" i="46"/>
  <c r="AD62" i="46"/>
  <c r="AD57" i="46"/>
  <c r="AD58" i="46"/>
  <c r="AD63" i="46"/>
  <c r="S7" i="21"/>
  <c r="AD59" i="46"/>
  <c r="V61" i="46"/>
  <c r="K61" i="46"/>
  <c r="P61" i="46"/>
  <c r="H57" i="46"/>
  <c r="S16" i="21"/>
  <c r="Q23" i="21"/>
  <c r="Q24" i="21" s="1"/>
  <c r="G42" i="23"/>
  <c r="F42" i="23"/>
  <c r="Q33" i="23"/>
  <c r="Q34" i="23" s="1"/>
  <c r="P32" i="23"/>
  <c r="S31" i="23"/>
  <c r="R31" i="23"/>
  <c r="S30" i="23"/>
  <c r="R30" i="23"/>
  <c r="S29" i="23"/>
  <c r="R29" i="23"/>
  <c r="S28" i="23"/>
  <c r="R28" i="23"/>
  <c r="S27" i="23"/>
  <c r="R27" i="23"/>
  <c r="R26" i="23"/>
  <c r="P26" i="23"/>
  <c r="S26" i="23" s="1"/>
  <c r="P16" i="23"/>
  <c r="S16" i="23" s="1"/>
  <c r="Q23" i="23"/>
  <c r="Q24" i="23" s="1"/>
  <c r="P22" i="23"/>
  <c r="S21" i="23"/>
  <c r="R21" i="23"/>
  <c r="S20" i="23"/>
  <c r="R20" i="23"/>
  <c r="R19" i="23"/>
  <c r="S19" i="23"/>
  <c r="S18" i="23"/>
  <c r="R18" i="23"/>
  <c r="R17" i="23"/>
  <c r="S17" i="23"/>
  <c r="R16" i="23"/>
  <c r="Q9" i="23"/>
  <c r="R9" i="23" s="1"/>
  <c r="Q8" i="23"/>
  <c r="Q7" i="23"/>
  <c r="Q6" i="23"/>
  <c r="R6" i="23" s="1"/>
  <c r="P9" i="23"/>
  <c r="P8" i="23"/>
  <c r="P7" i="23"/>
  <c r="P6" i="23"/>
  <c r="P12" i="23"/>
  <c r="S11" i="23"/>
  <c r="R11" i="23"/>
  <c r="S10" i="23"/>
  <c r="R10" i="23"/>
  <c r="J4" i="23"/>
  <c r="S17" i="21" l="1"/>
  <c r="S13" i="21"/>
  <c r="S14" i="21" s="1"/>
  <c r="S6" i="23"/>
  <c r="S23" i="21"/>
  <c r="R33" i="23"/>
  <c r="R34" i="23" s="1"/>
  <c r="S33" i="23"/>
  <c r="S34" i="23" s="1"/>
  <c r="S7" i="23"/>
  <c r="AC61" i="46"/>
  <c r="L20" i="48"/>
  <c r="K57" i="46"/>
  <c r="J57" i="46"/>
  <c r="R24" i="21"/>
  <c r="S24" i="21"/>
  <c r="R23" i="23"/>
  <c r="R24" i="23" s="1"/>
  <c r="S23" i="23"/>
  <c r="S24" i="23" s="1"/>
  <c r="S9" i="23"/>
  <c r="R8" i="23"/>
  <c r="S8" i="23"/>
  <c r="R7" i="23"/>
  <c r="Q13" i="23"/>
  <c r="Q14" i="23" s="1"/>
  <c r="AR55" i="55"/>
  <c r="BA55" i="55" s="1"/>
  <c r="AM55" i="55"/>
  <c r="AR54" i="55"/>
  <c r="BA54" i="55" s="1"/>
  <c r="AM54" i="55"/>
  <c r="AR53" i="55"/>
  <c r="BA53" i="55" s="1"/>
  <c r="AM53" i="55"/>
  <c r="AR52" i="55"/>
  <c r="BA52" i="55" s="1"/>
  <c r="AM52" i="55"/>
  <c r="S13" i="23" l="1"/>
  <c r="S14" i="23" s="1"/>
  <c r="AD53" i="55"/>
  <c r="AD52" i="55"/>
  <c r="L19" i="48"/>
  <c r="AD55" i="55"/>
  <c r="AD54" i="55"/>
  <c r="R13" i="23"/>
  <c r="R14" i="23" s="1"/>
  <c r="AC57" i="46"/>
  <c r="K9" i="24" l="1"/>
  <c r="W52" i="55" s="1"/>
  <c r="K8" i="24"/>
  <c r="W53" i="55" s="1"/>
  <c r="E24" i="47"/>
  <c r="H24" i="47" s="1"/>
  <c r="O52" i="55" s="1"/>
  <c r="E23" i="47"/>
  <c r="H23" i="47" s="1"/>
  <c r="C52" i="55" l="1"/>
  <c r="K52" i="55"/>
  <c r="O52" i="46"/>
  <c r="G24" i="47"/>
  <c r="W52" i="46"/>
  <c r="W53" i="46"/>
  <c r="G23" i="47"/>
  <c r="X52" i="55" l="1"/>
  <c r="K4" i="51"/>
  <c r="K3" i="51"/>
  <c r="P52" i="55" l="1"/>
  <c r="V52" i="55"/>
  <c r="T52" i="55"/>
  <c r="AC52" i="55" s="1"/>
  <c r="U52" i="55"/>
  <c r="CE19" i="2"/>
  <c r="K19" i="2"/>
  <c r="AY18" i="48" l="1"/>
  <c r="U52" i="46"/>
  <c r="N52" i="46"/>
  <c r="V52" i="46" s="1"/>
  <c r="AR55" i="46"/>
  <c r="BA55" i="46" s="1"/>
  <c r="AM55" i="46"/>
  <c r="AR54" i="46"/>
  <c r="BA54" i="46" s="1"/>
  <c r="AM54" i="46"/>
  <c r="AR53" i="46"/>
  <c r="BA53" i="46" s="1"/>
  <c r="AM53" i="46"/>
  <c r="AR52" i="46"/>
  <c r="BA52" i="46" s="1"/>
  <c r="AM52" i="46"/>
  <c r="Z52" i="46"/>
  <c r="F17" i="24"/>
  <c r="I38" i="24"/>
  <c r="I23" i="47" s="1"/>
  <c r="G42" i="24"/>
  <c r="I37" i="24" s="1"/>
  <c r="F42" i="24"/>
  <c r="N41" i="24"/>
  <c r="P34" i="24"/>
  <c r="Q33" i="24"/>
  <c r="Q34" i="24" s="1"/>
  <c r="P32" i="24"/>
  <c r="S31" i="24"/>
  <c r="R31" i="24"/>
  <c r="S30" i="24"/>
  <c r="R30" i="24"/>
  <c r="R29" i="24"/>
  <c r="P29" i="24"/>
  <c r="S29" i="24" s="1"/>
  <c r="R28" i="24"/>
  <c r="P28" i="24"/>
  <c r="S28" i="24" s="1"/>
  <c r="R27" i="24"/>
  <c r="P27" i="24"/>
  <c r="S27" i="24" s="1"/>
  <c r="R26" i="24"/>
  <c r="P26" i="24"/>
  <c r="S26" i="24" s="1"/>
  <c r="P24" i="24"/>
  <c r="Q17" i="24"/>
  <c r="P17" i="24"/>
  <c r="Q16" i="24"/>
  <c r="R16" i="24" s="1"/>
  <c r="P16" i="24"/>
  <c r="P22" i="24"/>
  <c r="S21" i="24"/>
  <c r="R21" i="24"/>
  <c r="S20" i="24"/>
  <c r="R20" i="24"/>
  <c r="R19" i="24"/>
  <c r="P19" i="24"/>
  <c r="S19" i="24" s="1"/>
  <c r="P18" i="24"/>
  <c r="Q9" i="24"/>
  <c r="R9" i="24" s="1"/>
  <c r="Q7" i="24"/>
  <c r="R7" i="24" s="1"/>
  <c r="P9" i="24"/>
  <c r="P8" i="24"/>
  <c r="P7" i="24"/>
  <c r="P6" i="24"/>
  <c r="S6" i="24" s="1"/>
  <c r="P12" i="24"/>
  <c r="S11" i="24"/>
  <c r="R11" i="24"/>
  <c r="S10" i="24"/>
  <c r="R10" i="24"/>
  <c r="R6" i="24"/>
  <c r="J4" i="24"/>
  <c r="S9" i="24" l="1"/>
  <c r="Q8" i="24"/>
  <c r="R8" i="24" s="1"/>
  <c r="R13" i="24" s="1"/>
  <c r="S16" i="24"/>
  <c r="R33" i="24"/>
  <c r="R34" i="24" s="1"/>
  <c r="AD55" i="46"/>
  <c r="AD52" i="46"/>
  <c r="AD53" i="46"/>
  <c r="AD54" i="46"/>
  <c r="P52" i="46"/>
  <c r="T52" i="46"/>
  <c r="C52" i="46"/>
  <c r="N18" i="48" s="1"/>
  <c r="H52" i="46"/>
  <c r="S33" i="24"/>
  <c r="S34" i="24" s="1"/>
  <c r="S17" i="24"/>
  <c r="R17" i="24"/>
  <c r="S7" i="24"/>
  <c r="J4" i="51"/>
  <c r="J3" i="51"/>
  <c r="Q13" i="24" l="1"/>
  <c r="Q14" i="24" s="1"/>
  <c r="S8" i="24"/>
  <c r="S13" i="24" s="1"/>
  <c r="AA52" i="46"/>
  <c r="AA52" i="55"/>
  <c r="AB52" i="55" s="1"/>
  <c r="K52" i="46"/>
  <c r="L18" i="48" s="1"/>
  <c r="J52" i="46"/>
  <c r="R18" i="24"/>
  <c r="R23" i="24" s="1"/>
  <c r="S18" i="24"/>
  <c r="S23" i="24" s="1"/>
  <c r="Q23" i="24"/>
  <c r="Q24" i="24" s="1"/>
  <c r="J8" i="24"/>
  <c r="R14" i="24" l="1"/>
  <c r="S14" i="24"/>
  <c r="AC52" i="46"/>
  <c r="AB52" i="46" s="1"/>
  <c r="X52" i="46"/>
  <c r="S24" i="24"/>
  <c r="R24" i="24"/>
  <c r="KV37" i="1"/>
  <c r="KV36" i="1"/>
  <c r="KV35" i="1"/>
  <c r="KV33" i="1"/>
  <c r="KV32" i="1"/>
  <c r="KV31" i="1"/>
  <c r="KV30" i="1"/>
  <c r="KV29" i="1"/>
  <c r="KV28" i="1"/>
  <c r="KV27" i="1"/>
  <c r="KV26" i="1"/>
  <c r="KV25" i="1"/>
  <c r="KV24" i="1"/>
  <c r="KV22" i="1"/>
  <c r="KV21" i="1"/>
  <c r="KV19" i="1"/>
  <c r="KV17" i="1"/>
  <c r="KV16" i="1"/>
  <c r="KV15" i="1"/>
  <c r="KV14" i="1"/>
  <c r="KV13" i="1"/>
  <c r="KV12" i="1"/>
  <c r="KV11" i="1"/>
  <c r="KV10" i="1"/>
  <c r="KV18" i="1"/>
  <c r="G21" i="47" l="1"/>
  <c r="E21" i="47"/>
  <c r="CE18" i="2"/>
  <c r="K18" i="2"/>
  <c r="H21" i="47" l="1"/>
  <c r="O47" i="55" s="1"/>
  <c r="E20" i="47"/>
  <c r="H20" i="47" s="1"/>
  <c r="O46" i="55" s="1"/>
  <c r="K8" i="25"/>
  <c r="W46" i="55" s="1"/>
  <c r="J9" i="30"/>
  <c r="J9" i="29" s="1"/>
  <c r="J8" i="32"/>
  <c r="J9" i="32"/>
  <c r="J10" i="32"/>
  <c r="J11" i="32"/>
  <c r="J12" i="32"/>
  <c r="J13" i="32"/>
  <c r="J14" i="32"/>
  <c r="J15" i="32"/>
  <c r="J16" i="32"/>
  <c r="J17" i="32"/>
  <c r="J18" i="32"/>
  <c r="J19" i="32"/>
  <c r="J20" i="32"/>
  <c r="J21" i="32"/>
  <c r="J22" i="32"/>
  <c r="J23" i="32"/>
  <c r="J24" i="32"/>
  <c r="J25" i="32"/>
  <c r="J26" i="32"/>
  <c r="J27" i="32"/>
  <c r="J28" i="32"/>
  <c r="J29" i="32"/>
  <c r="J30" i="32"/>
  <c r="J31" i="32"/>
  <c r="J32" i="32"/>
  <c r="C46" i="55" l="1"/>
  <c r="K46" i="55"/>
  <c r="T46" i="55"/>
  <c r="P46" i="55"/>
  <c r="U46" i="55"/>
  <c r="AA46" i="55" s="1"/>
  <c r="V46" i="55"/>
  <c r="C47" i="55"/>
  <c r="K47" i="55"/>
  <c r="AC47" i="55" s="1"/>
  <c r="U47" i="55"/>
  <c r="V47" i="55"/>
  <c r="P47" i="55"/>
  <c r="T47" i="55"/>
  <c r="O47" i="46"/>
  <c r="P47" i="46" s="1"/>
  <c r="O46" i="46"/>
  <c r="T46" i="46" s="1"/>
  <c r="W46" i="46"/>
  <c r="G20" i="47"/>
  <c r="AR50" i="46"/>
  <c r="BA50" i="46" s="1"/>
  <c r="AM50" i="46"/>
  <c r="R46" i="46"/>
  <c r="N47" i="46"/>
  <c r="H47" i="46" s="1"/>
  <c r="J47" i="46" s="1"/>
  <c r="AR49" i="46"/>
  <c r="BA49" i="46" s="1"/>
  <c r="AM49" i="46"/>
  <c r="AR48" i="46"/>
  <c r="BA48" i="46" s="1"/>
  <c r="AM48" i="46"/>
  <c r="AR47" i="46"/>
  <c r="BA47" i="46" s="1"/>
  <c r="AM47" i="46"/>
  <c r="AR46" i="46"/>
  <c r="BA46" i="46" s="1"/>
  <c r="AM46" i="46"/>
  <c r="Z46" i="46"/>
  <c r="N46" i="46"/>
  <c r="H46" i="46" s="1"/>
  <c r="J46" i="46" s="1"/>
  <c r="I38" i="25"/>
  <c r="I20" i="47" s="1"/>
  <c r="Q37" i="25"/>
  <c r="Y12" i="25"/>
  <c r="X12" i="25"/>
  <c r="Y11" i="25"/>
  <c r="X11" i="25"/>
  <c r="Y10" i="25"/>
  <c r="X10" i="25"/>
  <c r="X9" i="25"/>
  <c r="Y9" i="25"/>
  <c r="Y8" i="25"/>
  <c r="X8" i="25"/>
  <c r="X7" i="25"/>
  <c r="Y7" i="25"/>
  <c r="W6" i="25"/>
  <c r="X6" i="25" s="1"/>
  <c r="V6" i="25"/>
  <c r="G42" i="25"/>
  <c r="I37" i="25" s="1"/>
  <c r="F42" i="25"/>
  <c r="N42" i="25"/>
  <c r="Q27" i="25"/>
  <c r="Q28" i="25"/>
  <c r="AC46" i="55" l="1"/>
  <c r="AB46" i="55" s="1"/>
  <c r="X46" i="55"/>
  <c r="AD50" i="46"/>
  <c r="C46" i="46"/>
  <c r="U46" i="46"/>
  <c r="X16" i="25"/>
  <c r="AD46" i="46"/>
  <c r="Y6" i="25"/>
  <c r="Y16" i="25" s="1"/>
  <c r="W16" i="25"/>
  <c r="W17" i="25" s="1"/>
  <c r="P46" i="46"/>
  <c r="K46" i="46"/>
  <c r="AC46" i="46" s="1"/>
  <c r="V46" i="46"/>
  <c r="AD49" i="46"/>
  <c r="AD48" i="46"/>
  <c r="AD47" i="46"/>
  <c r="V47" i="46"/>
  <c r="U47" i="46"/>
  <c r="C47" i="46"/>
  <c r="T47" i="46"/>
  <c r="K47" i="46"/>
  <c r="AC47" i="46" s="1"/>
  <c r="AA46" i="46" l="1"/>
  <c r="N17" i="48"/>
  <c r="X17" i="25"/>
  <c r="Y17" i="25"/>
  <c r="X46" i="46"/>
  <c r="AY17" i="48"/>
  <c r="L17" i="48"/>
  <c r="AB46" i="46"/>
  <c r="Q26" i="25" l="1"/>
  <c r="Q25" i="25"/>
  <c r="P26" i="25"/>
  <c r="P27" i="25"/>
  <c r="S27" i="25" s="1"/>
  <c r="P28" i="25"/>
  <c r="S28" i="25" s="1"/>
  <c r="P31" i="25"/>
  <c r="S30" i="25"/>
  <c r="R30" i="25"/>
  <c r="S29" i="25"/>
  <c r="R29" i="25"/>
  <c r="R28" i="25"/>
  <c r="R27" i="25"/>
  <c r="R26" i="25"/>
  <c r="P25" i="25"/>
  <c r="S25" i="25" s="1"/>
  <c r="Q17" i="25"/>
  <c r="P17" i="25"/>
  <c r="Q15" i="25"/>
  <c r="Q16" i="25"/>
  <c r="P15" i="25"/>
  <c r="P21" i="25"/>
  <c r="S20" i="25"/>
  <c r="R20" i="25"/>
  <c r="S19" i="25"/>
  <c r="R19" i="25"/>
  <c r="R18" i="25"/>
  <c r="P18" i="25"/>
  <c r="S18" i="25" s="1"/>
  <c r="R16" i="25"/>
  <c r="P16" i="25"/>
  <c r="S16" i="25" s="1"/>
  <c r="Q6" i="25"/>
  <c r="Q13" i="25" s="1"/>
  <c r="Q14" i="25" s="1"/>
  <c r="P6" i="25"/>
  <c r="P12" i="25"/>
  <c r="S11" i="25"/>
  <c r="R11" i="25"/>
  <c r="S10" i="25"/>
  <c r="R10" i="25"/>
  <c r="R9" i="25"/>
  <c r="P9" i="25"/>
  <c r="S9" i="25" s="1"/>
  <c r="R8" i="25"/>
  <c r="P8" i="25"/>
  <c r="S8" i="25" s="1"/>
  <c r="R7" i="25"/>
  <c r="P7" i="25"/>
  <c r="S7" i="25" s="1"/>
  <c r="S26" i="25" l="1"/>
  <c r="S32" i="25" s="1"/>
  <c r="Q32" i="25"/>
  <c r="Q33" i="25" s="1"/>
  <c r="Q22" i="25"/>
  <c r="Q23" i="25" s="1"/>
  <c r="S6" i="25"/>
  <c r="S13" i="25" s="1"/>
  <c r="S14" i="25" s="1"/>
  <c r="R6" i="25"/>
  <c r="R13" i="25" s="1"/>
  <c r="R14" i="25" s="1"/>
  <c r="R25" i="25"/>
  <c r="R32" i="25" s="1"/>
  <c r="R33" i="25" s="1"/>
  <c r="R17" i="25"/>
  <c r="S17" i="25"/>
  <c r="S15" i="25"/>
  <c r="R15" i="25"/>
  <c r="S33" i="25" l="1"/>
  <c r="S22" i="25"/>
  <c r="S23" i="25" s="1"/>
  <c r="R22" i="25"/>
  <c r="R23" i="25" s="1"/>
  <c r="F18" i="25"/>
  <c r="J4" i="25"/>
  <c r="CE17" i="2" l="1"/>
  <c r="K17" i="2"/>
  <c r="AU44" i="55" l="1"/>
  <c r="AR44" i="55"/>
  <c r="AM44" i="55"/>
  <c r="AR43" i="55"/>
  <c r="BA43" i="55" s="1"/>
  <c r="AM43" i="55"/>
  <c r="AR42" i="55"/>
  <c r="BA42" i="55" s="1"/>
  <c r="AM42" i="55"/>
  <c r="AD42" i="55" s="1"/>
  <c r="AR41" i="55"/>
  <c r="BA41" i="55" s="1"/>
  <c r="AM41" i="55"/>
  <c r="R41" i="55"/>
  <c r="Q41" i="55"/>
  <c r="I18" i="47"/>
  <c r="E18" i="47"/>
  <c r="H18" i="47" s="1"/>
  <c r="O41" i="55" s="1"/>
  <c r="AR44" i="46"/>
  <c r="BA44" i="46" s="1"/>
  <c r="AM44" i="46"/>
  <c r="AR43" i="46"/>
  <c r="BA43" i="46" s="1"/>
  <c r="AM43" i="46"/>
  <c r="AR42" i="46"/>
  <c r="BA42" i="46" s="1"/>
  <c r="AM42" i="46"/>
  <c r="AD42" i="46" s="1"/>
  <c r="AR41" i="46"/>
  <c r="BA41" i="46" s="1"/>
  <c r="AM41" i="46"/>
  <c r="Z41" i="46"/>
  <c r="N41" i="46"/>
  <c r="H41" i="46" s="1"/>
  <c r="F23" i="26"/>
  <c r="F14" i="26"/>
  <c r="C41" i="55" l="1"/>
  <c r="K41" i="55"/>
  <c r="BA44" i="55"/>
  <c r="AY16" i="48"/>
  <c r="AD41" i="46"/>
  <c r="AD43" i="55"/>
  <c r="P41" i="55"/>
  <c r="T41" i="55"/>
  <c r="O41" i="46"/>
  <c r="V41" i="46" s="1"/>
  <c r="AD43" i="46"/>
  <c r="AD41" i="55"/>
  <c r="AD44" i="46"/>
  <c r="U41" i="55"/>
  <c r="AA41" i="55" s="1"/>
  <c r="AD44" i="55"/>
  <c r="V41" i="55"/>
  <c r="G18" i="47"/>
  <c r="J41" i="46"/>
  <c r="AU39" i="55"/>
  <c r="AR39" i="55"/>
  <c r="AM39" i="55"/>
  <c r="AR38" i="55"/>
  <c r="BA38" i="55" s="1"/>
  <c r="AM38" i="55"/>
  <c r="AR37" i="55"/>
  <c r="BA37" i="55" s="1"/>
  <c r="AM37" i="55"/>
  <c r="AR36" i="55"/>
  <c r="BA36" i="55" s="1"/>
  <c r="AM36" i="55"/>
  <c r="R36" i="55"/>
  <c r="Q36" i="55"/>
  <c r="I16" i="47"/>
  <c r="E16" i="47"/>
  <c r="G16" i="47" s="1"/>
  <c r="AR39" i="46"/>
  <c r="BA39" i="46" s="1"/>
  <c r="AM39" i="46"/>
  <c r="AR38" i="46"/>
  <c r="BA38" i="46" s="1"/>
  <c r="AM38" i="46"/>
  <c r="AR37" i="46"/>
  <c r="BA37" i="46" s="1"/>
  <c r="AM37" i="46"/>
  <c r="AR36" i="46"/>
  <c r="BA36" i="46" s="1"/>
  <c r="AM36" i="46"/>
  <c r="Z36" i="46"/>
  <c r="N36" i="46"/>
  <c r="X41" i="55" l="1"/>
  <c r="AC41" i="55"/>
  <c r="K41" i="46"/>
  <c r="L16" i="48" s="1"/>
  <c r="T41" i="46"/>
  <c r="AD39" i="46"/>
  <c r="AD36" i="55"/>
  <c r="AD37" i="46"/>
  <c r="C41" i="46"/>
  <c r="N16" i="48" s="1"/>
  <c r="U41" i="46"/>
  <c r="AA41" i="46" s="1"/>
  <c r="AD38" i="55"/>
  <c r="AD38" i="46"/>
  <c r="AD36" i="46"/>
  <c r="H16" i="47"/>
  <c r="O36" i="55" s="1"/>
  <c r="AB41" i="55"/>
  <c r="P41" i="46"/>
  <c r="BA39" i="55"/>
  <c r="AD39" i="55" s="1"/>
  <c r="AD37" i="55"/>
  <c r="H36" i="46"/>
  <c r="X41" i="46" l="1"/>
  <c r="C36" i="55"/>
  <c r="K36" i="55"/>
  <c r="AB41" i="46"/>
  <c r="AC41" i="46"/>
  <c r="O36" i="46"/>
  <c r="K36" i="46" s="1"/>
  <c r="L15" i="48" s="1"/>
  <c r="J36" i="46"/>
  <c r="AU34" i="55"/>
  <c r="AR34" i="55"/>
  <c r="AM34" i="55"/>
  <c r="AR33" i="55"/>
  <c r="BA33" i="55" s="1"/>
  <c r="AM33" i="55"/>
  <c r="AR32" i="55"/>
  <c r="BA32" i="55" s="1"/>
  <c r="AM32" i="55"/>
  <c r="AR31" i="55"/>
  <c r="BA31" i="55" s="1"/>
  <c r="AM31" i="55"/>
  <c r="R31" i="55"/>
  <c r="Q31" i="55"/>
  <c r="I14" i="47"/>
  <c r="E14" i="47"/>
  <c r="G14" i="47" s="1"/>
  <c r="AR34" i="46"/>
  <c r="BA34" i="46" s="1"/>
  <c r="AM34" i="46"/>
  <c r="AR33" i="46"/>
  <c r="BA33" i="46" s="1"/>
  <c r="AM33" i="46"/>
  <c r="AR32" i="46"/>
  <c r="BA32" i="46" s="1"/>
  <c r="AM32" i="46"/>
  <c r="AR31" i="46"/>
  <c r="BA31" i="46" s="1"/>
  <c r="AM31" i="46"/>
  <c r="Z31" i="46"/>
  <c r="W31" i="46"/>
  <c r="N31" i="46"/>
  <c r="H31" i="46" s="1"/>
  <c r="J31" i="46" s="1"/>
  <c r="X36" i="55" l="1"/>
  <c r="BA34" i="55"/>
  <c r="AD34" i="55" s="1"/>
  <c r="AD31" i="55"/>
  <c r="AD32" i="55"/>
  <c r="AD31" i="46"/>
  <c r="H14" i="47"/>
  <c r="O31" i="55" s="1"/>
  <c r="AD33" i="55"/>
  <c r="P36" i="55"/>
  <c r="T36" i="55"/>
  <c r="AC36" i="55" s="1"/>
  <c r="U36" i="55"/>
  <c r="AA36" i="55" s="1"/>
  <c r="V36" i="55"/>
  <c r="AD33" i="46"/>
  <c r="P36" i="46"/>
  <c r="T36" i="46"/>
  <c r="AC36" i="46" s="1"/>
  <c r="V36" i="46"/>
  <c r="C36" i="46"/>
  <c r="N15" i="48" s="1"/>
  <c r="U36" i="46"/>
  <c r="AA36" i="46" s="1"/>
  <c r="X36" i="46"/>
  <c r="AD32" i="46"/>
  <c r="AD34" i="46"/>
  <c r="F14" i="30"/>
  <c r="C31" i="55" l="1"/>
  <c r="K31" i="55"/>
  <c r="AB36" i="46"/>
  <c r="O31" i="46"/>
  <c r="AY15" i="48"/>
  <c r="AB36" i="55"/>
  <c r="AU29" i="55"/>
  <c r="AR29" i="55"/>
  <c r="AM29" i="55"/>
  <c r="AR28" i="55"/>
  <c r="BA28" i="55" s="1"/>
  <c r="AM28" i="55"/>
  <c r="AR27" i="55"/>
  <c r="BA27" i="55" s="1"/>
  <c r="AM27" i="55"/>
  <c r="AR26" i="55"/>
  <c r="BA26" i="55" s="1"/>
  <c r="AM26" i="55"/>
  <c r="R26" i="55"/>
  <c r="Q26" i="55"/>
  <c r="I12" i="47"/>
  <c r="E12" i="47"/>
  <c r="G12" i="47" s="1"/>
  <c r="H12" i="47"/>
  <c r="O26" i="55" s="1"/>
  <c r="AR29" i="46"/>
  <c r="BA29" i="46" s="1"/>
  <c r="AM29" i="46"/>
  <c r="AD29" i="46" s="1"/>
  <c r="AR28" i="46"/>
  <c r="BA28" i="46" s="1"/>
  <c r="AM28" i="46"/>
  <c r="AR27" i="46"/>
  <c r="BA27" i="46" s="1"/>
  <c r="AM27" i="46"/>
  <c r="AR26" i="46"/>
  <c r="BA26" i="46" s="1"/>
  <c r="AM26" i="46"/>
  <c r="W26" i="46"/>
  <c r="N26" i="46"/>
  <c r="H26" i="46" s="1"/>
  <c r="J26" i="46" s="1"/>
  <c r="AU24" i="55"/>
  <c r="AR24" i="55"/>
  <c r="AM24" i="55"/>
  <c r="AR23" i="55"/>
  <c r="BA23" i="55" s="1"/>
  <c r="AM23" i="55"/>
  <c r="AR22" i="55"/>
  <c r="BA22" i="55" s="1"/>
  <c r="AM22" i="55"/>
  <c r="AR21" i="55"/>
  <c r="BA21" i="55" s="1"/>
  <c r="AM21" i="55"/>
  <c r="R21" i="55"/>
  <c r="Q21" i="55"/>
  <c r="I10" i="47"/>
  <c r="E10" i="47"/>
  <c r="G10" i="47" s="1"/>
  <c r="AR24" i="46"/>
  <c r="BA24" i="46" s="1"/>
  <c r="AM24" i="46"/>
  <c r="AR23" i="46"/>
  <c r="BA23" i="46" s="1"/>
  <c r="AM23" i="46"/>
  <c r="AR22" i="46"/>
  <c r="BA22" i="46" s="1"/>
  <c r="AM22" i="46"/>
  <c r="AR21" i="46"/>
  <c r="BA21" i="46" s="1"/>
  <c r="AM21" i="46"/>
  <c r="W21" i="46"/>
  <c r="N21" i="46"/>
  <c r="H21" i="46" s="1"/>
  <c r="AD28" i="55" l="1"/>
  <c r="X31" i="55"/>
  <c r="C26" i="55"/>
  <c r="K26" i="55"/>
  <c r="O26" i="46"/>
  <c r="C26" i="46" s="1"/>
  <c r="N13" i="48" s="1"/>
  <c r="AD23" i="46"/>
  <c r="AD26" i="46"/>
  <c r="U26" i="55"/>
  <c r="AA26" i="55" s="1"/>
  <c r="BA24" i="55"/>
  <c r="AD24" i="55" s="1"/>
  <c r="AD28" i="46"/>
  <c r="BA29" i="55"/>
  <c r="AD29" i="55" s="1"/>
  <c r="AD24" i="46"/>
  <c r="U26" i="46"/>
  <c r="AD27" i="55"/>
  <c r="AD21" i="46"/>
  <c r="H10" i="47"/>
  <c r="O21" i="55" s="1"/>
  <c r="AD22" i="46"/>
  <c r="U31" i="55"/>
  <c r="AA31" i="55" s="1"/>
  <c r="T31" i="55"/>
  <c r="AC31" i="55" s="1"/>
  <c r="P31" i="55"/>
  <c r="V31" i="55"/>
  <c r="P31" i="46"/>
  <c r="V31" i="46"/>
  <c r="T31" i="46"/>
  <c r="U31" i="46"/>
  <c r="AA31" i="46" s="1"/>
  <c r="K31" i="46"/>
  <c r="C31" i="46"/>
  <c r="N14" i="48" s="1"/>
  <c r="AD26" i="55"/>
  <c r="V26" i="55"/>
  <c r="P26" i="55"/>
  <c r="AD27" i="46"/>
  <c r="AD22" i="55"/>
  <c r="AD23" i="55"/>
  <c r="AD21" i="55"/>
  <c r="J21" i="46"/>
  <c r="X26" i="55" l="1"/>
  <c r="P26" i="46"/>
  <c r="V26" i="46"/>
  <c r="K26" i="46"/>
  <c r="AC26" i="46" s="1"/>
  <c r="C21" i="55"/>
  <c r="K21" i="55"/>
  <c r="T26" i="46"/>
  <c r="AY13" i="48"/>
  <c r="T26" i="55"/>
  <c r="AC26" i="55" s="1"/>
  <c r="O21" i="46"/>
  <c r="AB31" i="55"/>
  <c r="AY14" i="48"/>
  <c r="AC31" i="46"/>
  <c r="AB31" i="46" s="1"/>
  <c r="L14" i="48"/>
  <c r="X31" i="46"/>
  <c r="I8" i="47"/>
  <c r="E8" i="47"/>
  <c r="G8" i="47" s="1"/>
  <c r="AU19" i="55"/>
  <c r="AR19" i="55"/>
  <c r="BA19" i="55" s="1"/>
  <c r="AM19" i="55"/>
  <c r="AR18" i="55"/>
  <c r="BA18" i="55" s="1"/>
  <c r="AM18" i="55"/>
  <c r="AR17" i="55"/>
  <c r="BA17" i="55" s="1"/>
  <c r="AM17" i="55"/>
  <c r="AR16" i="55"/>
  <c r="BA16" i="55" s="1"/>
  <c r="AM16" i="55"/>
  <c r="R16" i="55"/>
  <c r="Q16" i="55"/>
  <c r="AR19" i="46"/>
  <c r="BA19" i="46" s="1"/>
  <c r="AM19" i="46"/>
  <c r="AR18" i="46"/>
  <c r="BA18" i="46" s="1"/>
  <c r="AM18" i="46"/>
  <c r="AR17" i="46"/>
  <c r="BA17" i="46" s="1"/>
  <c r="AM17" i="46"/>
  <c r="AR16" i="46"/>
  <c r="BA16" i="46" s="1"/>
  <c r="AM16" i="46"/>
  <c r="W16" i="46"/>
  <c r="N16" i="46"/>
  <c r="H16" i="46" s="1"/>
  <c r="X21" i="55" l="1"/>
  <c r="AC21" i="55"/>
  <c r="X26" i="46"/>
  <c r="L13" i="48"/>
  <c r="AB26" i="55"/>
  <c r="AD18" i="55"/>
  <c r="V21" i="55"/>
  <c r="P21" i="55"/>
  <c r="T21" i="55"/>
  <c r="U21" i="55"/>
  <c r="AA21" i="55" s="1"/>
  <c r="U21" i="46"/>
  <c r="T21" i="46"/>
  <c r="C21" i="46"/>
  <c r="N12" i="48" s="1"/>
  <c r="V21" i="46"/>
  <c r="K21" i="46"/>
  <c r="P21" i="46"/>
  <c r="AD18" i="46"/>
  <c r="AD19" i="55"/>
  <c r="AD19" i="46"/>
  <c r="AD16" i="46"/>
  <c r="AD17" i="46"/>
  <c r="H8" i="47"/>
  <c r="O16" i="55" s="1"/>
  <c r="AD17" i="55"/>
  <c r="AD16" i="55"/>
  <c r="J16" i="46"/>
  <c r="C16" i="55" l="1"/>
  <c r="K16" i="55"/>
  <c r="AC21" i="46"/>
  <c r="L12" i="48"/>
  <c r="X21" i="46"/>
  <c r="AB21" i="55"/>
  <c r="AY12" i="48"/>
  <c r="O16" i="46"/>
  <c r="X16" i="55" l="1"/>
  <c r="U16" i="46"/>
  <c r="T16" i="46"/>
  <c r="P16" i="46"/>
  <c r="C16" i="46"/>
  <c r="N11" i="48" s="1"/>
  <c r="K16" i="46"/>
  <c r="V16" i="46"/>
  <c r="U16" i="55"/>
  <c r="AY11" i="48"/>
  <c r="T16" i="55"/>
  <c r="AC16" i="55" s="1"/>
  <c r="P16" i="55"/>
  <c r="V16" i="55"/>
  <c r="I6" i="47"/>
  <c r="E6" i="47"/>
  <c r="H6" i="47" s="1"/>
  <c r="O11" i="55" s="1"/>
  <c r="AU14" i="55"/>
  <c r="AR14" i="55"/>
  <c r="AM14" i="55"/>
  <c r="AR13" i="55"/>
  <c r="BA13" i="55" s="1"/>
  <c r="AM13" i="55"/>
  <c r="AR12" i="55"/>
  <c r="BA12" i="55" s="1"/>
  <c r="AM12" i="55"/>
  <c r="AR11" i="55"/>
  <c r="BA11" i="55" s="1"/>
  <c r="AM11" i="55"/>
  <c r="R11" i="55"/>
  <c r="Q11" i="55"/>
  <c r="AR14" i="46"/>
  <c r="BA14" i="46" s="1"/>
  <c r="AM14" i="46"/>
  <c r="AR13" i="46"/>
  <c r="BA13" i="46" s="1"/>
  <c r="AM13" i="46"/>
  <c r="AR12" i="46"/>
  <c r="BA12" i="46" s="1"/>
  <c r="AM12" i="46"/>
  <c r="AR11" i="46"/>
  <c r="BA11" i="46" s="1"/>
  <c r="AM11" i="46"/>
  <c r="W11" i="46"/>
  <c r="N11" i="46"/>
  <c r="H11" i="46" s="1"/>
  <c r="BA14" i="55" l="1"/>
  <c r="C11" i="55"/>
  <c r="K11" i="55"/>
  <c r="AC16" i="46"/>
  <c r="L11" i="48"/>
  <c r="X16" i="46"/>
  <c r="AD14" i="55"/>
  <c r="AD14" i="46"/>
  <c r="AD11" i="46"/>
  <c r="O11" i="46"/>
  <c r="C11" i="46" s="1"/>
  <c r="N10" i="48" s="1"/>
  <c r="AD12" i="46"/>
  <c r="T11" i="46"/>
  <c r="V11" i="46"/>
  <c r="G6" i="47"/>
  <c r="AD13" i="55"/>
  <c r="AD12" i="55"/>
  <c r="AD11" i="55"/>
  <c r="P11" i="55"/>
  <c r="T11" i="55"/>
  <c r="V11" i="55"/>
  <c r="AD13" i="46"/>
  <c r="J11" i="46"/>
  <c r="X11" i="55" l="1"/>
  <c r="AC11" i="55"/>
  <c r="AY10" i="48"/>
  <c r="P11" i="46"/>
  <c r="U11" i="55"/>
  <c r="K11" i="46"/>
  <c r="L10" i="48" s="1"/>
  <c r="U11" i="46"/>
  <c r="X11" i="46" l="1"/>
  <c r="AC11" i="46"/>
  <c r="I4" i="47"/>
  <c r="E4" i="47"/>
  <c r="H4" i="47" s="1"/>
  <c r="O6" i="55" s="1"/>
  <c r="O6" i="46" l="1"/>
  <c r="AU9" i="55"/>
  <c r="AR9" i="55"/>
  <c r="AM9" i="55"/>
  <c r="AM9" i="46"/>
  <c r="AR9" i="46"/>
  <c r="BA9" i="46" s="1"/>
  <c r="R6" i="55"/>
  <c r="Q6" i="55"/>
  <c r="C6" i="55" s="1"/>
  <c r="AR8" i="55"/>
  <c r="BA8" i="55" s="1"/>
  <c r="AM8" i="55"/>
  <c r="AR7" i="55"/>
  <c r="BA7" i="55" s="1"/>
  <c r="AM7" i="55"/>
  <c r="AR6" i="55"/>
  <c r="BA6" i="55" s="1"/>
  <c r="AM6" i="55"/>
  <c r="K6" i="55" l="1"/>
  <c r="BA9" i="55"/>
  <c r="AD6" i="55"/>
  <c r="AD7" i="55"/>
  <c r="AD8" i="55"/>
  <c r="AD9" i="55"/>
  <c r="AD9" i="46"/>
  <c r="BF180" i="55" l="1"/>
  <c r="BE180" i="55"/>
  <c r="BD180" i="55"/>
  <c r="BF180" i="46"/>
  <c r="BE180" i="46"/>
  <c r="BD180" i="46"/>
  <c r="A10" i="1" l="1"/>
  <c r="A6" i="46"/>
  <c r="B1" i="47"/>
  <c r="A8" i="45"/>
  <c r="F32" i="27" l="1"/>
  <c r="E32" i="27"/>
  <c r="D32" i="27"/>
  <c r="C32" i="27"/>
  <c r="F23" i="27"/>
  <c r="E23" i="27"/>
  <c r="D23" i="27"/>
  <c r="D34" i="27" s="1"/>
  <c r="C23" i="27"/>
  <c r="F14" i="27"/>
  <c r="E14" i="27"/>
  <c r="D14" i="27"/>
  <c r="C14" i="27"/>
  <c r="F32" i="29"/>
  <c r="E32" i="29"/>
  <c r="D32" i="29"/>
  <c r="C32" i="29"/>
  <c r="F23" i="29"/>
  <c r="E23" i="29"/>
  <c r="D23" i="29"/>
  <c r="C23" i="29"/>
  <c r="C24" i="29" s="1"/>
  <c r="F14" i="29"/>
  <c r="E14" i="29"/>
  <c r="E34" i="29" s="1"/>
  <c r="D14" i="29"/>
  <c r="C14" i="29"/>
  <c r="F32" i="30"/>
  <c r="E32" i="30"/>
  <c r="D32" i="30"/>
  <c r="C32" i="30"/>
  <c r="F23" i="30"/>
  <c r="E23" i="30"/>
  <c r="D23" i="30"/>
  <c r="C23" i="30"/>
  <c r="E14" i="30"/>
  <c r="D14" i="30"/>
  <c r="C14" i="30"/>
  <c r="F32" i="31"/>
  <c r="E32" i="31"/>
  <c r="D32" i="31"/>
  <c r="C32" i="31"/>
  <c r="F23" i="31"/>
  <c r="E23" i="31"/>
  <c r="D23" i="31"/>
  <c r="C23" i="31"/>
  <c r="F14" i="31"/>
  <c r="E14" i="31"/>
  <c r="D14" i="31"/>
  <c r="D34" i="31" s="1"/>
  <c r="C14" i="31"/>
  <c r="F34" i="27" l="1"/>
  <c r="C34" i="30"/>
  <c r="D24" i="30"/>
  <c r="E15" i="30"/>
  <c r="E33" i="30"/>
  <c r="D15" i="27"/>
  <c r="C15" i="30"/>
  <c r="C33" i="29"/>
  <c r="D15" i="30"/>
  <c r="D33" i="29"/>
  <c r="C24" i="27"/>
  <c r="C33" i="30"/>
  <c r="E24" i="27"/>
  <c r="D33" i="31"/>
  <c r="C24" i="30"/>
  <c r="D34" i="29"/>
  <c r="C15" i="27"/>
  <c r="E34" i="31"/>
  <c r="E24" i="30"/>
  <c r="E15" i="27"/>
  <c r="E34" i="27"/>
  <c r="C33" i="31"/>
  <c r="F34" i="30"/>
  <c r="D34" i="30"/>
  <c r="E33" i="27"/>
  <c r="D33" i="30"/>
  <c r="D24" i="27"/>
  <c r="F34" i="31"/>
  <c r="C24" i="31"/>
  <c r="F34" i="29"/>
  <c r="C33" i="27"/>
  <c r="C34" i="29"/>
  <c r="C35" i="29" s="1"/>
  <c r="C15" i="29"/>
  <c r="D33" i="27"/>
  <c r="C34" i="27"/>
  <c r="D24" i="29"/>
  <c r="E33" i="29"/>
  <c r="D15" i="29"/>
  <c r="E24" i="29"/>
  <c r="E15" i="29"/>
  <c r="E34" i="30"/>
  <c r="C15" i="31"/>
  <c r="D24" i="31"/>
  <c r="E33" i="31"/>
  <c r="D15" i="31"/>
  <c r="E24" i="31"/>
  <c r="C34" i="31"/>
  <c r="E15" i="31"/>
  <c r="E35" i="30" l="1"/>
  <c r="C35" i="27"/>
  <c r="E35" i="29"/>
  <c r="C35" i="31"/>
  <c r="C35" i="30"/>
  <c r="D35" i="29"/>
  <c r="E35" i="27"/>
  <c r="D35" i="27"/>
  <c r="D35" i="30"/>
  <c r="D35" i="31"/>
  <c r="E35" i="31"/>
  <c r="G42" i="27"/>
  <c r="F42" i="27"/>
  <c r="K11" i="29" l="1"/>
  <c r="K10" i="29"/>
  <c r="K9" i="29"/>
  <c r="F42" i="29" l="1"/>
  <c r="G42" i="29"/>
  <c r="I37" i="29" s="1"/>
  <c r="K9" i="30" l="1"/>
  <c r="K8" i="30"/>
  <c r="G42" i="30" l="1"/>
  <c r="F42" i="30"/>
  <c r="K8" i="31"/>
  <c r="G42" i="31" l="1"/>
  <c r="I37" i="31" s="1"/>
  <c r="F42" i="31"/>
  <c r="I37" i="30" l="1"/>
  <c r="G42" i="32" l="1"/>
  <c r="I37" i="32" s="1"/>
  <c r="F42" i="32"/>
  <c r="K8" i="32"/>
  <c r="K7" i="32"/>
  <c r="C52" i="30" l="1"/>
  <c r="C51" i="30"/>
  <c r="C50" i="30"/>
  <c r="C49" i="30"/>
  <c r="C48" i="30"/>
  <c r="C47" i="30"/>
  <c r="C46" i="30"/>
  <c r="C45" i="30"/>
  <c r="C44" i="30"/>
  <c r="I43" i="30"/>
  <c r="C43" i="30"/>
  <c r="C42" i="30"/>
  <c r="C41" i="30"/>
  <c r="C40" i="30"/>
  <c r="C39" i="30"/>
  <c r="C38" i="30"/>
  <c r="L34" i="30"/>
  <c r="K34" i="30"/>
  <c r="H4" i="30"/>
  <c r="I40" i="30" l="1"/>
  <c r="I45" i="30" s="1"/>
  <c r="C53" i="30"/>
  <c r="C54" i="30" s="1"/>
  <c r="I44" i="30"/>
  <c r="G4" i="47" l="1"/>
  <c r="U6" i="55" l="1"/>
  <c r="V6" i="55"/>
  <c r="P6" i="55"/>
  <c r="T6" i="55"/>
  <c r="AC6" i="55" s="1"/>
  <c r="AY9" i="48"/>
  <c r="C6" i="46" l="1"/>
  <c r="N6" i="46"/>
  <c r="H6" i="46" s="1"/>
  <c r="J6" i="46" s="1"/>
  <c r="K6" i="46" l="1"/>
  <c r="G42" i="33"/>
  <c r="I37" i="33" s="1"/>
  <c r="F42" i="33"/>
  <c r="M39" i="54" l="1"/>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D40" i="54" l="1"/>
  <c r="M40" i="54"/>
  <c r="F32" i="4" l="1"/>
  <c r="E32" i="4"/>
  <c r="D32" i="4"/>
  <c r="C32" i="4"/>
  <c r="F23" i="4"/>
  <c r="E23" i="4"/>
  <c r="D23" i="4"/>
  <c r="C23" i="4"/>
  <c r="F14" i="4"/>
  <c r="E14" i="4"/>
  <c r="D14" i="4"/>
  <c r="C14" i="4"/>
  <c r="F32" i="37"/>
  <c r="E32" i="37"/>
  <c r="D32" i="37"/>
  <c r="C32" i="37"/>
  <c r="F23" i="37"/>
  <c r="E23" i="37"/>
  <c r="D23" i="37"/>
  <c r="C23" i="37"/>
  <c r="F14" i="37"/>
  <c r="E14" i="37"/>
  <c r="D14" i="37"/>
  <c r="C14" i="37"/>
  <c r="F32" i="6"/>
  <c r="E32" i="6"/>
  <c r="D32" i="6"/>
  <c r="C32" i="6"/>
  <c r="F23" i="6"/>
  <c r="E23" i="6"/>
  <c r="D23" i="6"/>
  <c r="C23" i="6"/>
  <c r="F14" i="6"/>
  <c r="E14" i="6"/>
  <c r="D14" i="6"/>
  <c r="C14" i="6"/>
  <c r="F32" i="7"/>
  <c r="E32" i="7"/>
  <c r="D32" i="7"/>
  <c r="C32" i="7"/>
  <c r="F23" i="7"/>
  <c r="E23" i="7"/>
  <c r="D23" i="7"/>
  <c r="C23" i="7"/>
  <c r="F14" i="7"/>
  <c r="E14" i="7"/>
  <c r="E34" i="7" s="1"/>
  <c r="D14" i="7"/>
  <c r="C14" i="7"/>
  <c r="F32" i="8"/>
  <c r="E32" i="8"/>
  <c r="D32" i="8"/>
  <c r="C32" i="8"/>
  <c r="F23" i="8"/>
  <c r="E23" i="8"/>
  <c r="D23" i="8"/>
  <c r="C23" i="8"/>
  <c r="F14" i="8"/>
  <c r="E14" i="8"/>
  <c r="D14" i="8"/>
  <c r="C14" i="8"/>
  <c r="F32" i="9"/>
  <c r="E32" i="9"/>
  <c r="D32" i="9"/>
  <c r="C32" i="9"/>
  <c r="F23" i="9"/>
  <c r="E23" i="9"/>
  <c r="D23" i="9"/>
  <c r="C23" i="9"/>
  <c r="F14" i="9"/>
  <c r="E14" i="9"/>
  <c r="E34" i="9" s="1"/>
  <c r="D14" i="9"/>
  <c r="C14" i="9"/>
  <c r="F32" i="10"/>
  <c r="E32" i="10"/>
  <c r="D32" i="10"/>
  <c r="C32" i="10"/>
  <c r="C33" i="10" s="1"/>
  <c r="F23" i="10"/>
  <c r="E23" i="10"/>
  <c r="D23" i="10"/>
  <c r="C23" i="10"/>
  <c r="F14" i="10"/>
  <c r="E14" i="10"/>
  <c r="D14" i="10"/>
  <c r="C14" i="10"/>
  <c r="F32" i="11"/>
  <c r="E32" i="11"/>
  <c r="D32" i="11"/>
  <c r="C32" i="11"/>
  <c r="F23" i="11"/>
  <c r="E23" i="11"/>
  <c r="D23" i="11"/>
  <c r="C23" i="11"/>
  <c r="F14" i="11"/>
  <c r="E14" i="11"/>
  <c r="E34" i="11" s="1"/>
  <c r="D14" i="11"/>
  <c r="C14" i="11"/>
  <c r="F32" i="12"/>
  <c r="E32" i="12"/>
  <c r="D32" i="12"/>
  <c r="C32" i="12"/>
  <c r="F23" i="12"/>
  <c r="E23" i="12"/>
  <c r="D23" i="12"/>
  <c r="C23" i="12"/>
  <c r="F14" i="12"/>
  <c r="E14" i="12"/>
  <c r="D14" i="12"/>
  <c r="C14" i="12"/>
  <c r="F32" i="13"/>
  <c r="E32" i="13"/>
  <c r="D32" i="13"/>
  <c r="C32" i="13"/>
  <c r="F23" i="13"/>
  <c r="E23" i="13"/>
  <c r="D23" i="13"/>
  <c r="C23" i="13"/>
  <c r="F14" i="13"/>
  <c r="E14" i="13"/>
  <c r="D14" i="13"/>
  <c r="C14" i="13"/>
  <c r="F32" i="14"/>
  <c r="E32" i="14"/>
  <c r="D32" i="14"/>
  <c r="C32" i="14"/>
  <c r="C33" i="14" s="1"/>
  <c r="F23" i="14"/>
  <c r="E23" i="14"/>
  <c r="D23" i="14"/>
  <c r="C23" i="14"/>
  <c r="F14" i="14"/>
  <c r="E14" i="14"/>
  <c r="D14" i="14"/>
  <c r="C14" i="14"/>
  <c r="F32" i="15"/>
  <c r="E32" i="15"/>
  <c r="D32" i="15"/>
  <c r="C32" i="15"/>
  <c r="F23" i="15"/>
  <c r="E23" i="15"/>
  <c r="D23" i="15"/>
  <c r="C23" i="15"/>
  <c r="F14" i="15"/>
  <c r="E14" i="15"/>
  <c r="E34" i="15" s="1"/>
  <c r="D14" i="15"/>
  <c r="C14" i="15"/>
  <c r="F32" i="16"/>
  <c r="E32" i="16"/>
  <c r="D32" i="16"/>
  <c r="C32" i="16"/>
  <c r="F23" i="16"/>
  <c r="E23" i="16"/>
  <c r="D23" i="16"/>
  <c r="C23" i="16"/>
  <c r="F14" i="16"/>
  <c r="E14" i="16"/>
  <c r="D14" i="16"/>
  <c r="C14" i="16"/>
  <c r="F32" i="17"/>
  <c r="E32" i="17"/>
  <c r="D32" i="17"/>
  <c r="C32" i="17"/>
  <c r="F23" i="17"/>
  <c r="E23" i="17"/>
  <c r="D23" i="17"/>
  <c r="C23" i="17"/>
  <c r="F14" i="17"/>
  <c r="E14" i="17"/>
  <c r="D14" i="17"/>
  <c r="C14" i="17"/>
  <c r="F32" i="18"/>
  <c r="E32" i="18"/>
  <c r="D32" i="18"/>
  <c r="C32" i="18"/>
  <c r="F23" i="18"/>
  <c r="E23" i="18"/>
  <c r="D23" i="18"/>
  <c r="C23" i="18"/>
  <c r="F14" i="18"/>
  <c r="E14" i="18"/>
  <c r="D14" i="18"/>
  <c r="C14" i="18"/>
  <c r="F32" i="19"/>
  <c r="E32" i="19"/>
  <c r="D32" i="19"/>
  <c r="C32" i="19"/>
  <c r="F23" i="19"/>
  <c r="E23" i="19"/>
  <c r="D23" i="19"/>
  <c r="C23" i="19"/>
  <c r="C24" i="19" s="1"/>
  <c r="F14" i="19"/>
  <c r="E14" i="19"/>
  <c r="E34" i="19" s="1"/>
  <c r="D14" i="19"/>
  <c r="C14" i="19"/>
  <c r="F32" i="20"/>
  <c r="E32" i="20"/>
  <c r="D32" i="20"/>
  <c r="C32" i="20"/>
  <c r="F23" i="20"/>
  <c r="E23" i="20"/>
  <c r="D23" i="20"/>
  <c r="C23" i="20"/>
  <c r="F14" i="20"/>
  <c r="E14" i="20"/>
  <c r="D14" i="20"/>
  <c r="C14" i="20"/>
  <c r="F32" i="22"/>
  <c r="E32" i="22"/>
  <c r="D32" i="22"/>
  <c r="C32" i="22"/>
  <c r="F23" i="22"/>
  <c r="E23" i="22"/>
  <c r="D23" i="22"/>
  <c r="C23" i="22"/>
  <c r="F14" i="22"/>
  <c r="E14" i="22"/>
  <c r="E34" i="22" s="1"/>
  <c r="D14" i="22"/>
  <c r="C14" i="22"/>
  <c r="F32" i="21"/>
  <c r="E32" i="21"/>
  <c r="D32" i="21"/>
  <c r="C32" i="21"/>
  <c r="C33" i="21" s="1"/>
  <c r="F23" i="21"/>
  <c r="E23" i="21"/>
  <c r="D23" i="21"/>
  <c r="C23" i="21"/>
  <c r="F14" i="21"/>
  <c r="E14" i="21"/>
  <c r="D14" i="21"/>
  <c r="C14" i="21"/>
  <c r="F32" i="23"/>
  <c r="E32" i="23"/>
  <c r="D32" i="23"/>
  <c r="C32" i="23"/>
  <c r="F23" i="23"/>
  <c r="E23" i="23"/>
  <c r="D23" i="23"/>
  <c r="F14" i="23"/>
  <c r="E14" i="23"/>
  <c r="D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E23" i="26"/>
  <c r="D23" i="26"/>
  <c r="C23" i="26"/>
  <c r="E14" i="26"/>
  <c r="D14" i="26"/>
  <c r="C14" i="26"/>
  <c r="F32" i="28"/>
  <c r="E32" i="28"/>
  <c r="D32" i="28"/>
  <c r="C32" i="28"/>
  <c r="F23" i="28"/>
  <c r="E23" i="28"/>
  <c r="D23" i="28"/>
  <c r="C23" i="28"/>
  <c r="F14" i="28"/>
  <c r="E14" i="28"/>
  <c r="D14" i="28"/>
  <c r="C14" i="28"/>
  <c r="J8" i="31"/>
  <c r="J8" i="30" s="1"/>
  <c r="J8" i="29" s="1"/>
  <c r="F32" i="32"/>
  <c r="E32" i="32"/>
  <c r="D32" i="32"/>
  <c r="C32" i="32"/>
  <c r="F23" i="32"/>
  <c r="E23" i="32"/>
  <c r="D23" i="32"/>
  <c r="C23" i="32"/>
  <c r="F14" i="32"/>
  <c r="E14" i="32"/>
  <c r="D14" i="32"/>
  <c r="C14" i="32"/>
  <c r="F34" i="37" l="1"/>
  <c r="F34" i="9"/>
  <c r="C24" i="11"/>
  <c r="F34" i="11"/>
  <c r="F34" i="12"/>
  <c r="F34" i="15"/>
  <c r="F34" i="17"/>
  <c r="F34" i="18"/>
  <c r="F34" i="19"/>
  <c r="C33" i="4"/>
  <c r="E34" i="25"/>
  <c r="C24" i="23"/>
  <c r="C15" i="23"/>
  <c r="C33" i="24"/>
  <c r="F34" i="20"/>
  <c r="F34" i="23"/>
  <c r="F34" i="21"/>
  <c r="F34" i="24"/>
  <c r="E15" i="28"/>
  <c r="C15" i="19"/>
  <c r="D34" i="37"/>
  <c r="C15" i="28"/>
  <c r="E15" i="23"/>
  <c r="E15" i="37"/>
  <c r="C34" i="25"/>
  <c r="C34" i="22"/>
  <c r="K9" i="22" s="1"/>
  <c r="W66" i="55" s="1"/>
  <c r="X66" i="55" s="1"/>
  <c r="C34" i="13"/>
  <c r="D15" i="23"/>
  <c r="D34" i="22"/>
  <c r="D15" i="19"/>
  <c r="D34" i="17"/>
  <c r="Z83" i="55" s="1"/>
  <c r="D34" i="15"/>
  <c r="D34" i="9"/>
  <c r="D24" i="25"/>
  <c r="D24" i="19"/>
  <c r="D24" i="15"/>
  <c r="D24" i="13"/>
  <c r="D33" i="8"/>
  <c r="E33" i="24"/>
  <c r="E24" i="19"/>
  <c r="E33" i="18"/>
  <c r="E33" i="8"/>
  <c r="D33" i="26"/>
  <c r="D33" i="24"/>
  <c r="D33" i="21"/>
  <c r="D33" i="20"/>
  <c r="E33" i="16"/>
  <c r="D24" i="11"/>
  <c r="D24" i="28"/>
  <c r="C34" i="9"/>
  <c r="E33" i="26"/>
  <c r="C34" i="15"/>
  <c r="K13" i="15" s="1"/>
  <c r="W91" i="55" s="1"/>
  <c r="X91" i="55" s="1"/>
  <c r="E24" i="23"/>
  <c r="D33" i="17"/>
  <c r="D24" i="14"/>
  <c r="D33" i="11"/>
  <c r="D24" i="10"/>
  <c r="C34" i="18"/>
  <c r="C34" i="12"/>
  <c r="E34" i="26"/>
  <c r="E34" i="21"/>
  <c r="E34" i="20"/>
  <c r="E34" i="18"/>
  <c r="E34" i="14"/>
  <c r="E34" i="12"/>
  <c r="E33" i="28"/>
  <c r="E24" i="26"/>
  <c r="E33" i="25"/>
  <c r="E33" i="19"/>
  <c r="E33" i="15"/>
  <c r="E24" i="14"/>
  <c r="E33" i="13"/>
  <c r="E33" i="11"/>
  <c r="E24" i="10"/>
  <c r="D33" i="9"/>
  <c r="D24" i="6"/>
  <c r="D33" i="37"/>
  <c r="E33" i="9"/>
  <c r="C15" i="26"/>
  <c r="C15" i="24"/>
  <c r="C15" i="20"/>
  <c r="C24" i="17"/>
  <c r="C15" i="14"/>
  <c r="C15" i="10"/>
  <c r="D34" i="26"/>
  <c r="D24" i="23"/>
  <c r="D34" i="20"/>
  <c r="D34" i="16"/>
  <c r="D15" i="14"/>
  <c r="D34" i="12"/>
  <c r="D34" i="10"/>
  <c r="C15" i="6"/>
  <c r="E15" i="16"/>
  <c r="E34" i="10"/>
  <c r="F34" i="10"/>
  <c r="E34" i="8"/>
  <c r="C33" i="28"/>
  <c r="C33" i="22"/>
  <c r="C24" i="20"/>
  <c r="C33" i="19"/>
  <c r="C24" i="18"/>
  <c r="C33" i="17"/>
  <c r="C33" i="15"/>
  <c r="C33" i="13"/>
  <c r="C24" i="10"/>
  <c r="D15" i="32"/>
  <c r="E34" i="24"/>
  <c r="F34" i="13"/>
  <c r="D15" i="15"/>
  <c r="D15" i="10"/>
  <c r="E15" i="15"/>
  <c r="E15" i="6"/>
  <c r="C34" i="4"/>
  <c r="E15" i="26"/>
  <c r="F34" i="6"/>
  <c r="D33" i="6"/>
  <c r="D34" i="4"/>
  <c r="D33" i="4"/>
  <c r="E24" i="15"/>
  <c r="E24" i="37"/>
  <c r="E34" i="4"/>
  <c r="E33" i="4"/>
  <c r="D15" i="26"/>
  <c r="D24" i="8"/>
  <c r="C24" i="6"/>
  <c r="E34" i="37"/>
  <c r="C33" i="32"/>
  <c r="E34" i="28"/>
  <c r="C24" i="26"/>
  <c r="C24" i="21"/>
  <c r="E33" i="20"/>
  <c r="D33" i="19"/>
  <c r="C33" i="16"/>
  <c r="C15" i="15"/>
  <c r="D34" i="14"/>
  <c r="E24" i="13"/>
  <c r="C15" i="11"/>
  <c r="C24" i="8"/>
  <c r="C33" i="7"/>
  <c r="C33" i="6"/>
  <c r="D24" i="24"/>
  <c r="C34" i="23"/>
  <c r="K9" i="23" s="1"/>
  <c r="W57" i="55" s="1"/>
  <c r="X57" i="55" s="1"/>
  <c r="E15" i="17"/>
  <c r="E33" i="12"/>
  <c r="E24" i="25"/>
  <c r="D34" i="23"/>
  <c r="D33" i="22"/>
  <c r="D33" i="15"/>
  <c r="F34" i="14"/>
  <c r="E15" i="10"/>
  <c r="D33" i="10"/>
  <c r="C24" i="9"/>
  <c r="E24" i="8"/>
  <c r="E34" i="6"/>
  <c r="C15" i="37"/>
  <c r="C33" i="37"/>
  <c r="F34" i="28"/>
  <c r="F34" i="25"/>
  <c r="E34" i="23"/>
  <c r="D24" i="20"/>
  <c r="E24" i="18"/>
  <c r="F34" i="16"/>
  <c r="C24" i="15"/>
  <c r="D34" i="13"/>
  <c r="F34" i="8"/>
  <c r="F34" i="7"/>
  <c r="D15" i="37"/>
  <c r="F34" i="4"/>
  <c r="D34" i="7"/>
  <c r="D34" i="32"/>
  <c r="D33" i="28"/>
  <c r="F34" i="26"/>
  <c r="D24" i="26"/>
  <c r="F34" i="22"/>
  <c r="E24" i="20"/>
  <c r="C34" i="16"/>
  <c r="K13" i="16" s="1"/>
  <c r="W87" i="55" s="1"/>
  <c r="X87" i="55" s="1"/>
  <c r="E34" i="13"/>
  <c r="D24" i="12"/>
  <c r="E15" i="9"/>
  <c r="C34" i="8"/>
  <c r="K16" i="8" s="1"/>
  <c r="W122" i="55" s="1"/>
  <c r="X122" i="55" s="1"/>
  <c r="E15" i="7"/>
  <c r="D34" i="6"/>
  <c r="E33" i="6"/>
  <c r="D34" i="25"/>
  <c r="C24" i="24"/>
  <c r="C33" i="23"/>
  <c r="E15" i="22"/>
  <c r="C33" i="18"/>
  <c r="E34" i="17"/>
  <c r="E15" i="14"/>
  <c r="D33" i="14"/>
  <c r="E24" i="12"/>
  <c r="D34" i="8"/>
  <c r="C34" i="6"/>
  <c r="K19" i="6" s="1"/>
  <c r="W132" i="55" s="1"/>
  <c r="X132" i="55" s="1"/>
  <c r="C24" i="37"/>
  <c r="C34" i="17"/>
  <c r="K13" i="17" s="1"/>
  <c r="W83" i="55" s="1"/>
  <c r="X83" i="55" s="1"/>
  <c r="E34" i="32"/>
  <c r="C24" i="28"/>
  <c r="C33" i="26"/>
  <c r="D33" i="23"/>
  <c r="D15" i="18"/>
  <c r="D33" i="18"/>
  <c r="E34" i="16"/>
  <c r="C24" i="14"/>
  <c r="C33" i="11"/>
  <c r="C33" i="9"/>
  <c r="E24" i="4"/>
  <c r="D33" i="32"/>
  <c r="C34" i="32"/>
  <c r="C24" i="32"/>
  <c r="E24" i="32"/>
  <c r="C15" i="32"/>
  <c r="E15" i="32"/>
  <c r="D24" i="32"/>
  <c r="F34" i="32"/>
  <c r="C24" i="4"/>
  <c r="C15" i="4"/>
  <c r="D24" i="4"/>
  <c r="D15" i="4"/>
  <c r="E15" i="4"/>
  <c r="D24" i="37"/>
  <c r="E33" i="37"/>
  <c r="C34" i="37"/>
  <c r="D15" i="6"/>
  <c r="E24" i="6"/>
  <c r="C15" i="7"/>
  <c r="D24" i="7"/>
  <c r="E33" i="7"/>
  <c r="D33" i="7"/>
  <c r="D15" i="7"/>
  <c r="E24" i="7"/>
  <c r="C34" i="7"/>
  <c r="K19" i="7" s="1"/>
  <c r="W126" i="55" s="1"/>
  <c r="X126" i="55" s="1"/>
  <c r="C24" i="7"/>
  <c r="C33" i="8"/>
  <c r="C15" i="8"/>
  <c r="D15" i="8"/>
  <c r="E15" i="8"/>
  <c r="C15" i="9"/>
  <c r="D24" i="9"/>
  <c r="D15" i="9"/>
  <c r="E24" i="9"/>
  <c r="E33" i="10"/>
  <c r="C34" i="10"/>
  <c r="D15" i="11"/>
  <c r="E24" i="11"/>
  <c r="C34" i="11"/>
  <c r="E15" i="11"/>
  <c r="D34" i="11"/>
  <c r="C33" i="12"/>
  <c r="C24" i="12"/>
  <c r="D33" i="12"/>
  <c r="C15" i="12"/>
  <c r="D15" i="12"/>
  <c r="E15" i="12"/>
  <c r="C24" i="13"/>
  <c r="D33" i="13"/>
  <c r="C15" i="13"/>
  <c r="D15" i="13"/>
  <c r="E15" i="13"/>
  <c r="E33" i="14"/>
  <c r="C34" i="14"/>
  <c r="K13" i="14" s="1"/>
  <c r="W95" i="55" s="1"/>
  <c r="X95" i="55" s="1"/>
  <c r="C24" i="16"/>
  <c r="D33" i="16"/>
  <c r="C15" i="16"/>
  <c r="D24" i="16"/>
  <c r="D15" i="16"/>
  <c r="E24" i="16"/>
  <c r="C15" i="17"/>
  <c r="D24" i="17"/>
  <c r="E33" i="17"/>
  <c r="D15" i="17"/>
  <c r="E24" i="17"/>
  <c r="C15" i="18"/>
  <c r="D24" i="18"/>
  <c r="E15" i="18"/>
  <c r="D34" i="18"/>
  <c r="C34" i="19"/>
  <c r="E15" i="19"/>
  <c r="D34" i="19"/>
  <c r="C33" i="20"/>
  <c r="D15" i="20"/>
  <c r="C34" i="20"/>
  <c r="E15" i="20"/>
  <c r="C15" i="22"/>
  <c r="D24" i="22"/>
  <c r="E33" i="22"/>
  <c r="D15" i="22"/>
  <c r="E24" i="22"/>
  <c r="C24" i="22"/>
  <c r="C15" i="21"/>
  <c r="D24" i="21"/>
  <c r="E33" i="21"/>
  <c r="D15" i="21"/>
  <c r="E24" i="21"/>
  <c r="C34" i="21"/>
  <c r="K9" i="21" s="1"/>
  <c r="W61" i="55" s="1"/>
  <c r="X61" i="55" s="1"/>
  <c r="E15" i="21"/>
  <c r="D34" i="21"/>
  <c r="E33" i="23"/>
  <c r="D15" i="24"/>
  <c r="E24" i="24"/>
  <c r="C34" i="24"/>
  <c r="E15" i="24"/>
  <c r="D34" i="24"/>
  <c r="C33" i="25"/>
  <c r="C24" i="25"/>
  <c r="D33" i="25"/>
  <c r="C15" i="25"/>
  <c r="D15" i="25"/>
  <c r="E15" i="25"/>
  <c r="C34" i="26"/>
  <c r="D15" i="28"/>
  <c r="E24" i="28"/>
  <c r="C34" i="28"/>
  <c r="D34" i="28"/>
  <c r="E33" i="32"/>
  <c r="AA141" i="46" l="1"/>
  <c r="AB141" i="46" s="1"/>
  <c r="AA141" i="55"/>
  <c r="AB141" i="55" s="1"/>
  <c r="W95" i="46"/>
  <c r="W87" i="46"/>
  <c r="X87" i="46" s="1"/>
  <c r="W122" i="46"/>
  <c r="W91" i="46"/>
  <c r="W126" i="46"/>
  <c r="W132" i="46"/>
  <c r="W83" i="46"/>
  <c r="Z83" i="46"/>
  <c r="C35" i="7"/>
  <c r="W57" i="46"/>
  <c r="X57" i="46" s="1"/>
  <c r="W66" i="46"/>
  <c r="W61" i="46"/>
  <c r="X61" i="46" s="1"/>
  <c r="E35" i="15"/>
  <c r="C35" i="26"/>
  <c r="D35" i="9"/>
  <c r="C35" i="15"/>
  <c r="D35" i="15"/>
  <c r="D35" i="17"/>
  <c r="C35" i="16"/>
  <c r="E35" i="9"/>
  <c r="D35" i="22"/>
  <c r="E35" i="22"/>
  <c r="C35" i="22"/>
  <c r="C35" i="9"/>
  <c r="D35" i="18"/>
  <c r="D35" i="24"/>
  <c r="C35" i="10"/>
  <c r="E35" i="17"/>
  <c r="D35" i="16"/>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AA122" i="55" l="1"/>
  <c r="AB122" i="55" s="1"/>
  <c r="AA132" i="46"/>
  <c r="AB132" i="46" s="1"/>
  <c r="X132" i="46"/>
  <c r="AA132" i="55"/>
  <c r="AB132" i="55" s="1"/>
  <c r="AA122" i="46"/>
  <c r="AB122" i="46" s="1"/>
  <c r="X122" i="46"/>
  <c r="AA126" i="46"/>
  <c r="AB126" i="46" s="1"/>
  <c r="X126" i="46"/>
  <c r="X95" i="46"/>
  <c r="AA126" i="55"/>
  <c r="AB126" i="55" s="1"/>
  <c r="X91" i="46"/>
  <c r="X83" i="46"/>
  <c r="X66" i="46"/>
  <c r="G42" i="37"/>
  <c r="I37" i="37" s="1"/>
  <c r="F42" i="37"/>
  <c r="G42" i="7" l="1"/>
  <c r="I37" i="7" s="1"/>
  <c r="F42" i="7"/>
  <c r="G42" i="9" l="1"/>
  <c r="F42" i="9"/>
  <c r="G42" i="10" l="1"/>
  <c r="I37" i="10" s="1"/>
  <c r="F42" i="10"/>
  <c r="G42" i="11" l="1"/>
  <c r="I37" i="11" s="1"/>
  <c r="F42" i="11"/>
  <c r="G42" i="4" l="1"/>
  <c r="I37" i="4" s="1"/>
  <c r="F42" i="4"/>
  <c r="G42" i="14" l="1"/>
  <c r="I37" i="14" s="1"/>
  <c r="F42" i="14"/>
  <c r="G42" i="15" l="1"/>
  <c r="I37" i="15" s="1"/>
  <c r="F42" i="15"/>
  <c r="F42" i="16"/>
  <c r="G42" i="16"/>
  <c r="I37" i="16" s="1"/>
  <c r="G42" i="17" l="1"/>
  <c r="I37" i="17" s="1"/>
  <c r="F42" i="17"/>
  <c r="G42" i="19" l="1"/>
  <c r="I37" i="19" s="1"/>
  <c r="F42" i="19"/>
  <c r="G42" i="22" l="1"/>
  <c r="I37" i="22" s="1"/>
  <c r="F42" i="22"/>
  <c r="I37" i="23" l="1"/>
  <c r="I37" i="9" l="1"/>
  <c r="G42" i="26" l="1"/>
  <c r="I37" i="26" s="1"/>
  <c r="F42" i="26"/>
  <c r="F42" i="28" l="1"/>
  <c r="G42" i="28"/>
  <c r="I37" i="28" s="1"/>
  <c r="I37" i="27" l="1"/>
  <c r="I43" i="29" l="1"/>
  <c r="C52" i="29" l="1"/>
  <c r="C51" i="29"/>
  <c r="C50" i="29"/>
  <c r="C49" i="29"/>
  <c r="C48" i="29"/>
  <c r="C47" i="29"/>
  <c r="C46" i="29"/>
  <c r="C45" i="29"/>
  <c r="C44" i="29"/>
  <c r="C43" i="29"/>
  <c r="C42" i="29"/>
  <c r="C41" i="29"/>
  <c r="C40" i="29"/>
  <c r="C39" i="29"/>
  <c r="C38" i="29"/>
  <c r="L34" i="29"/>
  <c r="K34" i="29"/>
  <c r="I40" i="29" l="1"/>
  <c r="I44" i="29"/>
  <c r="C53" i="29"/>
  <c r="C54" i="29" s="1"/>
  <c r="I45" i="29" l="1"/>
  <c r="J14" i="31" l="1"/>
  <c r="J14" i="30" s="1"/>
  <c r="J14" i="29" s="1"/>
  <c r="J12" i="31"/>
  <c r="J12" i="30" s="1"/>
  <c r="J12" i="29" s="1"/>
  <c r="J13" i="31"/>
  <c r="J13" i="30" s="1"/>
  <c r="J13" i="29" s="1"/>
  <c r="J11" i="31"/>
  <c r="J11" i="30" s="1"/>
  <c r="J11" i="29" s="1"/>
  <c r="J10" i="31"/>
  <c r="J10" i="30" s="1"/>
  <c r="J10" i="29" s="1"/>
  <c r="AG6" i="51" l="1"/>
  <c r="AR6" i="46" l="1"/>
  <c r="BA6" i="46" s="1"/>
  <c r="AM7" i="46"/>
  <c r="AM8" i="46"/>
  <c r="AM6" i="46"/>
  <c r="BC180" i="55" l="1"/>
  <c r="BB180" i="55"/>
  <c r="AZ180" i="55"/>
  <c r="AY180" i="55"/>
  <c r="AX180" i="55"/>
  <c r="AW180" i="55"/>
  <c r="AV180" i="55"/>
  <c r="AU180" i="55"/>
  <c r="AT180" i="55"/>
  <c r="AS180" i="55"/>
  <c r="AQ180" i="55"/>
  <c r="AP180" i="55"/>
  <c r="AO180" i="55"/>
  <c r="AN180" i="55"/>
  <c r="AL180" i="55"/>
  <c r="AK180" i="55"/>
  <c r="AJ180" i="55"/>
  <c r="AI180" i="55"/>
  <c r="AH180" i="55"/>
  <c r="AG180" i="55"/>
  <c r="AF180" i="55"/>
  <c r="S180" i="55"/>
  <c r="R180" i="55"/>
  <c r="Q180" i="55"/>
  <c r="Q181" i="55" s="1"/>
  <c r="AR179" i="55"/>
  <c r="AM179" i="55"/>
  <c r="AC179" i="55"/>
  <c r="AA179" i="55"/>
  <c r="AR178" i="55"/>
  <c r="AM178" i="55"/>
  <c r="AC178" i="55"/>
  <c r="AA178" i="55"/>
  <c r="AR177" i="55"/>
  <c r="AM177" i="55"/>
  <c r="AR176" i="55"/>
  <c r="AM176" i="55"/>
  <c r="BF182" i="55" l="1"/>
  <c r="BD182" i="55"/>
  <c r="BE182" i="55"/>
  <c r="P6" i="46"/>
  <c r="U6" i="46"/>
  <c r="N9" i="48"/>
  <c r="T6" i="46"/>
  <c r="V6" i="46"/>
  <c r="AM180" i="55"/>
  <c r="S182" i="55"/>
  <c r="R181" i="55"/>
  <c r="BC182" i="55"/>
  <c r="S181" i="55"/>
  <c r="BB182" i="55"/>
  <c r="AR180" i="55"/>
  <c r="BA180" i="55"/>
  <c r="AD180" i="55"/>
  <c r="T9" i="53" s="1"/>
  <c r="K180" i="46" l="1"/>
  <c r="AH3" i="51" s="1"/>
  <c r="L9" i="48"/>
  <c r="AC6" i="46"/>
  <c r="R182"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B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Y42" i="1"/>
  <c r="AS42" i="1"/>
  <c r="AP42" i="1"/>
  <c r="AM42" i="1"/>
  <c r="AJ42" i="1"/>
  <c r="AG42" i="1"/>
  <c r="AD42" i="1"/>
  <c r="AA42" i="1"/>
  <c r="X42" i="1"/>
  <c r="U42" i="1"/>
  <c r="R42" i="1"/>
  <c r="O42" i="1"/>
  <c r="L42" i="1"/>
  <c r="F42" i="1"/>
  <c r="KR40" i="1"/>
  <c r="KO40" i="1"/>
  <c r="KL40" i="1"/>
  <c r="KI40" i="1"/>
  <c r="KF40" i="1"/>
  <c r="KC40" i="1"/>
  <c r="JZ40" i="1"/>
  <c r="JW40" i="1"/>
  <c r="JT40" i="1"/>
  <c r="JQ40" i="1"/>
  <c r="JN40" i="1"/>
  <c r="JK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C180" i="46"/>
  <c r="BB180" i="46"/>
  <c r="AZ180" i="46"/>
  <c r="AY180" i="46"/>
  <c r="AX180" i="46"/>
  <c r="AW180" i="46"/>
  <c r="AV180" i="46"/>
  <c r="AU180" i="46"/>
  <c r="AT180" i="46"/>
  <c r="AS180" i="46"/>
  <c r="AQ180" i="46"/>
  <c r="AP180" i="46"/>
  <c r="AO180" i="46"/>
  <c r="AN180" i="46"/>
  <c r="AL180" i="46"/>
  <c r="AK180" i="46"/>
  <c r="AJ180" i="46"/>
  <c r="AI180" i="46"/>
  <c r="AH180" i="46"/>
  <c r="AG180" i="46"/>
  <c r="AF180" i="46"/>
  <c r="AR179" i="46"/>
  <c r="AM179" i="46"/>
  <c r="AR8" i="46"/>
  <c r="BA8" i="46" s="1"/>
  <c r="AR7" i="46"/>
  <c r="BA7" i="46" s="1"/>
  <c r="AD7" i="46" s="1"/>
  <c r="AV187" i="55" l="1"/>
  <c r="G42" i="1"/>
  <c r="JH42" i="1"/>
  <c r="JX42" i="1"/>
  <c r="P42" i="1"/>
  <c r="AR180" i="46"/>
  <c r="W42" i="1"/>
  <c r="AU42" i="1"/>
  <c r="BS42" i="1"/>
  <c r="CQ42" i="1"/>
  <c r="DO42" i="1"/>
  <c r="EM42" i="1"/>
  <c r="FK42" i="1"/>
  <c r="GI42" i="1"/>
  <c r="HG42" i="1"/>
  <c r="IE42" i="1"/>
  <c r="JC42" i="1"/>
  <c r="JZ42" i="1"/>
  <c r="KT28" i="1"/>
  <c r="Z42" i="1"/>
  <c r="BV42" i="1"/>
  <c r="CT42" i="1"/>
  <c r="DR42" i="1"/>
  <c r="EP42" i="1"/>
  <c r="FN42" i="1"/>
  <c r="IH42" i="1"/>
  <c r="JF42" i="1"/>
  <c r="KC42" i="1"/>
  <c r="AC42" i="1"/>
  <c r="BA42" i="1"/>
  <c r="BX42" i="1"/>
  <c r="CV42" i="1"/>
  <c r="DT42" i="1"/>
  <c r="ER42" i="1"/>
  <c r="FP42" i="1"/>
  <c r="KT30" i="1"/>
  <c r="KT36" i="1"/>
  <c r="H42" i="1"/>
  <c r="BC42" i="1"/>
  <c r="CA42" i="1"/>
  <c r="CZ42" i="1"/>
  <c r="DX42" i="1"/>
  <c r="EV42" i="1"/>
  <c r="FT42" i="1"/>
  <c r="GR42" i="1"/>
  <c r="HP42" i="1"/>
  <c r="IN42" i="1"/>
  <c r="JK42" i="1"/>
  <c r="KI42" i="1"/>
  <c r="AI42" i="1"/>
  <c r="BG42" i="1"/>
  <c r="CE42" i="1"/>
  <c r="DC42" i="1"/>
  <c r="EA42" i="1"/>
  <c r="EY42" i="1"/>
  <c r="FW42" i="1"/>
  <c r="GU42" i="1"/>
  <c r="HS42" i="1"/>
  <c r="IQ42" i="1"/>
  <c r="JN42" i="1"/>
  <c r="KL42" i="1"/>
  <c r="AL42" i="1"/>
  <c r="BJ42" i="1"/>
  <c r="CH42" i="1"/>
  <c r="DF42" i="1"/>
  <c r="ED42" i="1"/>
  <c r="FB42" i="1"/>
  <c r="FZ42" i="1"/>
  <c r="GX42" i="1"/>
  <c r="HU42" i="1"/>
  <c r="JQ42" i="1"/>
  <c r="KO42" i="1"/>
  <c r="KT16" i="1"/>
  <c r="KT37" i="1"/>
  <c r="AO42" i="1"/>
  <c r="BM42" i="1"/>
  <c r="CK42" i="1"/>
  <c r="DI42" i="1"/>
  <c r="FE42" i="1"/>
  <c r="GC42" i="1"/>
  <c r="HA42" i="1"/>
  <c r="HY42" i="1"/>
  <c r="IW42" i="1"/>
  <c r="KT18" i="1"/>
  <c r="T42" i="1"/>
  <c r="AR42" i="1"/>
  <c r="BP42" i="1"/>
  <c r="CN42" i="1"/>
  <c r="DL42" i="1"/>
  <c r="EJ42" i="1"/>
  <c r="FH42" i="1"/>
  <c r="GF42" i="1"/>
  <c r="HD42" i="1"/>
  <c r="IB42" i="1"/>
  <c r="IZ42" i="1"/>
  <c r="JW42" i="1"/>
  <c r="Q42" i="1"/>
  <c r="KT24" i="1"/>
  <c r="KT26" i="1"/>
  <c r="KT17" i="1"/>
  <c r="AD8" i="46"/>
  <c r="KT15" i="1"/>
  <c r="AM180" i="46"/>
  <c r="S182" i="46" s="1"/>
  <c r="KT25" i="1"/>
  <c r="KT21" i="1"/>
  <c r="KT22" i="1"/>
  <c r="KT29" i="1"/>
  <c r="KT19" i="1"/>
  <c r="KT27" i="1"/>
  <c r="KT31" i="1"/>
  <c r="KT33" i="1"/>
  <c r="KT32" i="1"/>
  <c r="KT35" i="1"/>
  <c r="KT40" i="1"/>
  <c r="KT39" i="1"/>
  <c r="M42" i="1"/>
  <c r="AK42" i="1"/>
  <c r="BI42" i="1"/>
  <c r="BY42" i="1"/>
  <c r="CG42" i="1"/>
  <c r="CW42" i="1"/>
  <c r="DE42" i="1"/>
  <c r="DU42" i="1"/>
  <c r="EC42" i="1"/>
  <c r="ES42" i="1"/>
  <c r="FA42" i="1"/>
  <c r="FQ42" i="1"/>
  <c r="FY42" i="1"/>
  <c r="GO42" i="1"/>
  <c r="GW42" i="1"/>
  <c r="HM42" i="1"/>
  <c r="IK42" i="1"/>
  <c r="IS42" i="1"/>
  <c r="JI42" i="1"/>
  <c r="JT42" i="1"/>
  <c r="KF42" i="1"/>
  <c r="KR42" i="1"/>
  <c r="N42" i="1"/>
  <c r="V42" i="1"/>
  <c r="AT42" i="1"/>
  <c r="BR42" i="1"/>
  <c r="CP42" i="1"/>
  <c r="DN42" i="1"/>
  <c r="EL42" i="1"/>
  <c r="FJ42" i="1"/>
  <c r="GH42" i="1"/>
  <c r="HF42" i="1"/>
  <c r="HV42" i="1"/>
  <c r="ID42" i="1"/>
  <c r="IT42" i="1"/>
  <c r="JB42" i="1"/>
  <c r="AE42" i="1"/>
  <c r="CY42" i="1"/>
  <c r="DW42" i="1"/>
  <c r="EU42" i="1"/>
  <c r="FS42" i="1"/>
  <c r="GQ42" i="1"/>
  <c r="HO42" i="1"/>
  <c r="IM42" i="1"/>
  <c r="AF42" i="1"/>
  <c r="AN42" i="1"/>
  <c r="BD42" i="1"/>
  <c r="BL42" i="1"/>
  <c r="CB42" i="1"/>
  <c r="CJ42" i="1"/>
  <c r="DH42" i="1"/>
  <c r="FD42" i="1"/>
  <c r="GB42" i="1"/>
  <c r="GZ42" i="1"/>
  <c r="HX42" i="1"/>
  <c r="IV42" i="1"/>
  <c r="Y42" i="1"/>
  <c r="BU42" i="1"/>
  <c r="CS42" i="1"/>
  <c r="DQ42" i="1"/>
  <c r="EO42" i="1"/>
  <c r="FM42" i="1"/>
  <c r="GK42" i="1"/>
  <c r="HI42" i="1"/>
  <c r="IG42" i="1"/>
  <c r="JE42" i="1"/>
  <c r="AH42" i="1"/>
  <c r="BF42" i="1"/>
  <c r="CD42" i="1"/>
  <c r="DB42" i="1"/>
  <c r="DZ42" i="1"/>
  <c r="EX42" i="1"/>
  <c r="FV42" i="1"/>
  <c r="GL42" i="1"/>
  <c r="GT42" i="1"/>
  <c r="HJ42" i="1"/>
  <c r="HR42" i="1"/>
  <c r="IP42" i="1"/>
  <c r="S42" i="1"/>
  <c r="AQ42" i="1"/>
  <c r="BO42" i="1"/>
  <c r="CM42" i="1"/>
  <c r="DK42" i="1"/>
  <c r="EI42" i="1"/>
  <c r="FG42" i="1"/>
  <c r="GE42" i="1"/>
  <c r="HC42" i="1"/>
  <c r="IA42" i="1"/>
  <c r="IY42" i="1"/>
  <c r="AB42" i="1"/>
  <c r="AZ42" i="1"/>
  <c r="GN42" i="1"/>
  <c r="HL42" i="1"/>
  <c r="IJ42" i="1"/>
  <c r="KT12" i="1"/>
  <c r="KT11" i="1"/>
  <c r="KT13" i="1"/>
  <c r="KT10"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U10" i="1" l="1"/>
  <c r="KU21" i="1"/>
  <c r="KU12" i="1"/>
  <c r="KU13" i="1"/>
  <c r="KU17" i="1"/>
  <c r="KU22" i="1"/>
  <c r="KU24" i="1"/>
  <c r="KU16" i="1"/>
  <c r="KU11" i="1"/>
  <c r="KU14" i="1"/>
  <c r="KU18" i="1"/>
  <c r="KU15" i="1"/>
  <c r="KU40" i="1"/>
  <c r="KU42" i="1"/>
  <c r="KU19" i="1"/>
  <c r="KU36" i="1"/>
  <c r="KU20" i="1"/>
  <c r="KU26" i="1"/>
  <c r="KU39" i="1"/>
  <c r="KU33" i="1"/>
  <c r="KU32" i="1"/>
  <c r="KU35" i="1"/>
  <c r="KU28" i="1"/>
  <c r="KU30" i="1"/>
  <c r="KU31" i="1"/>
  <c r="KU37" i="1"/>
  <c r="KU34" i="1"/>
  <c r="KU25" i="1"/>
  <c r="KU27" i="1"/>
  <c r="KU38" i="1"/>
  <c r="KU29" i="1"/>
  <c r="KU23" i="1"/>
  <c r="AD6" i="46"/>
  <c r="AD180" i="46" s="1"/>
  <c r="BA180" i="46"/>
  <c r="Q40" i="45" l="1"/>
  <c r="AH21" i="45"/>
  <c r="AG21" i="45"/>
  <c r="AH20" i="45"/>
  <c r="AG20" i="45"/>
  <c r="AH18" i="45"/>
  <c r="AG18" i="45"/>
  <c r="AH17" i="45"/>
  <c r="AG17" i="45"/>
  <c r="AH15" i="45"/>
  <c r="AG15" i="45"/>
  <c r="AH14" i="45"/>
  <c r="AG14" i="45"/>
  <c r="AH13" i="45"/>
  <c r="AG13" i="45"/>
  <c r="AH12" i="45"/>
  <c r="AG12" i="45"/>
  <c r="AH11" i="45"/>
  <c r="AG11" i="45"/>
  <c r="AH10" i="45"/>
  <c r="AH16" i="45" s="1"/>
  <c r="AG10" i="45"/>
  <c r="AG16" i="45" s="1"/>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AH22" i="45" l="1"/>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G19" i="45"/>
  <c r="AH19" i="45"/>
  <c r="AG22" i="45"/>
  <c r="AH24" i="45" l="1"/>
  <c r="AG24" i="45"/>
  <c r="AH26" i="45" l="1"/>
  <c r="P180" i="55"/>
  <c r="O180" i="55" s="1"/>
  <c r="C180" i="55"/>
  <c r="T180" i="55"/>
  <c r="V180" i="55"/>
  <c r="T10" i="53" l="1"/>
  <c r="K180" i="55"/>
  <c r="T8" i="53" s="1"/>
  <c r="AC180" i="55"/>
  <c r="T5" i="53" s="1"/>
  <c r="N15" i="54" s="1"/>
  <c r="U180" i="55"/>
  <c r="AY41" i="48"/>
  <c r="AZ9" i="48"/>
  <c r="AZ10" i="48" s="1"/>
  <c r="AZ11" i="48" s="1"/>
  <c r="AZ12" i="48" s="1"/>
  <c r="AZ13" i="48" s="1"/>
  <c r="AZ14" i="48" s="1"/>
  <c r="AZ15" i="48" s="1"/>
  <c r="AZ16" i="48" s="1"/>
  <c r="AZ17" i="48" s="1"/>
  <c r="AZ18" i="48" s="1"/>
  <c r="AZ19" i="48" s="1"/>
  <c r="AZ20" i="48" s="1"/>
  <c r="AZ21" i="48" s="1"/>
  <c r="AZ22" i="48" s="1"/>
  <c r="AZ23" i="48" s="1"/>
  <c r="AZ24" i="48" s="1"/>
  <c r="AZ25" i="48" s="1"/>
  <c r="AZ26" i="48" s="1"/>
  <c r="AZ27" i="48" s="1"/>
  <c r="AZ28" i="48" s="1"/>
  <c r="AZ29" i="48" s="1"/>
  <c r="AZ30" i="48" s="1"/>
  <c r="AZ31" i="48" s="1"/>
  <c r="AZ32" i="48" s="1"/>
  <c r="AZ33" i="48" s="1"/>
  <c r="AZ34" i="48" s="1"/>
  <c r="AZ35" i="48" s="1"/>
  <c r="AZ36" i="48" s="1"/>
  <c r="AZ37" i="48" s="1"/>
  <c r="AZ38" i="48" s="1"/>
  <c r="AZ39" i="48" s="1"/>
  <c r="R180" i="46"/>
  <c r="Q180" i="46"/>
  <c r="Q181" i="46" s="1"/>
  <c r="AC179" i="46"/>
  <c r="AA179" i="46"/>
  <c r="AC178" i="46"/>
  <c r="AA178" i="46"/>
  <c r="T180" i="46"/>
  <c r="BE182" i="46" l="1"/>
  <c r="BD182" i="46"/>
  <c r="BF182" i="46"/>
  <c r="AC181" i="55"/>
  <c r="X190" i="55" s="1"/>
  <c r="V181" i="55"/>
  <c r="AZ181" i="55" s="1"/>
  <c r="X210" i="55" s="1"/>
  <c r="N33" i="54"/>
  <c r="N25" i="54"/>
  <c r="N17" i="54"/>
  <c r="N5" i="54"/>
  <c r="N9" i="54"/>
  <c r="N11" i="54"/>
  <c r="N21" i="54"/>
  <c r="N23" i="54"/>
  <c r="N29" i="54"/>
  <c r="N31" i="54"/>
  <c r="N37" i="54"/>
  <c r="N39" i="54"/>
  <c r="N8" i="54"/>
  <c r="N20" i="54"/>
  <c r="N28" i="54"/>
  <c r="N36" i="54"/>
  <c r="N6" i="54"/>
  <c r="N18" i="54"/>
  <c r="N26" i="54"/>
  <c r="N34" i="54"/>
  <c r="N7" i="54"/>
  <c r="N19" i="54"/>
  <c r="N27" i="54"/>
  <c r="N35" i="54"/>
  <c r="N4" i="54"/>
  <c r="N16" i="54"/>
  <c r="N24" i="54"/>
  <c r="N32" i="54"/>
  <c r="N10" i="54"/>
  <c r="N22" i="54"/>
  <c r="N30" i="54"/>
  <c r="N38" i="54"/>
  <c r="T11" i="53"/>
  <c r="U5" i="53"/>
  <c r="O15" i="54" s="1"/>
  <c r="P15" i="54" s="1"/>
  <c r="BB182" i="46"/>
  <c r="BC182" i="46"/>
  <c r="C180" i="46"/>
  <c r="R181" i="46"/>
  <c r="AC180" i="46"/>
  <c r="I5" i="53" s="1"/>
  <c r="E15" i="54" s="1"/>
  <c r="I9" i="53"/>
  <c r="AH4" i="51"/>
  <c r="AI3" i="51" s="1"/>
  <c r="I8" i="53"/>
  <c r="R182" i="46"/>
  <c r="EC47" i="2"/>
  <c r="EC46" i="2"/>
  <c r="EC45" i="2"/>
  <c r="EC44" i="2"/>
  <c r="EA42" i="2"/>
  <c r="DW42" i="2"/>
  <c r="DS42" i="2"/>
  <c r="DO42" i="2"/>
  <c r="DG42" i="2"/>
  <c r="DC42" i="2"/>
  <c r="CU42" i="2"/>
  <c r="CQ42" i="2"/>
  <c r="CM42" i="2"/>
  <c r="CI42" i="2"/>
  <c r="CE42" i="2"/>
  <c r="CA42" i="2"/>
  <c r="BS42" i="2"/>
  <c r="BK42" i="2"/>
  <c r="BG42" i="2"/>
  <c r="BC42" i="2"/>
  <c r="AY42" i="2"/>
  <c r="AU42" i="2"/>
  <c r="AQ42" i="2"/>
  <c r="AM42" i="2"/>
  <c r="AI42" i="2"/>
  <c r="AE42" i="2"/>
  <c r="AA42" i="2"/>
  <c r="G42" i="2"/>
  <c r="EE39" i="2"/>
  <c r="DY39" i="2"/>
  <c r="DK39" i="2"/>
  <c r="BW39" i="2"/>
  <c r="EE38" i="2"/>
  <c r="DY38" i="2"/>
  <c r="DK38" i="2"/>
  <c r="BW38" i="2"/>
  <c r="EE37" i="2"/>
  <c r="DY37" i="2"/>
  <c r="BW37" i="2"/>
  <c r="EE36" i="2"/>
  <c r="DY36" i="2"/>
  <c r="BW36" i="2"/>
  <c r="EE35" i="2"/>
  <c r="DY35" i="2"/>
  <c r="DK35" i="2"/>
  <c r="EE34" i="2"/>
  <c r="DY34" i="2"/>
  <c r="DK34" i="2"/>
  <c r="BW34" i="2"/>
  <c r="EE33" i="2"/>
  <c r="DY33" i="2"/>
  <c r="BW33" i="2"/>
  <c r="EE32" i="2"/>
  <c r="DY32" i="2"/>
  <c r="BW32" i="2"/>
  <c r="EE31" i="2"/>
  <c r="DY31" i="2"/>
  <c r="EE30" i="2"/>
  <c r="DY30" i="2"/>
  <c r="EE29" i="2"/>
  <c r="DY29" i="2"/>
  <c r="BW29" i="2"/>
  <c r="EE28" i="2"/>
  <c r="DY28" i="2"/>
  <c r="DK28" i="2"/>
  <c r="BW28" i="2"/>
  <c r="EE27" i="2"/>
  <c r="DY27" i="2"/>
  <c r="BW27" i="2"/>
  <c r="EE26" i="2"/>
  <c r="DY26" i="2"/>
  <c r="BW26" i="2"/>
  <c r="EE25" i="2"/>
  <c r="DY25" i="2"/>
  <c r="BW25" i="2"/>
  <c r="EE24" i="2"/>
  <c r="DY24" i="2"/>
  <c r="DK24" i="2"/>
  <c r="BW24" i="2"/>
  <c r="EE23" i="2"/>
  <c r="DY23" i="2"/>
  <c r="DK23" i="2"/>
  <c r="BW23" i="2"/>
  <c r="EE22" i="2"/>
  <c r="DY22" i="2"/>
  <c r="DK22" i="2"/>
  <c r="BW22" i="2"/>
  <c r="EE21" i="2"/>
  <c r="DY21" i="2"/>
  <c r="DK21" i="2"/>
  <c r="BW21" i="2"/>
  <c r="EE20" i="2"/>
  <c r="DY20" i="2"/>
  <c r="EE19" i="2"/>
  <c r="DY19" i="2"/>
  <c r="DK19" i="2"/>
  <c r="EE18" i="2"/>
  <c r="DY18" i="2"/>
  <c r="DK18" i="2"/>
  <c r="EE17" i="2"/>
  <c r="DY17" i="2"/>
  <c r="DK17" i="2"/>
  <c r="EE16" i="2"/>
  <c r="DY16" i="2"/>
  <c r="DK16" i="2"/>
  <c r="EE15" i="2"/>
  <c r="DY15" i="2"/>
  <c r="DK15" i="2"/>
  <c r="EE14" i="2"/>
  <c r="DY14" i="2"/>
  <c r="BW14" i="2"/>
  <c r="EE13" i="2"/>
  <c r="DY13" i="2"/>
  <c r="DK13" i="2"/>
  <c r="BW13" i="2"/>
  <c r="EE12" i="2"/>
  <c r="DY12" i="2"/>
  <c r="DK12" i="2"/>
  <c r="BW12" i="2"/>
  <c r="EE11" i="2"/>
  <c r="DY11" i="2"/>
  <c r="DK11" i="2"/>
  <c r="BW11" i="2"/>
  <c r="EE10" i="2"/>
  <c r="EC10" i="2"/>
  <c r="EC11" i="2" s="1"/>
  <c r="DY10" i="2"/>
  <c r="DU10" i="2"/>
  <c r="DU11" i="2" s="1"/>
  <c r="DU12" i="2" s="1"/>
  <c r="DU13" i="2" s="1"/>
  <c r="DU14" i="2" s="1"/>
  <c r="DQ10" i="2"/>
  <c r="DQ11"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P39" i="48"/>
  <c r="B38" i="45" s="1"/>
  <c r="P38" i="48"/>
  <c r="B37" i="45" s="1"/>
  <c r="P37" i="48"/>
  <c r="B36" i="45" s="1"/>
  <c r="P36" i="48"/>
  <c r="B35" i="45" s="1"/>
  <c r="E36" i="48"/>
  <c r="D36" i="48"/>
  <c r="P35" i="48"/>
  <c r="B34" i="45" s="1"/>
  <c r="E35" i="48"/>
  <c r="D35" i="48"/>
  <c r="P34" i="48"/>
  <c r="B33" i="45" s="1"/>
  <c r="E34" i="48"/>
  <c r="D34" i="48"/>
  <c r="P33" i="48"/>
  <c r="B32" i="45" s="1"/>
  <c r="E33" i="48"/>
  <c r="D33" i="48"/>
  <c r="P32" i="48"/>
  <c r="B31" i="45" s="1"/>
  <c r="E32" i="48"/>
  <c r="D32" i="48"/>
  <c r="P31" i="48"/>
  <c r="B30" i="45" s="1"/>
  <c r="P30" i="48"/>
  <c r="B29" i="45" s="1"/>
  <c r="P29" i="48"/>
  <c r="B28" i="45" s="1"/>
  <c r="P28" i="48"/>
  <c r="B27" i="45" s="1"/>
  <c r="P27" i="48"/>
  <c r="P26" i="48"/>
  <c r="B25" i="45" s="1"/>
  <c r="P25" i="48"/>
  <c r="B24" i="45" s="1"/>
  <c r="E25" i="48"/>
  <c r="D25" i="48"/>
  <c r="P24" i="48"/>
  <c r="B23" i="45" s="1"/>
  <c r="E24" i="48"/>
  <c r="D24" i="48"/>
  <c r="P23" i="48"/>
  <c r="B22" i="45" s="1"/>
  <c r="P22" i="48"/>
  <c r="B21" i="45" s="1"/>
  <c r="P21" i="48"/>
  <c r="B20" i="45" s="1"/>
  <c r="P20" i="48"/>
  <c r="B19" i="45" s="1"/>
  <c r="P19" i="48"/>
  <c r="B18" i="45" s="1"/>
  <c r="P18" i="48"/>
  <c r="B17" i="45" s="1"/>
  <c r="P17" i="48"/>
  <c r="B16" i="45" s="1"/>
  <c r="P16" i="48"/>
  <c r="B15" i="45" s="1"/>
  <c r="P15" i="48"/>
  <c r="B14" i="45" s="1"/>
  <c r="P14" i="48"/>
  <c r="P13" i="48"/>
  <c r="B12" i="45" s="1"/>
  <c r="P12" i="48"/>
  <c r="B11" i="45" s="1"/>
  <c r="P11" i="48"/>
  <c r="B10" i="45" s="1"/>
  <c r="P10" i="48"/>
  <c r="B9" i="45" s="1"/>
  <c r="E10" i="48"/>
  <c r="D10" i="48"/>
  <c r="P9" i="48"/>
  <c r="B8" i="45"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F41" i="48"/>
  <c r="Z41" i="48"/>
  <c r="AG9" i="48"/>
  <c r="AG10" i="48" s="1"/>
  <c r="AA9" i="48"/>
  <c r="AA10" i="48" s="1"/>
  <c r="FH23" i="2" l="1"/>
  <c r="FC23" i="2"/>
  <c r="EV23" i="2" s="1"/>
  <c r="FH36" i="2"/>
  <c r="FH16" i="2"/>
  <c r="FH28" i="2"/>
  <c r="FC28" i="2"/>
  <c r="EV28" i="2" s="1"/>
  <c r="FH19" i="2"/>
  <c r="FH26" i="2"/>
  <c r="FC26" i="2"/>
  <c r="EV26" i="2" s="1"/>
  <c r="FC34" i="2"/>
  <c r="EV34" i="2" s="1"/>
  <c r="FH13" i="2"/>
  <c r="FC13" i="2"/>
  <c r="EV13" i="2" s="1"/>
  <c r="FH32" i="2"/>
  <c r="FH37" i="2"/>
  <c r="FH39" i="2"/>
  <c r="FC39" i="2"/>
  <c r="EV39" i="2" s="1"/>
  <c r="FH21" i="2"/>
  <c r="FC21" i="2"/>
  <c r="EV21" i="2" s="1"/>
  <c r="FH17" i="2"/>
  <c r="FH22" i="2"/>
  <c r="FC22" i="2"/>
  <c r="EV22" i="2" s="1"/>
  <c r="FH24" i="2"/>
  <c r="FC24" i="2"/>
  <c r="EV24" i="2" s="1"/>
  <c r="FH29" i="2"/>
  <c r="FH27" i="2"/>
  <c r="FH31" i="2"/>
  <c r="FH15" i="2"/>
  <c r="FH30" i="2"/>
  <c r="FH18" i="2"/>
  <c r="FH25" i="2"/>
  <c r="FC38" i="2"/>
  <c r="EV38" i="2" s="1"/>
  <c r="EG10" i="2"/>
  <c r="FI40" i="2"/>
  <c r="AH39" i="48"/>
  <c r="AQ181" i="55"/>
  <c r="X203" i="55" s="1"/>
  <c r="AG181" i="55"/>
  <c r="X194" i="55" s="1"/>
  <c r="AN181" i="55"/>
  <c r="X200" i="55" s="1"/>
  <c r="AF181" i="55"/>
  <c r="X193" i="55" s="1"/>
  <c r="AO181" i="55"/>
  <c r="X201" i="55" s="1"/>
  <c r="AW181" i="55"/>
  <c r="X207" i="55" s="1"/>
  <c r="AK181" i="55"/>
  <c r="X198" i="55" s="1"/>
  <c r="AS181" i="55"/>
  <c r="X204" i="55" s="1"/>
  <c r="AY181" i="55"/>
  <c r="AL181" i="55"/>
  <c r="X199" i="55" s="1"/>
  <c r="AV181" i="55"/>
  <c r="X208" i="55" s="1"/>
  <c r="AH181" i="55"/>
  <c r="X195" i="55" s="1"/>
  <c r="BA181" i="55"/>
  <c r="AU181" i="55"/>
  <c r="X206" i="55" s="1"/>
  <c r="AJ181" i="55"/>
  <c r="X197" i="55" s="1"/>
  <c r="AP181" i="55"/>
  <c r="X202" i="55" s="1"/>
  <c r="AI181" i="55"/>
  <c r="X196" i="55" s="1"/>
  <c r="AX181" i="55"/>
  <c r="AT181" i="55"/>
  <c r="X205" i="55" s="1"/>
  <c r="AR181" i="55"/>
  <c r="AM181" i="55"/>
  <c r="AC181" i="46"/>
  <c r="X190" i="46" s="1"/>
  <c r="O35" i="54"/>
  <c r="O27" i="54"/>
  <c r="O19" i="54"/>
  <c r="O7" i="54"/>
  <c r="P7" i="54" s="1"/>
  <c r="O5" i="54"/>
  <c r="P5" i="54" s="1"/>
  <c r="O6" i="54"/>
  <c r="P6" i="54" s="1"/>
  <c r="O18" i="54"/>
  <c r="P18" i="54" s="1"/>
  <c r="O26" i="54"/>
  <c r="O34" i="54"/>
  <c r="O17" i="54"/>
  <c r="O25" i="54"/>
  <c r="O33" i="54"/>
  <c r="O21" i="54"/>
  <c r="O37" i="54"/>
  <c r="O11" i="54"/>
  <c r="P11" i="54" s="1"/>
  <c r="O23" i="54"/>
  <c r="O39" i="54"/>
  <c r="O8" i="54"/>
  <c r="P8" i="54" s="1"/>
  <c r="O10" i="54"/>
  <c r="P10" i="54" s="1"/>
  <c r="O16" i="54"/>
  <c r="O20" i="54"/>
  <c r="O22" i="54"/>
  <c r="O24" i="54"/>
  <c r="O28" i="54"/>
  <c r="O30" i="54"/>
  <c r="O32" i="54"/>
  <c r="O36" i="54"/>
  <c r="O38" i="54"/>
  <c r="O9" i="54"/>
  <c r="P9" i="54" s="1"/>
  <c r="O29" i="54"/>
  <c r="O31" i="54"/>
  <c r="O4" i="54"/>
  <c r="P4" i="54" s="1"/>
  <c r="F15" i="54"/>
  <c r="G15" i="54" s="1"/>
  <c r="AB35" i="48"/>
  <c r="G31" i="48"/>
  <c r="AH22" i="48"/>
  <c r="H33" i="48"/>
  <c r="AB38" i="48"/>
  <c r="AH13" i="48"/>
  <c r="AH17" i="48"/>
  <c r="F32" i="48"/>
  <c r="F34" i="48"/>
  <c r="F36" i="48"/>
  <c r="G17" i="48"/>
  <c r="F33" i="48"/>
  <c r="G30" i="48"/>
  <c r="AH30" i="48"/>
  <c r="H34" i="48"/>
  <c r="Q9" i="48"/>
  <c r="AI9" i="48" s="1"/>
  <c r="AB29" i="48"/>
  <c r="H36" i="48"/>
  <c r="AB36" i="48"/>
  <c r="H19" i="48"/>
  <c r="G25" i="48"/>
  <c r="AB15" i="48"/>
  <c r="G29" i="48"/>
  <c r="AH29" i="48"/>
  <c r="G32" i="48"/>
  <c r="R10" i="45"/>
  <c r="R14" i="45"/>
  <c r="R18" i="45"/>
  <c r="R22" i="45"/>
  <c r="R24" i="45"/>
  <c r="R28" i="45"/>
  <c r="R31" i="45"/>
  <c r="R33" i="45"/>
  <c r="R35" i="45"/>
  <c r="R8" i="45"/>
  <c r="R11" i="45"/>
  <c r="R15" i="45"/>
  <c r="R19" i="45"/>
  <c r="R25" i="45"/>
  <c r="R29" i="45"/>
  <c r="R36" i="45"/>
  <c r="F24" i="48"/>
  <c r="R12" i="45"/>
  <c r="R16" i="45"/>
  <c r="R20" i="45"/>
  <c r="R23" i="45"/>
  <c r="D28" i="1"/>
  <c r="D28" i="2" s="1"/>
  <c r="B26" i="45"/>
  <c r="R30" i="45"/>
  <c r="R32" i="45"/>
  <c r="R34" i="45"/>
  <c r="R37" i="45"/>
  <c r="D15" i="1"/>
  <c r="D15" i="2" s="1"/>
  <c r="B13" i="45"/>
  <c r="R17" i="45"/>
  <c r="R21" i="45"/>
  <c r="R27" i="45"/>
  <c r="R38" i="45"/>
  <c r="FC11" i="2"/>
  <c r="EV11" i="2" s="1"/>
  <c r="R9" i="45"/>
  <c r="F10" i="48"/>
  <c r="A12" i="1"/>
  <c r="A11" i="2"/>
  <c r="B21" i="2"/>
  <c r="B32" i="2"/>
  <c r="D38" i="1"/>
  <c r="D38" i="2" s="1"/>
  <c r="AH37" i="48"/>
  <c r="V39" i="48"/>
  <c r="D40" i="1"/>
  <c r="D40" i="2" s="1"/>
  <c r="AB39" i="48"/>
  <c r="H39" i="48"/>
  <c r="G39" i="48"/>
  <c r="B29" i="2"/>
  <c r="AH32" i="48"/>
  <c r="D33" i="1"/>
  <c r="D33" i="2" s="1"/>
  <c r="AB32" i="48"/>
  <c r="H32" i="48"/>
  <c r="B16" i="2"/>
  <c r="B37" i="2"/>
  <c r="G37" i="48"/>
  <c r="AB21" i="48"/>
  <c r="D22" i="1"/>
  <c r="D22" i="2" s="1"/>
  <c r="D24" i="1"/>
  <c r="D24" i="2" s="1"/>
  <c r="G23" i="48"/>
  <c r="B13" i="2"/>
  <c r="B24" i="2"/>
  <c r="D10" i="1"/>
  <c r="D10" i="2" s="1"/>
  <c r="AB12" i="48"/>
  <c r="D13" i="1"/>
  <c r="D13" i="2" s="1"/>
  <c r="F25" i="48"/>
  <c r="AB33" i="48"/>
  <c r="D34" i="1"/>
  <c r="D34" i="2" s="1"/>
  <c r="G33" i="48"/>
  <c r="B12" i="2"/>
  <c r="B20" i="2"/>
  <c r="B33" i="2"/>
  <c r="B36" i="2"/>
  <c r="G11" i="48"/>
  <c r="D12" i="1"/>
  <c r="AB11" i="48"/>
  <c r="D25" i="1"/>
  <c r="D25" i="2" s="1"/>
  <c r="G24" i="48"/>
  <c r="G12" i="48"/>
  <c r="AB24" i="48"/>
  <c r="G13" i="48"/>
  <c r="D14" i="1"/>
  <c r="D14" i="2" s="1"/>
  <c r="G15" i="48"/>
  <c r="D16" i="1"/>
  <c r="D16" i="2" s="1"/>
  <c r="D17" i="1"/>
  <c r="D17" i="2" s="1"/>
  <c r="H25" i="48"/>
  <c r="D26" i="1"/>
  <c r="D26" i="2" s="1"/>
  <c r="AB28" i="48"/>
  <c r="D29" i="1"/>
  <c r="D29" i="2" s="1"/>
  <c r="H28" i="48"/>
  <c r="G35" i="48"/>
  <c r="D36" i="1"/>
  <c r="D36" i="2" s="1"/>
  <c r="AH12" i="48"/>
  <c r="AB16" i="48"/>
  <c r="AH24" i="48"/>
  <c r="G28" i="48"/>
  <c r="AH33" i="48"/>
  <c r="H35" i="48"/>
  <c r="D18" i="1"/>
  <c r="D18" i="2" s="1"/>
  <c r="AB19" i="48"/>
  <c r="D20" i="1"/>
  <c r="D20" i="2" s="1"/>
  <c r="AB20" i="48"/>
  <c r="D21" i="1"/>
  <c r="D21" i="2" s="1"/>
  <c r="D30" i="1"/>
  <c r="D30" i="2" s="1"/>
  <c r="AB31" i="48"/>
  <c r="D32" i="1"/>
  <c r="D32" i="2" s="1"/>
  <c r="AH36" i="48"/>
  <c r="D37" i="1"/>
  <c r="D37" i="2" s="1"/>
  <c r="G36" i="48"/>
  <c r="B35" i="2"/>
  <c r="A10" i="2"/>
  <c r="AB10" i="48"/>
  <c r="D11" i="1"/>
  <c r="D11" i="2" s="1"/>
  <c r="AB18" i="48"/>
  <c r="D19" i="1"/>
  <c r="D19" i="2" s="1"/>
  <c r="H22" i="48"/>
  <c r="D23" i="1"/>
  <c r="D23" i="2" s="1"/>
  <c r="AH26" i="48"/>
  <c r="D27" i="1"/>
  <c r="D27" i="2" s="1"/>
  <c r="AB30" i="48"/>
  <c r="D31" i="1"/>
  <c r="D31" i="2" s="1"/>
  <c r="AH34" i="48"/>
  <c r="D35" i="1"/>
  <c r="D35" i="2" s="1"/>
  <c r="F35" i="48"/>
  <c r="G38" i="48"/>
  <c r="D39" i="1"/>
  <c r="D39" i="2" s="1"/>
  <c r="B34" i="2"/>
  <c r="B38" i="2"/>
  <c r="FH14" i="2"/>
  <c r="FH10" i="2"/>
  <c r="FI13" i="2"/>
  <c r="FI10" i="2"/>
  <c r="FH12" i="2"/>
  <c r="M12" i="2"/>
  <c r="AS12" i="2"/>
  <c r="DE12" i="2"/>
  <c r="Y12" i="2"/>
  <c r="U14" i="2"/>
  <c r="AC12" i="2"/>
  <c r="CK13" i="2"/>
  <c r="DQ12" i="2"/>
  <c r="AG12" i="2"/>
  <c r="EC12" i="2"/>
  <c r="CG13" i="2"/>
  <c r="AK12" i="2"/>
  <c r="CS12" i="2"/>
  <c r="Q14" i="2"/>
  <c r="DU15" i="2"/>
  <c r="I12" i="2"/>
  <c r="AO12" i="2"/>
  <c r="CW13" i="2"/>
  <c r="DA10" i="2"/>
  <c r="BW20" i="2"/>
  <c r="BY11" i="2"/>
  <c r="FI12" i="2"/>
  <c r="BW19" i="2"/>
  <c r="FC19" i="2" s="1"/>
  <c r="EV19" i="2" s="1"/>
  <c r="BE14" i="2"/>
  <c r="FH11" i="2"/>
  <c r="AW12" i="2"/>
  <c r="BW18" i="2"/>
  <c r="FC18" i="2" s="1"/>
  <c r="EV18" i="2" s="1"/>
  <c r="CO11" i="2"/>
  <c r="FI11" i="2"/>
  <c r="DK14" i="2"/>
  <c r="FC14" i="2" s="1"/>
  <c r="EV14" i="2" s="1"/>
  <c r="BW17" i="2"/>
  <c r="FC17" i="2" s="1"/>
  <c r="EV17" i="2" s="1"/>
  <c r="DK10" i="2"/>
  <c r="FC10" i="2" s="1"/>
  <c r="EV10" i="2" s="1"/>
  <c r="EE42" i="2"/>
  <c r="CB42" i="2" s="1"/>
  <c r="FI38" i="2"/>
  <c r="FI39" i="2"/>
  <c r="FI37" i="2"/>
  <c r="FI33" i="2"/>
  <c r="FI36" i="2"/>
  <c r="FI32" i="2"/>
  <c r="FI31" i="2"/>
  <c r="FI30" i="2"/>
  <c r="FI29" i="2"/>
  <c r="FI27" i="2"/>
  <c r="FI28" i="2"/>
  <c r="FI21" i="2"/>
  <c r="FI23" i="2"/>
  <c r="FI34" i="2"/>
  <c r="FI35" i="2"/>
  <c r="FI25" i="2"/>
  <c r="FI26" i="2"/>
  <c r="FI24" i="2"/>
  <c r="FI20" i="2"/>
  <c r="FI19" i="2"/>
  <c r="FI18" i="2"/>
  <c r="FI17" i="2"/>
  <c r="FI16" i="2"/>
  <c r="FI15" i="2"/>
  <c r="FI14" i="2"/>
  <c r="FI22" i="2"/>
  <c r="BA15" i="2"/>
  <c r="BW16" i="2"/>
  <c r="FC16" i="2" s="1"/>
  <c r="EV16" i="2" s="1"/>
  <c r="DK20" i="2"/>
  <c r="FC20" i="2" s="1"/>
  <c r="EV20" i="2" s="1"/>
  <c r="BI11" i="2"/>
  <c r="EG11" i="2"/>
  <c r="BW15" i="2"/>
  <c r="FC15" i="2" s="1"/>
  <c r="EV15" i="2" s="1"/>
  <c r="FC12" i="2"/>
  <c r="EV12" i="2" s="1"/>
  <c r="FH20" i="2"/>
  <c r="DK25" i="2"/>
  <c r="FC25" i="2" s="1"/>
  <c r="EV25" i="2" s="1"/>
  <c r="K42" i="2"/>
  <c r="BW30" i="2"/>
  <c r="BW31" i="2"/>
  <c r="DK29" i="2"/>
  <c r="FC29" i="2" s="1"/>
  <c r="EV29" i="2" s="1"/>
  <c r="FH33" i="2"/>
  <c r="DK32" i="2"/>
  <c r="FC32" i="2" s="1"/>
  <c r="EV32" i="2" s="1"/>
  <c r="FH34" i="2"/>
  <c r="BW35" i="2"/>
  <c r="FC35" i="2" s="1"/>
  <c r="EV35" i="2" s="1"/>
  <c r="DK27" i="2"/>
  <c r="FC27" i="2" s="1"/>
  <c r="EV27" i="2" s="1"/>
  <c r="DK30" i="2"/>
  <c r="FC30" i="2" s="1"/>
  <c r="EV30" i="2" s="1"/>
  <c r="DK31" i="2"/>
  <c r="FC31" i="2" s="1"/>
  <c r="EV31" i="2" s="1"/>
  <c r="FH35" i="2"/>
  <c r="DK33" i="2"/>
  <c r="FC33" i="2" s="1"/>
  <c r="EV33" i="2" s="1"/>
  <c r="FH38" i="2"/>
  <c r="DK36" i="2"/>
  <c r="FC36" i="2" s="1"/>
  <c r="EV36" i="2" s="1"/>
  <c r="DK37" i="2"/>
  <c r="FC37" i="2" s="1"/>
  <c r="EV37" i="2" s="1"/>
  <c r="H11" i="48"/>
  <c r="G21" i="48"/>
  <c r="AB25" i="48"/>
  <c r="AH38" i="48"/>
  <c r="AB9" i="48"/>
  <c r="G16" i="48"/>
  <c r="AH21" i="48"/>
  <c r="AH25" i="48"/>
  <c r="H38" i="48"/>
  <c r="H24" i="48"/>
  <c r="AB17" i="48"/>
  <c r="AH11" i="48"/>
  <c r="AB13" i="48"/>
  <c r="AH16" i="48"/>
  <c r="H17" i="48"/>
  <c r="G19" i="48"/>
  <c r="AH19" i="48"/>
  <c r="H29" i="48"/>
  <c r="H20" i="48"/>
  <c r="AG11" i="48"/>
  <c r="AA11" i="48"/>
  <c r="H14" i="48"/>
  <c r="AH14" i="48"/>
  <c r="AH23" i="48"/>
  <c r="AB27" i="48"/>
  <c r="G10" i="48"/>
  <c r="H13" i="48"/>
  <c r="AB14" i="48"/>
  <c r="G18" i="48"/>
  <c r="G20" i="48"/>
  <c r="AH18" i="48"/>
  <c r="H30" i="48"/>
  <c r="AH10" i="48"/>
  <c r="H18" i="48"/>
  <c r="H15" i="48"/>
  <c r="AH15" i="48"/>
  <c r="AH20" i="48"/>
  <c r="AB23" i="48"/>
  <c r="AH27" i="48"/>
  <c r="H10" i="48"/>
  <c r="H12" i="48"/>
  <c r="H23" i="48"/>
  <c r="G27" i="48"/>
  <c r="P41" i="48"/>
  <c r="AH9" i="48"/>
  <c r="G14" i="48"/>
  <c r="AB26" i="48"/>
  <c r="G26" i="48"/>
  <c r="H27" i="48"/>
  <c r="H26" i="48"/>
  <c r="H16" i="48"/>
  <c r="G22" i="48"/>
  <c r="AB22" i="48"/>
  <c r="AB34" i="48"/>
  <c r="G34" i="48"/>
  <c r="H21" i="48"/>
  <c r="H37" i="48"/>
  <c r="AB37" i="48"/>
  <c r="H31" i="48"/>
  <c r="AH31" i="48"/>
  <c r="AH28" i="48"/>
  <c r="AH35" i="48"/>
  <c r="ER10" i="2" l="1"/>
  <c r="EJ10" i="2"/>
  <c r="EZ10" i="2"/>
  <c r="EN10" i="2"/>
  <c r="BX21" i="2"/>
  <c r="EJ21" i="2"/>
  <c r="EN21" i="2"/>
  <c r="ER21" i="2"/>
  <c r="EZ21" i="2"/>
  <c r="DL35" i="2"/>
  <c r="EZ35" i="2"/>
  <c r="EN35" i="2"/>
  <c r="ER35" i="2"/>
  <c r="EJ35" i="2"/>
  <c r="CZ11" i="2"/>
  <c r="EZ11" i="2"/>
  <c r="EN11" i="2"/>
  <c r="ER11" i="2"/>
  <c r="EJ11" i="2"/>
  <c r="DL28" i="2"/>
  <c r="EN28" i="2"/>
  <c r="ER28" i="2"/>
  <c r="EJ28" i="2"/>
  <c r="EZ28" i="2"/>
  <c r="BX39" i="2"/>
  <c r="ER39" i="2"/>
  <c r="EJ39" i="2"/>
  <c r="EN39" i="2"/>
  <c r="EZ39" i="2"/>
  <c r="CZ34" i="2"/>
  <c r="EN34" i="2"/>
  <c r="ER34" i="2"/>
  <c r="EJ34" i="2"/>
  <c r="EZ34" i="2"/>
  <c r="DL22" i="2"/>
  <c r="ER22" i="2"/>
  <c r="EJ22" i="2"/>
  <c r="EN22" i="2"/>
  <c r="EZ22" i="2"/>
  <c r="DL12" i="2"/>
  <c r="EN12" i="2"/>
  <c r="EJ12" i="2"/>
  <c r="ER12" i="2"/>
  <c r="EZ12" i="2"/>
  <c r="EF38" i="2"/>
  <c r="ER38" i="2"/>
  <c r="EJ38" i="2"/>
  <c r="EN38" i="2"/>
  <c r="EZ38" i="2"/>
  <c r="DL24" i="2"/>
  <c r="ER24" i="2"/>
  <c r="EJ24" i="2"/>
  <c r="EZ24" i="2"/>
  <c r="EN24" i="2"/>
  <c r="DL23" i="2"/>
  <c r="ER23" i="2"/>
  <c r="EJ23" i="2"/>
  <c r="EN23" i="2"/>
  <c r="EZ23" i="2"/>
  <c r="DX13" i="2"/>
  <c r="ER13" i="2"/>
  <c r="EN13" i="2"/>
  <c r="EJ13" i="2"/>
  <c r="EZ13" i="2"/>
  <c r="DL37" i="2"/>
  <c r="DL21" i="2"/>
  <c r="DL39" i="2"/>
  <c r="DL38" i="2"/>
  <c r="DL34" i="2"/>
  <c r="P16" i="54"/>
  <c r="X209" i="55"/>
  <c r="P31" i="54"/>
  <c r="P24" i="54"/>
  <c r="P19" i="54"/>
  <c r="Q4" i="54"/>
  <c r="P33" i="54"/>
  <c r="P36" i="54"/>
  <c r="P38" i="54"/>
  <c r="Q38" i="54" s="1"/>
  <c r="P11" i="2"/>
  <c r="CV11" i="2"/>
  <c r="DD11" i="2"/>
  <c r="DP11" i="2"/>
  <c r="CF11" i="2"/>
  <c r="CJ11" i="2"/>
  <c r="AB11" i="2"/>
  <c r="BX11" i="2"/>
  <c r="DX11" i="2"/>
  <c r="AN11" i="2"/>
  <c r="CB11" i="2"/>
  <c r="T11" i="2"/>
  <c r="DL11" i="2"/>
  <c r="BH11" i="2"/>
  <c r="X11" i="2"/>
  <c r="AF11" i="2"/>
  <c r="H11" i="2"/>
  <c r="CR11" i="2"/>
  <c r="EF11" i="2"/>
  <c r="AV11" i="2"/>
  <c r="DT11" i="2"/>
  <c r="CN11" i="2"/>
  <c r="BD11" i="2"/>
  <c r="AZ11" i="2"/>
  <c r="AJ11" i="2"/>
  <c r="EB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Q39" i="48" s="1"/>
  <c r="AC9" i="48"/>
  <c r="BX37" i="2"/>
  <c r="EF37" i="2"/>
  <c r="R26" i="45"/>
  <c r="R13" i="45"/>
  <c r="B40" i="45"/>
  <c r="D12" i="2"/>
  <c r="D42" i="2" s="1"/>
  <c r="D41" i="1"/>
  <c r="T13" i="2"/>
  <c r="AJ13" i="2"/>
  <c r="A13" i="1"/>
  <c r="A12" i="2"/>
  <c r="CR13" i="2"/>
  <c r="CF13" i="2"/>
  <c r="AZ13" i="2"/>
  <c r="EF34" i="2"/>
  <c r="DP13" i="2"/>
  <c r="AR13" i="2"/>
  <c r="BX13" i="2"/>
  <c r="L13" i="2"/>
  <c r="AF13" i="2"/>
  <c r="X13" i="2"/>
  <c r="BX34" i="2"/>
  <c r="BW42" i="2"/>
  <c r="CZ13" i="2"/>
  <c r="DT13" i="2"/>
  <c r="H13" i="2"/>
  <c r="DL13" i="2"/>
  <c r="BH13" i="2"/>
  <c r="DD13" i="2"/>
  <c r="BD13" i="2"/>
  <c r="EF13" i="2"/>
  <c r="CV13" i="2"/>
  <c r="AV13" i="2"/>
  <c r="CN13" i="2"/>
  <c r="AN13" i="2"/>
  <c r="EB13" i="2"/>
  <c r="CJ13" i="2"/>
  <c r="AB13" i="2"/>
  <c r="CB13" i="2"/>
  <c r="P13" i="2"/>
  <c r="CN29" i="2"/>
  <c r="L29" i="2"/>
  <c r="EF29" i="2"/>
  <c r="CV35" i="2"/>
  <c r="BD35" i="2"/>
  <c r="CR35" i="2"/>
  <c r="AZ35" i="2"/>
  <c r="T35" i="2"/>
  <c r="DX35" i="2"/>
  <c r="CF35" i="2"/>
  <c r="AN35" i="2"/>
  <c r="DT35" i="2"/>
  <c r="CJ35" i="2"/>
  <c r="DP35" i="2"/>
  <c r="EB35" i="2"/>
  <c r="DD35" i="2"/>
  <c r="AF35" i="2"/>
  <c r="AR35" i="2"/>
  <c r="X35" i="2"/>
  <c r="H35" i="2"/>
  <c r="BH35" i="2"/>
  <c r="CB35" i="2"/>
  <c r="P35" i="2"/>
  <c r="CN35" i="2"/>
  <c r="AV35" i="2"/>
  <c r="AJ35" i="2"/>
  <c r="AB35" i="2"/>
  <c r="L35" i="2"/>
  <c r="EF35" i="2"/>
  <c r="CZ35" i="2"/>
  <c r="CN28" i="2"/>
  <c r="CB28" i="2"/>
  <c r="AV28" i="2"/>
  <c r="P28" i="2"/>
  <c r="DP28" i="2"/>
  <c r="AF28" i="2"/>
  <c r="T28" i="2"/>
  <c r="EF28" i="2"/>
  <c r="DT28" i="2"/>
  <c r="DD28" i="2"/>
  <c r="AN28" i="2"/>
  <c r="L28" i="2"/>
  <c r="AR28" i="2"/>
  <c r="X28" i="2"/>
  <c r="H28" i="2"/>
  <c r="DX28" i="2"/>
  <c r="BH28" i="2"/>
  <c r="CJ28" i="2"/>
  <c r="AZ28" i="2"/>
  <c r="AB28" i="2"/>
  <c r="EB28" i="2"/>
  <c r="CZ28" i="2"/>
  <c r="CF28" i="2"/>
  <c r="CV28" i="2"/>
  <c r="BX28" i="2"/>
  <c r="AJ28" i="2"/>
  <c r="CR28" i="2"/>
  <c r="BD28" i="2"/>
  <c r="AW13" i="2"/>
  <c r="BE15" i="2"/>
  <c r="CG14" i="2"/>
  <c r="DP38" i="2"/>
  <c r="CR38" i="2"/>
  <c r="AZ38" i="2"/>
  <c r="T38" i="2"/>
  <c r="CN38" i="2"/>
  <c r="CB38" i="2"/>
  <c r="AV38" i="2"/>
  <c r="P38" i="2"/>
  <c r="CJ38" i="2"/>
  <c r="AR38" i="2"/>
  <c r="L38" i="2"/>
  <c r="EB38" i="2"/>
  <c r="DD38" i="2"/>
  <c r="AF38" i="2"/>
  <c r="DX38" i="2"/>
  <c r="CZ38" i="2"/>
  <c r="H38" i="2"/>
  <c r="AN38" i="2"/>
  <c r="AB38" i="2"/>
  <c r="DT38" i="2"/>
  <c r="BD38" i="2"/>
  <c r="X38" i="2"/>
  <c r="CF38" i="2"/>
  <c r="AJ38" i="2"/>
  <c r="CV38" i="2"/>
  <c r="BH38" i="2"/>
  <c r="EC13" i="2"/>
  <c r="DX37" i="2"/>
  <c r="CF37" i="2"/>
  <c r="AN37" i="2"/>
  <c r="DT37" i="2"/>
  <c r="AJ37" i="2"/>
  <c r="DP37" i="2"/>
  <c r="AF37" i="2"/>
  <c r="CR37" i="2"/>
  <c r="AZ37" i="2"/>
  <c r="T37" i="2"/>
  <c r="DD37" i="2"/>
  <c r="CJ37" i="2"/>
  <c r="L37" i="2"/>
  <c r="AR37" i="2"/>
  <c r="P37" i="2"/>
  <c r="CB37" i="2"/>
  <c r="EB37" i="2"/>
  <c r="BH37" i="2"/>
  <c r="H37" i="2"/>
  <c r="CV37" i="2"/>
  <c r="AB37" i="2"/>
  <c r="BD37" i="2"/>
  <c r="CN37" i="2"/>
  <c r="X37" i="2"/>
  <c r="AV37" i="2"/>
  <c r="AF12" i="2"/>
  <c r="AJ12" i="2"/>
  <c r="CR12" i="2"/>
  <c r="CB12" i="2"/>
  <c r="BD12" i="2"/>
  <c r="AB12" i="2"/>
  <c r="EB12" i="2"/>
  <c r="DX12" i="2"/>
  <c r="AN12" i="2"/>
  <c r="L12" i="2"/>
  <c r="EF12" i="2"/>
  <c r="DD12" i="2"/>
  <c r="CN12" i="2"/>
  <c r="BX12" i="2"/>
  <c r="AZ12" i="2"/>
  <c r="X12" i="2"/>
  <c r="DP12" i="2"/>
  <c r="DT12" i="2"/>
  <c r="H12" i="2"/>
  <c r="CZ12" i="2"/>
  <c r="CJ12" i="2"/>
  <c r="T12" i="2"/>
  <c r="CF12" i="2"/>
  <c r="AV12" i="2"/>
  <c r="CV12" i="2"/>
  <c r="AR12" i="2"/>
  <c r="P12" i="2"/>
  <c r="BH12" i="2"/>
  <c r="BI12" i="2"/>
  <c r="BY12" i="2"/>
  <c r="AO13" i="2"/>
  <c r="CS13" i="2"/>
  <c r="Y13" i="2"/>
  <c r="CK14" i="2"/>
  <c r="CN24" i="2"/>
  <c r="CB24" i="2"/>
  <c r="AV24" i="2"/>
  <c r="P24" i="2"/>
  <c r="DP24" i="2"/>
  <c r="AF24" i="2"/>
  <c r="CR24" i="2"/>
  <c r="EB24" i="2"/>
  <c r="CJ24" i="2"/>
  <c r="H24" i="2"/>
  <c r="DT24" i="2"/>
  <c r="CZ24" i="2"/>
  <c r="CF24" i="2"/>
  <c r="BD24" i="2"/>
  <c r="AN24" i="2"/>
  <c r="X24" i="2"/>
  <c r="AB24" i="2"/>
  <c r="DX24" i="2"/>
  <c r="CV24" i="2"/>
  <c r="EF24" i="2"/>
  <c r="BH24" i="2"/>
  <c r="AJ24" i="2"/>
  <c r="DD24" i="2"/>
  <c r="AZ24" i="2"/>
  <c r="L24" i="2"/>
  <c r="AR24" i="2"/>
  <c r="BX24" i="2"/>
  <c r="T24" i="2"/>
  <c r="CR34" i="2"/>
  <c r="AZ34" i="2"/>
  <c r="T34" i="2"/>
  <c r="DX34" i="2"/>
  <c r="CF34" i="2"/>
  <c r="AN34" i="2"/>
  <c r="AR34" i="2"/>
  <c r="AB34" i="2"/>
  <c r="AJ34" i="2"/>
  <c r="H34" i="2"/>
  <c r="DT34" i="2"/>
  <c r="CJ34" i="2"/>
  <c r="BD34" i="2"/>
  <c r="CV34" i="2"/>
  <c r="AV34" i="2"/>
  <c r="AF34" i="2"/>
  <c r="EB34" i="2"/>
  <c r="CB34" i="2"/>
  <c r="DD34" i="2"/>
  <c r="X34" i="2"/>
  <c r="P34" i="2"/>
  <c r="CN34" i="2"/>
  <c r="BH34" i="2"/>
  <c r="DP34" i="2"/>
  <c r="BX38" i="2"/>
  <c r="L34" i="2"/>
  <c r="CN21" i="2"/>
  <c r="CB21" i="2"/>
  <c r="AV21" i="2"/>
  <c r="P21" i="2"/>
  <c r="DP21" i="2"/>
  <c r="AF21" i="2"/>
  <c r="T21" i="2"/>
  <c r="EF21" i="2"/>
  <c r="CZ21" i="2"/>
  <c r="EB21" i="2"/>
  <c r="CV21" i="2"/>
  <c r="CF21" i="2"/>
  <c r="BD21" i="2"/>
  <c r="AN21" i="2"/>
  <c r="X21" i="2"/>
  <c r="DT21" i="2"/>
  <c r="BH21" i="2"/>
  <c r="AJ21" i="2"/>
  <c r="L21" i="2"/>
  <c r="CR21" i="2"/>
  <c r="CJ21" i="2"/>
  <c r="AZ21" i="2"/>
  <c r="DD21" i="2"/>
  <c r="AR21" i="2"/>
  <c r="H21" i="2"/>
  <c r="DX21" i="2"/>
  <c r="AB21" i="2"/>
  <c r="BA16" i="2"/>
  <c r="I13" i="2"/>
  <c r="AK13" i="2"/>
  <c r="AS13" i="2"/>
  <c r="DT39" i="2"/>
  <c r="CV39" i="2"/>
  <c r="BD39" i="2"/>
  <c r="X39" i="2"/>
  <c r="CJ39" i="2"/>
  <c r="AR39" i="2"/>
  <c r="L39" i="2"/>
  <c r="EB39" i="2"/>
  <c r="DD39" i="2"/>
  <c r="DP39" i="2"/>
  <c r="CR39" i="2"/>
  <c r="AZ39" i="2"/>
  <c r="T39" i="2"/>
  <c r="CF39" i="2"/>
  <c r="AN39" i="2"/>
  <c r="DX39" i="2"/>
  <c r="CZ39" i="2"/>
  <c r="BH39" i="2"/>
  <c r="AB39" i="2"/>
  <c r="EF39" i="2"/>
  <c r="CN39" i="2"/>
  <c r="CB39" i="2"/>
  <c r="AV39" i="2"/>
  <c r="P39" i="2"/>
  <c r="AJ39" i="2"/>
  <c r="H39" i="2"/>
  <c r="AF39" i="2"/>
  <c r="CO12" i="2"/>
  <c r="CW14" i="2"/>
  <c r="AG13" i="2"/>
  <c r="CZ37" i="2"/>
  <c r="CN22" i="2"/>
  <c r="CB22" i="2"/>
  <c r="AV22" i="2"/>
  <c r="P22" i="2"/>
  <c r="DP22" i="2"/>
  <c r="AF22" i="2"/>
  <c r="T22" i="2"/>
  <c r="EB22" i="2"/>
  <c r="CJ22" i="2"/>
  <c r="H22" i="2"/>
  <c r="DT22" i="2"/>
  <c r="CZ22" i="2"/>
  <c r="BD22" i="2"/>
  <c r="L22" i="2"/>
  <c r="CR22" i="2"/>
  <c r="AB22" i="2"/>
  <c r="AN22" i="2"/>
  <c r="DD22" i="2"/>
  <c r="BH22" i="2"/>
  <c r="X22" i="2"/>
  <c r="CV22" i="2"/>
  <c r="AZ22" i="2"/>
  <c r="AR22" i="2"/>
  <c r="CF22" i="2"/>
  <c r="AJ22" i="2"/>
  <c r="BX22" i="2"/>
  <c r="EF22" i="2"/>
  <c r="DX22" i="2"/>
  <c r="EG12" i="2"/>
  <c r="DK42" i="2"/>
  <c r="DM10" i="2"/>
  <c r="DU16" i="2"/>
  <c r="AC13" i="2"/>
  <c r="DE13" i="2"/>
  <c r="M13" i="2"/>
  <c r="BX35" i="2"/>
  <c r="CN23" i="2"/>
  <c r="CB23" i="2"/>
  <c r="AV23" i="2"/>
  <c r="P23" i="2"/>
  <c r="DP23" i="2"/>
  <c r="AF23" i="2"/>
  <c r="CJ23" i="2"/>
  <c r="H23" i="2"/>
  <c r="EB23" i="2"/>
  <c r="CV23" i="2"/>
  <c r="BH23" i="2"/>
  <c r="DD23" i="2"/>
  <c r="AN23" i="2"/>
  <c r="DT23" i="2"/>
  <c r="AZ23" i="2"/>
  <c r="L23" i="2"/>
  <c r="X23" i="2"/>
  <c r="DX23" i="2"/>
  <c r="AR23" i="2"/>
  <c r="CF23" i="2"/>
  <c r="AJ23" i="2"/>
  <c r="AB23" i="2"/>
  <c r="EF23" i="2"/>
  <c r="CZ23" i="2"/>
  <c r="BD23" i="2"/>
  <c r="T23" i="2"/>
  <c r="CR23" i="2"/>
  <c r="BX23" i="2"/>
  <c r="DA11" i="2"/>
  <c r="Q15" i="2"/>
  <c r="DQ13" i="2"/>
  <c r="U15" i="2"/>
  <c r="AG12" i="48"/>
  <c r="AB41" i="48"/>
  <c r="AA12" i="48"/>
  <c r="DL27" i="2" l="1"/>
  <c r="EZ27" i="2"/>
  <c r="EN27" i="2"/>
  <c r="ER27" i="2"/>
  <c r="EJ27" i="2"/>
  <c r="EN18" i="2"/>
  <c r="ER18" i="2"/>
  <c r="EJ18" i="2"/>
  <c r="EZ18" i="2"/>
  <c r="BX15" i="2"/>
  <c r="ER15" i="2"/>
  <c r="EJ15" i="2"/>
  <c r="EN15" i="2"/>
  <c r="EZ15" i="2"/>
  <c r="DL33" i="2"/>
  <c r="EN33" i="2"/>
  <c r="ER33" i="2"/>
  <c r="EJ33" i="2"/>
  <c r="EZ33" i="2"/>
  <c r="BX20" i="2"/>
  <c r="EN20" i="2"/>
  <c r="EJ20" i="2"/>
  <c r="ER20" i="2"/>
  <c r="EZ20" i="2"/>
  <c r="DL25" i="2"/>
  <c r="ER25" i="2"/>
  <c r="EJ25" i="2"/>
  <c r="EZ25" i="2"/>
  <c r="EN25" i="2"/>
  <c r="EZ17" i="2"/>
  <c r="ER17" i="2"/>
  <c r="EJ17" i="2"/>
  <c r="EN17" i="2"/>
  <c r="DL29" i="2"/>
  <c r="EJ29" i="2"/>
  <c r="EN29" i="2"/>
  <c r="ER29" i="2"/>
  <c r="EZ29" i="2"/>
  <c r="DL32" i="2"/>
  <c r="ER32" i="2"/>
  <c r="EJ32" i="2"/>
  <c r="EN32" i="2"/>
  <c r="EZ32" i="2"/>
  <c r="EZ19" i="2"/>
  <c r="EN19" i="2"/>
  <c r="ER19" i="2"/>
  <c r="EJ19" i="2"/>
  <c r="DL26" i="2"/>
  <c r="EN26" i="2"/>
  <c r="ER26" i="2"/>
  <c r="EJ26" i="2"/>
  <c r="EZ26" i="2"/>
  <c r="ER14" i="2"/>
  <c r="EJ14" i="2"/>
  <c r="EN14" i="2"/>
  <c r="EZ14" i="2"/>
  <c r="DL36" i="2"/>
  <c r="EN36" i="2"/>
  <c r="EJ36" i="2"/>
  <c r="ER36" i="2"/>
  <c r="EZ36" i="2"/>
  <c r="DL30" i="2"/>
  <c r="ER30" i="2"/>
  <c r="EJ30" i="2"/>
  <c r="EN30" i="2"/>
  <c r="EZ30" i="2"/>
  <c r="BX16" i="2"/>
  <c r="ER16" i="2"/>
  <c r="EJ16" i="2"/>
  <c r="EN16" i="2"/>
  <c r="EZ16" i="2"/>
  <c r="BX31" i="2"/>
  <c r="ER31" i="2"/>
  <c r="EJ31" i="2"/>
  <c r="EN31" i="2"/>
  <c r="EZ31" i="2"/>
  <c r="EN37" i="2"/>
  <c r="EJ37" i="2"/>
  <c r="ER37" i="2"/>
  <c r="EZ37" i="2"/>
  <c r="CV29" i="2"/>
  <c r="DX29" i="2"/>
  <c r="CF29" i="2"/>
  <c r="DD29" i="2"/>
  <c r="AB29" i="2"/>
  <c r="DT29" i="2"/>
  <c r="BH29" i="2"/>
  <c r="AJ29" i="2"/>
  <c r="H29" i="2"/>
  <c r="BX29" i="2"/>
  <c r="CJ29" i="2"/>
  <c r="BD29" i="2"/>
  <c r="CZ29" i="2"/>
  <c r="EB29" i="2"/>
  <c r="CR29" i="2"/>
  <c r="T29" i="2"/>
  <c r="DP29" i="2"/>
  <c r="AF29" i="2"/>
  <c r="AN29" i="2"/>
  <c r="AR29" i="2"/>
  <c r="P29" i="2"/>
  <c r="X29" i="2"/>
  <c r="AV29" i="2"/>
  <c r="AZ29" i="2"/>
  <c r="CB29" i="2"/>
  <c r="CN33" i="2"/>
  <c r="BD33" i="2"/>
  <c r="AF33" i="2"/>
  <c r="AZ33" i="2"/>
  <c r="BX33" i="2"/>
  <c r="H33" i="2"/>
  <c r="DP33" i="2"/>
  <c r="AV33" i="2"/>
  <c r="AJ33" i="2"/>
  <c r="P33" i="2"/>
  <c r="CR33" i="2"/>
  <c r="CB33" i="2"/>
  <c r="CJ33" i="2"/>
  <c r="CV33" i="2"/>
  <c r="AB33" i="2"/>
  <c r="AR33" i="2"/>
  <c r="AN33" i="2"/>
  <c r="DD33" i="2"/>
  <c r="EB33" i="2"/>
  <c r="CF33" i="2"/>
  <c r="CZ33" i="2"/>
  <c r="L33" i="2"/>
  <c r="DT33" i="2"/>
  <c r="DX33" i="2"/>
  <c r="EF33" i="2"/>
  <c r="BH33" i="2"/>
  <c r="X33" i="2"/>
  <c r="T33" i="2"/>
  <c r="BX19" i="2"/>
  <c r="DL19" i="2"/>
  <c r="BX18" i="2"/>
  <c r="DL18" i="2"/>
  <c r="DL31" i="2"/>
  <c r="DL20" i="2"/>
  <c r="Q24" i="54"/>
  <c r="DL14" i="2"/>
  <c r="BX14" i="2"/>
  <c r="AC11" i="48"/>
  <c r="AI11" i="48"/>
  <c r="AC10" i="48"/>
  <c r="AI10" i="48"/>
  <c r="R40" i="45"/>
  <c r="A14" i="1"/>
  <c r="A13" i="2"/>
  <c r="Q16" i="2"/>
  <c r="DM11" i="2"/>
  <c r="CS14" i="2"/>
  <c r="AC14" i="2"/>
  <c r="CV32" i="2"/>
  <c r="BD32" i="2"/>
  <c r="X32" i="2"/>
  <c r="DX32" i="2"/>
  <c r="CF32" i="2"/>
  <c r="AN32" i="2"/>
  <c r="AB32" i="2"/>
  <c r="CN32" i="2"/>
  <c r="AZ32" i="2"/>
  <c r="AR32" i="2"/>
  <c r="P32" i="2"/>
  <c r="EB32" i="2"/>
  <c r="DD32" i="2"/>
  <c r="CJ32" i="2"/>
  <c r="AF32" i="2"/>
  <c r="H32" i="2"/>
  <c r="DP32" i="2"/>
  <c r="CR32" i="2"/>
  <c r="L32" i="2"/>
  <c r="CB32" i="2"/>
  <c r="DT32" i="2"/>
  <c r="BH32" i="2"/>
  <c r="T32" i="2"/>
  <c r="EF32" i="2"/>
  <c r="AV32" i="2"/>
  <c r="AJ32" i="2"/>
  <c r="CZ32" i="2"/>
  <c r="BX32" i="2"/>
  <c r="CV17" i="2"/>
  <c r="BD17" i="2"/>
  <c r="X17" i="2"/>
  <c r="DX17" i="2"/>
  <c r="CF17" i="2"/>
  <c r="AN17" i="2"/>
  <c r="DP17" i="2"/>
  <c r="AJ17" i="2"/>
  <c r="H17" i="2"/>
  <c r="AR17" i="2"/>
  <c r="P17" i="2"/>
  <c r="DD17" i="2"/>
  <c r="CR17" i="2"/>
  <c r="CB17" i="2"/>
  <c r="T17" i="2"/>
  <c r="DL17" i="2"/>
  <c r="EB17" i="2"/>
  <c r="BH17" i="2"/>
  <c r="AV17" i="2"/>
  <c r="CN17" i="2"/>
  <c r="CJ17" i="2"/>
  <c r="AF17" i="2"/>
  <c r="AZ17" i="2"/>
  <c r="AB17" i="2"/>
  <c r="DT17" i="2"/>
  <c r="EF17" i="2"/>
  <c r="L17" i="2"/>
  <c r="CZ17" i="2"/>
  <c r="BX17" i="2"/>
  <c r="BI13" i="2"/>
  <c r="CV31" i="2"/>
  <c r="BD31" i="2"/>
  <c r="X31" i="2"/>
  <c r="DX31" i="2"/>
  <c r="CF31" i="2"/>
  <c r="AN31" i="2"/>
  <c r="CN31" i="2"/>
  <c r="AZ31" i="2"/>
  <c r="AR31" i="2"/>
  <c r="P31" i="2"/>
  <c r="EB31" i="2"/>
  <c r="CR31" i="2"/>
  <c r="H31" i="2"/>
  <c r="EF31" i="2"/>
  <c r="DT31" i="2"/>
  <c r="BH31" i="2"/>
  <c r="AB31" i="2"/>
  <c r="T31" i="2"/>
  <c r="DP31" i="2"/>
  <c r="AV31" i="2"/>
  <c r="CJ31" i="2"/>
  <c r="AJ31" i="2"/>
  <c r="DD31" i="2"/>
  <c r="CB31" i="2"/>
  <c r="AF31" i="2"/>
  <c r="CZ31" i="2"/>
  <c r="L31" i="2"/>
  <c r="DA12" i="2"/>
  <c r="CW15" i="2"/>
  <c r="CK15" i="2"/>
  <c r="CN26" i="2"/>
  <c r="CB26" i="2"/>
  <c r="AV26" i="2"/>
  <c r="P26" i="2"/>
  <c r="DP26" i="2"/>
  <c r="AF26" i="2"/>
  <c r="AZ26" i="2"/>
  <c r="X26" i="2"/>
  <c r="DX26" i="2"/>
  <c r="CF26" i="2"/>
  <c r="AR26" i="2"/>
  <c r="CZ26" i="2"/>
  <c r="CJ26" i="2"/>
  <c r="BD26" i="2"/>
  <c r="AJ26" i="2"/>
  <c r="DT26" i="2"/>
  <c r="CV26" i="2"/>
  <c r="AN26" i="2"/>
  <c r="L26" i="2"/>
  <c r="CR26" i="2"/>
  <c r="EF26" i="2"/>
  <c r="BH26" i="2"/>
  <c r="AB26" i="2"/>
  <c r="H26" i="2"/>
  <c r="DD26" i="2"/>
  <c r="EB26" i="2"/>
  <c r="T26" i="2"/>
  <c r="BX26" i="2"/>
  <c r="AO14" i="2"/>
  <c r="CG15" i="2"/>
  <c r="CV30" i="2"/>
  <c r="BD30" i="2"/>
  <c r="X30" i="2"/>
  <c r="DX30" i="2"/>
  <c r="CF30" i="2"/>
  <c r="AN30" i="2"/>
  <c r="CN30" i="2"/>
  <c r="AZ30" i="2"/>
  <c r="AR30" i="2"/>
  <c r="P30" i="2"/>
  <c r="EB30" i="2"/>
  <c r="CR30" i="2"/>
  <c r="H30" i="2"/>
  <c r="EF30" i="2"/>
  <c r="DT30" i="2"/>
  <c r="CB30" i="2"/>
  <c r="T30" i="2"/>
  <c r="DD30" i="2"/>
  <c r="AF30" i="2"/>
  <c r="BH30" i="2"/>
  <c r="AB30" i="2"/>
  <c r="DP30" i="2"/>
  <c r="AV30" i="2"/>
  <c r="CJ30" i="2"/>
  <c r="AJ30" i="2"/>
  <c r="L30" i="2"/>
  <c r="CZ30" i="2"/>
  <c r="CV15" i="2"/>
  <c r="BD15" i="2"/>
  <c r="X15" i="2"/>
  <c r="DX15" i="2"/>
  <c r="CF15" i="2"/>
  <c r="AN15" i="2"/>
  <c r="DP15" i="2"/>
  <c r="AJ15" i="2"/>
  <c r="H15" i="2"/>
  <c r="AR15" i="2"/>
  <c r="P15" i="2"/>
  <c r="DD15" i="2"/>
  <c r="CR15" i="2"/>
  <c r="CB15" i="2"/>
  <c r="EB15" i="2"/>
  <c r="BH15" i="2"/>
  <c r="CN15" i="2"/>
  <c r="CJ15" i="2"/>
  <c r="AF15" i="2"/>
  <c r="EF15" i="2"/>
  <c r="T15" i="2"/>
  <c r="AZ15" i="2"/>
  <c r="AB15" i="2"/>
  <c r="DT15" i="2"/>
  <c r="AV15" i="2"/>
  <c r="DL15" i="2"/>
  <c r="CZ15" i="2"/>
  <c r="L15" i="2"/>
  <c r="CV19" i="2"/>
  <c r="BD19" i="2"/>
  <c r="X19" i="2"/>
  <c r="DX19" i="2"/>
  <c r="CF19" i="2"/>
  <c r="AN19" i="2"/>
  <c r="DP19" i="2"/>
  <c r="AJ19" i="2"/>
  <c r="H19" i="2"/>
  <c r="AR19" i="2"/>
  <c r="P19" i="2"/>
  <c r="DD19" i="2"/>
  <c r="CR19" i="2"/>
  <c r="CB19" i="2"/>
  <c r="DT19" i="2"/>
  <c r="AV19" i="2"/>
  <c r="AF19" i="2"/>
  <c r="T19" i="2"/>
  <c r="EB19" i="2"/>
  <c r="BH19" i="2"/>
  <c r="CN19" i="2"/>
  <c r="CJ19" i="2"/>
  <c r="AZ19" i="2"/>
  <c r="AB19" i="2"/>
  <c r="EF19" i="2"/>
  <c r="L19" i="2"/>
  <c r="CZ19" i="2"/>
  <c r="U16" i="2"/>
  <c r="M14" i="2"/>
  <c r="CN27" i="2"/>
  <c r="CB27" i="2"/>
  <c r="AV27" i="2"/>
  <c r="P27" i="2"/>
  <c r="DP27" i="2"/>
  <c r="AF27" i="2"/>
  <c r="AJ27" i="2"/>
  <c r="CR27" i="2"/>
  <c r="BD27" i="2"/>
  <c r="AB27" i="2"/>
  <c r="DX27" i="2"/>
  <c r="CJ27" i="2"/>
  <c r="DT27" i="2"/>
  <c r="EF27" i="2"/>
  <c r="AZ27" i="2"/>
  <c r="H27" i="2"/>
  <c r="DD27" i="2"/>
  <c r="CF27" i="2"/>
  <c r="X27" i="2"/>
  <c r="EB27" i="2"/>
  <c r="T27" i="2"/>
  <c r="AR27" i="2"/>
  <c r="CV27" i="2"/>
  <c r="AN27" i="2"/>
  <c r="L27" i="2"/>
  <c r="BH27" i="2"/>
  <c r="CZ27" i="2"/>
  <c r="BX27" i="2"/>
  <c r="DT14" i="2"/>
  <c r="AJ14" i="2"/>
  <c r="CR14" i="2"/>
  <c r="AZ14" i="2"/>
  <c r="T14" i="2"/>
  <c r="X14" i="2"/>
  <c r="CJ14" i="2"/>
  <c r="AV14" i="2"/>
  <c r="DX14" i="2"/>
  <c r="CF14" i="2"/>
  <c r="AR14" i="2"/>
  <c r="P14" i="2"/>
  <c r="AF14" i="2"/>
  <c r="EF14" i="2"/>
  <c r="EB14" i="2"/>
  <c r="DD14" i="2"/>
  <c r="AB14" i="2"/>
  <c r="H14" i="2"/>
  <c r="CB14" i="2"/>
  <c r="BH14" i="2"/>
  <c r="CV14" i="2"/>
  <c r="DP14" i="2"/>
  <c r="AN14" i="2"/>
  <c r="CN14" i="2"/>
  <c r="BD14" i="2"/>
  <c r="L14" i="2"/>
  <c r="CZ14" i="2"/>
  <c r="AS14" i="2"/>
  <c r="DU17" i="2"/>
  <c r="CO13" i="2"/>
  <c r="BY13" i="2"/>
  <c r="BE16" i="2"/>
  <c r="FC42" i="2"/>
  <c r="FD42" i="2" s="1"/>
  <c r="DX10" i="2"/>
  <c r="CF10" i="2"/>
  <c r="AZ10" i="2"/>
  <c r="T10" i="2"/>
  <c r="DP10" i="2"/>
  <c r="EF10" i="2"/>
  <c r="AN10" i="2"/>
  <c r="H10" i="2"/>
  <c r="CN10" i="2"/>
  <c r="BH10" i="2"/>
  <c r="AB10" i="2"/>
  <c r="AR10" i="2"/>
  <c r="DT10" i="2"/>
  <c r="CB10" i="2"/>
  <c r="AV10" i="2"/>
  <c r="P10" i="2"/>
  <c r="CV10" i="2"/>
  <c r="BP10" i="2"/>
  <c r="AJ10" i="2"/>
  <c r="FD10" i="2"/>
  <c r="EX10" i="2" s="1"/>
  <c r="EB10" i="2"/>
  <c r="DD10" i="2"/>
  <c r="CJ10" i="2"/>
  <c r="BD10" i="2"/>
  <c r="X10" i="2"/>
  <c r="L10" i="2"/>
  <c r="CR10" i="2"/>
  <c r="BL10" i="2"/>
  <c r="AF10" i="2"/>
  <c r="BX10" i="2"/>
  <c r="CZ10" i="2"/>
  <c r="DX36" i="2"/>
  <c r="DT36" i="2"/>
  <c r="AJ36" i="2"/>
  <c r="DP36" i="2"/>
  <c r="AF36" i="2"/>
  <c r="CR36" i="2"/>
  <c r="AZ36" i="2"/>
  <c r="T36" i="2"/>
  <c r="AV36" i="2"/>
  <c r="CF36" i="2"/>
  <c r="BD36" i="2"/>
  <c r="H36" i="2"/>
  <c r="EB36" i="2"/>
  <c r="CB36" i="2"/>
  <c r="X36" i="2"/>
  <c r="CV36" i="2"/>
  <c r="AR36" i="2"/>
  <c r="BH36" i="2"/>
  <c r="P36" i="2"/>
  <c r="CN36" i="2"/>
  <c r="L36" i="2"/>
  <c r="EF36" i="2"/>
  <c r="CJ36" i="2"/>
  <c r="DD36" i="2"/>
  <c r="AB36" i="2"/>
  <c r="AN36" i="2"/>
  <c r="CZ36" i="2"/>
  <c r="BX36" i="2"/>
  <c r="CN25" i="2"/>
  <c r="CB25" i="2"/>
  <c r="AV25" i="2"/>
  <c r="P25" i="2"/>
  <c r="DP25" i="2"/>
  <c r="AF25" i="2"/>
  <c r="EF25" i="2"/>
  <c r="DT25" i="2"/>
  <c r="DD25" i="2"/>
  <c r="AN25" i="2"/>
  <c r="L25" i="2"/>
  <c r="CV25" i="2"/>
  <c r="BH25" i="2"/>
  <c r="DX25" i="2"/>
  <c r="T25" i="2"/>
  <c r="CJ25" i="2"/>
  <c r="BD25" i="2"/>
  <c r="AJ25" i="2"/>
  <c r="BX25" i="2"/>
  <c r="CR25" i="2"/>
  <c r="CF25" i="2"/>
  <c r="X25" i="2"/>
  <c r="EB25" i="2"/>
  <c r="AR25" i="2"/>
  <c r="H25" i="2"/>
  <c r="AZ25" i="2"/>
  <c r="AB25" i="2"/>
  <c r="CZ25" i="2"/>
  <c r="BA17" i="2"/>
  <c r="BX30" i="2"/>
  <c r="DQ14" i="2"/>
  <c r="DL10" i="2"/>
  <c r="AK14" i="2"/>
  <c r="Y14" i="2"/>
  <c r="EC14" i="2"/>
  <c r="DE14" i="2"/>
  <c r="CV18" i="2"/>
  <c r="BD18" i="2"/>
  <c r="X18" i="2"/>
  <c r="DX18" i="2"/>
  <c r="CF18" i="2"/>
  <c r="AN18" i="2"/>
  <c r="DP18" i="2"/>
  <c r="AJ18" i="2"/>
  <c r="H18" i="2"/>
  <c r="AR18" i="2"/>
  <c r="P18" i="2"/>
  <c r="DD18" i="2"/>
  <c r="CR18" i="2"/>
  <c r="CB18" i="2"/>
  <c r="AZ18" i="2"/>
  <c r="EF18" i="2"/>
  <c r="T18" i="2"/>
  <c r="EB18" i="2"/>
  <c r="BH18" i="2"/>
  <c r="CN18" i="2"/>
  <c r="CJ18" i="2"/>
  <c r="AF18" i="2"/>
  <c r="DT18" i="2"/>
  <c r="AV18" i="2"/>
  <c r="AB18" i="2"/>
  <c r="L18" i="2"/>
  <c r="CZ18" i="2"/>
  <c r="CV16" i="2"/>
  <c r="BD16" i="2"/>
  <c r="X16" i="2"/>
  <c r="DX16" i="2"/>
  <c r="CF16" i="2"/>
  <c r="AN16" i="2"/>
  <c r="DP16" i="2"/>
  <c r="AJ16" i="2"/>
  <c r="H16" i="2"/>
  <c r="AR16" i="2"/>
  <c r="P16" i="2"/>
  <c r="DD16" i="2"/>
  <c r="CR16" i="2"/>
  <c r="CB16" i="2"/>
  <c r="DL16" i="2"/>
  <c r="EB16" i="2"/>
  <c r="BH16" i="2"/>
  <c r="CN16" i="2"/>
  <c r="CJ16" i="2"/>
  <c r="AF16" i="2"/>
  <c r="AZ16" i="2"/>
  <c r="AB16" i="2"/>
  <c r="DT16" i="2"/>
  <c r="AV16" i="2"/>
  <c r="T16" i="2"/>
  <c r="EF16" i="2"/>
  <c r="CZ16" i="2"/>
  <c r="L16" i="2"/>
  <c r="AW14" i="2"/>
  <c r="AG14" i="2"/>
  <c r="I14" i="2"/>
  <c r="EG13" i="2"/>
  <c r="DT20" i="2"/>
  <c r="EB20" i="2"/>
  <c r="DP20" i="2"/>
  <c r="AJ20" i="2"/>
  <c r="CV20" i="2"/>
  <c r="CJ20" i="2"/>
  <c r="AZ20" i="2"/>
  <c r="T20" i="2"/>
  <c r="CF20" i="2"/>
  <c r="AN20" i="2"/>
  <c r="CR20" i="2"/>
  <c r="AF20" i="2"/>
  <c r="BD20" i="2"/>
  <c r="AB20" i="2"/>
  <c r="EF20" i="2"/>
  <c r="DD20" i="2"/>
  <c r="H20" i="2"/>
  <c r="BH20" i="2"/>
  <c r="X20" i="2"/>
  <c r="P20" i="2"/>
  <c r="DX20" i="2"/>
  <c r="CN20" i="2"/>
  <c r="AV20" i="2"/>
  <c r="AR20" i="2"/>
  <c r="CB20" i="2"/>
  <c r="CZ20" i="2"/>
  <c r="L20" i="2"/>
  <c r="AI12" i="48"/>
  <c r="AG13" i="48"/>
  <c r="AA13" i="48"/>
  <c r="AC12" i="48"/>
  <c r="EV42" i="2" l="1"/>
  <c r="ET10" i="2"/>
  <c r="EL10" i="2"/>
  <c r="EP10" i="2"/>
  <c r="FB10" i="2"/>
  <c r="DL42" i="2"/>
  <c r="ER42" i="2"/>
  <c r="EN42" i="2"/>
  <c r="A15" i="1"/>
  <c r="A14" i="2"/>
  <c r="AG15" i="2"/>
  <c r="DU18" i="2"/>
  <c r="AW15" i="2"/>
  <c r="AS15" i="2"/>
  <c r="CK16" i="2"/>
  <c r="EG14" i="2"/>
  <c r="BA18" i="2"/>
  <c r="U17" i="2"/>
  <c r="CW16" i="2"/>
  <c r="AC15" i="2"/>
  <c r="Y15" i="2"/>
  <c r="DV10" i="2"/>
  <c r="CD10" i="2"/>
  <c r="AX10" i="2"/>
  <c r="R10" i="2"/>
  <c r="ED10" i="2"/>
  <c r="DF10" i="2"/>
  <c r="CL10" i="2"/>
  <c r="BF10" i="2"/>
  <c r="Z10" i="2"/>
  <c r="CH10" i="2"/>
  <c r="BB10" i="2"/>
  <c r="DZ10" i="2"/>
  <c r="V10" i="2"/>
  <c r="CX10" i="2"/>
  <c r="AL10" i="2"/>
  <c r="EH10" i="2"/>
  <c r="AH10" i="2"/>
  <c r="DR10" i="2"/>
  <c r="CT10" i="2"/>
  <c r="BJ10" i="2"/>
  <c r="BN10" i="2"/>
  <c r="CP10" i="2"/>
  <c r="BR10" i="2"/>
  <c r="J10" i="2"/>
  <c r="FD11" i="2"/>
  <c r="EX11" i="2" s="1"/>
  <c r="N10" i="2"/>
  <c r="AP10" i="2"/>
  <c r="AT10" i="2"/>
  <c r="BZ10" i="2"/>
  <c r="BV10" i="2"/>
  <c r="AD10" i="2"/>
  <c r="DB10" i="2"/>
  <c r="BI14" i="2"/>
  <c r="CS15" i="2"/>
  <c r="AK15" i="2"/>
  <c r="BY14" i="2"/>
  <c r="I15" i="2"/>
  <c r="CO14" i="2"/>
  <c r="DA13" i="2"/>
  <c r="CG16" i="2"/>
  <c r="DN10" i="2"/>
  <c r="DQ15" i="2"/>
  <c r="M15" i="2"/>
  <c r="DM12" i="2"/>
  <c r="AO15" i="2"/>
  <c r="Q17" i="2"/>
  <c r="DE15" i="2"/>
  <c r="H42" i="2"/>
  <c r="DT42" i="2"/>
  <c r="CJ42" i="2"/>
  <c r="BT42" i="2"/>
  <c r="AZ42" i="2"/>
  <c r="CR42" i="2"/>
  <c r="AV42" i="2"/>
  <c r="AN42" i="2"/>
  <c r="DX42" i="2"/>
  <c r="AB42" i="2"/>
  <c r="CZ42" i="2"/>
  <c r="AR42" i="2"/>
  <c r="BH42" i="2"/>
  <c r="DP42" i="2"/>
  <c r="CF42" i="2"/>
  <c r="CV42" i="2"/>
  <c r="CN42" i="2"/>
  <c r="BL42" i="2"/>
  <c r="EB42" i="2"/>
  <c r="DD42" i="2"/>
  <c r="BD42" i="2"/>
  <c r="EF42" i="2"/>
  <c r="BX42" i="2"/>
  <c r="EC15" i="2"/>
  <c r="BE17" i="2"/>
  <c r="AG14" i="48"/>
  <c r="AI13" i="48"/>
  <c r="AA14" i="48"/>
  <c r="AC13" i="48"/>
  <c r="DN11" i="2" l="1"/>
  <c r="EL11" i="2"/>
  <c r="ET11" i="2"/>
  <c r="EP11" i="2"/>
  <c r="FB11" i="2"/>
  <c r="A16" i="1"/>
  <c r="A15" i="2"/>
  <c r="DE16" i="2"/>
  <c r="CS16" i="2"/>
  <c r="AC16" i="2"/>
  <c r="DU19" i="2"/>
  <c r="Q18" i="2"/>
  <c r="DQ16" i="2"/>
  <c r="CO15" i="2"/>
  <c r="CW17" i="2"/>
  <c r="BE18" i="2"/>
  <c r="BI15" i="2"/>
  <c r="CK17" i="2"/>
  <c r="AG16" i="2"/>
  <c r="I16" i="2"/>
  <c r="CL11" i="2"/>
  <c r="R11" i="2"/>
  <c r="DF11" i="2"/>
  <c r="AH11" i="2"/>
  <c r="BF11" i="2"/>
  <c r="N11" i="2"/>
  <c r="AD11" i="2"/>
  <c r="AL11" i="2"/>
  <c r="CH11" i="2"/>
  <c r="V11" i="2"/>
  <c r="DV11" i="2"/>
  <c r="AT11" i="2"/>
  <c r="J11" i="2"/>
  <c r="BB11" i="2"/>
  <c r="AX11" i="2"/>
  <c r="ED11" i="2"/>
  <c r="Z11" i="2"/>
  <c r="CD11" i="2"/>
  <c r="CT11" i="2"/>
  <c r="AP11" i="2"/>
  <c r="CX11" i="2"/>
  <c r="DR11" i="2"/>
  <c r="DZ11" i="2"/>
  <c r="FD12" i="2"/>
  <c r="EX12" i="2" s="1"/>
  <c r="BZ11" i="2"/>
  <c r="CP11" i="2"/>
  <c r="BJ11" i="2"/>
  <c r="EH11" i="2"/>
  <c r="DB11" i="2"/>
  <c r="AO16" i="2"/>
  <c r="BY15" i="2"/>
  <c r="U18" i="2"/>
  <c r="AS16" i="2"/>
  <c r="EC16" i="2"/>
  <c r="DM13" i="2"/>
  <c r="CG17" i="2"/>
  <c r="Y16" i="2"/>
  <c r="BA19" i="2"/>
  <c r="DA14" i="2"/>
  <c r="AK16" i="2"/>
  <c r="AW16" i="2"/>
  <c r="M16" i="2"/>
  <c r="M17" i="2" s="1"/>
  <c r="EG15" i="2"/>
  <c r="AG15" i="48"/>
  <c r="AI14" i="48"/>
  <c r="AA15" i="48"/>
  <c r="AC14" i="48"/>
  <c r="DN12" i="2" l="1"/>
  <c r="EL12" i="2"/>
  <c r="ET12" i="2"/>
  <c r="EP12" i="2"/>
  <c r="FB12" i="2"/>
  <c r="A17" i="1"/>
  <c r="A16" i="2"/>
  <c r="FD13" i="2"/>
  <c r="EX13" i="2" s="1"/>
  <c r="DZ12" i="2"/>
  <c r="CD12" i="2"/>
  <c r="CH12" i="2"/>
  <c r="DV12" i="2"/>
  <c r="BB12" i="2"/>
  <c r="CX12" i="2"/>
  <c r="CL12" i="2"/>
  <c r="BF12" i="2"/>
  <c r="R12" i="2"/>
  <c r="V12" i="2"/>
  <c r="CT12" i="2"/>
  <c r="DF12" i="2"/>
  <c r="Z12" i="2"/>
  <c r="J12" i="2"/>
  <c r="AH12" i="2"/>
  <c r="AX12" i="2"/>
  <c r="N12" i="2"/>
  <c r="ED12" i="2"/>
  <c r="AL12" i="2"/>
  <c r="DR12" i="2"/>
  <c r="AT12" i="2"/>
  <c r="AP12" i="2"/>
  <c r="AD12" i="2"/>
  <c r="CP12" i="2"/>
  <c r="EH12" i="2"/>
  <c r="BJ12" i="2"/>
  <c r="BZ12" i="2"/>
  <c r="DB12" i="2"/>
  <c r="BI16" i="2"/>
  <c r="BA20" i="2"/>
  <c r="BE19" i="2"/>
  <c r="Q19" i="2"/>
  <c r="EC17" i="2"/>
  <c r="AO17" i="2"/>
  <c r="I17" i="2"/>
  <c r="DE17" i="2"/>
  <c r="AW17" i="2"/>
  <c r="Y17" i="2"/>
  <c r="AG17" i="2"/>
  <c r="AS17" i="2"/>
  <c r="CW18" i="2"/>
  <c r="DU20" i="2"/>
  <c r="AK17" i="2"/>
  <c r="CG18" i="2"/>
  <c r="U19" i="2"/>
  <c r="CK18" i="2"/>
  <c r="CO16" i="2"/>
  <c r="AC17" i="2"/>
  <c r="EG16" i="2"/>
  <c r="DA15" i="2"/>
  <c r="DM14" i="2"/>
  <c r="BY16" i="2"/>
  <c r="DQ17" i="2"/>
  <c r="CS17" i="2"/>
  <c r="AC15" i="48"/>
  <c r="AA16" i="48"/>
  <c r="AI15" i="48"/>
  <c r="AG16" i="48"/>
  <c r="DN13" i="2" l="1"/>
  <c r="EL13" i="2"/>
  <c r="ET13" i="2"/>
  <c r="EP13" i="2"/>
  <c r="FB13" i="2"/>
  <c r="A18" i="1"/>
  <c r="A17" i="2"/>
  <c r="CK19" i="2"/>
  <c r="DU21" i="2"/>
  <c r="AO18" i="2"/>
  <c r="DQ18" i="2"/>
  <c r="EG17" i="2"/>
  <c r="AW18" i="2"/>
  <c r="M18" i="2"/>
  <c r="U20" i="2"/>
  <c r="CW19" i="2"/>
  <c r="EC18" i="2"/>
  <c r="CD13" i="2"/>
  <c r="BF13" i="2"/>
  <c r="BB13" i="2"/>
  <c r="DV13" i="2"/>
  <c r="V13" i="2"/>
  <c r="R13" i="2"/>
  <c r="DZ13" i="2"/>
  <c r="CL13" i="2"/>
  <c r="CH13" i="2"/>
  <c r="CX13" i="2"/>
  <c r="ED13" i="2"/>
  <c r="AP13" i="2"/>
  <c r="DF13" i="2"/>
  <c r="AH13" i="2"/>
  <c r="CT13" i="2"/>
  <c r="AL13" i="2"/>
  <c r="J13" i="2"/>
  <c r="AD13" i="2"/>
  <c r="FD14" i="2"/>
  <c r="EX14" i="2" s="1"/>
  <c r="AT13" i="2"/>
  <c r="Z13" i="2"/>
  <c r="N13" i="2"/>
  <c r="DR13" i="2"/>
  <c r="AX13" i="2"/>
  <c r="BZ13" i="2"/>
  <c r="BJ13" i="2"/>
  <c r="EH13" i="2"/>
  <c r="CP13" i="2"/>
  <c r="DB13" i="2"/>
  <c r="BY17" i="2"/>
  <c r="Q20" i="2"/>
  <c r="AC18" i="2"/>
  <c r="CG19" i="2"/>
  <c r="AS18" i="2"/>
  <c r="DE18" i="2"/>
  <c r="BI17" i="2"/>
  <c r="DM15" i="2"/>
  <c r="CO17" i="2"/>
  <c r="AK18" i="2"/>
  <c r="AG18" i="2"/>
  <c r="BE20" i="2"/>
  <c r="I18" i="2"/>
  <c r="CS18" i="2"/>
  <c r="DA16" i="2"/>
  <c r="Y18" i="2"/>
  <c r="BA21" i="2"/>
  <c r="AG17" i="48"/>
  <c r="AI16" i="48"/>
  <c r="AC16" i="48"/>
  <c r="AA17" i="48"/>
  <c r="DN14" i="2" l="1"/>
  <c r="EL14" i="2"/>
  <c r="EP14" i="2"/>
  <c r="ET14" i="2"/>
  <c r="FB14" i="2"/>
  <c r="A19" i="1"/>
  <c r="A18" i="2"/>
  <c r="BA22" i="2"/>
  <c r="I19" i="2"/>
  <c r="AS19" i="2"/>
  <c r="EC19" i="2"/>
  <c r="DU22" i="2"/>
  <c r="Y19" i="2"/>
  <c r="DM16" i="2"/>
  <c r="CW20" i="2"/>
  <c r="EG18" i="2"/>
  <c r="BE21" i="2"/>
  <c r="CG20" i="2"/>
  <c r="CK20" i="2"/>
  <c r="DA17" i="2"/>
  <c r="AG19" i="2"/>
  <c r="DZ14" i="2"/>
  <c r="CD14" i="2"/>
  <c r="BB14" i="2"/>
  <c r="DV14" i="2"/>
  <c r="R14" i="2"/>
  <c r="BF14" i="2"/>
  <c r="V14" i="2"/>
  <c r="CL14" i="2"/>
  <c r="FD15" i="2"/>
  <c r="EX15" i="2" s="1"/>
  <c r="CH14" i="2"/>
  <c r="CX14" i="2"/>
  <c r="AD14" i="2"/>
  <c r="AL14" i="2"/>
  <c r="DF14" i="2"/>
  <c r="Z14" i="2"/>
  <c r="AX14" i="2"/>
  <c r="ED14" i="2"/>
  <c r="AT14" i="2"/>
  <c r="AP14" i="2"/>
  <c r="J14" i="2"/>
  <c r="DR14" i="2"/>
  <c r="AH14" i="2"/>
  <c r="CT14" i="2"/>
  <c r="N14" i="2"/>
  <c r="BJ14" i="2"/>
  <c r="CP14" i="2"/>
  <c r="EH14" i="2"/>
  <c r="BZ14" i="2"/>
  <c r="DB14" i="2"/>
  <c r="U21" i="2"/>
  <c r="DQ19" i="2"/>
  <c r="BI18" i="2"/>
  <c r="AC19" i="2"/>
  <c r="CS19" i="2"/>
  <c r="AK19" i="2"/>
  <c r="Q21" i="2"/>
  <c r="M19" i="2"/>
  <c r="DE19" i="2"/>
  <c r="AO19" i="2"/>
  <c r="CO18" i="2"/>
  <c r="BY18" i="2"/>
  <c r="AW19" i="2"/>
  <c r="AA18" i="48"/>
  <c r="AC17" i="48"/>
  <c r="AI17" i="48"/>
  <c r="AG18" i="48"/>
  <c r="EL15" i="2" l="1"/>
  <c r="EP15" i="2"/>
  <c r="ET15" i="2"/>
  <c r="FB15" i="2"/>
  <c r="A20" i="1"/>
  <c r="A19" i="2"/>
  <c r="AK20" i="2"/>
  <c r="DZ15" i="2"/>
  <c r="CD15" i="2"/>
  <c r="BB15" i="2"/>
  <c r="DV15" i="2"/>
  <c r="V15" i="2"/>
  <c r="FD16" i="2"/>
  <c r="EX16" i="2" s="1"/>
  <c r="BF15" i="2"/>
  <c r="R15" i="2"/>
  <c r="CH15" i="2"/>
  <c r="CX15" i="2"/>
  <c r="CL15" i="2"/>
  <c r="AD15" i="2"/>
  <c r="AL15" i="2"/>
  <c r="AH15" i="2"/>
  <c r="Z15" i="2"/>
  <c r="AX15" i="2"/>
  <c r="AT15" i="2"/>
  <c r="N15" i="2"/>
  <c r="DF15" i="2"/>
  <c r="J15" i="2"/>
  <c r="AP15" i="2"/>
  <c r="ED15" i="2"/>
  <c r="CT15" i="2"/>
  <c r="DR15" i="2"/>
  <c r="CP15" i="2"/>
  <c r="BZ15" i="2"/>
  <c r="BJ15" i="2"/>
  <c r="EH15" i="2"/>
  <c r="DB15" i="2"/>
  <c r="AS20" i="2"/>
  <c r="BE22" i="2"/>
  <c r="DE20" i="2"/>
  <c r="U22" i="2"/>
  <c r="I20" i="2"/>
  <c r="M20" i="2"/>
  <c r="DA18" i="2"/>
  <c r="AC20" i="2"/>
  <c r="BA23" i="2"/>
  <c r="CO19" i="2"/>
  <c r="CK21" i="2"/>
  <c r="DQ20" i="2"/>
  <c r="DM17" i="2"/>
  <c r="AO20" i="2"/>
  <c r="CG21" i="2"/>
  <c r="DN15" i="2"/>
  <c r="AW20" i="2"/>
  <c r="CS20" i="2"/>
  <c r="AG20" i="2"/>
  <c r="Y20" i="2"/>
  <c r="BY19" i="2"/>
  <c r="EG19" i="2"/>
  <c r="DU23" i="2"/>
  <c r="Q22" i="2"/>
  <c r="BI19" i="2"/>
  <c r="CW21" i="2"/>
  <c r="EC20" i="2"/>
  <c r="AG19" i="48"/>
  <c r="AI18" i="48"/>
  <c r="AA19" i="48"/>
  <c r="AC18" i="48"/>
  <c r="DN16" i="2" l="1"/>
  <c r="EL16" i="2"/>
  <c r="EP16" i="2"/>
  <c r="ET16" i="2"/>
  <c r="FB16" i="2"/>
  <c r="A21" i="1"/>
  <c r="A20" i="2"/>
  <c r="CW22" i="2"/>
  <c r="EG20" i="2"/>
  <c r="CS21" i="2"/>
  <c r="AO21" i="2"/>
  <c r="DM18" i="2"/>
  <c r="BY20" i="2"/>
  <c r="AW21" i="2"/>
  <c r="BA24" i="2"/>
  <c r="I21" i="2"/>
  <c r="AS21" i="2"/>
  <c r="DZ16" i="2"/>
  <c r="CD16" i="2"/>
  <c r="DV16" i="2"/>
  <c r="BB16" i="2"/>
  <c r="FD17" i="2"/>
  <c r="EX17" i="2" s="1"/>
  <c r="V16" i="2"/>
  <c r="BF16" i="2"/>
  <c r="R16" i="2"/>
  <c r="CL16" i="2"/>
  <c r="CH16" i="2"/>
  <c r="CX16" i="2"/>
  <c r="AP16" i="2"/>
  <c r="AH16" i="2"/>
  <c r="AL16" i="2"/>
  <c r="J16" i="2"/>
  <c r="CT16" i="2"/>
  <c r="DF16" i="2"/>
  <c r="AT16" i="2"/>
  <c r="AD16" i="2"/>
  <c r="N16" i="2"/>
  <c r="AX16" i="2"/>
  <c r="DR16" i="2"/>
  <c r="ED16" i="2"/>
  <c r="Z16" i="2"/>
  <c r="BJ16" i="2"/>
  <c r="EH16" i="2"/>
  <c r="BZ16" i="2"/>
  <c r="CP16" i="2"/>
  <c r="DB16" i="2"/>
  <c r="AK21" i="2"/>
  <c r="BI20" i="2"/>
  <c r="DQ21" i="2"/>
  <c r="AC21" i="2"/>
  <c r="U23" i="2"/>
  <c r="Q23" i="2"/>
  <c r="Y21" i="2"/>
  <c r="CG22" i="2"/>
  <c r="DA19" i="2"/>
  <c r="AG21" i="2"/>
  <c r="CK22" i="2"/>
  <c r="DE21" i="2"/>
  <c r="EC21" i="2"/>
  <c r="DU24" i="2"/>
  <c r="CO20" i="2"/>
  <c r="M21" i="2"/>
  <c r="BE23" i="2"/>
  <c r="AA20" i="48"/>
  <c r="AC19" i="48"/>
  <c r="AI19" i="48"/>
  <c r="AG20" i="48"/>
  <c r="EL17" i="2" l="1"/>
  <c r="ET17" i="2"/>
  <c r="EP17" i="2"/>
  <c r="FB17" i="2"/>
  <c r="A22" i="1"/>
  <c r="A21" i="2"/>
  <c r="CO21" i="2"/>
  <c r="Y22" i="2"/>
  <c r="AO22" i="2"/>
  <c r="DU25" i="2"/>
  <c r="AG22" i="2"/>
  <c r="Q24" i="2"/>
  <c r="BI21" i="2"/>
  <c r="AW22" i="2"/>
  <c r="CS22" i="2"/>
  <c r="CK23" i="2"/>
  <c r="BE24" i="2"/>
  <c r="DA20" i="2"/>
  <c r="BY21" i="2"/>
  <c r="EG21" i="2"/>
  <c r="EC22" i="2"/>
  <c r="U24" i="2"/>
  <c r="AK22" i="2"/>
  <c r="AS22" i="2"/>
  <c r="DQ22" i="2"/>
  <c r="BA25" i="2"/>
  <c r="M22" i="2"/>
  <c r="DE22" i="2"/>
  <c r="CG23" i="2"/>
  <c r="DZ17" i="2"/>
  <c r="CD17" i="2"/>
  <c r="FD18" i="2"/>
  <c r="EX18" i="2" s="1"/>
  <c r="DV17" i="2"/>
  <c r="BB17" i="2"/>
  <c r="V17" i="2"/>
  <c r="R17" i="2"/>
  <c r="BF17" i="2"/>
  <c r="CL17" i="2"/>
  <c r="CH17" i="2"/>
  <c r="CX17" i="2"/>
  <c r="ED17" i="2"/>
  <c r="AT17" i="2"/>
  <c r="J17" i="2"/>
  <c r="N17" i="2"/>
  <c r="AL17" i="2"/>
  <c r="CT17" i="2"/>
  <c r="AP17" i="2"/>
  <c r="DF17" i="2"/>
  <c r="DR17" i="2"/>
  <c r="AH17" i="2"/>
  <c r="AD17" i="2"/>
  <c r="Z17" i="2"/>
  <c r="AX17" i="2"/>
  <c r="CP17" i="2"/>
  <c r="BJ17" i="2"/>
  <c r="EH17" i="2"/>
  <c r="BZ17" i="2"/>
  <c r="DB17" i="2"/>
  <c r="DM19" i="2"/>
  <c r="CW23" i="2"/>
  <c r="AC22" i="2"/>
  <c r="I22" i="2"/>
  <c r="DN17" i="2"/>
  <c r="AI20" i="48"/>
  <c r="AG21" i="48"/>
  <c r="AA21" i="48"/>
  <c r="AC20" i="48"/>
  <c r="DN18" i="2" l="1"/>
  <c r="EL18" i="2"/>
  <c r="EP18" i="2"/>
  <c r="ET18" i="2"/>
  <c r="FB18" i="2"/>
  <c r="A23" i="1"/>
  <c r="A22" i="2"/>
  <c r="CW24" i="2"/>
  <c r="DA21" i="2"/>
  <c r="U25" i="2"/>
  <c r="AW23" i="2"/>
  <c r="DU26" i="2"/>
  <c r="CG24" i="2"/>
  <c r="DQ23" i="2"/>
  <c r="BE25" i="2"/>
  <c r="AO23" i="2"/>
  <c r="EC23" i="2"/>
  <c r="BI22" i="2"/>
  <c r="BA26" i="2"/>
  <c r="DM20" i="2"/>
  <c r="DE23" i="2"/>
  <c r="CK24" i="2"/>
  <c r="Q25" i="2"/>
  <c r="Y23" i="2"/>
  <c r="EG22" i="2"/>
  <c r="I23" i="2"/>
  <c r="AS23" i="2"/>
  <c r="DZ18" i="2"/>
  <c r="CD18" i="2"/>
  <c r="FD19" i="2"/>
  <c r="EX19" i="2" s="1"/>
  <c r="DV18" i="2"/>
  <c r="BB18" i="2"/>
  <c r="BF18" i="2"/>
  <c r="R18" i="2"/>
  <c r="V18" i="2"/>
  <c r="CX18" i="2"/>
  <c r="CL18" i="2"/>
  <c r="CH18" i="2"/>
  <c r="N18" i="2"/>
  <c r="AD18" i="2"/>
  <c r="Z18" i="2"/>
  <c r="CT18" i="2"/>
  <c r="AX18" i="2"/>
  <c r="AL18" i="2"/>
  <c r="AP18" i="2"/>
  <c r="ED18" i="2"/>
  <c r="AH18" i="2"/>
  <c r="J18" i="2"/>
  <c r="DF18" i="2"/>
  <c r="DR18" i="2"/>
  <c r="AT18" i="2"/>
  <c r="BZ18" i="2"/>
  <c r="BJ18" i="2"/>
  <c r="EH18" i="2"/>
  <c r="CP18" i="2"/>
  <c r="DB18" i="2"/>
  <c r="M23" i="2"/>
  <c r="BY22" i="2"/>
  <c r="CO22" i="2"/>
  <c r="AC23" i="2"/>
  <c r="AK23" i="2"/>
  <c r="CS23" i="2"/>
  <c r="AG23" i="2"/>
  <c r="AC21" i="48"/>
  <c r="AA22" i="48"/>
  <c r="AG22" i="48"/>
  <c r="AI21" i="48"/>
  <c r="EL19" i="2" l="1"/>
  <c r="ET19" i="2"/>
  <c r="EP19" i="2"/>
  <c r="FB19" i="2"/>
  <c r="A24" i="1"/>
  <c r="A23" i="2"/>
  <c r="BE26" i="2"/>
  <c r="AW24" i="2"/>
  <c r="M24" i="2"/>
  <c r="Q26" i="2"/>
  <c r="BA27" i="2"/>
  <c r="CK25" i="2"/>
  <c r="AS24" i="2"/>
  <c r="AC24" i="2"/>
  <c r="I24" i="2"/>
  <c r="BI23" i="2"/>
  <c r="DQ24" i="2"/>
  <c r="U26" i="2"/>
  <c r="CD19" i="2"/>
  <c r="DZ19" i="2"/>
  <c r="FD20" i="2"/>
  <c r="EX20" i="2" s="1"/>
  <c r="DV19" i="2"/>
  <c r="BB19" i="2"/>
  <c r="R19" i="2"/>
  <c r="V19" i="2"/>
  <c r="BF19" i="2"/>
  <c r="CL19" i="2"/>
  <c r="CX19" i="2"/>
  <c r="CH19" i="2"/>
  <c r="AP19" i="2"/>
  <c r="AH19" i="2"/>
  <c r="ED19" i="2"/>
  <c r="DF19" i="2"/>
  <c r="AD19" i="2"/>
  <c r="DR19" i="2"/>
  <c r="Z19" i="2"/>
  <c r="AX19" i="2"/>
  <c r="AL19" i="2"/>
  <c r="AT19" i="2"/>
  <c r="J19" i="2"/>
  <c r="CT19" i="2"/>
  <c r="N19" i="2"/>
  <c r="CP19" i="2"/>
  <c r="EH19" i="2"/>
  <c r="BZ19" i="2"/>
  <c r="BJ19" i="2"/>
  <c r="DB19" i="2"/>
  <c r="DE24" i="2"/>
  <c r="CG25" i="2"/>
  <c r="CO23" i="2"/>
  <c r="EC24" i="2"/>
  <c r="AK24" i="2"/>
  <c r="AG24" i="2"/>
  <c r="EG23" i="2"/>
  <c r="BY23" i="2"/>
  <c r="Y24" i="2"/>
  <c r="DM21" i="2"/>
  <c r="AO24" i="2"/>
  <c r="CW25" i="2"/>
  <c r="DA22" i="2"/>
  <c r="CS24" i="2"/>
  <c r="DN19" i="2"/>
  <c r="DU27" i="2"/>
  <c r="AG23" i="48"/>
  <c r="AI22" i="48"/>
  <c r="AA23" i="48"/>
  <c r="AC22" i="48"/>
  <c r="DN20" i="2" l="1"/>
  <c r="EL20" i="2"/>
  <c r="EP20" i="2"/>
  <c r="ET20" i="2"/>
  <c r="FB20" i="2"/>
  <c r="A25" i="1"/>
  <c r="A24" i="2"/>
  <c r="DA23" i="2"/>
  <c r="Y25" i="2"/>
  <c r="AC25" i="2"/>
  <c r="AK25" i="2"/>
  <c r="U27" i="2"/>
  <c r="Q27" i="2"/>
  <c r="DE25" i="2"/>
  <c r="CW26" i="2"/>
  <c r="EC25" i="2"/>
  <c r="DQ25" i="2"/>
  <c r="AS25" i="2"/>
  <c r="BY24" i="2"/>
  <c r="M25" i="2"/>
  <c r="DU28" i="2"/>
  <c r="AO25" i="2"/>
  <c r="EG24" i="2"/>
  <c r="CD20" i="2"/>
  <c r="DZ20" i="2"/>
  <c r="FD21" i="2"/>
  <c r="EX21" i="2" s="1"/>
  <c r="DV20" i="2"/>
  <c r="BB20" i="2"/>
  <c r="BF20" i="2"/>
  <c r="R20" i="2"/>
  <c r="V20" i="2"/>
  <c r="CH20" i="2"/>
  <c r="CL20" i="2"/>
  <c r="CX20" i="2"/>
  <c r="DF20" i="2"/>
  <c r="N20" i="2"/>
  <c r="AH20" i="2"/>
  <c r="J20" i="2"/>
  <c r="AD20" i="2"/>
  <c r="AT20" i="2"/>
  <c r="AL20" i="2"/>
  <c r="ED20" i="2"/>
  <c r="Z20" i="2"/>
  <c r="CT20" i="2"/>
  <c r="AX20" i="2"/>
  <c r="AP20" i="2"/>
  <c r="DR20" i="2"/>
  <c r="CP20" i="2"/>
  <c r="BZ20" i="2"/>
  <c r="EH20" i="2"/>
  <c r="BJ20" i="2"/>
  <c r="DB20" i="2"/>
  <c r="BI24" i="2"/>
  <c r="CO24" i="2"/>
  <c r="AW25" i="2"/>
  <c r="DM22" i="2"/>
  <c r="CG26" i="2"/>
  <c r="BE27" i="2"/>
  <c r="CK26" i="2"/>
  <c r="CS25" i="2"/>
  <c r="AG25" i="2"/>
  <c r="I25" i="2"/>
  <c r="BA28" i="2"/>
  <c r="AC23" i="48"/>
  <c r="AA24" i="48"/>
  <c r="AG24" i="48"/>
  <c r="AI23" i="48"/>
  <c r="DN21" i="2" l="1"/>
  <c r="EL21" i="2"/>
  <c r="EP21" i="2"/>
  <c r="ET21" i="2"/>
  <c r="FB21" i="2"/>
  <c r="A26" i="1"/>
  <c r="A25" i="2"/>
  <c r="AG26" i="2"/>
  <c r="CG27" i="2"/>
  <c r="CW27" i="2"/>
  <c r="EG25" i="2"/>
  <c r="BY25" i="2"/>
  <c r="AK26" i="2"/>
  <c r="DM23" i="2"/>
  <c r="AO26" i="2"/>
  <c r="CS26" i="2"/>
  <c r="AS26" i="2"/>
  <c r="DE26" i="2"/>
  <c r="AC26" i="2"/>
  <c r="CD21" i="2"/>
  <c r="DZ21" i="2"/>
  <c r="FD22" i="2"/>
  <c r="EX22" i="2" s="1"/>
  <c r="BB21" i="2"/>
  <c r="DV21" i="2"/>
  <c r="R21" i="2"/>
  <c r="V21" i="2"/>
  <c r="BF21" i="2"/>
  <c r="CX21" i="2"/>
  <c r="CH21" i="2"/>
  <c r="CL21" i="2"/>
  <c r="N21" i="2"/>
  <c r="AH21" i="2"/>
  <c r="CT21" i="2"/>
  <c r="AL21" i="2"/>
  <c r="AD21" i="2"/>
  <c r="DF21" i="2"/>
  <c r="Z21" i="2"/>
  <c r="AT21" i="2"/>
  <c r="J21" i="2"/>
  <c r="AP21" i="2"/>
  <c r="DR21" i="2"/>
  <c r="ED21" i="2"/>
  <c r="AX21" i="2"/>
  <c r="BZ21" i="2"/>
  <c r="EH21" i="2"/>
  <c r="CP21" i="2"/>
  <c r="BJ21" i="2"/>
  <c r="DB21" i="2"/>
  <c r="DQ26" i="2"/>
  <c r="Q28" i="2"/>
  <c r="Y26" i="2"/>
  <c r="BA29" i="2"/>
  <c r="CK27" i="2"/>
  <c r="AW26" i="2"/>
  <c r="DU29" i="2"/>
  <c r="I26" i="2"/>
  <c r="BE28" i="2"/>
  <c r="M26" i="2"/>
  <c r="DA24" i="2"/>
  <c r="BI25" i="2"/>
  <c r="CO25" i="2"/>
  <c r="EC26" i="2"/>
  <c r="U28" i="2"/>
  <c r="AI24" i="48"/>
  <c r="AG25" i="48"/>
  <c r="AA25" i="48"/>
  <c r="AC24" i="48"/>
  <c r="DN22" i="2" l="1"/>
  <c r="EL22" i="2"/>
  <c r="EP22" i="2"/>
  <c r="ET22" i="2"/>
  <c r="FB22" i="2"/>
  <c r="A27" i="1"/>
  <c r="A26" i="2"/>
  <c r="AO27" i="2"/>
  <c r="EG26" i="2"/>
  <c r="CO26" i="2"/>
  <c r="AC27" i="2"/>
  <c r="BE29" i="2"/>
  <c r="CW28" i="2"/>
  <c r="DE27" i="2"/>
  <c r="DM24" i="2"/>
  <c r="I27" i="2"/>
  <c r="DA25" i="2"/>
  <c r="Y27" i="2"/>
  <c r="CD22" i="2"/>
  <c r="DZ22" i="2"/>
  <c r="FD23" i="2"/>
  <c r="EX23" i="2" s="1"/>
  <c r="DV22" i="2"/>
  <c r="BB22" i="2"/>
  <c r="BF22" i="2"/>
  <c r="V22" i="2"/>
  <c r="R22" i="2"/>
  <c r="CL22" i="2"/>
  <c r="CH22" i="2"/>
  <c r="CX22" i="2"/>
  <c r="AP22" i="2"/>
  <c r="Z22" i="2"/>
  <c r="CT22" i="2"/>
  <c r="DF22" i="2"/>
  <c r="ED22" i="2"/>
  <c r="AH22" i="2"/>
  <c r="AD22" i="2"/>
  <c r="DR22" i="2"/>
  <c r="J22" i="2"/>
  <c r="AX22" i="2"/>
  <c r="AT22" i="2"/>
  <c r="N22" i="2"/>
  <c r="AL22" i="2"/>
  <c r="EH22" i="2"/>
  <c r="BJ22" i="2"/>
  <c r="CP22" i="2"/>
  <c r="BZ22" i="2"/>
  <c r="DB22" i="2"/>
  <c r="AS27" i="2"/>
  <c r="CG28" i="2"/>
  <c r="BI26" i="2"/>
  <c r="DU30" i="2"/>
  <c r="AK27" i="2"/>
  <c r="DQ27" i="2"/>
  <c r="U29" i="2"/>
  <c r="Q29" i="2"/>
  <c r="BY26" i="2"/>
  <c r="CK28" i="2"/>
  <c r="BA30" i="2"/>
  <c r="EC27" i="2"/>
  <c r="M27" i="2"/>
  <c r="AW27" i="2"/>
  <c r="CS27" i="2"/>
  <c r="AG27" i="2"/>
  <c r="AC25" i="48"/>
  <c r="AA26" i="48"/>
  <c r="AG26" i="48"/>
  <c r="AI25" i="48"/>
  <c r="DN23" i="2" l="1"/>
  <c r="EL23" i="2"/>
  <c r="EP23" i="2"/>
  <c r="ET23" i="2"/>
  <c r="FB23" i="2"/>
  <c r="A28" i="1"/>
  <c r="A27" i="2"/>
  <c r="CG29" i="2"/>
  <c r="DM25" i="2"/>
  <c r="AC28" i="2"/>
  <c r="BY27" i="2"/>
  <c r="Y28" i="2"/>
  <c r="M28" i="2"/>
  <c r="AK28" i="2"/>
  <c r="AS28" i="2"/>
  <c r="DE28" i="2"/>
  <c r="CO27" i="2"/>
  <c r="AW28" i="2"/>
  <c r="AG28" i="2"/>
  <c r="DA26" i="2"/>
  <c r="CW29" i="2"/>
  <c r="EC28" i="2"/>
  <c r="Q30" i="2"/>
  <c r="DU31" i="2"/>
  <c r="EG27" i="2"/>
  <c r="DQ28" i="2"/>
  <c r="CD23" i="2"/>
  <c r="DZ23" i="2"/>
  <c r="FD24" i="2"/>
  <c r="EX24" i="2" s="1"/>
  <c r="DV23" i="2"/>
  <c r="BB23" i="2"/>
  <c r="R23" i="2"/>
  <c r="BF23" i="2"/>
  <c r="V23" i="2"/>
  <c r="CX23" i="2"/>
  <c r="CH23" i="2"/>
  <c r="CL23" i="2"/>
  <c r="AP23" i="2"/>
  <c r="J23" i="2"/>
  <c r="AH23" i="2"/>
  <c r="CT23" i="2"/>
  <c r="Z23" i="2"/>
  <c r="AX23" i="2"/>
  <c r="AT23" i="2"/>
  <c r="DR23" i="2"/>
  <c r="ED23" i="2"/>
  <c r="N23" i="2"/>
  <c r="AD23" i="2"/>
  <c r="DF23" i="2"/>
  <c r="AL23" i="2"/>
  <c r="CP23" i="2"/>
  <c r="BZ23" i="2"/>
  <c r="EH23" i="2"/>
  <c r="BJ23" i="2"/>
  <c r="DB23" i="2"/>
  <c r="I28" i="2"/>
  <c r="BE30" i="2"/>
  <c r="AO28" i="2"/>
  <c r="CK29" i="2"/>
  <c r="CS28" i="2"/>
  <c r="BA31" i="2"/>
  <c r="U30" i="2"/>
  <c r="BI27" i="2"/>
  <c r="AA27" i="48"/>
  <c r="AC26" i="48"/>
  <c r="AG27" i="48"/>
  <c r="AI26" i="48"/>
  <c r="DN24" i="2" l="1"/>
  <c r="EL24" i="2"/>
  <c r="EP24" i="2"/>
  <c r="ET24" i="2"/>
  <c r="FB24" i="2"/>
  <c r="A29" i="1"/>
  <c r="A28" i="2"/>
  <c r="BE31" i="2"/>
  <c r="Q31" i="2"/>
  <c r="AG29" i="2"/>
  <c r="AS29" i="2"/>
  <c r="BY28" i="2"/>
  <c r="DQ29" i="2"/>
  <c r="CS29" i="2"/>
  <c r="I29" i="2"/>
  <c r="EC29" i="2"/>
  <c r="AW29" i="2"/>
  <c r="AK29" i="2"/>
  <c r="AC29" i="2"/>
  <c r="BA32" i="2"/>
  <c r="CW30" i="2"/>
  <c r="M29" i="2"/>
  <c r="DM26" i="2"/>
  <c r="EG28" i="2"/>
  <c r="CO28" i="2"/>
  <c r="BI28" i="2"/>
  <c r="U31" i="2"/>
  <c r="AO29" i="2"/>
  <c r="CD24" i="2"/>
  <c r="DZ24" i="2"/>
  <c r="FD25" i="2"/>
  <c r="EX25" i="2" s="1"/>
  <c r="DV24" i="2"/>
  <c r="BB24" i="2"/>
  <c r="V24" i="2"/>
  <c r="BF24" i="2"/>
  <c r="R24" i="2"/>
  <c r="CH24" i="2"/>
  <c r="CL24" i="2"/>
  <c r="CX24" i="2"/>
  <c r="N24" i="2"/>
  <c r="J24" i="2"/>
  <c r="ED24" i="2"/>
  <c r="Z24" i="2"/>
  <c r="DR24" i="2"/>
  <c r="AX24" i="2"/>
  <c r="AP24" i="2"/>
  <c r="CT24" i="2"/>
  <c r="AH24" i="2"/>
  <c r="AD24" i="2"/>
  <c r="DF24" i="2"/>
  <c r="AT24" i="2"/>
  <c r="AL24" i="2"/>
  <c r="BZ24" i="2"/>
  <c r="CP24" i="2"/>
  <c r="BJ24" i="2"/>
  <c r="EH24" i="2"/>
  <c r="DB24" i="2"/>
  <c r="DA27" i="2"/>
  <c r="Y29" i="2"/>
  <c r="CG30" i="2"/>
  <c r="CK30" i="2"/>
  <c r="DU32" i="2"/>
  <c r="DE29" i="2"/>
  <c r="AA28" i="48"/>
  <c r="AC27" i="48"/>
  <c r="AI27" i="48"/>
  <c r="AG28" i="48"/>
  <c r="DN25" i="2" l="1"/>
  <c r="EL25" i="2"/>
  <c r="EP25" i="2"/>
  <c r="ET25" i="2"/>
  <c r="FB25" i="2"/>
  <c r="A30" i="1"/>
  <c r="A29" i="2"/>
  <c r="U32" i="2"/>
  <c r="DM27" i="2"/>
  <c r="AC30" i="2"/>
  <c r="I30" i="2"/>
  <c r="AS30" i="2"/>
  <c r="CK31" i="2"/>
  <c r="CD25" i="2"/>
  <c r="DZ25" i="2"/>
  <c r="FD26" i="2"/>
  <c r="EX26" i="2" s="1"/>
  <c r="DV25" i="2"/>
  <c r="BB25" i="2"/>
  <c r="BF25" i="2"/>
  <c r="R25" i="2"/>
  <c r="V25" i="2"/>
  <c r="CH25" i="2"/>
  <c r="CL25" i="2"/>
  <c r="CX25" i="2"/>
  <c r="AH25" i="2"/>
  <c r="CT25" i="2"/>
  <c r="AX25" i="2"/>
  <c r="N25" i="2"/>
  <c r="ED25" i="2"/>
  <c r="AT25" i="2"/>
  <c r="Z25" i="2"/>
  <c r="J25" i="2"/>
  <c r="AL25" i="2"/>
  <c r="DF25" i="2"/>
  <c r="AP25" i="2"/>
  <c r="AD25" i="2"/>
  <c r="DR25" i="2"/>
  <c r="BJ25" i="2"/>
  <c r="EH25" i="2"/>
  <c r="BZ25" i="2"/>
  <c r="CP25" i="2"/>
  <c r="DB25" i="2"/>
  <c r="CG31" i="2"/>
  <c r="BI29" i="2"/>
  <c r="M30" i="2"/>
  <c r="AK30" i="2"/>
  <c r="CS30" i="2"/>
  <c r="AG30" i="2"/>
  <c r="Y30" i="2"/>
  <c r="CW31" i="2"/>
  <c r="DQ30" i="2"/>
  <c r="Q32" i="2"/>
  <c r="DE30" i="2"/>
  <c r="CO29" i="2"/>
  <c r="AW30" i="2"/>
  <c r="DU33" i="2"/>
  <c r="DA28" i="2"/>
  <c r="AO30" i="2"/>
  <c r="BY29" i="2"/>
  <c r="BE32" i="2"/>
  <c r="EG29" i="2"/>
  <c r="BA33" i="2"/>
  <c r="EC30" i="2"/>
  <c r="AG29" i="48"/>
  <c r="AI28" i="48"/>
  <c r="AC28" i="48"/>
  <c r="AA29" i="48"/>
  <c r="EL26" i="2" l="1"/>
  <c r="EP26" i="2"/>
  <c r="ET26" i="2"/>
  <c r="FB26" i="2"/>
  <c r="A31" i="1"/>
  <c r="A30" i="2"/>
  <c r="DA29" i="2"/>
  <c r="Y31" i="2"/>
  <c r="M31" i="2"/>
  <c r="CD26" i="2"/>
  <c r="DZ26" i="2"/>
  <c r="FD27" i="2"/>
  <c r="EX27" i="2" s="1"/>
  <c r="BB26" i="2"/>
  <c r="DV26" i="2"/>
  <c r="BF26" i="2"/>
  <c r="V26" i="2"/>
  <c r="R26" i="2"/>
  <c r="CH26" i="2"/>
  <c r="CL26" i="2"/>
  <c r="CX26" i="2"/>
  <c r="AP26" i="2"/>
  <c r="J26" i="2"/>
  <c r="CT26" i="2"/>
  <c r="AH26" i="2"/>
  <c r="ED26" i="2"/>
  <c r="Z26" i="2"/>
  <c r="DF26" i="2"/>
  <c r="AT26" i="2"/>
  <c r="AL26" i="2"/>
  <c r="N26" i="2"/>
  <c r="AD26" i="2"/>
  <c r="DR26" i="2"/>
  <c r="AX26" i="2"/>
  <c r="BJ26" i="2"/>
  <c r="CP26" i="2"/>
  <c r="EH26" i="2"/>
  <c r="BZ26" i="2"/>
  <c r="DB26" i="2"/>
  <c r="I31" i="2"/>
  <c r="EG30" i="2"/>
  <c r="DU34" i="2"/>
  <c r="AC31" i="2"/>
  <c r="Q33" i="2"/>
  <c r="BY30" i="2"/>
  <c r="AW31" i="2"/>
  <c r="DM28" i="2"/>
  <c r="AG31" i="2"/>
  <c r="DQ31" i="2"/>
  <c r="CS31" i="2"/>
  <c r="CG32" i="2"/>
  <c r="CK32" i="2"/>
  <c r="DN26" i="2"/>
  <c r="DE31" i="2"/>
  <c r="BI30" i="2"/>
  <c r="EC31" i="2"/>
  <c r="AO31" i="2"/>
  <c r="CW32" i="2"/>
  <c r="U33" i="2"/>
  <c r="BE33" i="2"/>
  <c r="BA34" i="2"/>
  <c r="CO30" i="2"/>
  <c r="AK31" i="2"/>
  <c r="AS31" i="2"/>
  <c r="AG30" i="48"/>
  <c r="AI29" i="48"/>
  <c r="AA30" i="48"/>
  <c r="AC29" i="48"/>
  <c r="DN27" i="2" l="1"/>
  <c r="EL27" i="2"/>
  <c r="EP27" i="2"/>
  <c r="ET27" i="2"/>
  <c r="FB27" i="2"/>
  <c r="A32" i="1"/>
  <c r="A31" i="2"/>
  <c r="DE32" i="2"/>
  <c r="DQ32" i="2"/>
  <c r="BY31" i="2"/>
  <c r="EG31" i="2"/>
  <c r="M32" i="2"/>
  <c r="AO32" i="2"/>
  <c r="CK33" i="2"/>
  <c r="I32" i="2"/>
  <c r="BA35" i="2"/>
  <c r="EC32" i="2"/>
  <c r="DM29" i="2"/>
  <c r="Y32" i="2"/>
  <c r="AG32" i="2"/>
  <c r="U34" i="2"/>
  <c r="CG33" i="2"/>
  <c r="AC32" i="2"/>
  <c r="BE34" i="2"/>
  <c r="CS32" i="2"/>
  <c r="AW32" i="2"/>
  <c r="CD27" i="2"/>
  <c r="DZ27" i="2"/>
  <c r="FD28" i="2"/>
  <c r="EX28" i="2" s="1"/>
  <c r="DV27" i="2"/>
  <c r="BB27" i="2"/>
  <c r="R27" i="2"/>
  <c r="V27" i="2"/>
  <c r="BF27" i="2"/>
  <c r="CX27" i="2"/>
  <c r="CL27" i="2"/>
  <c r="CH27" i="2"/>
  <c r="Z27" i="2"/>
  <c r="AP27" i="2"/>
  <c r="DF27" i="2"/>
  <c r="N27" i="2"/>
  <c r="CT27" i="2"/>
  <c r="DR27" i="2"/>
  <c r="J27" i="2"/>
  <c r="AD27" i="2"/>
  <c r="AL27" i="2"/>
  <c r="AX27" i="2"/>
  <c r="ED27" i="2"/>
  <c r="AT27" i="2"/>
  <c r="AH27" i="2"/>
  <c r="BZ27" i="2"/>
  <c r="EH27" i="2"/>
  <c r="CP27" i="2"/>
  <c r="BJ27" i="2"/>
  <c r="DB27" i="2"/>
  <c r="DA30" i="2"/>
  <c r="Q34" i="2"/>
  <c r="AS32" i="2"/>
  <c r="AK32" i="2"/>
  <c r="BI31" i="2"/>
  <c r="CO31" i="2"/>
  <c r="CW33" i="2"/>
  <c r="DU35" i="2"/>
  <c r="AI30" i="48"/>
  <c r="AG31" i="48"/>
  <c r="AA31" i="48"/>
  <c r="AC30" i="48"/>
  <c r="DN28" i="2" l="1"/>
  <c r="EL28" i="2"/>
  <c r="EP28" i="2"/>
  <c r="ET28" i="2"/>
  <c r="FB28" i="2"/>
  <c r="A33" i="1"/>
  <c r="A32" i="2"/>
  <c r="Y33" i="2"/>
  <c r="EG32" i="2"/>
  <c r="AC33" i="2"/>
  <c r="I33" i="2"/>
  <c r="CO32" i="2"/>
  <c r="DA31" i="2"/>
  <c r="AW33" i="2"/>
  <c r="DM30" i="2"/>
  <c r="BY32" i="2"/>
  <c r="Q35" i="2"/>
  <c r="CG34" i="2"/>
  <c r="CK34" i="2"/>
  <c r="DU36" i="2"/>
  <c r="DQ33" i="2"/>
  <c r="BI32" i="2"/>
  <c r="CS33" i="2"/>
  <c r="U35" i="2"/>
  <c r="EC33" i="2"/>
  <c r="AO33" i="2"/>
  <c r="AK33" i="2"/>
  <c r="CD28" i="2"/>
  <c r="DZ28" i="2"/>
  <c r="FD29" i="2"/>
  <c r="EX29" i="2" s="1"/>
  <c r="DV28" i="2"/>
  <c r="BB28" i="2"/>
  <c r="BF28" i="2"/>
  <c r="V28" i="2"/>
  <c r="R28" i="2"/>
  <c r="CH28" i="2"/>
  <c r="CX28" i="2"/>
  <c r="CL28" i="2"/>
  <c r="AP28" i="2"/>
  <c r="ED28" i="2"/>
  <c r="DR28" i="2"/>
  <c r="Z28" i="2"/>
  <c r="AX28" i="2"/>
  <c r="DF28" i="2"/>
  <c r="AH28" i="2"/>
  <c r="CT28" i="2"/>
  <c r="AL28" i="2"/>
  <c r="N28" i="2"/>
  <c r="AT28" i="2"/>
  <c r="J28" i="2"/>
  <c r="AD28" i="2"/>
  <c r="BZ28" i="2"/>
  <c r="CP28" i="2"/>
  <c r="EH28" i="2"/>
  <c r="BJ28" i="2"/>
  <c r="DB28" i="2"/>
  <c r="AG33" i="2"/>
  <c r="M33" i="2"/>
  <c r="CW34" i="2"/>
  <c r="AS33" i="2"/>
  <c r="BE35" i="2"/>
  <c r="BA36" i="2"/>
  <c r="DE33" i="2"/>
  <c r="AG32" i="48"/>
  <c r="AI31" i="48"/>
  <c r="AC31" i="48"/>
  <c r="AA32" i="48"/>
  <c r="DN29" i="2" l="1"/>
  <c r="EL29" i="2"/>
  <c r="EP29" i="2"/>
  <c r="ET29" i="2"/>
  <c r="FB29" i="2"/>
  <c r="A34" i="1"/>
  <c r="A33" i="2"/>
  <c r="BE36" i="2"/>
  <c r="AG34" i="2"/>
  <c r="DM31" i="2"/>
  <c r="I34" i="2"/>
  <c r="AW34" i="2"/>
  <c r="AO34" i="2"/>
  <c r="BI33" i="2"/>
  <c r="CG35" i="2"/>
  <c r="AC34" i="2"/>
  <c r="CS34" i="2"/>
  <c r="CW35" i="2"/>
  <c r="CD29" i="2"/>
  <c r="DZ29" i="2"/>
  <c r="FD30" i="2"/>
  <c r="EX30" i="2" s="1"/>
  <c r="BB29" i="2"/>
  <c r="DV29" i="2"/>
  <c r="V29" i="2"/>
  <c r="BF29" i="2"/>
  <c r="R29" i="2"/>
  <c r="CX29" i="2"/>
  <c r="CH29" i="2"/>
  <c r="CL29" i="2"/>
  <c r="AP29" i="2"/>
  <c r="AX29" i="2"/>
  <c r="ED29" i="2"/>
  <c r="N29" i="2"/>
  <c r="AT29" i="2"/>
  <c r="AL29" i="2"/>
  <c r="CT29" i="2"/>
  <c r="DR29" i="2"/>
  <c r="AD29" i="2"/>
  <c r="AH29" i="2"/>
  <c r="Z29" i="2"/>
  <c r="J29" i="2"/>
  <c r="DF29" i="2"/>
  <c r="BJ29" i="2"/>
  <c r="CP29" i="2"/>
  <c r="EH29" i="2"/>
  <c r="BZ29" i="2"/>
  <c r="DB29" i="2"/>
  <c r="EC34" i="2"/>
  <c r="DQ34" i="2"/>
  <c r="Q36" i="2"/>
  <c r="DA32" i="2"/>
  <c r="EG33" i="2"/>
  <c r="AK34" i="2"/>
  <c r="AS34" i="2"/>
  <c r="DE34" i="2"/>
  <c r="M34" i="2"/>
  <c r="BY33" i="2"/>
  <c r="CO33" i="2"/>
  <c r="CK35" i="2"/>
  <c r="BA37" i="2"/>
  <c r="U36" i="2"/>
  <c r="DU37" i="2"/>
  <c r="Y34" i="2"/>
  <c r="AG33" i="48"/>
  <c r="AI32" i="48"/>
  <c r="AA33" i="48"/>
  <c r="AC32" i="48"/>
  <c r="DN30" i="2" l="1"/>
  <c r="EL30" i="2"/>
  <c r="EP30" i="2"/>
  <c r="ET30" i="2"/>
  <c r="FB30" i="2"/>
  <c r="A35" i="1"/>
  <c r="A34" i="2"/>
  <c r="BY34" i="2"/>
  <c r="I35" i="2"/>
  <c r="DQ35" i="2"/>
  <c r="EG34" i="2"/>
  <c r="DM32" i="2"/>
  <c r="AK35" i="2"/>
  <c r="CG36" i="2"/>
  <c r="BA38" i="2"/>
  <c r="EC35" i="2"/>
  <c r="CW36" i="2"/>
  <c r="BI34" i="2"/>
  <c r="Y35" i="2"/>
  <c r="DE35" i="2"/>
  <c r="DA33" i="2"/>
  <c r="AG35" i="2"/>
  <c r="U37" i="2"/>
  <c r="M35" i="2"/>
  <c r="CK36" i="2"/>
  <c r="CS35" i="2"/>
  <c r="AO35" i="2"/>
  <c r="CO34" i="2"/>
  <c r="AS35" i="2"/>
  <c r="Q37" i="2"/>
  <c r="CD30" i="2"/>
  <c r="DZ30" i="2"/>
  <c r="FD31" i="2"/>
  <c r="EX31" i="2" s="1"/>
  <c r="DV30" i="2"/>
  <c r="BB30" i="2"/>
  <c r="BF30" i="2"/>
  <c r="R30" i="2"/>
  <c r="V30" i="2"/>
  <c r="CX30" i="2"/>
  <c r="CL30" i="2"/>
  <c r="CH30" i="2"/>
  <c r="AX30" i="2"/>
  <c r="CT30" i="2"/>
  <c r="DF30" i="2"/>
  <c r="Z30" i="2"/>
  <c r="AL30" i="2"/>
  <c r="AD30" i="2"/>
  <c r="N30" i="2"/>
  <c r="AH30" i="2"/>
  <c r="ED30" i="2"/>
  <c r="AT30" i="2"/>
  <c r="J30" i="2"/>
  <c r="DR30" i="2"/>
  <c r="AP30" i="2"/>
  <c r="BJ30" i="2"/>
  <c r="CP30" i="2"/>
  <c r="BZ30" i="2"/>
  <c r="EH30" i="2"/>
  <c r="DB30" i="2"/>
  <c r="AC35" i="2"/>
  <c r="AW35" i="2"/>
  <c r="DU38" i="2"/>
  <c r="BE37" i="2"/>
  <c r="AA34" i="48"/>
  <c r="AC33" i="48"/>
  <c r="AI33" i="48"/>
  <c r="AG34" i="48"/>
  <c r="EL31" i="2" l="1"/>
  <c r="EP31" i="2"/>
  <c r="ET31" i="2"/>
  <c r="FB31" i="2"/>
  <c r="A36" i="1"/>
  <c r="A35" i="2"/>
  <c r="AW36" i="2"/>
  <c r="Y36" i="2"/>
  <c r="EG35" i="2"/>
  <c r="AO36" i="2"/>
  <c r="U38" i="2"/>
  <c r="BA39" i="2"/>
  <c r="BA40" i="2" s="1"/>
  <c r="Q38" i="2"/>
  <c r="CS36" i="2"/>
  <c r="BI35" i="2"/>
  <c r="AG36" i="2"/>
  <c r="CG37" i="2"/>
  <c r="DQ36" i="2"/>
  <c r="CK37" i="2"/>
  <c r="DA34" i="2"/>
  <c r="AK36" i="2"/>
  <c r="I36" i="2"/>
  <c r="AC36" i="2"/>
  <c r="BE38" i="2"/>
  <c r="AS36" i="2"/>
  <c r="CW37" i="2"/>
  <c r="CD31" i="2"/>
  <c r="DZ31" i="2"/>
  <c r="FD32" i="2"/>
  <c r="EX32" i="2" s="1"/>
  <c r="DV31" i="2"/>
  <c r="BB31" i="2"/>
  <c r="V31" i="2"/>
  <c r="R31" i="2"/>
  <c r="BF31" i="2"/>
  <c r="CH31" i="2"/>
  <c r="CL31" i="2"/>
  <c r="CX31" i="2"/>
  <c r="N31" i="2"/>
  <c r="AH31" i="2"/>
  <c r="AX31" i="2"/>
  <c r="DF31" i="2"/>
  <c r="AT31" i="2"/>
  <c r="DR31" i="2"/>
  <c r="AP31" i="2"/>
  <c r="ED31" i="2"/>
  <c r="CT31" i="2"/>
  <c r="AL31" i="2"/>
  <c r="Z31" i="2"/>
  <c r="J31" i="2"/>
  <c r="AD31" i="2"/>
  <c r="CP31" i="2"/>
  <c r="BZ31" i="2"/>
  <c r="EH31" i="2"/>
  <c r="BJ31" i="2"/>
  <c r="DB31" i="2"/>
  <c r="CO35" i="2"/>
  <c r="M36" i="2"/>
  <c r="DM33" i="2"/>
  <c r="BY35" i="2"/>
  <c r="DU39" i="2"/>
  <c r="DU40" i="2" s="1"/>
  <c r="DE36" i="2"/>
  <c r="EC36" i="2"/>
  <c r="DN31" i="2"/>
  <c r="AG35" i="48"/>
  <c r="AI34" i="48"/>
  <c r="AC34" i="48"/>
  <c r="AA35" i="48"/>
  <c r="DN32" i="2" l="1"/>
  <c r="EL32" i="2"/>
  <c r="EP32" i="2"/>
  <c r="ET32" i="2"/>
  <c r="FB32" i="2"/>
  <c r="A37" i="1"/>
  <c r="A36" i="2"/>
  <c r="CO36" i="2"/>
  <c r="I37" i="2"/>
  <c r="DQ37" i="2"/>
  <c r="CW38" i="2"/>
  <c r="CS37" i="2"/>
  <c r="AO37" i="2"/>
  <c r="AK37" i="2"/>
  <c r="CG38" i="2"/>
  <c r="Q39" i="2"/>
  <c r="Q40" i="2" s="1"/>
  <c r="EG36" i="2"/>
  <c r="AS37" i="2"/>
  <c r="BY36" i="2"/>
  <c r="DM34" i="2"/>
  <c r="CD32" i="2"/>
  <c r="DZ32" i="2"/>
  <c r="FD33" i="2"/>
  <c r="EX33" i="2" s="1"/>
  <c r="BB32" i="2"/>
  <c r="DV32" i="2"/>
  <c r="V32" i="2"/>
  <c r="BF32" i="2"/>
  <c r="R32" i="2"/>
  <c r="CX32" i="2"/>
  <c r="CL32" i="2"/>
  <c r="CH32" i="2"/>
  <c r="N32" i="2"/>
  <c r="Z32" i="2"/>
  <c r="AH32" i="2"/>
  <c r="DR32" i="2"/>
  <c r="ED32" i="2"/>
  <c r="DF32" i="2"/>
  <c r="AT32" i="2"/>
  <c r="AX32" i="2"/>
  <c r="J32" i="2"/>
  <c r="AD32" i="2"/>
  <c r="AP32" i="2"/>
  <c r="CT32" i="2"/>
  <c r="AL32" i="2"/>
  <c r="CP32" i="2"/>
  <c r="BZ32" i="2"/>
  <c r="EH32" i="2"/>
  <c r="BJ32" i="2"/>
  <c r="DB32" i="2"/>
  <c r="DA35" i="2"/>
  <c r="AG37" i="2"/>
  <c r="BE39" i="2"/>
  <c r="BE40" i="2" s="1"/>
  <c r="Y37" i="2"/>
  <c r="AC37" i="2"/>
  <c r="CK38" i="2"/>
  <c r="BI36" i="2"/>
  <c r="AW37" i="2"/>
  <c r="EC37" i="2"/>
  <c r="DE37" i="2"/>
  <c r="M37" i="2"/>
  <c r="U39" i="2"/>
  <c r="U40" i="2" s="1"/>
  <c r="AA36" i="48"/>
  <c r="AC35" i="48"/>
  <c r="AI35" i="48"/>
  <c r="AG36" i="48"/>
  <c r="EL33" i="2" l="1"/>
  <c r="EP33" i="2"/>
  <c r="ET33" i="2"/>
  <c r="FB33" i="2"/>
  <c r="A38" i="1"/>
  <c r="A37" i="2"/>
  <c r="M38" i="2"/>
  <c r="BI37" i="2"/>
  <c r="CW39" i="2"/>
  <c r="CW40" i="2" s="1"/>
  <c r="CD33" i="2"/>
  <c r="DZ33" i="2"/>
  <c r="FD34" i="2"/>
  <c r="EX34" i="2" s="1"/>
  <c r="DV33" i="2"/>
  <c r="BB33" i="2"/>
  <c r="R33" i="2"/>
  <c r="BF33" i="2"/>
  <c r="V33" i="2"/>
  <c r="CX33" i="2"/>
  <c r="CH33" i="2"/>
  <c r="CL33" i="2"/>
  <c r="AX33" i="2"/>
  <c r="AD33" i="2"/>
  <c r="AT33" i="2"/>
  <c r="J33" i="2"/>
  <c r="AH33" i="2"/>
  <c r="DF33" i="2"/>
  <c r="Z33" i="2"/>
  <c r="AP33" i="2"/>
  <c r="CT33" i="2"/>
  <c r="N33" i="2"/>
  <c r="ED33" i="2"/>
  <c r="DR33" i="2"/>
  <c r="AL33" i="2"/>
  <c r="BZ33" i="2"/>
  <c r="CP33" i="2"/>
  <c r="BJ33" i="2"/>
  <c r="EH33" i="2"/>
  <c r="DB33" i="2"/>
  <c r="AS38" i="2"/>
  <c r="AK38" i="2"/>
  <c r="DQ38" i="2"/>
  <c r="DE38" i="2"/>
  <c r="AG38" i="2"/>
  <c r="EG37" i="2"/>
  <c r="AO38" i="2"/>
  <c r="AC38" i="2"/>
  <c r="DA36" i="2"/>
  <c r="DM35" i="2"/>
  <c r="I38" i="2"/>
  <c r="DN33" i="2"/>
  <c r="CO37" i="2"/>
  <c r="CG39" i="2"/>
  <c r="CG40" i="2" s="1"/>
  <c r="CK39" i="2"/>
  <c r="CK40" i="2" s="1"/>
  <c r="EC38" i="2"/>
  <c r="AW38" i="2"/>
  <c r="Y38" i="2"/>
  <c r="BY37" i="2"/>
  <c r="CS38" i="2"/>
  <c r="AA37" i="48"/>
  <c r="AC36" i="48"/>
  <c r="AG37" i="48"/>
  <c r="AI36" i="48"/>
  <c r="DN34" i="2" l="1"/>
  <c r="EL34" i="2"/>
  <c r="EP34" i="2"/>
  <c r="ET34" i="2"/>
  <c r="FB34" i="2"/>
  <c r="A39" i="1"/>
  <c r="A38" i="2"/>
  <c r="Y39" i="2"/>
  <c r="Y40" i="2" s="1"/>
  <c r="AK39" i="2"/>
  <c r="AK40" i="2" s="1"/>
  <c r="AW39" i="2"/>
  <c r="AW40" i="2" s="1"/>
  <c r="AG39" i="2"/>
  <c r="AG40" i="2" s="1"/>
  <c r="DE39" i="2"/>
  <c r="DE40" i="2" s="1"/>
  <c r="CS39" i="2"/>
  <c r="CS40" i="2" s="1"/>
  <c r="EC39" i="2"/>
  <c r="EC40" i="2" s="1"/>
  <c r="BY38" i="2"/>
  <c r="CD34" i="2"/>
  <c r="DZ34" i="2"/>
  <c r="FD35" i="2"/>
  <c r="EX35" i="2" s="1"/>
  <c r="DV34" i="2"/>
  <c r="BB34" i="2"/>
  <c r="V34" i="2"/>
  <c r="R34" i="2"/>
  <c r="BF34" i="2"/>
  <c r="CL34" i="2"/>
  <c r="CX34" i="2"/>
  <c r="CH34" i="2"/>
  <c r="N34" i="2"/>
  <c r="ED34" i="2"/>
  <c r="DF34" i="2"/>
  <c r="AD34" i="2"/>
  <c r="AX34" i="2"/>
  <c r="J34" i="2"/>
  <c r="AL34" i="2"/>
  <c r="AT34" i="2"/>
  <c r="CT34" i="2"/>
  <c r="DR34" i="2"/>
  <c r="AH34" i="2"/>
  <c r="Z34" i="2"/>
  <c r="AP34" i="2"/>
  <c r="BJ34" i="2"/>
  <c r="BZ34" i="2"/>
  <c r="CP34" i="2"/>
  <c r="EH34" i="2"/>
  <c r="DB34" i="2"/>
  <c r="BI38" i="2"/>
  <c r="CO38" i="2"/>
  <c r="AS39" i="2"/>
  <c r="AS40" i="2" s="1"/>
  <c r="AC39" i="2"/>
  <c r="AC40" i="2" s="1"/>
  <c r="I39" i="2"/>
  <c r="I40" i="2" s="1"/>
  <c r="AO39" i="2"/>
  <c r="AO40" i="2" s="1"/>
  <c r="DQ39" i="2"/>
  <c r="DQ40" i="2" s="1"/>
  <c r="M39" i="2"/>
  <c r="M40" i="2" s="1"/>
  <c r="DA37" i="2"/>
  <c r="DM36" i="2"/>
  <c r="EG38" i="2"/>
  <c r="AG38" i="48"/>
  <c r="AI37" i="48"/>
  <c r="AA38" i="48"/>
  <c r="AC37" i="48"/>
  <c r="DN35" i="2" l="1"/>
  <c r="EL35" i="2"/>
  <c r="EP35" i="2"/>
  <c r="ET35" i="2"/>
  <c r="FB35" i="2"/>
  <c r="A40" i="1"/>
  <c r="A40" i="2" s="1"/>
  <c r="A39" i="2"/>
  <c r="DZ35" i="2"/>
  <c r="CD35" i="2"/>
  <c r="FD36" i="2"/>
  <c r="EX36" i="2" s="1"/>
  <c r="DV35" i="2"/>
  <c r="BB35" i="2"/>
  <c r="R35" i="2"/>
  <c r="BF35" i="2"/>
  <c r="V35" i="2"/>
  <c r="CL35" i="2"/>
  <c r="CX35" i="2"/>
  <c r="CH35" i="2"/>
  <c r="AX35" i="2"/>
  <c r="AD35" i="2"/>
  <c r="N35" i="2"/>
  <c r="DF35" i="2"/>
  <c r="AH35" i="2"/>
  <c r="Z35" i="2"/>
  <c r="ED35" i="2"/>
  <c r="AL35" i="2"/>
  <c r="AT35" i="2"/>
  <c r="DR35" i="2"/>
  <c r="J35" i="2"/>
  <c r="AP35" i="2"/>
  <c r="CT35" i="2"/>
  <c r="CP35" i="2"/>
  <c r="EH35" i="2"/>
  <c r="BJ35" i="2"/>
  <c r="BZ35" i="2"/>
  <c r="DB35" i="2"/>
  <c r="DM37" i="2"/>
  <c r="DA38" i="2"/>
  <c r="BI39" i="2"/>
  <c r="BI40" i="2" s="1"/>
  <c r="BY39" i="2"/>
  <c r="BY40" i="2" s="1"/>
  <c r="EG39" i="2"/>
  <c r="EG40" i="2" s="1"/>
  <c r="CO39" i="2"/>
  <c r="CO40" i="2" s="1"/>
  <c r="AA39" i="48"/>
  <c r="AC39" i="48" s="1"/>
  <c r="AC38" i="48"/>
  <c r="AG39" i="48"/>
  <c r="AI39" i="48" s="1"/>
  <c r="AI38" i="48"/>
  <c r="EL36" i="2" l="1"/>
  <c r="EP36" i="2"/>
  <c r="ET36" i="2"/>
  <c r="FB36" i="2"/>
  <c r="DZ36" i="2"/>
  <c r="CD36" i="2"/>
  <c r="FD37" i="2"/>
  <c r="EX37" i="2" s="1"/>
  <c r="DV36" i="2"/>
  <c r="BB36" i="2"/>
  <c r="BF36" i="2"/>
  <c r="R36" i="2"/>
  <c r="V36" i="2"/>
  <c r="CL36" i="2"/>
  <c r="CH36" i="2"/>
  <c r="CX36" i="2"/>
  <c r="N36" i="2"/>
  <c r="CT36" i="2"/>
  <c r="Z36" i="2"/>
  <c r="AX36" i="2"/>
  <c r="AP36" i="2"/>
  <c r="ED36" i="2"/>
  <c r="J36" i="2"/>
  <c r="AD36" i="2"/>
  <c r="AL36" i="2"/>
  <c r="AT36" i="2"/>
  <c r="AH36" i="2"/>
  <c r="DF36" i="2"/>
  <c r="DR36" i="2"/>
  <c r="BZ36" i="2"/>
  <c r="CP36" i="2"/>
  <c r="BJ36" i="2"/>
  <c r="EH36" i="2"/>
  <c r="DB36" i="2"/>
  <c r="DA39" i="2"/>
  <c r="DA40" i="2" s="1"/>
  <c r="DM38" i="2"/>
  <c r="DN36" i="2"/>
  <c r="DN37" i="2" l="1"/>
  <c r="EL37" i="2"/>
  <c r="EP37" i="2"/>
  <c r="ET37" i="2"/>
  <c r="FB37" i="2"/>
  <c r="CD37" i="2"/>
  <c r="DZ37" i="2"/>
  <c r="FD38" i="2"/>
  <c r="EX38" i="2" s="1"/>
  <c r="DV37" i="2"/>
  <c r="BB37" i="2"/>
  <c r="V37" i="2"/>
  <c r="BF37" i="2"/>
  <c r="R37" i="2"/>
  <c r="CL37" i="2"/>
  <c r="CX37" i="2"/>
  <c r="CH37" i="2"/>
  <c r="N37" i="2"/>
  <c r="AL37" i="2"/>
  <c r="Z37" i="2"/>
  <c r="AX37" i="2"/>
  <c r="AH37" i="2"/>
  <c r="DR37" i="2"/>
  <c r="AP37" i="2"/>
  <c r="J37" i="2"/>
  <c r="DF37" i="2"/>
  <c r="AD37" i="2"/>
  <c r="ED37" i="2"/>
  <c r="CT37" i="2"/>
  <c r="AT37" i="2"/>
  <c r="BZ37" i="2"/>
  <c r="BJ37" i="2"/>
  <c r="EH37" i="2"/>
  <c r="CP37" i="2"/>
  <c r="DB37" i="2"/>
  <c r="DM39" i="2"/>
  <c r="DM40" i="2" s="1"/>
  <c r="DN38" i="2" l="1"/>
  <c r="EL38" i="2"/>
  <c r="EP38" i="2"/>
  <c r="ET38" i="2"/>
  <c r="FB38" i="2"/>
  <c r="CD38" i="2"/>
  <c r="DZ38" i="2"/>
  <c r="FD39" i="2"/>
  <c r="EX39" i="2" s="1"/>
  <c r="DV38" i="2"/>
  <c r="BB38" i="2"/>
  <c r="V38" i="2"/>
  <c r="R38" i="2"/>
  <c r="BF38" i="2"/>
  <c r="CH38" i="2"/>
  <c r="CL38" i="2"/>
  <c r="CX38" i="2"/>
  <c r="Z38" i="2"/>
  <c r="AH38" i="2"/>
  <c r="N38" i="2"/>
  <c r="DF38" i="2"/>
  <c r="J38" i="2"/>
  <c r="AL38" i="2"/>
  <c r="CT38" i="2"/>
  <c r="AP38" i="2"/>
  <c r="AD38" i="2"/>
  <c r="AT38" i="2"/>
  <c r="AX38" i="2"/>
  <c r="DR38" i="2"/>
  <c r="ED38" i="2"/>
  <c r="BJ38" i="2"/>
  <c r="BZ38" i="2"/>
  <c r="EH38" i="2"/>
  <c r="CP38" i="2"/>
  <c r="DB38" i="2"/>
  <c r="FD40" i="2" l="1"/>
  <c r="EX40" i="2" s="1"/>
  <c r="EL39" i="2"/>
  <c r="EP39" i="2"/>
  <c r="ET39" i="2"/>
  <c r="FB39" i="2"/>
  <c r="CD39" i="2"/>
  <c r="DZ39" i="2"/>
  <c r="BB39" i="2"/>
  <c r="DV39" i="2"/>
  <c r="V39" i="2"/>
  <c r="R39" i="2"/>
  <c r="BF39" i="2"/>
  <c r="CL39" i="2"/>
  <c r="CH39" i="2"/>
  <c r="CX39" i="2"/>
  <c r="AD39" i="2"/>
  <c r="AH39" i="2"/>
  <c r="DF39" i="2"/>
  <c r="J39" i="2"/>
  <c r="CT39" i="2"/>
  <c r="ED39" i="2"/>
  <c r="AX39" i="2"/>
  <c r="Z39" i="2"/>
  <c r="AL39" i="2"/>
  <c r="DR39" i="2"/>
  <c r="AT39" i="2"/>
  <c r="AP39" i="2"/>
  <c r="N39" i="2"/>
  <c r="BZ39" i="2"/>
  <c r="CP39" i="2"/>
  <c r="EH39" i="2"/>
  <c r="BJ39" i="2"/>
  <c r="DB39" i="2"/>
  <c r="DN39" i="2"/>
  <c r="CD40" i="2" l="1"/>
  <c r="DZ40" i="2"/>
  <c r="ET40" i="2"/>
  <c r="EP40" i="2"/>
  <c r="BB40" i="2"/>
  <c r="DV40" i="2"/>
  <c r="V40" i="2"/>
  <c r="BF40" i="2"/>
  <c r="R40" i="2"/>
  <c r="CH40" i="2"/>
  <c r="CL40" i="2"/>
  <c r="CX40" i="2"/>
  <c r="DF40" i="2"/>
  <c r="AD40" i="2"/>
  <c r="CT40" i="2"/>
  <c r="ED40" i="2"/>
  <c r="N40" i="2"/>
  <c r="AP40" i="2"/>
  <c r="AH40" i="2"/>
  <c r="AX40" i="2"/>
  <c r="Z40" i="2"/>
  <c r="DR40" i="2"/>
  <c r="AL40" i="2"/>
  <c r="AT40" i="2"/>
  <c r="J40" i="2"/>
  <c r="CP40" i="2"/>
  <c r="EH40" i="2"/>
  <c r="BJ40" i="2"/>
  <c r="BZ40" i="2"/>
  <c r="DB40" i="2"/>
  <c r="DN40" i="2"/>
  <c r="F23" i="33"/>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Y83" i="55" s="1"/>
  <c r="AG33" i="51"/>
  <c r="AG32" i="51"/>
  <c r="AG31" i="51"/>
  <c r="AG30" i="51"/>
  <c r="AG29" i="51"/>
  <c r="AG28" i="51"/>
  <c r="AG27" i="51"/>
  <c r="AG26" i="51"/>
  <c r="AG25" i="51"/>
  <c r="AG24" i="51"/>
  <c r="AG23" i="51"/>
  <c r="AG22" i="51"/>
  <c r="AG21" i="51"/>
  <c r="Y70" i="55" s="1"/>
  <c r="AG20" i="51"/>
  <c r="AG19" i="51"/>
  <c r="AG18" i="51"/>
  <c r="AG17" i="51"/>
  <c r="AG16" i="51"/>
  <c r="AG15" i="51"/>
  <c r="AG14" i="51"/>
  <c r="AG13" i="51"/>
  <c r="AG12" i="51"/>
  <c r="AG11" i="51"/>
  <c r="AG10" i="51"/>
  <c r="AG9" i="51"/>
  <c r="AG8" i="51"/>
  <c r="Y57" i="55" s="1"/>
  <c r="AG7" i="51"/>
  <c r="Y78" i="55" l="1"/>
  <c r="AA78" i="55" s="1"/>
  <c r="AB78" i="55" s="1"/>
  <c r="AA83" i="55"/>
  <c r="AB83" i="55" s="1"/>
  <c r="Y83" i="46"/>
  <c r="AA83" i="46" s="1"/>
  <c r="AB83" i="46" s="1"/>
  <c r="Y78" i="46"/>
  <c r="AA78" i="46" s="1"/>
  <c r="AB78" i="46" s="1"/>
  <c r="AA74" i="55"/>
  <c r="AB74" i="55" s="1"/>
  <c r="AA70" i="55"/>
  <c r="AB70" i="55" s="1"/>
  <c r="Y70" i="46"/>
  <c r="AA70" i="46" s="1"/>
  <c r="AB70" i="46" s="1"/>
  <c r="AA66" i="55"/>
  <c r="AB66" i="55" s="1"/>
  <c r="AA66" i="46"/>
  <c r="AB66" i="46" s="1"/>
  <c r="Y57" i="46"/>
  <c r="AA57" i="46" s="1"/>
  <c r="AB57" i="46" s="1"/>
  <c r="AA61" i="55"/>
  <c r="AB61" i="55" s="1"/>
  <c r="AA61" i="46"/>
  <c r="AB61" i="46" s="1"/>
  <c r="AG39" i="51"/>
  <c r="Y180" i="55" l="1"/>
  <c r="Y180" i="46"/>
  <c r="AA57" i="55"/>
  <c r="AB57" i="55" s="1"/>
  <c r="AH20" i="5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Y182" i="55" l="1"/>
  <c r="Y181" i="55"/>
  <c r="X188" i="55" s="1"/>
  <c r="Y182" i="46"/>
  <c r="Y181" i="46"/>
  <c r="X188" i="46" s="1"/>
  <c r="AH39" i="51"/>
  <c r="J38" i="33" l="1"/>
  <c r="D39" i="48" l="1"/>
  <c r="D38" i="48"/>
  <c r="E39" i="48" l="1"/>
  <c r="F39" i="48" s="1"/>
  <c r="E38" i="48"/>
  <c r="F38" i="48" s="1"/>
  <c r="D37" i="48"/>
  <c r="E37" i="48" l="1"/>
  <c r="F37" i="48" s="1"/>
  <c r="D31" i="48" l="1"/>
  <c r="E31" i="48" l="1"/>
  <c r="F31" i="48" s="1"/>
  <c r="D29" i="48" l="1"/>
  <c r="E29" i="48" l="1"/>
  <c r="F29" i="48" s="1"/>
  <c r="D28" i="48"/>
  <c r="E28" i="48" l="1"/>
  <c r="F28" i="48" s="1"/>
  <c r="D27" i="48"/>
  <c r="E27" i="48" l="1"/>
  <c r="F27" i="48" s="1"/>
  <c r="D26" i="48" l="1"/>
  <c r="E26" i="48" l="1"/>
  <c r="F26" i="48" s="1"/>
  <c r="E23" i="48" l="1"/>
  <c r="D23" i="48"/>
  <c r="F23" i="48" l="1"/>
  <c r="D22" i="48" l="1"/>
  <c r="E22" i="48" l="1"/>
  <c r="F22" i="48" s="1"/>
  <c r="D20" i="48" l="1"/>
  <c r="E20" i="48" l="1"/>
  <c r="F20" i="48" s="1"/>
  <c r="D17" i="48" l="1"/>
  <c r="E17" i="48" l="1"/>
  <c r="F17" i="48" s="1"/>
  <c r="D16" i="48"/>
  <c r="E16" i="48" l="1"/>
  <c r="F16" i="48" s="1"/>
  <c r="D14" i="48" l="1"/>
  <c r="E14" i="48" l="1"/>
  <c r="F14" i="48" s="1"/>
  <c r="D13" i="48"/>
  <c r="E13" i="48" l="1"/>
  <c r="F13" i="48" s="1"/>
  <c r="D9" i="48" l="1"/>
  <c r="E9" i="48" l="1"/>
  <c r="F9" i="48" s="1"/>
  <c r="I43" i="4"/>
  <c r="N41" i="48" l="1"/>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M9" i="48"/>
  <c r="H9" i="48"/>
  <c r="L41" i="48"/>
  <c r="H41" i="48" s="1"/>
  <c r="M10" i="48" l="1"/>
  <c r="M11" i="48" l="1"/>
  <c r="M12" i="48" l="1"/>
  <c r="M13" i="48" l="1"/>
  <c r="M14" i="48" l="1"/>
  <c r="D21" i="48"/>
  <c r="E21" i="48" l="1"/>
  <c r="F21" i="48" s="1"/>
  <c r="M15" i="48"/>
  <c r="J9" i="27"/>
  <c r="D12" i="48"/>
  <c r="J9" i="28" l="1"/>
  <c r="J9" i="26" s="1"/>
  <c r="M16" i="48"/>
  <c r="E12" i="48"/>
  <c r="F12" i="48" s="1"/>
  <c r="D11" i="48"/>
  <c r="J9" i="25" l="1"/>
  <c r="J9" i="23" s="1"/>
  <c r="J9" i="21" s="1"/>
  <c r="J9" i="22" s="1"/>
  <c r="J9" i="20" s="1"/>
  <c r="J9" i="19" s="1"/>
  <c r="E11" i="48"/>
  <c r="F11" i="48" s="1"/>
  <c r="M17" i="48"/>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C46" i="8"/>
  <c r="C45" i="8"/>
  <c r="C44" i="8"/>
  <c r="C43" i="8"/>
  <c r="C42" i="8"/>
  <c r="C41" i="8"/>
  <c r="C40" i="8"/>
  <c r="C39" i="8"/>
  <c r="C38" i="8"/>
  <c r="C52" i="9"/>
  <c r="C51" i="9"/>
  <c r="C50" i="9"/>
  <c r="C49" i="9"/>
  <c r="C48" i="9"/>
  <c r="C47" i="9"/>
  <c r="C46" i="9"/>
  <c r="C45" i="9"/>
  <c r="C44" i="9"/>
  <c r="C43" i="9"/>
  <c r="C42" i="9"/>
  <c r="C41" i="9"/>
  <c r="C40" i="9"/>
  <c r="C39" i="9"/>
  <c r="C38" i="9"/>
  <c r="C52" i="10"/>
  <c r="C51" i="10"/>
  <c r="C50" i="10"/>
  <c r="C49" i="10"/>
  <c r="C48" i="10"/>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C49" i="32"/>
  <c r="C48" i="32"/>
  <c r="C47" i="32"/>
  <c r="C46" i="32"/>
  <c r="C45" i="32"/>
  <c r="C44" i="32"/>
  <c r="C43" i="32"/>
  <c r="C42" i="32"/>
  <c r="C41" i="32"/>
  <c r="C40" i="32"/>
  <c r="C39" i="32"/>
  <c r="C38" i="32"/>
  <c r="C52" i="33"/>
  <c r="D52" i="33" s="1"/>
  <c r="J9" i="18" l="1"/>
  <c r="J9" i="17" s="1"/>
  <c r="J9" i="16" s="1"/>
  <c r="J9" i="15" s="1"/>
  <c r="J9" i="14" s="1"/>
  <c r="J9" i="13" s="1"/>
  <c r="J9" i="12" s="1"/>
  <c r="J9" i="11" s="1"/>
  <c r="J9" i="10" s="1"/>
  <c r="J9" i="9" s="1"/>
  <c r="J9" i="8" s="1"/>
  <c r="J9" i="7" s="1"/>
  <c r="M18" i="48"/>
  <c r="C53" i="8"/>
  <c r="C54" i="8" s="1"/>
  <c r="C53" i="17"/>
  <c r="C54" i="17" s="1"/>
  <c r="C53" i="23"/>
  <c r="C54" i="23" s="1"/>
  <c r="C53" i="4"/>
  <c r="C54" i="4" s="1"/>
  <c r="C53" i="37"/>
  <c r="C54" i="37" s="1"/>
  <c r="C53" i="6"/>
  <c r="C54" i="6" s="1"/>
  <c r="C53" i="7"/>
  <c r="C54" i="7" s="1"/>
  <c r="C53" i="9"/>
  <c r="C54"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s="1"/>
  <c r="M19" i="48" l="1"/>
  <c r="D52" i="31"/>
  <c r="D52" i="30" s="1"/>
  <c r="E52" i="30" s="1"/>
  <c r="E52" i="32"/>
  <c r="D52" i="29" l="1"/>
  <c r="E52" i="29" s="1"/>
  <c r="M20" i="48"/>
  <c r="E52" i="31"/>
  <c r="M21" i="48" l="1"/>
  <c r="D30" i="48"/>
  <c r="K34" i="14"/>
  <c r="I43" i="43"/>
  <c r="I44" i="43" s="1"/>
  <c r="I44" i="4"/>
  <c r="I43" i="37"/>
  <c r="I44" i="37" s="1"/>
  <c r="I43" i="6"/>
  <c r="I44" i="6" s="1"/>
  <c r="I43" i="7"/>
  <c r="I44" i="7" s="1"/>
  <c r="I43" i="8"/>
  <c r="I44" i="8" s="1"/>
  <c r="I43" i="9"/>
  <c r="I44" i="9" s="1"/>
  <c r="I43" i="10"/>
  <c r="I44" i="10" s="1"/>
  <c r="I43" i="1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5"/>
  <c r="I44" i="25"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L34" i="43"/>
  <c r="H4" i="4"/>
  <c r="K34" i="4"/>
  <c r="L34" i="4"/>
  <c r="H4" i="37"/>
  <c r="K34" i="37"/>
  <c r="L34" i="37"/>
  <c r="H4" i="6"/>
  <c r="L34" i="6"/>
  <c r="H4" i="7"/>
  <c r="L34" i="7"/>
  <c r="H4" i="8"/>
  <c r="K34" i="8"/>
  <c r="I40" i="8" s="1"/>
  <c r="L34" i="8"/>
  <c r="H4" i="9"/>
  <c r="L34" i="9"/>
  <c r="H4" i="10"/>
  <c r="K34" i="10"/>
  <c r="L34" i="10"/>
  <c r="H4" i="11"/>
  <c r="L34" i="11"/>
  <c r="H4" i="12"/>
  <c r="K34" i="12"/>
  <c r="L34" i="12"/>
  <c r="H4" i="13"/>
  <c r="K34" i="13"/>
  <c r="L34" i="13"/>
  <c r="H4" i="14"/>
  <c r="L34" i="14"/>
  <c r="H4" i="15"/>
  <c r="L34" i="15"/>
  <c r="H4" i="16"/>
  <c r="K34" i="16"/>
  <c r="L34" i="16"/>
  <c r="H4" i="17"/>
  <c r="L34" i="17"/>
  <c r="H4" i="18"/>
  <c r="L34" i="18"/>
  <c r="H4" i="19"/>
  <c r="L34" i="19"/>
  <c r="H4" i="20"/>
  <c r="L34" i="20"/>
  <c r="H4" i="22"/>
  <c r="L34"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H4" i="23"/>
  <c r="L34" i="23"/>
  <c r="H4" i="24"/>
  <c r="L34" i="24"/>
  <c r="H4" i="25"/>
  <c r="L34" i="25"/>
  <c r="H4" i="26"/>
  <c r="H4" i="28"/>
  <c r="L34" i="28"/>
  <c r="H4" i="27"/>
  <c r="L34" i="27"/>
  <c r="H4" i="31"/>
  <c r="L34" i="31"/>
  <c r="H4" i="32"/>
  <c r="J7" i="32"/>
  <c r="J12" i="27"/>
  <c r="J13" i="27"/>
  <c r="J14" i="27"/>
  <c r="J15" i="31"/>
  <c r="J15" i="30" s="1"/>
  <c r="J15" i="29" s="1"/>
  <c r="J16" i="31"/>
  <c r="J16" i="30" s="1"/>
  <c r="J16" i="29" s="1"/>
  <c r="J17" i="31"/>
  <c r="J17" i="30" s="1"/>
  <c r="J17" i="29" s="1"/>
  <c r="J18" i="31"/>
  <c r="J18" i="30" s="1"/>
  <c r="J18" i="29" s="1"/>
  <c r="J19" i="31"/>
  <c r="J19" i="30" s="1"/>
  <c r="J19" i="29" s="1"/>
  <c r="J20" i="31"/>
  <c r="J20" i="30" s="1"/>
  <c r="J20" i="29" s="1"/>
  <c r="J21" i="31"/>
  <c r="J21" i="30" s="1"/>
  <c r="J21" i="29" s="1"/>
  <c r="J22" i="31"/>
  <c r="J22" i="30" s="1"/>
  <c r="J22" i="29" s="1"/>
  <c r="J23" i="31"/>
  <c r="J23" i="30" s="1"/>
  <c r="J23" i="29" s="1"/>
  <c r="J24" i="31"/>
  <c r="J24" i="30" s="1"/>
  <c r="J24" i="29" s="1"/>
  <c r="J25" i="31"/>
  <c r="J25" i="30" s="1"/>
  <c r="J25" i="29" s="1"/>
  <c r="J26" i="31"/>
  <c r="J26" i="30" s="1"/>
  <c r="J26" i="29" s="1"/>
  <c r="L34" i="32"/>
  <c r="M8" i="33"/>
  <c r="M9" i="33"/>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Z11" i="55" s="1"/>
  <c r="C40" i="33"/>
  <c r="D40" i="33" s="1"/>
  <c r="D40" i="32" s="1"/>
  <c r="C41" i="33"/>
  <c r="D41" i="33" s="1"/>
  <c r="C42" i="33"/>
  <c r="D42" i="33" s="1"/>
  <c r="C43" i="33"/>
  <c r="D43" i="33" s="1"/>
  <c r="C44" i="33"/>
  <c r="D44" i="33" s="1"/>
  <c r="Z16" i="55" s="1"/>
  <c r="C45" i="33"/>
  <c r="D45" i="33" s="1"/>
  <c r="C46" i="33"/>
  <c r="D46" i="33" s="1"/>
  <c r="C47" i="33"/>
  <c r="D47" i="33" s="1"/>
  <c r="C48" i="33"/>
  <c r="D48" i="33" s="1"/>
  <c r="C49" i="33"/>
  <c r="D49" i="33" s="1"/>
  <c r="AA21" i="46" s="1"/>
  <c r="AB21" i="46" s="1"/>
  <c r="C50" i="33"/>
  <c r="D50" i="33" s="1"/>
  <c r="C51" i="33"/>
  <c r="D51" i="33" s="1"/>
  <c r="D51" i="32" s="1"/>
  <c r="A4" i="47"/>
  <c r="J38" i="32"/>
  <c r="J38" i="31" s="1"/>
  <c r="J38" i="30" s="1"/>
  <c r="K34" i="24"/>
  <c r="K34" i="23"/>
  <c r="K34" i="32"/>
  <c r="M9" i="32"/>
  <c r="I44" i="11" l="1"/>
  <c r="I68" i="47"/>
  <c r="Z16" i="46"/>
  <c r="AA16" i="46" s="1"/>
  <c r="AB16" i="46" s="1"/>
  <c r="AA16" i="55"/>
  <c r="AB16" i="55" s="1"/>
  <c r="Z11" i="46"/>
  <c r="AA11" i="46" s="1"/>
  <c r="AB11" i="46" s="1"/>
  <c r="AA11" i="55"/>
  <c r="AB11" i="55" s="1"/>
  <c r="J22" i="27"/>
  <c r="J22" i="28" s="1"/>
  <c r="J22" i="26" s="1"/>
  <c r="J22" i="25" s="1"/>
  <c r="J22" i="24" s="1"/>
  <c r="J19" i="27"/>
  <c r="J19" i="28" s="1"/>
  <c r="J19" i="26" s="1"/>
  <c r="J23" i="27"/>
  <c r="J23" i="28" s="1"/>
  <c r="J23" i="26" s="1"/>
  <c r="J23" i="25" s="1"/>
  <c r="J23" i="24" s="1"/>
  <c r="M12" i="31"/>
  <c r="M12" i="30" s="1"/>
  <c r="M28" i="31"/>
  <c r="M28" i="30" s="1"/>
  <c r="J29" i="31"/>
  <c r="J29" i="30" s="1"/>
  <c r="J29" i="29" s="1"/>
  <c r="M27" i="31"/>
  <c r="M27" i="30" s="1"/>
  <c r="M22" i="31"/>
  <c r="M22" i="30" s="1"/>
  <c r="M14" i="31"/>
  <c r="M14" i="30" s="1"/>
  <c r="J28" i="31"/>
  <c r="J28" i="30" s="1"/>
  <c r="J28" i="29" s="1"/>
  <c r="D24" i="43"/>
  <c r="M15" i="31"/>
  <c r="M15" i="30" s="1"/>
  <c r="M26" i="31"/>
  <c r="M26" i="30" s="1"/>
  <c r="M21" i="31"/>
  <c r="M21" i="30" s="1"/>
  <c r="J27" i="31"/>
  <c r="J27" i="30" s="1"/>
  <c r="J27" i="29"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7" s="1"/>
  <c r="J27" i="28" s="1"/>
  <c r="J27" i="26" s="1"/>
  <c r="J30" i="31"/>
  <c r="J30" i="30" s="1"/>
  <c r="J30" i="29" s="1"/>
  <c r="M11" i="31"/>
  <c r="M11" i="30" s="1"/>
  <c r="M25" i="31"/>
  <c r="M25" i="30" s="1"/>
  <c r="M20" i="31"/>
  <c r="M20" i="30" s="1"/>
  <c r="M24" i="31"/>
  <c r="M24" i="30" s="1"/>
  <c r="M19" i="31"/>
  <c r="M19" i="30" s="1"/>
  <c r="M16" i="31"/>
  <c r="M16" i="30" s="1"/>
  <c r="M31" i="31"/>
  <c r="M31" i="30" s="1"/>
  <c r="M23" i="31"/>
  <c r="M18" i="31"/>
  <c r="M18" i="30" s="1"/>
  <c r="J32" i="31"/>
  <c r="J32" i="30" s="1"/>
  <c r="M32" i="31"/>
  <c r="M9" i="31"/>
  <c r="M9" i="30" s="1"/>
  <c r="M30" i="31"/>
  <c r="M30" i="30" s="1"/>
  <c r="M17" i="31"/>
  <c r="M17" i="30" s="1"/>
  <c r="M13" i="31"/>
  <c r="M13" i="30" s="1"/>
  <c r="J31" i="31"/>
  <c r="J31" i="30" s="1"/>
  <c r="J31" i="29" s="1"/>
  <c r="J14" i="28"/>
  <c r="J14" i="26" s="1"/>
  <c r="J14" i="25" s="1"/>
  <c r="J14" i="24" s="1"/>
  <c r="J12" i="28"/>
  <c r="J12" i="26" s="1"/>
  <c r="J12" i="25" s="1"/>
  <c r="J12" i="24" s="1"/>
  <c r="J13" i="28"/>
  <c r="J13" i="26" s="1"/>
  <c r="J13" i="25" s="1"/>
  <c r="J13" i="24" s="1"/>
  <c r="I40" i="24"/>
  <c r="R18" i="48" s="1"/>
  <c r="BA18" i="48" s="1"/>
  <c r="I40" i="10"/>
  <c r="R32" i="48" s="1"/>
  <c r="J32" i="48" s="1"/>
  <c r="C34" i="43"/>
  <c r="K21" i="43" s="1"/>
  <c r="J57" i="23"/>
  <c r="M8" i="32"/>
  <c r="E33" i="43"/>
  <c r="I40" i="26"/>
  <c r="R16" i="48" s="1"/>
  <c r="K34" i="21"/>
  <c r="J38" i="29"/>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J30" i="27" s="1"/>
  <c r="J30" i="28" s="1"/>
  <c r="J30" i="26" s="1"/>
  <c r="I40" i="23"/>
  <c r="R19" i="48" s="1"/>
  <c r="E15" i="33"/>
  <c r="K34" i="27"/>
  <c r="E15" i="43"/>
  <c r="F34" i="43"/>
  <c r="D24" i="33"/>
  <c r="K34" i="11"/>
  <c r="E34" i="33"/>
  <c r="J58" i="33" s="1"/>
  <c r="E24" i="43"/>
  <c r="E33" i="33"/>
  <c r="C24" i="33"/>
  <c r="K34" i="7"/>
  <c r="I40" i="32"/>
  <c r="R10" i="48" s="1"/>
  <c r="AD10" i="48" s="1"/>
  <c r="D15" i="33"/>
  <c r="E30" i="48"/>
  <c r="F30" i="48" s="1"/>
  <c r="D15" i="43"/>
  <c r="D34" i="33"/>
  <c r="Z6" i="55" s="1"/>
  <c r="C33" i="33"/>
  <c r="R34" i="48"/>
  <c r="E24" i="33"/>
  <c r="I40" i="12"/>
  <c r="R30" i="48" s="1"/>
  <c r="E18" i="48"/>
  <c r="F18" i="48" s="1"/>
  <c r="C24" i="43"/>
  <c r="E15" i="48"/>
  <c r="F15" i="48" s="1"/>
  <c r="E19" i="48"/>
  <c r="F19" i="48" s="1"/>
  <c r="M22" i="48"/>
  <c r="K34" i="9"/>
  <c r="C33" i="43"/>
  <c r="E34" i="43"/>
  <c r="I40" i="4"/>
  <c r="R38" i="48" s="1"/>
  <c r="I40" i="37"/>
  <c r="R37" i="48" s="1"/>
  <c r="K34" i="17"/>
  <c r="K34" i="20"/>
  <c r="J10" i="27"/>
  <c r="I40" i="13"/>
  <c r="R29" i="48" s="1"/>
  <c r="D33" i="43"/>
  <c r="D34" i="43"/>
  <c r="J11" i="27"/>
  <c r="C15" i="43"/>
  <c r="J9" i="6"/>
  <c r="J9" i="37" s="1"/>
  <c r="J8" i="27"/>
  <c r="J8" i="28" s="1"/>
  <c r="J8" i="26" s="1"/>
  <c r="D33" i="33"/>
  <c r="C15" i="33"/>
  <c r="C34" i="33"/>
  <c r="K7" i="33" s="1"/>
  <c r="W6" i="55" s="1"/>
  <c r="X6" i="55" s="1"/>
  <c r="K34" i="31"/>
  <c r="I45" i="8"/>
  <c r="I40" i="16"/>
  <c r="K34" i="19"/>
  <c r="K34" i="28"/>
  <c r="D44" i="32"/>
  <c r="E44" i="32" s="1"/>
  <c r="D39" i="32"/>
  <c r="E39" i="32" s="1"/>
  <c r="I44" i="33"/>
  <c r="D51" i="31"/>
  <c r="D51" i="30" s="1"/>
  <c r="E51" i="30" s="1"/>
  <c r="E51" i="32"/>
  <c r="E50" i="33"/>
  <c r="D50" i="32"/>
  <c r="E49" i="33"/>
  <c r="D49" i="32"/>
  <c r="E47" i="33"/>
  <c r="D47" i="32"/>
  <c r="E45" i="33"/>
  <c r="D45" i="32"/>
  <c r="E43" i="33"/>
  <c r="D43" i="32"/>
  <c r="E41" i="33"/>
  <c r="D41" i="32"/>
  <c r="D38" i="33"/>
  <c r="E38" i="33" s="1"/>
  <c r="C53" i="33"/>
  <c r="C54" i="33" s="1"/>
  <c r="E48" i="33"/>
  <c r="D48" i="32"/>
  <c r="E46" i="33"/>
  <c r="D46" i="32"/>
  <c r="E42" i="33"/>
  <c r="D42" i="32"/>
  <c r="D40" i="31"/>
  <c r="D40" i="30" s="1"/>
  <c r="E40" i="30" s="1"/>
  <c r="E40" i="32"/>
  <c r="D52" i="27"/>
  <c r="F34" i="33"/>
  <c r="M10" i="31"/>
  <c r="M10" i="30" s="1"/>
  <c r="J44" i="33"/>
  <c r="E39" i="33"/>
  <c r="E51" i="33"/>
  <c r="E40" i="33"/>
  <c r="E44" i="33"/>
  <c r="I40" i="14"/>
  <c r="R28" i="48" s="1"/>
  <c r="J37" i="33"/>
  <c r="I44" i="31"/>
  <c r="J43" i="32"/>
  <c r="W147" i="55" l="1"/>
  <c r="W147" i="46"/>
  <c r="K34" i="43"/>
  <c r="I40" i="43" s="1"/>
  <c r="R39" i="48" s="1"/>
  <c r="J39" i="48"/>
  <c r="BA39" i="48"/>
  <c r="I39" i="48"/>
  <c r="C38" i="45"/>
  <c r="S38" i="45" s="1"/>
  <c r="I45" i="43"/>
  <c r="I45" i="24"/>
  <c r="AD18" i="48"/>
  <c r="AJ18" i="48"/>
  <c r="C17" i="45"/>
  <c r="S17" i="45" s="1"/>
  <c r="J8" i="23"/>
  <c r="J8" i="21" s="1"/>
  <c r="J8" i="22" s="1"/>
  <c r="J8" i="20" s="1"/>
  <c r="J8" i="19" s="1"/>
  <c r="J19" i="25"/>
  <c r="J15" i="27"/>
  <c r="J15" i="28" s="1"/>
  <c r="J15" i="26" s="1"/>
  <c r="J15" i="25" s="1"/>
  <c r="J15" i="24" s="1"/>
  <c r="J15" i="23" s="1"/>
  <c r="J15" i="21" s="1"/>
  <c r="M9" i="29" s="1"/>
  <c r="M9" i="27" s="1"/>
  <c r="M9" i="28" s="1"/>
  <c r="M9" i="26" s="1"/>
  <c r="M9" i="25" s="1"/>
  <c r="M9" i="24" s="1"/>
  <c r="M9" i="23" s="1"/>
  <c r="M9" i="21" s="1"/>
  <c r="M9" i="22" s="1"/>
  <c r="M9" i="20" s="1"/>
  <c r="M9" i="19" s="1"/>
  <c r="M9" i="18" s="1"/>
  <c r="M9" i="17" s="1"/>
  <c r="M9" i="16" s="1"/>
  <c r="M9" i="15" s="1"/>
  <c r="M9" i="14" s="1"/>
  <c r="M9" i="13" s="1"/>
  <c r="M9" i="12" s="1"/>
  <c r="M9" i="11" s="1"/>
  <c r="M9" i="10" s="1"/>
  <c r="J27" i="25"/>
  <c r="J27" i="24" s="1"/>
  <c r="J27" i="23" s="1"/>
  <c r="J27" i="21" s="1"/>
  <c r="J27" i="22" s="1"/>
  <c r="J27" i="20" s="1"/>
  <c r="J27" i="19" s="1"/>
  <c r="J18" i="27"/>
  <c r="J18" i="28" s="1"/>
  <c r="J18" i="26" s="1"/>
  <c r="J18" i="25" s="1"/>
  <c r="J18" i="24" s="1"/>
  <c r="J18" i="23" s="1"/>
  <c r="J18" i="21" s="1"/>
  <c r="J18" i="22" s="1"/>
  <c r="J18" i="20" s="1"/>
  <c r="J18" i="19" s="1"/>
  <c r="J30" i="25"/>
  <c r="J30" i="24" s="1"/>
  <c r="W6" i="46"/>
  <c r="X6" i="46" s="1"/>
  <c r="J18" i="48"/>
  <c r="I18" i="48"/>
  <c r="E19" i="1"/>
  <c r="IS19" i="1" s="1"/>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7" s="1"/>
  <c r="J17" i="28" s="1"/>
  <c r="J17" i="26" s="1"/>
  <c r="J17" i="25" s="1"/>
  <c r="J17" i="24" s="1"/>
  <c r="J17" i="23" s="1"/>
  <c r="J17" i="21" s="1"/>
  <c r="J17" i="22" s="1"/>
  <c r="J17" i="20" s="1"/>
  <c r="J17" i="19" s="1"/>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27"/>
  <c r="J29" i="28" s="1"/>
  <c r="J29" i="26" s="1"/>
  <c r="J29" i="25" s="1"/>
  <c r="J29" i="24" s="1"/>
  <c r="J57" i="33"/>
  <c r="J56" i="32" s="1"/>
  <c r="J56" i="31" s="1"/>
  <c r="J56" i="30" s="1"/>
  <c r="J56" i="29" s="1"/>
  <c r="Z6" i="46"/>
  <c r="C31" i="45"/>
  <c r="S31" i="45" s="1"/>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9" s="1"/>
  <c r="J32" i="27" s="1"/>
  <c r="J32" i="28" s="1"/>
  <c r="J32" i="26" s="1"/>
  <c r="J12" i="23"/>
  <c r="J12" i="21" s="1"/>
  <c r="J12" i="22" s="1"/>
  <c r="J12" i="20" s="1"/>
  <c r="J12" i="19" s="1"/>
  <c r="J13" i="23"/>
  <c r="J13" i="21" s="1"/>
  <c r="J13" i="22" s="1"/>
  <c r="J13" i="20" s="1"/>
  <c r="J13" i="19" s="1"/>
  <c r="J14" i="23"/>
  <c r="J14" i="21" s="1"/>
  <c r="J14" i="22" s="1"/>
  <c r="J14" i="20" s="1"/>
  <c r="J14" i="19" s="1"/>
  <c r="J10" i="28"/>
  <c r="J10" i="26" s="1"/>
  <c r="J10" i="25" s="1"/>
  <c r="J10" i="24" s="1"/>
  <c r="J11" i="28"/>
  <c r="J11" i="26" s="1"/>
  <c r="J11" i="25" s="1"/>
  <c r="J11" i="24" s="1"/>
  <c r="I45" i="10"/>
  <c r="AD32" i="48"/>
  <c r="BA32" i="48"/>
  <c r="I32" i="48"/>
  <c r="E33" i="1"/>
  <c r="HR33" i="1" s="1"/>
  <c r="AJ32" i="48"/>
  <c r="I40" i="9"/>
  <c r="I45" i="9" s="1"/>
  <c r="I40" i="7"/>
  <c r="R35" i="48" s="1"/>
  <c r="C34" i="45" s="1"/>
  <c r="I40" i="11"/>
  <c r="R31" i="48" s="1"/>
  <c r="I40" i="17"/>
  <c r="R25" i="48" s="1"/>
  <c r="BA25" i="48" s="1"/>
  <c r="I40" i="27"/>
  <c r="R14" i="48" s="1"/>
  <c r="E15" i="1" s="1"/>
  <c r="I40" i="21"/>
  <c r="R20" i="48" s="1"/>
  <c r="AJ20" i="48" s="1"/>
  <c r="J9" i="4"/>
  <c r="J9" i="43" s="1"/>
  <c r="E35" i="33"/>
  <c r="BA16" i="48"/>
  <c r="I45" i="23"/>
  <c r="I19" i="48"/>
  <c r="D35" i="8"/>
  <c r="AD19" i="48"/>
  <c r="I16" i="48"/>
  <c r="C15" i="45"/>
  <c r="AJ19" i="48"/>
  <c r="BA19" i="48"/>
  <c r="E35" i="25"/>
  <c r="E35" i="8"/>
  <c r="AJ16" i="48"/>
  <c r="E35" i="12"/>
  <c r="E17" i="1"/>
  <c r="JH17" i="1" s="1"/>
  <c r="J16" i="48"/>
  <c r="I45" i="26"/>
  <c r="AD16" i="48"/>
  <c r="M8" i="31"/>
  <c r="J30" i="23"/>
  <c r="J30" i="21" s="1"/>
  <c r="J30" i="22" s="1"/>
  <c r="J30" i="20" s="1"/>
  <c r="J30" i="19" s="1"/>
  <c r="E20" i="1"/>
  <c r="IV20" i="1" s="1"/>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C18" i="45"/>
  <c r="C35" i="8"/>
  <c r="J22" i="23"/>
  <c r="J22" i="21" s="1"/>
  <c r="J22" i="22" s="1"/>
  <c r="J22" i="20" s="1"/>
  <c r="J22" i="19" s="1"/>
  <c r="J23" i="23"/>
  <c r="J23" i="21" s="1"/>
  <c r="J23" i="22" s="1"/>
  <c r="J23" i="20" s="1"/>
  <c r="J23" i="19" s="1"/>
  <c r="I45" i="32"/>
  <c r="C36" i="45"/>
  <c r="BA37" i="48"/>
  <c r="C33" i="45"/>
  <c r="BA34" i="48"/>
  <c r="C29" i="45"/>
  <c r="BA30" i="48"/>
  <c r="D35" i="12"/>
  <c r="HO33" i="1"/>
  <c r="DH33" i="1"/>
  <c r="C27" i="45"/>
  <c r="S27" i="45" s="1"/>
  <c r="BA28" i="48"/>
  <c r="C28" i="45"/>
  <c r="BA29" i="48"/>
  <c r="E11" i="1"/>
  <c r="BA10" i="48"/>
  <c r="C35" i="13"/>
  <c r="I45" i="12"/>
  <c r="C37" i="45"/>
  <c r="BA38" i="48"/>
  <c r="J57" i="21"/>
  <c r="J57" i="22" s="1"/>
  <c r="J57" i="20" s="1"/>
  <c r="AJ10" i="48"/>
  <c r="R33" i="48"/>
  <c r="I10" i="48"/>
  <c r="J10" i="48"/>
  <c r="C9" i="45"/>
  <c r="R26" i="48"/>
  <c r="I38" i="48"/>
  <c r="E39" i="1"/>
  <c r="J38" i="48"/>
  <c r="AD38" i="48"/>
  <c r="AJ38" i="48"/>
  <c r="M23" i="48"/>
  <c r="E33" i="2"/>
  <c r="FE33" i="2" s="1"/>
  <c r="I30" i="48"/>
  <c r="E31" i="1"/>
  <c r="AD30" i="48"/>
  <c r="AJ30" i="48"/>
  <c r="J30" i="48"/>
  <c r="AJ37" i="48"/>
  <c r="J37" i="48"/>
  <c r="I37" i="48"/>
  <c r="E38" i="1"/>
  <c r="AD37" i="48"/>
  <c r="J57" i="32"/>
  <c r="J57" i="31" s="1"/>
  <c r="AJ34" i="48"/>
  <c r="AD34" i="48"/>
  <c r="E35" i="1"/>
  <c r="J34" i="48"/>
  <c r="I34" i="48"/>
  <c r="R13" i="48"/>
  <c r="E30" i="1"/>
  <c r="AD29" i="48"/>
  <c r="AJ29" i="48"/>
  <c r="I29" i="48"/>
  <c r="J29" i="48"/>
  <c r="J28" i="48"/>
  <c r="E29" i="1"/>
  <c r="AJ28" i="48"/>
  <c r="AD28" i="48"/>
  <c r="I28" i="48"/>
  <c r="K34" i="18"/>
  <c r="C35" i="12"/>
  <c r="M19" i="6"/>
  <c r="M19" i="37" s="1"/>
  <c r="M19" i="4" s="1"/>
  <c r="M19" i="43" s="1"/>
  <c r="I45" i="4"/>
  <c r="I45" i="37"/>
  <c r="I40" i="19"/>
  <c r="E35" i="20"/>
  <c r="C35" i="20"/>
  <c r="I40" i="20"/>
  <c r="R22" i="48" s="1"/>
  <c r="D35" i="20"/>
  <c r="I40" i="28"/>
  <c r="R15" i="48" s="1"/>
  <c r="D35" i="4"/>
  <c r="E35" i="4"/>
  <c r="I45" i="13"/>
  <c r="R12" i="48"/>
  <c r="I40" i="3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J44" i="32"/>
  <c r="J43" i="31"/>
  <c r="J43" i="30" s="1"/>
  <c r="J44" i="30" s="1"/>
  <c r="J38" i="27"/>
  <c r="EX33" i="1" l="1"/>
  <c r="I20" i="48"/>
  <c r="E40" i="1"/>
  <c r="AD39" i="48"/>
  <c r="X39" i="48"/>
  <c r="AA147" i="46"/>
  <c r="AB147" i="46" s="1"/>
  <c r="X147" i="46"/>
  <c r="AJ39" i="48"/>
  <c r="AA147" i="55"/>
  <c r="AB147" i="55" s="1"/>
  <c r="X147" i="55"/>
  <c r="J23" i="18"/>
  <c r="J23" i="17" s="1"/>
  <c r="J23" i="16" s="1"/>
  <c r="J23" i="15" s="1"/>
  <c r="J23" i="14" s="1"/>
  <c r="J23" i="13" s="1"/>
  <c r="J23" i="12" s="1"/>
  <c r="J30" i="18"/>
  <c r="J30" i="17" s="1"/>
  <c r="J30" i="16" s="1"/>
  <c r="J30" i="15" s="1"/>
  <c r="J30" i="14" s="1"/>
  <c r="J30" i="13" s="1"/>
  <c r="J30" i="12" s="1"/>
  <c r="J30" i="11" s="1"/>
  <c r="J30" i="10" s="1"/>
  <c r="J30" i="9" s="1"/>
  <c r="J30" i="8" s="1"/>
  <c r="J30" i="7" s="1"/>
  <c r="J30" i="6" s="1"/>
  <c r="J17" i="18"/>
  <c r="J17" i="17" s="1"/>
  <c r="J17" i="16" s="1"/>
  <c r="J17" i="15" s="1"/>
  <c r="J17" i="14" s="1"/>
  <c r="J27" i="18"/>
  <c r="J27" i="17" s="1"/>
  <c r="J27" i="16" s="1"/>
  <c r="J27" i="15" s="1"/>
  <c r="J27" i="14" s="1"/>
  <c r="J27" i="13" s="1"/>
  <c r="J27" i="12" s="1"/>
  <c r="J22" i="18"/>
  <c r="J22" i="17" s="1"/>
  <c r="J22" i="16" s="1"/>
  <c r="J22" i="15" s="1"/>
  <c r="J22" i="14" s="1"/>
  <c r="J22" i="13" s="1"/>
  <c r="J22" i="12" s="1"/>
  <c r="J8" i="18"/>
  <c r="J8" i="17" s="1"/>
  <c r="J8" i="16" s="1"/>
  <c r="J8" i="15" s="1"/>
  <c r="J8" i="14" s="1"/>
  <c r="J18" i="18"/>
  <c r="J18" i="17" s="1"/>
  <c r="J18" i="16" s="1"/>
  <c r="J18" i="15" s="1"/>
  <c r="J18" i="14" s="1"/>
  <c r="FP19" i="1"/>
  <c r="BR19" i="1"/>
  <c r="IA19" i="1"/>
  <c r="AW19" i="1"/>
  <c r="EO19" i="1"/>
  <c r="BX19" i="1"/>
  <c r="EI19" i="1"/>
  <c r="DT19" i="1"/>
  <c r="V19" i="1"/>
  <c r="GK19" i="1"/>
  <c r="HL19" i="1"/>
  <c r="DN19" i="1"/>
  <c r="JH19" i="1"/>
  <c r="FJ19" i="1"/>
  <c r="AQ19" i="1"/>
  <c r="JB19" i="1"/>
  <c r="AB19" i="1"/>
  <c r="GE19" i="1"/>
  <c r="CS19" i="1"/>
  <c r="J19" i="24"/>
  <c r="J19" i="23" s="1"/>
  <c r="J19" i="21" s="1"/>
  <c r="J19" i="22" s="1"/>
  <c r="J19" i="20" s="1"/>
  <c r="J19" i="19" s="1"/>
  <c r="IG19" i="1"/>
  <c r="CM19" i="1"/>
  <c r="HF19" i="1"/>
  <c r="J28" i="27"/>
  <c r="J28" i="28" s="1"/>
  <c r="J28" i="26" s="1"/>
  <c r="J32" i="25"/>
  <c r="IM17" i="1"/>
  <c r="I45" i="7"/>
  <c r="I35" i="48"/>
  <c r="BA35" i="48"/>
  <c r="I25" i="48"/>
  <c r="CV19" i="1"/>
  <c r="GN19" i="1"/>
  <c r="S19" i="1"/>
  <c r="DK19" i="1"/>
  <c r="HC19" i="1"/>
  <c r="AT19" i="1"/>
  <c r="EL19" i="1"/>
  <c r="ID19" i="1"/>
  <c r="BU19" i="1"/>
  <c r="FM19" i="1"/>
  <c r="JE19" i="1"/>
  <c r="E19" i="2"/>
  <c r="FE19" i="2" s="1"/>
  <c r="P19" i="1"/>
  <c r="DH19" i="1"/>
  <c r="GZ19" i="1"/>
  <c r="AE19" i="1"/>
  <c r="DW19" i="1"/>
  <c r="HO19" i="1"/>
  <c r="BF19" i="1"/>
  <c r="EX19" i="1"/>
  <c r="IP19" i="1"/>
  <c r="CG19" i="1"/>
  <c r="FY19" i="1"/>
  <c r="AN19" i="1"/>
  <c r="EF19" i="1"/>
  <c r="HX19" i="1"/>
  <c r="BC19" i="1"/>
  <c r="EU19" i="1"/>
  <c r="IM19" i="1"/>
  <c r="CD19" i="1"/>
  <c r="FV19" i="1"/>
  <c r="M19" i="1"/>
  <c r="DE19" i="1"/>
  <c r="GW19" i="1"/>
  <c r="AZ19" i="1"/>
  <c r="ER19" i="1"/>
  <c r="IJ19" i="1"/>
  <c r="BO19" i="1"/>
  <c r="FG19" i="1"/>
  <c r="IY19" i="1"/>
  <c r="CP19" i="1"/>
  <c r="GH19" i="1"/>
  <c r="Y19" i="1"/>
  <c r="DQ19" i="1"/>
  <c r="HI19" i="1"/>
  <c r="AD25" i="48"/>
  <c r="BL19" i="1"/>
  <c r="FD19" i="1"/>
  <c r="IV19" i="1"/>
  <c r="CA19" i="1"/>
  <c r="FS19" i="1"/>
  <c r="J19" i="1"/>
  <c r="DB19" i="1"/>
  <c r="GT19" i="1"/>
  <c r="AK19" i="1"/>
  <c r="EC19" i="1"/>
  <c r="HU19" i="1"/>
  <c r="I45" i="17"/>
  <c r="E26" i="1"/>
  <c r="GN26" i="1" s="1"/>
  <c r="CJ19" i="1"/>
  <c r="GB19" i="1"/>
  <c r="G19" i="1"/>
  <c r="CY19" i="1"/>
  <c r="GQ19" i="1"/>
  <c r="AH19" i="1"/>
  <c r="DZ19" i="1"/>
  <c r="HR19" i="1"/>
  <c r="BI19" i="1"/>
  <c r="FA19" i="1"/>
  <c r="AA6" i="55"/>
  <c r="AB6" i="55" s="1"/>
  <c r="W180" i="55"/>
  <c r="DW33" i="1"/>
  <c r="BF33" i="1"/>
  <c r="DE17" i="1"/>
  <c r="C24" i="45"/>
  <c r="S24" i="45" s="1"/>
  <c r="AJ25" i="48"/>
  <c r="CG33" i="1"/>
  <c r="J25" i="48"/>
  <c r="P33" i="1"/>
  <c r="AE33" i="1"/>
  <c r="AW11" i="1"/>
  <c r="M11" i="1"/>
  <c r="FY33" i="1"/>
  <c r="IP33" i="1"/>
  <c r="M15" i="1"/>
  <c r="AW15" i="1"/>
  <c r="J29" i="23"/>
  <c r="J29" i="21" s="1"/>
  <c r="J29" i="22" s="1"/>
  <c r="J29" i="20" s="1"/>
  <c r="J29" i="19" s="1"/>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J32" i="24"/>
  <c r="J32" i="23" s="1"/>
  <c r="EO20" i="1"/>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7" s="1"/>
  <c r="J26" i="28" s="1"/>
  <c r="J26" i="26" s="1"/>
  <c r="J26" i="25" s="1"/>
  <c r="J26" i="24" s="1"/>
  <c r="M9" i="9"/>
  <c r="M9" i="8" s="1"/>
  <c r="M9" i="7" s="1"/>
  <c r="M9" i="6" s="1"/>
  <c r="M9" i="37" s="1"/>
  <c r="M9" i="4" s="1"/>
  <c r="M9" i="43" s="1"/>
  <c r="J57" i="27"/>
  <c r="J57" i="28" s="1"/>
  <c r="J57" i="26" s="1"/>
  <c r="J57" i="25" s="1"/>
  <c r="J57" i="30"/>
  <c r="J11" i="23"/>
  <c r="J11" i="21" s="1"/>
  <c r="J11" i="22" s="1"/>
  <c r="J11" i="20" s="1"/>
  <c r="J11" i="17" s="1"/>
  <c r="J11" i="16" s="1"/>
  <c r="J11" i="15" s="1"/>
  <c r="J11" i="14" s="1"/>
  <c r="J10" i="23"/>
  <c r="J10" i="21" s="1"/>
  <c r="J10" i="22" s="1"/>
  <c r="J10" i="19" s="1"/>
  <c r="J15" i="22"/>
  <c r="J15" i="20" s="1"/>
  <c r="J15" i="19" s="1"/>
  <c r="J14" i="17"/>
  <c r="J14" i="16" s="1"/>
  <c r="J14" i="15" s="1"/>
  <c r="J14" i="14" s="1"/>
  <c r="J13" i="17"/>
  <c r="J13" i="16" s="1"/>
  <c r="J13" i="15" s="1"/>
  <c r="J13" i="14" s="1"/>
  <c r="J13" i="13" s="1"/>
  <c r="J12" i="17"/>
  <c r="J12" i="16" s="1"/>
  <c r="J12" i="15" s="1"/>
  <c r="J12" i="14" s="1"/>
  <c r="J12" i="13" s="1"/>
  <c r="J12" i="12" s="1"/>
  <c r="J12" i="11" s="1"/>
  <c r="J12" i="10" s="1"/>
  <c r="J12" i="9" s="1"/>
  <c r="J12" i="8" s="1"/>
  <c r="D54" i="33"/>
  <c r="AA26" i="46" s="1"/>
  <c r="AB26" i="46" s="1"/>
  <c r="I45" i="11"/>
  <c r="J14" i="48"/>
  <c r="BA14" i="48"/>
  <c r="C13" i="45"/>
  <c r="S13" i="45" s="1"/>
  <c r="I14" i="48"/>
  <c r="AJ14" i="48"/>
  <c r="AD14" i="48"/>
  <c r="I45" i="27"/>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EC33" i="1"/>
  <c r="HU33" i="1"/>
  <c r="BL33" i="1"/>
  <c r="FD33" i="1"/>
  <c r="IV33" i="1"/>
  <c r="CA33" i="1"/>
  <c r="FS33" i="1"/>
  <c r="J33" i="1"/>
  <c r="DB33" i="1"/>
  <c r="GT33" i="1"/>
  <c r="AW33" i="1"/>
  <c r="EO33" i="1"/>
  <c r="IG33" i="1"/>
  <c r="BX33" i="1"/>
  <c r="FP33" i="1"/>
  <c r="JH33" i="1"/>
  <c r="CM33" i="1"/>
  <c r="GE33" i="1"/>
  <c r="V33" i="1"/>
  <c r="DN33" i="1"/>
  <c r="HF33" i="1"/>
  <c r="BI33" i="1"/>
  <c r="FA33" i="1"/>
  <c r="IS33" i="1"/>
  <c r="CJ33" i="1"/>
  <c r="GB33" i="1"/>
  <c r="G33" i="1"/>
  <c r="CY33" i="1"/>
  <c r="GQ33" i="1"/>
  <c r="AH33" i="1"/>
  <c r="DZ33" i="1"/>
  <c r="J35" i="48"/>
  <c r="E36" i="1"/>
  <c r="E36" i="2" s="1"/>
  <c r="FE36" i="2" s="1"/>
  <c r="AD35" i="48"/>
  <c r="AJ35" i="48"/>
  <c r="J20" i="48"/>
  <c r="E21" i="1"/>
  <c r="JB21" i="1" s="1"/>
  <c r="BA20" i="48"/>
  <c r="C19" i="45"/>
  <c r="I45" i="21"/>
  <c r="AD20" i="48"/>
  <c r="S29" i="45"/>
  <c r="I40" i="18"/>
  <c r="R24" i="48" s="1"/>
  <c r="BA24" i="48" s="1"/>
  <c r="BC17" i="1"/>
  <c r="S36" i="45"/>
  <c r="FV17" i="1"/>
  <c r="AN17" i="1"/>
  <c r="HX17" i="1"/>
  <c r="E17" i="2"/>
  <c r="FE17" i="2" s="1"/>
  <c r="CA17" i="1"/>
  <c r="J17" i="1"/>
  <c r="GT17" i="1"/>
  <c r="EC17" i="1"/>
  <c r="BL17" i="1"/>
  <c r="IV17" i="1"/>
  <c r="IG20" i="1"/>
  <c r="E20" i="2"/>
  <c r="FE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GE32" i="1" s="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FD20" i="1"/>
  <c r="GB20" i="1"/>
  <c r="GZ20" i="1"/>
  <c r="HX20" i="1"/>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S15" i="45"/>
  <c r="AJ31" i="48"/>
  <c r="S34" i="45"/>
  <c r="S28" i="45"/>
  <c r="D41" i="29"/>
  <c r="E41" i="29" s="1"/>
  <c r="S18" i="45"/>
  <c r="D47" i="29"/>
  <c r="E47" i="29" s="1"/>
  <c r="D48" i="29"/>
  <c r="E48" i="29" s="1"/>
  <c r="D39" i="29"/>
  <c r="E39" i="29" s="1"/>
  <c r="J31" i="48"/>
  <c r="D49" i="29"/>
  <c r="E49" i="29" s="1"/>
  <c r="D45" i="29"/>
  <c r="E45" i="29" s="1"/>
  <c r="D46" i="29"/>
  <c r="E46" i="29" s="1"/>
  <c r="I31" i="48"/>
  <c r="D50" i="29"/>
  <c r="E50" i="29" s="1"/>
  <c r="D42" i="29"/>
  <c r="E42" i="29" s="1"/>
  <c r="AD31" i="48"/>
  <c r="D43" i="29"/>
  <c r="E43" i="29" s="1"/>
  <c r="J43" i="29"/>
  <c r="E44" i="31"/>
  <c r="C25" i="45"/>
  <c r="BA26" i="48"/>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GH38" i="1"/>
  <c r="FV38" i="1"/>
  <c r="FJ38" i="1"/>
  <c r="EX38" i="1"/>
  <c r="DB38" i="1"/>
  <c r="EL38" i="1"/>
  <c r="AZ38" i="1"/>
  <c r="AN38" i="1"/>
  <c r="AB38" i="1"/>
  <c r="P38" i="1"/>
  <c r="CD38" i="1"/>
  <c r="BL38" i="1"/>
  <c r="DN38" i="1"/>
  <c r="AK38" i="1"/>
  <c r="Y38" i="1"/>
  <c r="M38" i="1"/>
  <c r="CP38" i="1"/>
  <c r="BF38" i="1"/>
  <c r="AT38" i="1"/>
  <c r="AH38" i="1"/>
  <c r="V38" i="1"/>
  <c r="J38" i="1"/>
  <c r="DZ38" i="1"/>
  <c r="BR38" i="1"/>
  <c r="AE38" i="1"/>
  <c r="G38" i="1"/>
  <c r="AQ38" i="1"/>
  <c r="S38" i="1"/>
  <c r="BC38" i="1"/>
  <c r="S33" i="45"/>
  <c r="S37" i="45"/>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AJ33" i="48"/>
  <c r="BA33" i="48"/>
  <c r="C21" i="45"/>
  <c r="BA22" i="48"/>
  <c r="C11" i="45"/>
  <c r="BA12" i="48"/>
  <c r="C12" i="45"/>
  <c r="BA13" i="48"/>
  <c r="E34" i="1"/>
  <c r="E34" i="2" s="1"/>
  <c r="FE34" i="2" s="1"/>
  <c r="C14" i="45"/>
  <c r="BA15" i="48"/>
  <c r="JH15" i="1"/>
  <c r="IV15" i="1"/>
  <c r="IJ15" i="1"/>
  <c r="HX15" i="1"/>
  <c r="HL15" i="1"/>
  <c r="GZ15" i="1"/>
  <c r="GN15" i="1"/>
  <c r="GB15" i="1"/>
  <c r="FP15" i="1"/>
  <c r="FD15" i="1"/>
  <c r="ER15" i="1"/>
  <c r="EF15" i="1"/>
  <c r="JB15" i="1"/>
  <c r="IP15" i="1"/>
  <c r="ID15" i="1"/>
  <c r="HR15" i="1"/>
  <c r="HF15" i="1"/>
  <c r="GT15" i="1"/>
  <c r="GH15" i="1"/>
  <c r="FV15" i="1"/>
  <c r="FJ15" i="1"/>
  <c r="EX15" i="1"/>
  <c r="EL15" i="1"/>
  <c r="DZ15" i="1"/>
  <c r="JE15" i="1"/>
  <c r="HI15" i="1"/>
  <c r="FM15" i="1"/>
  <c r="GE15" i="1"/>
  <c r="CJ15" i="1"/>
  <c r="IM15" i="1"/>
  <c r="GQ15" i="1"/>
  <c r="EU15" i="1"/>
  <c r="DQ15" i="1"/>
  <c r="DE15" i="1"/>
  <c r="CS15" i="1"/>
  <c r="CG15" i="1"/>
  <c r="BU15" i="1"/>
  <c r="BI15" i="1"/>
  <c r="AK15" i="1"/>
  <c r="Y15" i="1"/>
  <c r="DH15" i="1"/>
  <c r="AN15" i="1"/>
  <c r="HU15" i="1"/>
  <c r="FY15" i="1"/>
  <c r="EC15" i="1"/>
  <c r="IA15" i="1"/>
  <c r="EI15" i="1"/>
  <c r="BL15" i="1"/>
  <c r="IY15" i="1"/>
  <c r="HC15" i="1"/>
  <c r="FG15" i="1"/>
  <c r="DN15" i="1"/>
  <c r="DB15" i="1"/>
  <c r="CP15" i="1"/>
  <c r="CD15" i="1"/>
  <c r="BR15" i="1"/>
  <c r="BF15" i="1"/>
  <c r="AT15" i="1"/>
  <c r="AH15" i="1"/>
  <c r="V15" i="1"/>
  <c r="J15" i="1"/>
  <c r="AB15" i="1"/>
  <c r="IG15" i="1"/>
  <c r="GK15" i="1"/>
  <c r="EO15" i="1"/>
  <c r="CV15" i="1"/>
  <c r="HO15" i="1"/>
  <c r="FS15" i="1"/>
  <c r="DW15" i="1"/>
  <c r="DK15" i="1"/>
  <c r="CY15" i="1"/>
  <c r="CM15" i="1"/>
  <c r="CA15" i="1"/>
  <c r="BO15" i="1"/>
  <c r="BC15" i="1"/>
  <c r="AQ15" i="1"/>
  <c r="AE15" i="1"/>
  <c r="S15" i="1"/>
  <c r="G15" i="1"/>
  <c r="DT15" i="1"/>
  <c r="AZ15" i="1"/>
  <c r="IS15" i="1"/>
  <c r="GW15" i="1"/>
  <c r="FA15" i="1"/>
  <c r="BX15" i="1"/>
  <c r="P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DH36" i="1"/>
  <c r="P26" i="1"/>
  <c r="AE26" i="1"/>
  <c r="HR11" i="1"/>
  <c r="DZ11" i="1"/>
  <c r="AT11" i="1"/>
  <c r="IY11" i="1"/>
  <c r="IM11" i="1"/>
  <c r="IA11" i="1"/>
  <c r="HO11" i="1"/>
  <c r="HC11" i="1"/>
  <c r="GQ11" i="1"/>
  <c r="GE11" i="1"/>
  <c r="FS11" i="1"/>
  <c r="FG11" i="1"/>
  <c r="EU11" i="1"/>
  <c r="EI11" i="1"/>
  <c r="DW11" i="1"/>
  <c r="DK11" i="1"/>
  <c r="CY11" i="1"/>
  <c r="CM11" i="1"/>
  <c r="CA11" i="1"/>
  <c r="BO11" i="1"/>
  <c r="BC11" i="1"/>
  <c r="AQ11" i="1"/>
  <c r="AE11" i="1"/>
  <c r="S11" i="1"/>
  <c r="G11" i="1"/>
  <c r="JB11" i="1"/>
  <c r="GT11" i="1"/>
  <c r="FJ11" i="1"/>
  <c r="DB11" i="1"/>
  <c r="V11" i="1"/>
  <c r="HF11" i="1"/>
  <c r="FV11" i="1"/>
  <c r="DN11" i="1"/>
  <c r="BF11" i="1"/>
  <c r="JH11" i="1"/>
  <c r="IV11" i="1"/>
  <c r="IJ11" i="1"/>
  <c r="HX11" i="1"/>
  <c r="HL11" i="1"/>
  <c r="GZ11" i="1"/>
  <c r="GN11" i="1"/>
  <c r="GB11" i="1"/>
  <c r="FP11" i="1"/>
  <c r="FD11" i="1"/>
  <c r="ER11" i="1"/>
  <c r="EF11" i="1"/>
  <c r="DT11" i="1"/>
  <c r="DH11" i="1"/>
  <c r="CV11" i="1"/>
  <c r="CJ11" i="1"/>
  <c r="BX11" i="1"/>
  <c r="BL11" i="1"/>
  <c r="AZ11" i="1"/>
  <c r="AN11" i="1"/>
  <c r="AB11" i="1"/>
  <c r="P11" i="1"/>
  <c r="ID11" i="1"/>
  <c r="EX11" i="1"/>
  <c r="BR11" i="1"/>
  <c r="IP11" i="1"/>
  <c r="EL11" i="1"/>
  <c r="AH11" i="1"/>
  <c r="JE11" i="1"/>
  <c r="IS11" i="1"/>
  <c r="IG11" i="1"/>
  <c r="HU11" i="1"/>
  <c r="HI11" i="1"/>
  <c r="GW11" i="1"/>
  <c r="GK11" i="1"/>
  <c r="FY11" i="1"/>
  <c r="FM11" i="1"/>
  <c r="FA11" i="1"/>
  <c r="EO11" i="1"/>
  <c r="EC11" i="1"/>
  <c r="DQ11" i="1"/>
  <c r="DE11" i="1"/>
  <c r="CS11" i="1"/>
  <c r="CG11" i="1"/>
  <c r="BU11" i="1"/>
  <c r="BI11" i="1"/>
  <c r="AK11" i="1"/>
  <c r="Y11" i="1"/>
  <c r="CD11" i="1"/>
  <c r="GH11" i="1"/>
  <c r="CP11" i="1"/>
  <c r="J11" i="1"/>
  <c r="HX21" i="1"/>
  <c r="EF2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EC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J30" i="1"/>
  <c r="IY30" i="1"/>
  <c r="IM30" i="1"/>
  <c r="IA30" i="1"/>
  <c r="HO30" i="1"/>
  <c r="HC30" i="1"/>
  <c r="GQ30" i="1"/>
  <c r="GE30" i="1"/>
  <c r="FS30" i="1"/>
  <c r="FG30" i="1"/>
  <c r="EU30" i="1"/>
  <c r="EI30" i="1"/>
  <c r="DW30" i="1"/>
  <c r="DK30" i="1"/>
  <c r="CY30" i="1"/>
  <c r="CM30" i="1"/>
  <c r="CA30" i="1"/>
  <c r="BO30" i="1"/>
  <c r="BC30" i="1"/>
  <c r="AQ30" i="1"/>
  <c r="AE30" i="1"/>
  <c r="S30" i="1"/>
  <c r="G30" i="1"/>
  <c r="E11" i="2"/>
  <c r="FE11" i="2" s="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C30" i="45"/>
  <c r="BA31" i="48"/>
  <c r="AD33" i="48"/>
  <c r="J33" i="48"/>
  <c r="I33" i="48"/>
  <c r="I45" i="28"/>
  <c r="C32" i="45"/>
  <c r="S9" i="45"/>
  <c r="E35" i="2"/>
  <c r="FE35" i="2" s="1"/>
  <c r="E39" i="2"/>
  <c r="FE39" i="2" s="1"/>
  <c r="I45" i="19"/>
  <c r="R23" i="48"/>
  <c r="I45" i="31"/>
  <c r="R11" i="48"/>
  <c r="E15" i="2"/>
  <c r="FE15" i="2" s="1"/>
  <c r="AD13" i="48"/>
  <c r="E14" i="1"/>
  <c r="I13" i="48"/>
  <c r="J13" i="48"/>
  <c r="AJ13" i="48"/>
  <c r="E38" i="2"/>
  <c r="FE38" i="2" s="1"/>
  <c r="M24" i="48"/>
  <c r="E23" i="1"/>
  <c r="AJ22" i="48"/>
  <c r="I22" i="48"/>
  <c r="J22" i="48"/>
  <c r="AD22" i="48"/>
  <c r="E30" i="2"/>
  <c r="FE30" i="2" s="1"/>
  <c r="I12" i="48"/>
  <c r="E13" i="1"/>
  <c r="AJ12" i="48"/>
  <c r="AD12" i="48"/>
  <c r="J12" i="48"/>
  <c r="AD15" i="48"/>
  <c r="E16" i="1"/>
  <c r="M16" i="1" s="1"/>
  <c r="AJ15" i="48"/>
  <c r="J15" i="48"/>
  <c r="I15" i="48"/>
  <c r="K34" i="6"/>
  <c r="E29" i="2"/>
  <c r="FE29" i="2" s="1"/>
  <c r="E31" i="2"/>
  <c r="FE31" i="2" s="1"/>
  <c r="E27" i="1"/>
  <c r="AJ26" i="48"/>
  <c r="I26" i="48"/>
  <c r="AD26" i="48"/>
  <c r="J26" i="48"/>
  <c r="I45" i="20"/>
  <c r="K34" i="33"/>
  <c r="M7" i="33"/>
  <c r="M7" i="32" s="1"/>
  <c r="E39" i="31"/>
  <c r="K34" i="25"/>
  <c r="K34" i="22"/>
  <c r="K34" i="15"/>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BU36" i="1" l="1"/>
  <c r="GH36" i="1"/>
  <c r="GK36" i="1"/>
  <c r="DW26" i="1"/>
  <c r="DH26" i="1"/>
  <c r="HO26" i="1"/>
  <c r="GZ26" i="1"/>
  <c r="BF26" i="1"/>
  <c r="EX26" i="1"/>
  <c r="IP26" i="1"/>
  <c r="CG26" i="1"/>
  <c r="FY26" i="1"/>
  <c r="E40" i="2"/>
  <c r="FE40" i="2" s="1"/>
  <c r="IG40" i="1"/>
  <c r="EO40" i="1"/>
  <c r="AW40" i="1"/>
  <c r="HF40" i="1"/>
  <c r="DN40" i="1"/>
  <c r="V40" i="1"/>
  <c r="GE40" i="1"/>
  <c r="CM40" i="1"/>
  <c r="JH40" i="1"/>
  <c r="FP40" i="1"/>
  <c r="BX40" i="1"/>
  <c r="HU40" i="1"/>
  <c r="EC40" i="1"/>
  <c r="AK40" i="1"/>
  <c r="GT40" i="1"/>
  <c r="DB40" i="1"/>
  <c r="J40" i="1"/>
  <c r="FS40" i="1"/>
  <c r="CA40" i="1"/>
  <c r="IV40" i="1"/>
  <c r="FD40" i="1"/>
  <c r="BL40" i="1"/>
  <c r="IM40" i="1"/>
  <c r="HI40" i="1"/>
  <c r="DQ40" i="1"/>
  <c r="Y40" i="1"/>
  <c r="GH40" i="1"/>
  <c r="CP40" i="1"/>
  <c r="IY40" i="1"/>
  <c r="FG40" i="1"/>
  <c r="BO40" i="1"/>
  <c r="IJ40" i="1"/>
  <c r="ER40" i="1"/>
  <c r="AZ40" i="1"/>
  <c r="GW40" i="1"/>
  <c r="DE40" i="1"/>
  <c r="FV40" i="1"/>
  <c r="CD40" i="1"/>
  <c r="EU40" i="1"/>
  <c r="EF40" i="1"/>
  <c r="M40" i="1"/>
  <c r="HX40" i="1"/>
  <c r="GK40" i="1"/>
  <c r="CS40" i="1"/>
  <c r="JB40" i="1"/>
  <c r="FJ40" i="1"/>
  <c r="BR40" i="1"/>
  <c r="IA40" i="1"/>
  <c r="EI40" i="1"/>
  <c r="AQ40" i="1"/>
  <c r="HL40" i="1"/>
  <c r="DT40" i="1"/>
  <c r="AB40" i="1"/>
  <c r="AN40" i="1"/>
  <c r="FY40" i="1"/>
  <c r="CG40" i="1"/>
  <c r="IP40" i="1"/>
  <c r="EX40" i="1"/>
  <c r="BF40" i="1"/>
  <c r="HO40" i="1"/>
  <c r="DW40" i="1"/>
  <c r="AE40" i="1"/>
  <c r="GZ40" i="1"/>
  <c r="DH40" i="1"/>
  <c r="P40" i="1"/>
  <c r="HR40" i="1"/>
  <c r="CY40" i="1"/>
  <c r="GB40" i="1"/>
  <c r="BC40" i="1"/>
  <c r="JE40" i="1"/>
  <c r="FM40" i="1"/>
  <c r="BU40" i="1"/>
  <c r="ID40" i="1"/>
  <c r="EL40" i="1"/>
  <c r="AT40" i="1"/>
  <c r="HC40" i="1"/>
  <c r="DK40" i="1"/>
  <c r="S40" i="1"/>
  <c r="GN40" i="1"/>
  <c r="CV40" i="1"/>
  <c r="IS40" i="1"/>
  <c r="FA40" i="1"/>
  <c r="BI40" i="1"/>
  <c r="DZ40" i="1"/>
  <c r="AH40" i="1"/>
  <c r="GQ40" i="1"/>
  <c r="G40" i="1"/>
  <c r="CJ40" i="1"/>
  <c r="AQ26" i="1"/>
  <c r="EI26" i="1"/>
  <c r="IA26" i="1"/>
  <c r="BR26" i="1"/>
  <c r="FJ26" i="1"/>
  <c r="JB26" i="1"/>
  <c r="CS26" i="1"/>
  <c r="GK26" i="1"/>
  <c r="AB26" i="1"/>
  <c r="DT26" i="1"/>
  <c r="HL26" i="1"/>
  <c r="BC26" i="1"/>
  <c r="EU26" i="1"/>
  <c r="IM26" i="1"/>
  <c r="CD26" i="1"/>
  <c r="FV26" i="1"/>
  <c r="M26" i="1"/>
  <c r="DE26" i="1"/>
  <c r="GW26" i="1"/>
  <c r="AN26" i="1"/>
  <c r="EF26" i="1"/>
  <c r="HX26" i="1"/>
  <c r="E26" i="2"/>
  <c r="FE26" i="2" s="1"/>
  <c r="BO26" i="1"/>
  <c r="FG26" i="1"/>
  <c r="IY26" i="1"/>
  <c r="CP26" i="1"/>
  <c r="GH26" i="1"/>
  <c r="Y26" i="1"/>
  <c r="DQ26" i="1"/>
  <c r="HI26" i="1"/>
  <c r="AZ26" i="1"/>
  <c r="ER26" i="1"/>
  <c r="IJ26" i="1"/>
  <c r="BC36" i="1"/>
  <c r="CA26" i="1"/>
  <c r="FS26" i="1"/>
  <c r="J26" i="1"/>
  <c r="DB26" i="1"/>
  <c r="GT26" i="1"/>
  <c r="AK26" i="1"/>
  <c r="EC26" i="1"/>
  <c r="HU26" i="1"/>
  <c r="BL26" i="1"/>
  <c r="FD26" i="1"/>
  <c r="IV26" i="1"/>
  <c r="CM26" i="1"/>
  <c r="GE26" i="1"/>
  <c r="V26" i="1"/>
  <c r="DN26" i="1"/>
  <c r="HF26" i="1"/>
  <c r="AW26" i="1"/>
  <c r="EO26" i="1"/>
  <c r="IG26" i="1"/>
  <c r="BX26" i="1"/>
  <c r="FP26" i="1"/>
  <c r="JH26" i="1"/>
  <c r="G26" i="1"/>
  <c r="GQ26" i="1"/>
  <c r="DZ26" i="1"/>
  <c r="BI26" i="1"/>
  <c r="CJ26" i="1"/>
  <c r="J30" i="37"/>
  <c r="J30" i="4" s="1"/>
  <c r="J30" i="43" s="1"/>
  <c r="CY26" i="1"/>
  <c r="AH26" i="1"/>
  <c r="HR26" i="1"/>
  <c r="FA26" i="1"/>
  <c r="IS26" i="1"/>
  <c r="GB26" i="1"/>
  <c r="S26" i="1"/>
  <c r="DK26" i="1"/>
  <c r="HC26" i="1"/>
  <c r="AT26" i="1"/>
  <c r="EL26" i="1"/>
  <c r="ID26" i="1"/>
  <c r="BU26" i="1"/>
  <c r="FM26" i="1"/>
  <c r="JE26" i="1"/>
  <c r="CV26" i="1"/>
  <c r="BI36" i="1"/>
  <c r="CV36" i="1"/>
  <c r="DB36" i="1"/>
  <c r="DN36" i="1"/>
  <c r="HO36" i="1"/>
  <c r="GT36" i="1"/>
  <c r="EC36" i="1"/>
  <c r="J29" i="18"/>
  <c r="J29" i="17" s="1"/>
  <c r="J29" i="16" s="1"/>
  <c r="J29" i="15" s="1"/>
  <c r="J29" i="14" s="1"/>
  <c r="J29" i="13" s="1"/>
  <c r="J29" i="12" s="1"/>
  <c r="J29" i="11" s="1"/>
  <c r="J29" i="10" s="1"/>
  <c r="J29" i="9" s="1"/>
  <c r="J29" i="8" s="1"/>
  <c r="J29" i="7" s="1"/>
  <c r="J29" i="6" s="1"/>
  <c r="J10" i="18"/>
  <c r="J10" i="17" s="1"/>
  <c r="J10" i="16" s="1"/>
  <c r="J10" i="15" s="1"/>
  <c r="J10" i="14" s="1"/>
  <c r="J10" i="13" s="1"/>
  <c r="J10" i="12" s="1"/>
  <c r="J10" i="11" s="1"/>
  <c r="J10" i="10" s="1"/>
  <c r="J10" i="9" s="1"/>
  <c r="J10" i="8" s="1"/>
  <c r="AT36" i="1"/>
  <c r="P36" i="1"/>
  <c r="CS36" i="1"/>
  <c r="GN36" i="1"/>
  <c r="J19" i="18"/>
  <c r="J19" i="17" s="1"/>
  <c r="J19" i="16" s="1"/>
  <c r="J19" i="15" s="1"/>
  <c r="J19" i="14" s="1"/>
  <c r="J19" i="13" s="1"/>
  <c r="J19" i="12" s="1"/>
  <c r="J19" i="11" s="1"/>
  <c r="J19" i="10" s="1"/>
  <c r="J19" i="9" s="1"/>
  <c r="J19" i="8" s="1"/>
  <c r="J19" i="6" s="1"/>
  <c r="J19" i="37" s="1"/>
  <c r="DZ36" i="1"/>
  <c r="S36" i="1"/>
  <c r="E32" i="2"/>
  <c r="FE32" i="2" s="1"/>
  <c r="DQ36" i="1"/>
  <c r="DE36" i="1"/>
  <c r="EO36" i="1"/>
  <c r="HU36" i="1"/>
  <c r="DT36" i="1"/>
  <c r="CY36" i="1"/>
  <c r="EX36" i="1"/>
  <c r="FA36" i="1"/>
  <c r="FV36" i="1"/>
  <c r="JB36" i="1"/>
  <c r="GB36" i="1"/>
  <c r="DW36" i="1"/>
  <c r="IP36" i="1"/>
  <c r="GW36" i="1"/>
  <c r="AK36" i="1"/>
  <c r="AB36" i="1"/>
  <c r="GZ36" i="1"/>
  <c r="IA36" i="1"/>
  <c r="J36" i="1"/>
  <c r="JE36" i="1"/>
  <c r="ID36" i="1"/>
  <c r="BR36" i="1"/>
  <c r="AN36" i="1"/>
  <c r="HX36" i="1"/>
  <c r="BF36" i="1"/>
  <c r="M36" i="1"/>
  <c r="IS36" i="1"/>
  <c r="CG36" i="1"/>
  <c r="CJ36" i="1"/>
  <c r="G36" i="1"/>
  <c r="AQ36" i="1"/>
  <c r="HC36" i="1"/>
  <c r="HL36" i="1"/>
  <c r="DK36" i="1"/>
  <c r="IM36" i="1"/>
  <c r="EI36" i="1"/>
  <c r="EU36" i="1"/>
  <c r="EF36" i="1"/>
  <c r="AE36" i="1"/>
  <c r="GQ36" i="1"/>
  <c r="BC21" i="1"/>
  <c r="EU21" i="1"/>
  <c r="M21" i="1"/>
  <c r="IM21" i="1"/>
  <c r="DE21" i="1"/>
  <c r="CD21" i="1"/>
  <c r="GW21" i="1"/>
  <c r="FV21" i="1"/>
  <c r="AN21" i="1"/>
  <c r="DQ21" i="1"/>
  <c r="BO21" i="1"/>
  <c r="HI21" i="1"/>
  <c r="ER21" i="1"/>
  <c r="IY21" i="1"/>
  <c r="GH21" i="1"/>
  <c r="AK21" i="1"/>
  <c r="EC21" i="1"/>
  <c r="HU21" i="1"/>
  <c r="BL21" i="1"/>
  <c r="FD21" i="1"/>
  <c r="IV21" i="1"/>
  <c r="CA21" i="1"/>
  <c r="FS21" i="1"/>
  <c r="J21" i="1"/>
  <c r="DB21" i="1"/>
  <c r="GT21" i="1"/>
  <c r="Y21" i="1"/>
  <c r="AZ21" i="1"/>
  <c r="IJ21" i="1"/>
  <c r="FG21" i="1"/>
  <c r="CP21" i="1"/>
  <c r="E21" i="2"/>
  <c r="FE21" i="2" s="1"/>
  <c r="AW21" i="1"/>
  <c r="EO21" i="1"/>
  <c r="IG21" i="1"/>
  <c r="BX21" i="1"/>
  <c r="FP21" i="1"/>
  <c r="JH21" i="1"/>
  <c r="CM21" i="1"/>
  <c r="GE21" i="1"/>
  <c r="V21" i="1"/>
  <c r="DN21" i="1"/>
  <c r="HF21" i="1"/>
  <c r="G21" i="1"/>
  <c r="FA21" i="1"/>
  <c r="CJ21" i="1"/>
  <c r="CY21" i="1"/>
  <c r="DZ21" i="1"/>
  <c r="HR21" i="1"/>
  <c r="BU21" i="1"/>
  <c r="FM21" i="1"/>
  <c r="JE21" i="1"/>
  <c r="CV21" i="1"/>
  <c r="GN21" i="1"/>
  <c r="S21" i="1"/>
  <c r="DK21" i="1"/>
  <c r="HC21" i="1"/>
  <c r="AT21" i="1"/>
  <c r="EL21" i="1"/>
  <c r="ID21" i="1"/>
  <c r="FM36" i="1"/>
  <c r="CP36" i="1"/>
  <c r="AH36" i="1"/>
  <c r="HR36" i="1"/>
  <c r="FJ36" i="1"/>
  <c r="AZ36" i="1"/>
  <c r="ER36" i="1"/>
  <c r="IJ36" i="1"/>
  <c r="BO36" i="1"/>
  <c r="FG36" i="1"/>
  <c r="IY36" i="1"/>
  <c r="BI21" i="1"/>
  <c r="GQ21" i="1"/>
  <c r="CG21" i="1"/>
  <c r="FY21" i="1"/>
  <c r="P21" i="1"/>
  <c r="DH21" i="1"/>
  <c r="GZ21" i="1"/>
  <c r="AE21" i="1"/>
  <c r="DW21" i="1"/>
  <c r="HO21" i="1"/>
  <c r="BF21" i="1"/>
  <c r="EX21" i="1"/>
  <c r="IP21" i="1"/>
  <c r="AW36" i="1"/>
  <c r="IG36" i="1"/>
  <c r="FY36" i="1"/>
  <c r="BL36" i="1"/>
  <c r="FD36" i="1"/>
  <c r="IV36" i="1"/>
  <c r="CA36" i="1"/>
  <c r="FS36" i="1"/>
  <c r="IS21" i="1"/>
  <c r="GB21" i="1"/>
  <c r="AH21" i="1"/>
  <c r="CS21" i="1"/>
  <c r="GK21" i="1"/>
  <c r="AB21" i="1"/>
  <c r="DT21" i="1"/>
  <c r="HL21" i="1"/>
  <c r="AQ21" i="1"/>
  <c r="EI21" i="1"/>
  <c r="IA21" i="1"/>
  <c r="BR21" i="1"/>
  <c r="FJ21" i="1"/>
  <c r="Y36" i="1"/>
  <c r="HI36" i="1"/>
  <c r="EL36" i="1"/>
  <c r="CD36" i="1"/>
  <c r="V36" i="1"/>
  <c r="HF36" i="1"/>
  <c r="BX36" i="1"/>
  <c r="FP36" i="1"/>
  <c r="JH36" i="1"/>
  <c r="CM36" i="1"/>
  <c r="GE36" i="1"/>
  <c r="J16" i="27"/>
  <c r="J16" i="28" s="1"/>
  <c r="J16" i="26" s="1"/>
  <c r="J28" i="25"/>
  <c r="J28" i="24" s="1"/>
  <c r="J28" i="23" s="1"/>
  <c r="J28" i="21" s="1"/>
  <c r="J28" i="22" s="1"/>
  <c r="J28" i="20" s="1"/>
  <c r="J28" i="19" s="1"/>
  <c r="IS32" i="1"/>
  <c r="GQ32" i="1"/>
  <c r="EX32" i="1"/>
  <c r="HF32" i="1"/>
  <c r="GB32" i="1"/>
  <c r="EO32" i="1"/>
  <c r="J32" i="1"/>
  <c r="BR32" i="1"/>
  <c r="X180" i="55"/>
  <c r="O41" i="54" s="1"/>
  <c r="P41" i="54" s="1"/>
  <c r="Q41" i="54" s="1"/>
  <c r="X183" i="55"/>
  <c r="X185" i="55"/>
  <c r="Y32" i="1"/>
  <c r="BF32" i="1"/>
  <c r="BI32" i="1"/>
  <c r="CP32" i="1"/>
  <c r="CJ32" i="1"/>
  <c r="GH32" i="1"/>
  <c r="CY32" i="1"/>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IP32" i="1"/>
  <c r="CG32" i="1"/>
  <c r="FY32" i="1"/>
  <c r="P32" i="1"/>
  <c r="DH32" i="1"/>
  <c r="GZ32" i="1"/>
  <c r="AE32" i="1"/>
  <c r="DW32" i="1"/>
  <c r="HO32" i="1"/>
  <c r="AJ24" i="48"/>
  <c r="FV32" i="1"/>
  <c r="M32" i="1"/>
  <c r="DE32" i="1"/>
  <c r="GW32" i="1"/>
  <c r="AN32" i="1"/>
  <c r="EF32" i="1"/>
  <c r="HX32" i="1"/>
  <c r="BC32" i="1"/>
  <c r="EU32" i="1"/>
  <c r="IM32" i="1"/>
  <c r="DQ32" i="1"/>
  <c r="HI32" i="1"/>
  <c r="AZ32" i="1"/>
  <c r="ER32" i="1"/>
  <c r="IJ32" i="1"/>
  <c r="BO32" i="1"/>
  <c r="FG32" i="1"/>
  <c r="IY32" i="1"/>
  <c r="AK32" i="1"/>
  <c r="EC32" i="1"/>
  <c r="HU32" i="1"/>
  <c r="BL32" i="1"/>
  <c r="FD32" i="1"/>
  <c r="IV32" i="1"/>
  <c r="CA32" i="1"/>
  <c r="FS32" i="1"/>
  <c r="BX32" i="1"/>
  <c r="FP32" i="1"/>
  <c r="JH32" i="1"/>
  <c r="CM32" i="1"/>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J26" i="23"/>
  <c r="J26" i="21" s="1"/>
  <c r="J26" i="22" s="1"/>
  <c r="J26" i="20" s="1"/>
  <c r="J26" i="19" s="1"/>
  <c r="M34" i="32"/>
  <c r="D53" i="30"/>
  <c r="E38" i="30"/>
  <c r="E53" i="30" s="1"/>
  <c r="E54" i="30" s="1"/>
  <c r="J13" i="12"/>
  <c r="J13" i="11" s="1"/>
  <c r="J13" i="10" s="1"/>
  <c r="J13" i="9" s="1"/>
  <c r="J13" i="8" s="1"/>
  <c r="J13" i="7" s="1"/>
  <c r="J13" i="6" s="1"/>
  <c r="J13" i="37" s="1"/>
  <c r="J14" i="12"/>
  <c r="J14" i="11" s="1"/>
  <c r="J14" i="10" s="1"/>
  <c r="J14" i="9" s="1"/>
  <c r="J14" i="8" s="1"/>
  <c r="J14" i="7" s="1"/>
  <c r="J14" i="6" s="1"/>
  <c r="J14" i="37" s="1"/>
  <c r="J15" i="17"/>
  <c r="J15" i="16" s="1"/>
  <c r="J15" i="15" s="1"/>
  <c r="J15" i="14" s="1"/>
  <c r="I40" i="6"/>
  <c r="R36" i="48" s="1"/>
  <c r="C35" i="45" s="1"/>
  <c r="S19" i="45"/>
  <c r="C23" i="45"/>
  <c r="S23" i="45" s="1"/>
  <c r="AD24" i="48"/>
  <c r="S14" i="45"/>
  <c r="I24" i="48"/>
  <c r="I45" i="18"/>
  <c r="E25" i="1"/>
  <c r="GW25" i="1" s="1"/>
  <c r="J24" i="48"/>
  <c r="J12" i="7"/>
  <c r="J12" i="6" s="1"/>
  <c r="J12" i="37" s="1"/>
  <c r="I40" i="15"/>
  <c r="J18" i="13"/>
  <c r="J18" i="12" s="1"/>
  <c r="J18" i="11" s="1"/>
  <c r="J18" i="9" s="1"/>
  <c r="J18" i="8" s="1"/>
  <c r="J17" i="13"/>
  <c r="J8" i="13"/>
  <c r="J8" i="12" s="1"/>
  <c r="J8" i="11" s="1"/>
  <c r="J8" i="10" s="1"/>
  <c r="J8" i="9" s="1"/>
  <c r="J8" i="8" s="1"/>
  <c r="J11" i="13"/>
  <c r="J11" i="12" s="1"/>
  <c r="J11" i="11" s="1"/>
  <c r="J11" i="10" s="1"/>
  <c r="J11" i="9" s="1"/>
  <c r="J11" i="8" s="1"/>
  <c r="S12" i="45"/>
  <c r="S21" i="45"/>
  <c r="J23" i="11"/>
  <c r="J23" i="10" s="1"/>
  <c r="J23" i="9" s="1"/>
  <c r="J23" i="8" s="1"/>
  <c r="J23" i="7" s="1"/>
  <c r="J23" i="6" s="1"/>
  <c r="J27" i="11"/>
  <c r="J27" i="10" s="1"/>
  <c r="J27" i="9" s="1"/>
  <c r="J27" i="8" s="1"/>
  <c r="J27" i="7" s="1"/>
  <c r="J27" i="6" s="1"/>
  <c r="J22" i="11"/>
  <c r="J22" i="10" s="1"/>
  <c r="J22" i="9" s="1"/>
  <c r="J22" i="8" s="1"/>
  <c r="J22" i="7" s="1"/>
  <c r="J22" i="6" s="1"/>
  <c r="S11" i="45"/>
  <c r="D44" i="29"/>
  <c r="E44" i="29" s="1"/>
  <c r="J44" i="29"/>
  <c r="J37" i="29"/>
  <c r="J39" i="29" s="1"/>
  <c r="D38" i="29"/>
  <c r="C22" i="45"/>
  <c r="BA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IY23" i="1"/>
  <c r="IM23" i="1"/>
  <c r="IA23" i="1"/>
  <c r="HO23" i="1"/>
  <c r="HC23" i="1"/>
  <c r="GQ23" i="1"/>
  <c r="GE23" i="1"/>
  <c r="FS23" i="1"/>
  <c r="FG23" i="1"/>
  <c r="EU23" i="1"/>
  <c r="EI23" i="1"/>
  <c r="DW23" i="1"/>
  <c r="DK23" i="1"/>
  <c r="CY23" i="1"/>
  <c r="CM23" i="1"/>
  <c r="CA23" i="1"/>
  <c r="BO23" i="1"/>
  <c r="BC23" i="1"/>
  <c r="AQ23" i="1"/>
  <c r="AE23" i="1"/>
  <c r="S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S25" i="45"/>
  <c r="S30" i="45"/>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DB13" i="1"/>
  <c r="CP13" i="1"/>
  <c r="CD13" i="1"/>
  <c r="BR13" i="1"/>
  <c r="BF13" i="1"/>
  <c r="AT13" i="1"/>
  <c r="AH13" i="1"/>
  <c r="V13" i="1"/>
  <c r="J13" i="1"/>
  <c r="IA13" i="1"/>
  <c r="GE13" i="1"/>
  <c r="EU13" i="1"/>
  <c r="CM13" i="1"/>
  <c r="AE13" i="1"/>
  <c r="IY13" i="1"/>
  <c r="FG13" i="1"/>
  <c r="BO13" i="1"/>
  <c r="C10" i="45"/>
  <c r="BA11" i="48"/>
  <c r="JB34" i="1"/>
  <c r="IP34" i="1"/>
  <c r="ID34" i="1"/>
  <c r="HR34" i="1"/>
  <c r="HF34" i="1"/>
  <c r="GT34" i="1"/>
  <c r="GH34" i="1"/>
  <c r="FV34" i="1"/>
  <c r="FJ34" i="1"/>
  <c r="EX34" i="1"/>
  <c r="EL34" i="1"/>
  <c r="DZ34" i="1"/>
  <c r="IJ34" i="1"/>
  <c r="HI34" i="1"/>
  <c r="FS34" i="1"/>
  <c r="ER34" i="1"/>
  <c r="DQ34" i="1"/>
  <c r="DE34" i="1"/>
  <c r="CS34" i="1"/>
  <c r="CG34" i="1"/>
  <c r="BU34" i="1"/>
  <c r="BI34" i="1"/>
  <c r="AW34" i="1"/>
  <c r="AK34" i="1"/>
  <c r="Y34" i="1"/>
  <c r="M34" i="1"/>
  <c r="IV34" i="1"/>
  <c r="HU34" i="1"/>
  <c r="GE34" i="1"/>
  <c r="FD34" i="1"/>
  <c r="EC34" i="1"/>
  <c r="JH34" i="1"/>
  <c r="IG34" i="1"/>
  <c r="GQ34" i="1"/>
  <c r="FP34" i="1"/>
  <c r="EO34" i="1"/>
  <c r="DN34" i="1"/>
  <c r="DB34" i="1"/>
  <c r="CP34" i="1"/>
  <c r="CD34" i="1"/>
  <c r="BR34" i="1"/>
  <c r="BF34" i="1"/>
  <c r="AT34" i="1"/>
  <c r="AH34" i="1"/>
  <c r="V34" i="1"/>
  <c r="IS34" i="1"/>
  <c r="HC34" i="1"/>
  <c r="GB34" i="1"/>
  <c r="FA34" i="1"/>
  <c r="JE34" i="1"/>
  <c r="HO34" i="1"/>
  <c r="GN34" i="1"/>
  <c r="FM34" i="1"/>
  <c r="DW34" i="1"/>
  <c r="DK34" i="1"/>
  <c r="CY34" i="1"/>
  <c r="CM34" i="1"/>
  <c r="CA34" i="1"/>
  <c r="BO34" i="1"/>
  <c r="BC34" i="1"/>
  <c r="AQ34" i="1"/>
  <c r="AE34" i="1"/>
  <c r="S34" i="1"/>
  <c r="G34" i="1"/>
  <c r="IA34" i="1"/>
  <c r="GZ34" i="1"/>
  <c r="FY34" i="1"/>
  <c r="EI34" i="1"/>
  <c r="IM34" i="1"/>
  <c r="HL34" i="1"/>
  <c r="GK34" i="1"/>
  <c r="EU34" i="1"/>
  <c r="DT34" i="1"/>
  <c r="DH34" i="1"/>
  <c r="CV34" i="1"/>
  <c r="CJ34" i="1"/>
  <c r="BX34" i="1"/>
  <c r="BL34" i="1"/>
  <c r="AZ34" i="1"/>
  <c r="AN34" i="1"/>
  <c r="AB34" i="1"/>
  <c r="P34" i="1"/>
  <c r="IY34" i="1"/>
  <c r="HX34" i="1"/>
  <c r="GW34" i="1"/>
  <c r="FG34" i="1"/>
  <c r="EF34" i="1"/>
  <c r="D54" i="32"/>
  <c r="S32" i="45"/>
  <c r="AA6" i="46"/>
  <c r="W180" i="46"/>
  <c r="E13" i="2"/>
  <c r="FE13" i="2" s="1"/>
  <c r="E12" i="1"/>
  <c r="I11" i="48"/>
  <c r="AD11" i="48"/>
  <c r="J11" i="48"/>
  <c r="AJ11" i="48"/>
  <c r="E16" i="2"/>
  <c r="FE16" i="2" s="1"/>
  <c r="M25" i="48"/>
  <c r="E27" i="2"/>
  <c r="FE27" i="2" s="1"/>
  <c r="E14" i="2"/>
  <c r="FE14" i="2" s="1"/>
  <c r="E23" i="2"/>
  <c r="FE23" i="2" s="1"/>
  <c r="AJ23" i="48"/>
  <c r="E24" i="1"/>
  <c r="I23" i="48"/>
  <c r="AD23" i="48"/>
  <c r="J23" i="48"/>
  <c r="I40" i="22"/>
  <c r="R21" i="48" s="1"/>
  <c r="I40" i="25"/>
  <c r="R17" i="48" s="1"/>
  <c r="M34" i="33"/>
  <c r="J40" i="33" s="1"/>
  <c r="I40" i="33"/>
  <c r="R9" i="48" s="1"/>
  <c r="D39" i="27"/>
  <c r="D52" i="25"/>
  <c r="E52" i="26"/>
  <c r="D40" i="27"/>
  <c r="D53" i="31"/>
  <c r="D54" i="31" s="1"/>
  <c r="E38" i="31"/>
  <c r="E53" i="31" s="1"/>
  <c r="E54" i="31" s="1"/>
  <c r="D51" i="27"/>
  <c r="J39" i="31"/>
  <c r="J56" i="27"/>
  <c r="J57" i="18"/>
  <c r="J38" i="26"/>
  <c r="J29" i="37" l="1"/>
  <c r="J29" i="4" s="1"/>
  <c r="J29" i="43" s="1"/>
  <c r="J23" i="37"/>
  <c r="J23" i="4" s="1"/>
  <c r="J23" i="43" s="1"/>
  <c r="J22" i="43"/>
  <c r="J22" i="37"/>
  <c r="J27" i="37"/>
  <c r="J27" i="4" s="1"/>
  <c r="J27" i="43" s="1"/>
  <c r="R27" i="48"/>
  <c r="BA27" i="48" s="1"/>
  <c r="I51" i="47"/>
  <c r="AJ27" i="48"/>
  <c r="J28" i="18"/>
  <c r="J28" i="17" s="1"/>
  <c r="J28" i="16" s="1"/>
  <c r="J28" i="15" s="1"/>
  <c r="J28" i="14" s="1"/>
  <c r="J28" i="13" s="1"/>
  <c r="J28" i="12" s="1"/>
  <c r="J28" i="11" s="1"/>
  <c r="J28" i="10" s="1"/>
  <c r="J28" i="9" s="1"/>
  <c r="J28" i="8" s="1"/>
  <c r="J28" i="7" s="1"/>
  <c r="J28" i="6" s="1"/>
  <c r="J26" i="18"/>
  <c r="J26" i="17" s="1"/>
  <c r="J26" i="16" s="1"/>
  <c r="J26" i="15" s="1"/>
  <c r="J26" i="14" s="1"/>
  <c r="J26" i="13" s="1"/>
  <c r="J26" i="12" s="1"/>
  <c r="J26" i="11" s="1"/>
  <c r="J26" i="10" s="1"/>
  <c r="J26" i="9" s="1"/>
  <c r="J26" i="8" s="1"/>
  <c r="J26" i="7" s="1"/>
  <c r="J26" i="6" s="1"/>
  <c r="I36" i="48"/>
  <c r="GH25" i="1"/>
  <c r="CV25" i="1"/>
  <c r="HR25" i="1"/>
  <c r="GN25" i="1"/>
  <c r="CG25" i="1"/>
  <c r="IJ25" i="1"/>
  <c r="DQ25" i="1"/>
  <c r="E25" i="2"/>
  <c r="FE25" i="2" s="1"/>
  <c r="CM25" i="1"/>
  <c r="JE25" i="1"/>
  <c r="GE25" i="1"/>
  <c r="HO25" i="1"/>
  <c r="J36" i="48"/>
  <c r="AT25" i="1"/>
  <c r="DH25" i="1"/>
  <c r="HC25" i="1"/>
  <c r="AW25" i="1"/>
  <c r="IV25" i="1"/>
  <c r="CP25" i="1"/>
  <c r="HI25" i="1"/>
  <c r="BO25" i="1"/>
  <c r="DB25" i="1"/>
  <c r="IG25" i="1"/>
  <c r="BX25" i="1"/>
  <c r="CY25" i="1"/>
  <c r="HF25" i="1"/>
  <c r="ER25" i="1"/>
  <c r="JH25" i="1"/>
  <c r="DK25" i="1"/>
  <c r="IY25" i="1"/>
  <c r="DN25" i="1"/>
  <c r="ID25" i="1"/>
  <c r="EC25" i="1"/>
  <c r="P25" i="1"/>
  <c r="FD25" i="1"/>
  <c r="G25" i="1"/>
  <c r="DW25" i="1"/>
  <c r="J25" i="1"/>
  <c r="DZ25" i="1"/>
  <c r="IP25" i="1"/>
  <c r="EO25" i="1"/>
  <c r="AZ25" i="1"/>
  <c r="FP25" i="1"/>
  <c r="S25" i="1"/>
  <c r="FG25" i="1"/>
  <c r="V25" i="1"/>
  <c r="EL25" i="1"/>
  <c r="Y25" i="1"/>
  <c r="FM25" i="1"/>
  <c r="BL25" i="1"/>
  <c r="GB25" i="1"/>
  <c r="AE25" i="1"/>
  <c r="FS25" i="1"/>
  <c r="AH25" i="1"/>
  <c r="EX25" i="1"/>
  <c r="AK25" i="1"/>
  <c r="FY25" i="1"/>
  <c r="CJ25" i="1"/>
  <c r="GZ25" i="1"/>
  <c r="CA25" i="1"/>
  <c r="GQ25" i="1"/>
  <c r="BF25" i="1"/>
  <c r="GT25" i="1"/>
  <c r="BU25" i="1"/>
  <c r="HU25" i="1"/>
  <c r="J16" i="25"/>
  <c r="BI25" i="1"/>
  <c r="FA25" i="1"/>
  <c r="IS25" i="1"/>
  <c r="AB25" i="1"/>
  <c r="DT25" i="1"/>
  <c r="HL25" i="1"/>
  <c r="AQ25" i="1"/>
  <c r="EI25" i="1"/>
  <c r="IA25" i="1"/>
  <c r="BR25" i="1"/>
  <c r="FJ25" i="1"/>
  <c r="JB25" i="1"/>
  <c r="CS25" i="1"/>
  <c r="GK25" i="1"/>
  <c r="AN25" i="1"/>
  <c r="EF25" i="1"/>
  <c r="HX25" i="1"/>
  <c r="BC25" i="1"/>
  <c r="EU25" i="1"/>
  <c r="IM25" i="1"/>
  <c r="CD25" i="1"/>
  <c r="FV25" i="1"/>
  <c r="M25" i="1"/>
  <c r="DE25" i="1"/>
  <c r="I45" i="6"/>
  <c r="M12" i="1"/>
  <c r="AW12" i="1"/>
  <c r="D54" i="30"/>
  <c r="J25" i="27"/>
  <c r="J25" i="28" s="1"/>
  <c r="J25" i="26" s="1"/>
  <c r="J25" i="25" s="1"/>
  <c r="J25" i="24" s="1"/>
  <c r="M14" i="17"/>
  <c r="M14" i="16" s="1"/>
  <c r="M14" i="15" s="1"/>
  <c r="M14" i="14" s="1"/>
  <c r="M14" i="13" s="1"/>
  <c r="M14" i="12" s="1"/>
  <c r="M14" i="11" s="1"/>
  <c r="M14" i="10" s="1"/>
  <c r="M14" i="9" s="1"/>
  <c r="M14" i="8" s="1"/>
  <c r="M14" i="7" s="1"/>
  <c r="M14" i="6" s="1"/>
  <c r="M14" i="37" s="1"/>
  <c r="M14" i="4" s="1"/>
  <c r="M14" i="43" s="1"/>
  <c r="J15" i="12"/>
  <c r="J15" i="11" s="1"/>
  <c r="J15" i="10" s="1"/>
  <c r="J15" i="9" s="1"/>
  <c r="J15" i="8" s="1"/>
  <c r="J15" i="7" s="1"/>
  <c r="J15" i="6" s="1"/>
  <c r="J15" i="37" s="1"/>
  <c r="J17" i="12"/>
  <c r="J17" i="11" s="1"/>
  <c r="J17" i="9" s="1"/>
  <c r="J17" i="8" s="1"/>
  <c r="J17" i="7" s="1"/>
  <c r="J17" i="6" s="1"/>
  <c r="J17" i="37" s="1"/>
  <c r="AJ36" i="48"/>
  <c r="BA36" i="48"/>
  <c r="AD36" i="48"/>
  <c r="E37" i="1"/>
  <c r="HU37" i="1" s="1"/>
  <c r="J27" i="48"/>
  <c r="C26" i="45"/>
  <c r="S26" i="45" s="1"/>
  <c r="I27" i="48"/>
  <c r="I45" i="15"/>
  <c r="AD27" i="48"/>
  <c r="E28" i="1"/>
  <c r="HR28" i="1" s="1"/>
  <c r="J10" i="7"/>
  <c r="J10" i="6" s="1"/>
  <c r="J10" i="37" s="1"/>
  <c r="J19" i="4"/>
  <c r="J19" i="43" s="1"/>
  <c r="J14" i="4"/>
  <c r="J14" i="43" s="1"/>
  <c r="J11" i="7"/>
  <c r="J11" i="6" s="1"/>
  <c r="J11" i="37" s="1"/>
  <c r="J12" i="4"/>
  <c r="J12" i="43" s="1"/>
  <c r="J8" i="7"/>
  <c r="J8" i="6" s="1"/>
  <c r="J8" i="37" s="1"/>
  <c r="J13" i="4"/>
  <c r="J13" i="43" s="1"/>
  <c r="J18" i="7"/>
  <c r="J18" i="6" s="1"/>
  <c r="J18" i="37" s="1"/>
  <c r="S10" i="45"/>
  <c r="D53" i="29"/>
  <c r="E38" i="29"/>
  <c r="E53" i="29" s="1"/>
  <c r="E54" i="29" s="1"/>
  <c r="S22" i="45"/>
  <c r="C16" i="45"/>
  <c r="BA17" i="48"/>
  <c r="S35" i="45"/>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C20" i="45"/>
  <c r="BA21" i="48"/>
  <c r="C8" i="45"/>
  <c r="BA9" i="48"/>
  <c r="AW37" i="1"/>
  <c r="HL37" i="1"/>
  <c r="I45" i="22"/>
  <c r="AB6" i="46"/>
  <c r="X185" i="46"/>
  <c r="X180" i="46"/>
  <c r="F41" i="54" s="1"/>
  <c r="G41" i="54" s="1"/>
  <c r="H41" i="54" s="1"/>
  <c r="D44" i="27"/>
  <c r="D44" i="28" s="1"/>
  <c r="AD9" i="48"/>
  <c r="E10" i="1"/>
  <c r="I9" i="48"/>
  <c r="AJ9" i="48"/>
  <c r="J9" i="48"/>
  <c r="S9" i="48"/>
  <c r="R41" i="48"/>
  <c r="BA41" i="48" s="1"/>
  <c r="M26" i="48"/>
  <c r="I45" i="25"/>
  <c r="E12" i="2"/>
  <c r="FE12" i="2" s="1"/>
  <c r="E24" i="2"/>
  <c r="FE24" i="2" s="1"/>
  <c r="AJ17" i="48"/>
  <c r="E18" i="1"/>
  <c r="AD17" i="48"/>
  <c r="I17" i="48"/>
  <c r="J17" i="48"/>
  <c r="J21" i="48"/>
  <c r="E22" i="1"/>
  <c r="I21" i="48"/>
  <c r="AJ21" i="48"/>
  <c r="AD21" i="48"/>
  <c r="J5" i="53"/>
  <c r="J41" i="33"/>
  <c r="K58" i="33"/>
  <c r="K57" i="33"/>
  <c r="J40" i="32"/>
  <c r="J45" i="33"/>
  <c r="I45" i="33"/>
  <c r="M7" i="31"/>
  <c r="M7" i="30" s="1"/>
  <c r="M34" i="30" s="1"/>
  <c r="D51" i="28"/>
  <c r="E51" i="27"/>
  <c r="D40" i="28"/>
  <c r="E40" i="27"/>
  <c r="D52" i="24"/>
  <c r="E52" i="25"/>
  <c r="D50" i="27"/>
  <c r="D49" i="27"/>
  <c r="D47" i="27"/>
  <c r="D45" i="27"/>
  <c r="D43" i="27"/>
  <c r="D41" i="27"/>
  <c r="D48" i="27"/>
  <c r="D46" i="27"/>
  <c r="D42" i="27"/>
  <c r="D39" i="28"/>
  <c r="E39" i="27"/>
  <c r="J57" i="17"/>
  <c r="J43" i="27"/>
  <c r="J38" i="25"/>
  <c r="J56" i="28"/>
  <c r="J26" i="37" l="1"/>
  <c r="J26" i="4" s="1"/>
  <c r="J26" i="43" s="1"/>
  <c r="J28" i="37"/>
  <c r="J28" i="4" s="1"/>
  <c r="J28" i="43" s="1"/>
  <c r="GZ37" i="1"/>
  <c r="EO37" i="1"/>
  <c r="GN37" i="1"/>
  <c r="IG37" i="1"/>
  <c r="CM37" i="1"/>
  <c r="GE37" i="1"/>
  <c r="V37" i="1"/>
  <c r="DN37" i="1"/>
  <c r="HF37" i="1"/>
  <c r="GQ37" i="1"/>
  <c r="BI37" i="1"/>
  <c r="E37" i="2"/>
  <c r="FE37" i="2" s="1"/>
  <c r="GB37" i="1"/>
  <c r="FP37" i="1"/>
  <c r="S37" i="1"/>
  <c r="DK37" i="1"/>
  <c r="HC37" i="1"/>
  <c r="AT37" i="1"/>
  <c r="EL37" i="1"/>
  <c r="ID37" i="1"/>
  <c r="BU37" i="1"/>
  <c r="FM37" i="1"/>
  <c r="JE37" i="1"/>
  <c r="DZ37" i="1"/>
  <c r="BL37" i="1"/>
  <c r="AZ37" i="1"/>
  <c r="JH37" i="1"/>
  <c r="AE37" i="1"/>
  <c r="DW37" i="1"/>
  <c r="HO37" i="1"/>
  <c r="BF37" i="1"/>
  <c r="EX37" i="1"/>
  <c r="IP37" i="1"/>
  <c r="CG37" i="1"/>
  <c r="FY37" i="1"/>
  <c r="CY37" i="1"/>
  <c r="HR37" i="1"/>
  <c r="FD37" i="1"/>
  <c r="ER37" i="1"/>
  <c r="AN37" i="1"/>
  <c r="AQ37" i="1"/>
  <c r="EI37" i="1"/>
  <c r="IA37" i="1"/>
  <c r="BR37" i="1"/>
  <c r="FJ37" i="1"/>
  <c r="JB37" i="1"/>
  <c r="CS37" i="1"/>
  <c r="GK37" i="1"/>
  <c r="CJ37" i="1"/>
  <c r="AH37" i="1"/>
  <c r="IS37" i="1"/>
  <c r="IV37" i="1"/>
  <c r="IJ37" i="1"/>
  <c r="EF37" i="1"/>
  <c r="BC37" i="1"/>
  <c r="EU37" i="1"/>
  <c r="IM37" i="1"/>
  <c r="CD37" i="1"/>
  <c r="FV37" i="1"/>
  <c r="M37" i="1"/>
  <c r="DE37" i="1"/>
  <c r="GW37" i="1"/>
  <c r="BX37" i="1"/>
  <c r="AB37" i="1"/>
  <c r="P37" i="1"/>
  <c r="HX37" i="1"/>
  <c r="BO37" i="1"/>
  <c r="FG37" i="1"/>
  <c r="IY37" i="1"/>
  <c r="CP37" i="1"/>
  <c r="GH37" i="1"/>
  <c r="Y37" i="1"/>
  <c r="DQ37" i="1"/>
  <c r="HI37" i="1"/>
  <c r="G37" i="1"/>
  <c r="FA37" i="1"/>
  <c r="DT37" i="1"/>
  <c r="DH37" i="1"/>
  <c r="CV37" i="1"/>
  <c r="CA37" i="1"/>
  <c r="FS37" i="1"/>
  <c r="J37" i="1"/>
  <c r="DB37" i="1"/>
  <c r="GT37" i="1"/>
  <c r="AK37" i="1"/>
  <c r="EC37" i="1"/>
  <c r="J16" i="24"/>
  <c r="J16" i="23" s="1"/>
  <c r="J16" i="21" s="1"/>
  <c r="J16" i="22" s="1"/>
  <c r="J16" i="20" s="1"/>
  <c r="J16" i="19" s="1"/>
  <c r="J7" i="29"/>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HO28" i="1"/>
  <c r="CG28" i="1"/>
  <c r="FY28" i="1"/>
  <c r="EX28" i="1"/>
  <c r="BF28" i="1"/>
  <c r="P28" i="1"/>
  <c r="IP28" i="1"/>
  <c r="DH28" i="1"/>
  <c r="AW10" i="1"/>
  <c r="M10" i="1"/>
  <c r="GZ28" i="1"/>
  <c r="AE28" i="1"/>
  <c r="DW28" i="1"/>
  <c r="J21" i="27"/>
  <c r="J21" i="28" s="1"/>
  <c r="J21" i="26" s="1"/>
  <c r="J21" i="25" s="1"/>
  <c r="J21" i="24" s="1"/>
  <c r="J25" i="23"/>
  <c r="J25" i="21" s="1"/>
  <c r="J25" i="22" s="1"/>
  <c r="J25" i="20" s="1"/>
  <c r="J25" i="19" s="1"/>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FE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8" i="4"/>
  <c r="J8" i="43" s="1"/>
  <c r="J11" i="4"/>
  <c r="J11" i="43" s="1"/>
  <c r="J15" i="4"/>
  <c r="J15" i="43" s="1"/>
  <c r="J17" i="4"/>
  <c r="J17" i="43" s="1"/>
  <c r="J18" i="4"/>
  <c r="J18" i="43" s="1"/>
  <c r="J10" i="4"/>
  <c r="J10" i="43" s="1"/>
  <c r="S16" i="45"/>
  <c r="BB9" i="48"/>
  <c r="M7" i="29"/>
  <c r="M7" i="27" s="1"/>
  <c r="D54" i="29"/>
  <c r="S20" i="45"/>
  <c r="C40" i="45"/>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EC10" i="1"/>
  <c r="DQ10" i="1"/>
  <c r="DE10" i="1"/>
  <c r="CS10" i="1"/>
  <c r="CG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AE9" i="48"/>
  <c r="S10" i="48"/>
  <c r="AK10" i="48" s="1"/>
  <c r="AK9" i="48"/>
  <c r="K9" i="48"/>
  <c r="E22" i="2"/>
  <c r="FE22" i="2" s="1"/>
  <c r="M27" i="48"/>
  <c r="E18" i="2"/>
  <c r="FE18" i="2" s="1"/>
  <c r="E10" i="2"/>
  <c r="E41" i="1"/>
  <c r="I41" i="48"/>
  <c r="AD41" i="48"/>
  <c r="AJ41" i="48"/>
  <c r="J41" i="48"/>
  <c r="M34" i="31"/>
  <c r="J40" i="31"/>
  <c r="J40" i="30" s="1"/>
  <c r="J40" i="29" s="1"/>
  <c r="K56" i="32"/>
  <c r="K57" i="32"/>
  <c r="J41" i="32"/>
  <c r="J45" i="32"/>
  <c r="D39" i="26"/>
  <c r="D39" i="25" s="1"/>
  <c r="E39" i="28"/>
  <c r="D42" i="28"/>
  <c r="D42" i="26" s="1"/>
  <c r="E42" i="27"/>
  <c r="D46" i="28"/>
  <c r="D46" i="26" s="1"/>
  <c r="E46" i="27"/>
  <c r="D48" i="28"/>
  <c r="D48" i="26" s="1"/>
  <c r="E48" i="27"/>
  <c r="D41" i="28"/>
  <c r="D41" i="26" s="1"/>
  <c r="E41" i="27"/>
  <c r="D43" i="28"/>
  <c r="D43" i="26" s="1"/>
  <c r="E43" i="27"/>
  <c r="D45" i="28"/>
  <c r="D45" i="26" s="1"/>
  <c r="E45" i="27"/>
  <c r="D47" i="28"/>
  <c r="D47" i="26" s="1"/>
  <c r="E47" i="27"/>
  <c r="D49" i="28"/>
  <c r="D49" i="26" s="1"/>
  <c r="E49" i="27"/>
  <c r="D50" i="28"/>
  <c r="D50" i="26" s="1"/>
  <c r="E50" i="27"/>
  <c r="D52" i="23"/>
  <c r="D52" i="21" s="1"/>
  <c r="E52" i="24"/>
  <c r="D40" i="26"/>
  <c r="D40" i="25" s="1"/>
  <c r="E40" i="28"/>
  <c r="D44" i="26"/>
  <c r="D44" i="25" s="1"/>
  <c r="E44" i="28"/>
  <c r="D38" i="27"/>
  <c r="E38" i="27" s="1"/>
  <c r="D51" i="26"/>
  <c r="D51" i="25" s="1"/>
  <c r="D51" i="24" s="1"/>
  <c r="E51" i="28"/>
  <c r="J37" i="27"/>
  <c r="J37" i="28" s="1"/>
  <c r="J57" i="16"/>
  <c r="J57" i="15" s="1"/>
  <c r="J57" i="14" s="1"/>
  <c r="J56" i="26"/>
  <c r="J56" i="25" s="1"/>
  <c r="J56" i="24" s="1"/>
  <c r="J38" i="24"/>
  <c r="J38" i="23" s="1"/>
  <c r="J38" i="21" s="1"/>
  <c r="J43" i="28"/>
  <c r="J44" i="28" s="1"/>
  <c r="J44" i="27"/>
  <c r="J25" i="18" l="1"/>
  <c r="J25" i="17" s="1"/>
  <c r="J25" i="16" s="1"/>
  <c r="J25" i="15" s="1"/>
  <c r="J25" i="14" s="1"/>
  <c r="J25" i="13" s="1"/>
  <c r="J25" i="12" s="1"/>
  <c r="J25" i="11" s="1"/>
  <c r="J25" i="10" s="1"/>
  <c r="J25" i="9" s="1"/>
  <c r="J25" i="8" s="1"/>
  <c r="J25" i="7" s="1"/>
  <c r="J25" i="6" s="1"/>
  <c r="J16" i="18"/>
  <c r="J16" i="17" s="1"/>
  <c r="J16" i="16" s="1"/>
  <c r="J16" i="15" s="1"/>
  <c r="J16" i="14" s="1"/>
  <c r="J16" i="13" s="1"/>
  <c r="J16" i="12" s="1"/>
  <c r="J16" i="10" s="1"/>
  <c r="J16" i="9" s="1"/>
  <c r="J16" i="8" s="1"/>
  <c r="J16" i="7" s="1"/>
  <c r="J16" i="6" s="1"/>
  <c r="E42" i="2"/>
  <c r="FE42" i="2" s="1"/>
  <c r="BB10" i="48"/>
  <c r="F10" i="2"/>
  <c r="F11" i="2" s="1"/>
  <c r="F12" i="2" s="1"/>
  <c r="FE10" i="2"/>
  <c r="K56" i="31"/>
  <c r="J43" i="26"/>
  <c r="J45" i="31"/>
  <c r="K10" i="48"/>
  <c r="K57" i="31"/>
  <c r="S11" i="48"/>
  <c r="S12" i="48" s="1"/>
  <c r="K57" i="29"/>
  <c r="J41" i="31"/>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7" s="1"/>
  <c r="J24" i="28" s="1"/>
  <c r="J24" i="26" s="1"/>
  <c r="J21" i="23"/>
  <c r="J21" i="21" s="1"/>
  <c r="J21" i="22" s="1"/>
  <c r="J21" i="20" s="1"/>
  <c r="J21" i="19" s="1"/>
  <c r="E51" i="26"/>
  <c r="D38" i="28"/>
  <c r="E38" i="28" s="1"/>
  <c r="E53" i="27"/>
  <c r="E54" i="27" s="1"/>
  <c r="J41" i="29"/>
  <c r="E48" i="28"/>
  <c r="E43" i="28"/>
  <c r="E47" i="28"/>
  <c r="E50" i="28"/>
  <c r="E42" i="28"/>
  <c r="K56" i="29"/>
  <c r="J41" i="30"/>
  <c r="K56" i="30"/>
  <c r="J45" i="30"/>
  <c r="K57"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42" i="26"/>
  <c r="D42" i="25"/>
  <c r="D42" i="24" s="1"/>
  <c r="E39" i="25"/>
  <c r="D39" i="24"/>
  <c r="D39" i="23" s="1"/>
  <c r="J45" i="29"/>
  <c r="J39" i="28"/>
  <c r="J37" i="26"/>
  <c r="J37" i="25" s="1"/>
  <c r="FF10" i="2"/>
  <c r="M28" i="48"/>
  <c r="S40" i="45"/>
  <c r="M7" i="28"/>
  <c r="J40" i="27"/>
  <c r="D51" i="23"/>
  <c r="E51" i="24"/>
  <c r="J57" i="13"/>
  <c r="J56" i="23"/>
  <c r="J38" i="22"/>
  <c r="FF11" i="2" l="1"/>
  <c r="J16" i="37"/>
  <c r="J16" i="4" s="1"/>
  <c r="J16" i="43" s="1"/>
  <c r="J25" i="37"/>
  <c r="J25" i="4" s="1"/>
  <c r="J25" i="43" s="1"/>
  <c r="J21" i="18"/>
  <c r="J21" i="17" s="1"/>
  <c r="J21" i="16" s="1"/>
  <c r="J21" i="15" s="1"/>
  <c r="J21" i="14" s="1"/>
  <c r="J21" i="13" s="1"/>
  <c r="J21" i="12" s="1"/>
  <c r="J21" i="11" s="1"/>
  <c r="J21" i="10" s="1"/>
  <c r="J21" i="9" s="1"/>
  <c r="J21" i="8" s="1"/>
  <c r="J21" i="7" s="1"/>
  <c r="J21" i="6" s="1"/>
  <c r="J24" i="25"/>
  <c r="D54" i="27"/>
  <c r="AE11" i="48"/>
  <c r="K12" i="48"/>
  <c r="AE12" i="48"/>
  <c r="BB11" i="48"/>
  <c r="J43" i="25"/>
  <c r="J44" i="26"/>
  <c r="AK12" i="48"/>
  <c r="BB12" i="48"/>
  <c r="K11" i="48"/>
  <c r="AK11" i="48"/>
  <c r="S13" i="48"/>
  <c r="BB13" i="48" s="1"/>
  <c r="J39" i="26"/>
  <c r="J20" i="27"/>
  <c r="J20" i="28" s="1"/>
  <c r="J20" i="26" s="1"/>
  <c r="J20" i="25" s="1"/>
  <c r="J20" i="24" s="1"/>
  <c r="D38" i="26"/>
  <c r="D38" i="25" s="1"/>
  <c r="D38" i="24" s="1"/>
  <c r="E40" i="24"/>
  <c r="D53" i="28"/>
  <c r="D54" i="28" s="1"/>
  <c r="E43" i="25"/>
  <c r="E53" i="28"/>
  <c r="E54" i="28" s="1"/>
  <c r="E42" i="25"/>
  <c r="E50" i="25"/>
  <c r="E44" i="24"/>
  <c r="E48" i="25"/>
  <c r="E47" i="25"/>
  <c r="E52" i="22"/>
  <c r="E39" i="24"/>
  <c r="E46" i="25"/>
  <c r="E41" i="25"/>
  <c r="E45" i="25"/>
  <c r="E49" i="25"/>
  <c r="M29" i="48"/>
  <c r="F13" i="2"/>
  <c r="FF12" i="2"/>
  <c r="J41" i="27"/>
  <c r="K57" i="27"/>
  <c r="J40" i="28"/>
  <c r="K56"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J21" i="43" l="1"/>
  <c r="J21" i="37"/>
  <c r="J24" i="24"/>
  <c r="J24" i="23" s="1"/>
  <c r="J24" i="21" s="1"/>
  <c r="J24" i="22" s="1"/>
  <c r="J24" i="20" s="1"/>
  <c r="J24" i="19" s="1"/>
  <c r="K13" i="48"/>
  <c r="S14" i="48"/>
  <c r="BB14" i="48" s="1"/>
  <c r="AK13" i="48"/>
  <c r="J43" i="24"/>
  <c r="J44" i="25"/>
  <c r="AE13" i="48"/>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J20" i="23"/>
  <c r="J20" i="21" s="1"/>
  <c r="J20" i="22" s="1"/>
  <c r="J20" i="20" s="1"/>
  <c r="J20" i="19" s="1"/>
  <c r="D53" i="26"/>
  <c r="D54" i="26" s="1"/>
  <c r="E38" i="26"/>
  <c r="E53" i="26" s="1"/>
  <c r="E54" i="26" s="1"/>
  <c r="D53" i="25"/>
  <c r="D54" i="25" s="1"/>
  <c r="M30" i="48"/>
  <c r="F14" i="2"/>
  <c r="FF13" i="2"/>
  <c r="M7" i="25"/>
  <c r="J40" i="26"/>
  <c r="K56" i="28"/>
  <c r="J41" i="28"/>
  <c r="K57" i="28"/>
  <c r="J45" i="28"/>
  <c r="D51" i="22"/>
  <c r="E51" i="21"/>
  <c r="D38" i="23"/>
  <c r="D53" i="24"/>
  <c r="E38" i="24"/>
  <c r="E53" i="24" s="1"/>
  <c r="E54" i="24" s="1"/>
  <c r="D44" i="22"/>
  <c r="E44" i="21"/>
  <c r="D40" i="22"/>
  <c r="E40" i="21"/>
  <c r="D52" i="18"/>
  <c r="E52" i="19"/>
  <c r="D50" i="21"/>
  <c r="E50" i="23"/>
  <c r="D49" i="21"/>
  <c r="E49" i="23"/>
  <c r="D47" i="21"/>
  <c r="E47" i="23"/>
  <c r="D45" i="21"/>
  <c r="E45" i="23"/>
  <c r="D43" i="21"/>
  <c r="E43" i="23"/>
  <c r="D41" i="21"/>
  <c r="E41" i="23"/>
  <c r="D48" i="21"/>
  <c r="E48" i="23"/>
  <c r="D46" i="21"/>
  <c r="E46" i="23"/>
  <c r="D42" i="21"/>
  <c r="E42" i="23"/>
  <c r="D39" i="22"/>
  <c r="E39" i="21"/>
  <c r="J37" i="23"/>
  <c r="J39" i="24"/>
  <c r="J56" i="22"/>
  <c r="J38" i="19"/>
  <c r="J57" i="11"/>
  <c r="J20" i="18" l="1"/>
  <c r="J20" i="17" s="1"/>
  <c r="J20" i="16" s="1"/>
  <c r="J20" i="15" s="1"/>
  <c r="J20" i="14" s="1"/>
  <c r="J20" i="13" s="1"/>
  <c r="J20" i="12" s="1"/>
  <c r="J20" i="11" s="1"/>
  <c r="J20" i="10" s="1"/>
  <c r="J20" i="9" s="1"/>
  <c r="J20" i="8" s="1"/>
  <c r="J20" i="7" s="1"/>
  <c r="J20" i="6" s="1"/>
  <c r="J20" i="4" s="1"/>
  <c r="J20" i="43" s="1"/>
  <c r="J24" i="18"/>
  <c r="J24" i="17" s="1"/>
  <c r="J24" i="16" s="1"/>
  <c r="J24" i="15" s="1"/>
  <c r="J24" i="14" s="1"/>
  <c r="J24" i="13" s="1"/>
  <c r="J24" i="12" s="1"/>
  <c r="J24" i="11" s="1"/>
  <c r="J24" i="10" s="1"/>
  <c r="J24" i="9" s="1"/>
  <c r="J24" i="8" s="1"/>
  <c r="J24" i="7" s="1"/>
  <c r="J24" i="6" s="1"/>
  <c r="AE14" i="48"/>
  <c r="S15" i="48"/>
  <c r="AE15" i="48" s="1"/>
  <c r="AK14" i="48"/>
  <c r="K14" i="48"/>
  <c r="J43" i="23"/>
  <c r="J44" i="24"/>
  <c r="M20" i="27"/>
  <c r="M34" i="29"/>
  <c r="M31" i="48"/>
  <c r="D54" i="24"/>
  <c r="F15" i="2"/>
  <c r="FF14" i="2"/>
  <c r="J40" i="25"/>
  <c r="K57" i="26"/>
  <c r="K56" i="26"/>
  <c r="J41"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J24" i="37" l="1"/>
  <c r="J24" i="4" s="1"/>
  <c r="J24" i="43" s="1"/>
  <c r="K15" i="48"/>
  <c r="BB15" i="48"/>
  <c r="S16" i="48"/>
  <c r="AE16" i="48" s="1"/>
  <c r="AK15" i="48"/>
  <c r="J44" i="23"/>
  <c r="J43" i="21"/>
  <c r="M20" i="28"/>
  <c r="M34" i="27"/>
  <c r="M32" i="48"/>
  <c r="F16" i="2"/>
  <c r="FF15" i="2"/>
  <c r="M7" i="23"/>
  <c r="J40" i="24"/>
  <c r="K57" i="25"/>
  <c r="K56" i="25"/>
  <c r="J41" i="25"/>
  <c r="J45"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38" i="17"/>
  <c r="BB16" i="48" l="1"/>
  <c r="S17" i="48"/>
  <c r="BB17" i="48" s="1"/>
  <c r="K16" i="48"/>
  <c r="AK16" i="48"/>
  <c r="J43" i="22"/>
  <c r="J44" i="21"/>
  <c r="M20" i="26"/>
  <c r="M34" i="28"/>
  <c r="M33" i="48"/>
  <c r="D54" i="21"/>
  <c r="AE17" i="48"/>
  <c r="F17" i="2"/>
  <c r="FF16" i="2"/>
  <c r="K56" i="24"/>
  <c r="J40" i="23"/>
  <c r="K57" i="24"/>
  <c r="J41"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57" i="8"/>
  <c r="J38" i="16"/>
  <c r="J56" i="18"/>
  <c r="AK17" i="48" l="1"/>
  <c r="K17" i="48"/>
  <c r="S18" i="48"/>
  <c r="BB18" i="48" s="1"/>
  <c r="J43" i="20"/>
  <c r="J44" i="22"/>
  <c r="M20" i="25"/>
  <c r="M34" i="26"/>
  <c r="M34" i="48"/>
  <c r="D54" i="22"/>
  <c r="F18" i="2"/>
  <c r="FF17" i="2"/>
  <c r="AK18" i="48"/>
  <c r="K18" i="48"/>
  <c r="AE18" i="48"/>
  <c r="S19" i="48"/>
  <c r="J41" i="23"/>
  <c r="J40" i="21"/>
  <c r="K57" i="23"/>
  <c r="K56" i="23"/>
  <c r="J45"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56" i="17"/>
  <c r="J38" i="15"/>
  <c r="J57" i="7"/>
  <c r="J43" i="19" l="1"/>
  <c r="J44" i="20"/>
  <c r="M20" i="24"/>
  <c r="M34" i="25"/>
  <c r="M35" i="48"/>
  <c r="D54" i="20"/>
  <c r="BB19" i="48"/>
  <c r="S20" i="48"/>
  <c r="K19" i="48"/>
  <c r="AE19" i="48"/>
  <c r="AK19" i="48"/>
  <c r="F19" i="2"/>
  <c r="FF18" i="2"/>
  <c r="J40" i="22"/>
  <c r="K56" i="21"/>
  <c r="J41" i="21"/>
  <c r="K57" i="21"/>
  <c r="J45" i="21"/>
  <c r="M7" i="20"/>
  <c r="D39" i="16"/>
  <c r="E39" i="17"/>
  <c r="D42" i="17"/>
  <c r="Z91" i="55" s="1"/>
  <c r="E42" i="18"/>
  <c r="D46" i="17"/>
  <c r="Z95" i="55" s="1"/>
  <c r="E46" i="18"/>
  <c r="D48" i="17"/>
  <c r="E48" i="18"/>
  <c r="D41" i="17"/>
  <c r="E41" i="18"/>
  <c r="D43" i="17"/>
  <c r="E43" i="18"/>
  <c r="D45" i="17"/>
  <c r="E45" i="18"/>
  <c r="D47" i="17"/>
  <c r="E47" i="18"/>
  <c r="D49" i="17"/>
  <c r="E49" i="18"/>
  <c r="D50" i="17"/>
  <c r="Z99" i="55" s="1"/>
  <c r="E50" i="18"/>
  <c r="D52" i="13"/>
  <c r="E52" i="14"/>
  <c r="D40" i="16"/>
  <c r="E40" i="17"/>
  <c r="D44" i="16"/>
  <c r="E44" i="17"/>
  <c r="D38" i="18"/>
  <c r="D53" i="19"/>
  <c r="E38" i="19"/>
  <c r="E53" i="19" s="1"/>
  <c r="E54" i="19" s="1"/>
  <c r="D51" i="16"/>
  <c r="E51" i="17"/>
  <c r="J39" i="19"/>
  <c r="J37" i="18"/>
  <c r="J57" i="6"/>
  <c r="J38" i="14"/>
  <c r="J56" i="16"/>
  <c r="AA99" i="55" l="1"/>
  <c r="AB99" i="55" s="1"/>
  <c r="Z99" i="46"/>
  <c r="AA99" i="46" s="1"/>
  <c r="AB99" i="46" s="1"/>
  <c r="AA91" i="55"/>
  <c r="AB91" i="55" s="1"/>
  <c r="Z91" i="46"/>
  <c r="AA91" i="46" s="1"/>
  <c r="AB91" i="46" s="1"/>
  <c r="AA95" i="55"/>
  <c r="AB95" i="55" s="1"/>
  <c r="Z95" i="46"/>
  <c r="AA95" i="46" s="1"/>
  <c r="AB95" i="46" s="1"/>
  <c r="J43" i="18"/>
  <c r="J44" i="19"/>
  <c r="M20" i="23"/>
  <c r="M34" i="24"/>
  <c r="M36" i="48"/>
  <c r="D54" i="19"/>
  <c r="BB20" i="48"/>
  <c r="AK20" i="48"/>
  <c r="S21" i="48"/>
  <c r="K20" i="48"/>
  <c r="AE20" i="48"/>
  <c r="F20" i="2"/>
  <c r="FF19" i="2"/>
  <c r="M7" i="19"/>
  <c r="J41" i="22"/>
  <c r="K57" i="22"/>
  <c r="J40" i="20"/>
  <c r="K56"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56" i="15"/>
  <c r="J38" i="13"/>
  <c r="J57" i="37"/>
  <c r="J44" i="18" l="1"/>
  <c r="J43" i="17"/>
  <c r="M20" i="21"/>
  <c r="M34" i="23"/>
  <c r="M37" i="48"/>
  <c r="D54" i="18"/>
  <c r="BB21" i="48"/>
  <c r="F21" i="2"/>
  <c r="FF20" i="2"/>
  <c r="AK21" i="48"/>
  <c r="S22" i="48"/>
  <c r="AE21" i="48"/>
  <c r="K21" i="48"/>
  <c r="M7" i="18"/>
  <c r="J41" i="20"/>
  <c r="K56" i="20"/>
  <c r="J40" i="19"/>
  <c r="K57"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56" i="14"/>
  <c r="AA87" i="46" l="1"/>
  <c r="AB87" i="46" s="1"/>
  <c r="Z180" i="46"/>
  <c r="AA87" i="55"/>
  <c r="Z180" i="55"/>
  <c r="J43" i="16"/>
  <c r="J44" i="17"/>
  <c r="M20" i="22"/>
  <c r="M34" i="21"/>
  <c r="M38" i="48"/>
  <c r="D54" i="17"/>
  <c r="BB22" i="48"/>
  <c r="AK22" i="48"/>
  <c r="AE22" i="48"/>
  <c r="K22" i="48"/>
  <c r="S23" i="48"/>
  <c r="F22" i="2"/>
  <c r="FF21" i="2"/>
  <c r="J41" i="19"/>
  <c r="K57" i="19"/>
  <c r="K56" i="19"/>
  <c r="J40" i="18"/>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38" i="11"/>
  <c r="T2" i="53" l="1"/>
  <c r="Z181" i="55"/>
  <c r="X189" i="55" s="1"/>
  <c r="AB87" i="55"/>
  <c r="AB180" i="55" s="1"/>
  <c r="AA180" i="55"/>
  <c r="I2" i="53"/>
  <c r="Z181" i="46"/>
  <c r="X189" i="46" s="1"/>
  <c r="J44" i="16"/>
  <c r="J43" i="15"/>
  <c r="M20" i="20"/>
  <c r="M34" i="22"/>
  <c r="M39" i="48"/>
  <c r="BB23" i="48"/>
  <c r="F23" i="2"/>
  <c r="FF22" i="2"/>
  <c r="S24" i="48"/>
  <c r="AK23" i="48"/>
  <c r="AE23" i="48"/>
  <c r="K23" i="48"/>
  <c r="M7" i="16"/>
  <c r="K56" i="18"/>
  <c r="J41" i="18"/>
  <c r="K57" i="18"/>
  <c r="J40" i="17"/>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56" i="12"/>
  <c r="E12" i="54" l="1"/>
  <c r="F12" i="54" s="1"/>
  <c r="G12" i="54" s="1"/>
  <c r="J2" i="53"/>
  <c r="AA181" i="55"/>
  <c r="X191" i="55" s="1"/>
  <c r="T3" i="53"/>
  <c r="AB181" i="55"/>
  <c r="X192" i="55" s="1"/>
  <c r="X211" i="55" s="1"/>
  <c r="X213" i="55" s="1"/>
  <c r="T4" i="53"/>
  <c r="N12" i="54"/>
  <c r="U2" i="53"/>
  <c r="O12" i="54" s="1"/>
  <c r="J44" i="15"/>
  <c r="J43" i="14"/>
  <c r="M20" i="19"/>
  <c r="M34" i="20"/>
  <c r="D54" i="15"/>
  <c r="BB24" i="48"/>
  <c r="AK24" i="48"/>
  <c r="K24" i="48"/>
  <c r="AE24" i="48"/>
  <c r="S25" i="48"/>
  <c r="F24" i="2"/>
  <c r="FF23" i="2"/>
  <c r="J40" i="16"/>
  <c r="K56" i="17"/>
  <c r="J41" i="17"/>
  <c r="K57"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38" i="9"/>
  <c r="J56" i="11"/>
  <c r="N14" i="54" l="1"/>
  <c r="U4" i="53"/>
  <c r="O14" i="54" s="1"/>
  <c r="P14" i="54" s="1"/>
  <c r="Q14" i="54" s="1"/>
  <c r="N13" i="54"/>
  <c r="U3" i="53"/>
  <c r="O13" i="54" s="1"/>
  <c r="P13" i="54" s="1"/>
  <c r="P12" i="54"/>
  <c r="J44" i="14"/>
  <c r="J43" i="13"/>
  <c r="M20" i="18"/>
  <c r="M34" i="19"/>
  <c r="D54" i="14"/>
  <c r="BB25" i="48"/>
  <c r="F25" i="2"/>
  <c r="FF24" i="2"/>
  <c r="AK25" i="48"/>
  <c r="K25" i="48"/>
  <c r="S26" i="48"/>
  <c r="AE25" i="48"/>
  <c r="M7" i="14"/>
  <c r="J40" i="15"/>
  <c r="K57" i="16"/>
  <c r="K56" i="16"/>
  <c r="J41"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M57" i="10" s="1"/>
  <c r="J38" i="8"/>
  <c r="N40" i="54" l="1"/>
  <c r="O40" i="54"/>
  <c r="O42" i="54" s="1"/>
  <c r="Q12" i="54"/>
  <c r="Q40" i="54" s="1"/>
  <c r="Q42" i="54" s="1"/>
  <c r="R11" i="53" s="1"/>
  <c r="P40" i="54"/>
  <c r="P42" i="54" s="1"/>
  <c r="J44" i="13"/>
  <c r="J43" i="12"/>
  <c r="M20" i="17"/>
  <c r="M34" i="18"/>
  <c r="D54" i="13"/>
  <c r="BB26" i="48"/>
  <c r="AE26" i="48"/>
  <c r="S27" i="48"/>
  <c r="AK26" i="48"/>
  <c r="K26" i="48"/>
  <c r="F26" i="2"/>
  <c r="FF25" i="2"/>
  <c r="J40" i="14"/>
  <c r="J41" i="15"/>
  <c r="K57" i="15"/>
  <c r="K56" i="15"/>
  <c r="J45"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38" i="7"/>
  <c r="J56" i="9"/>
  <c r="J44" i="12" l="1"/>
  <c r="J43" i="11"/>
  <c r="M20" i="16"/>
  <c r="M34" i="17"/>
  <c r="BB27" i="48"/>
  <c r="F27" i="2"/>
  <c r="FF26" i="2"/>
  <c r="K27" i="48"/>
  <c r="S28" i="48"/>
  <c r="AK27" i="48"/>
  <c r="AE27" i="48"/>
  <c r="K56" i="14"/>
  <c r="J40" i="13"/>
  <c r="K57" i="14"/>
  <c r="J41"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56" i="8"/>
  <c r="J38" i="6"/>
  <c r="J43" i="10" l="1"/>
  <c r="J44" i="11"/>
  <c r="M20" i="15"/>
  <c r="M34" i="16"/>
  <c r="BB28" i="48"/>
  <c r="S29" i="48"/>
  <c r="AE28" i="48"/>
  <c r="K28" i="48"/>
  <c r="AK28" i="48"/>
  <c r="F28" i="2"/>
  <c r="FF27" i="2"/>
  <c r="M7" i="11"/>
  <c r="J41" i="13"/>
  <c r="K56" i="13"/>
  <c r="J40" i="12"/>
  <c r="K57"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J44" i="10" l="1"/>
  <c r="J43" i="9"/>
  <c r="M20" i="14"/>
  <c r="M34" i="15"/>
  <c r="D54" i="10"/>
  <c r="BB29" i="48"/>
  <c r="F29" i="2"/>
  <c r="FF28" i="2"/>
  <c r="AE29" i="48"/>
  <c r="AK29" i="48"/>
  <c r="S30" i="48"/>
  <c r="K29" i="48"/>
  <c r="J40" i="11"/>
  <c r="J41" i="12"/>
  <c r="K57" i="12"/>
  <c r="K56" i="12"/>
  <c r="J45" i="12"/>
  <c r="M7" i="10"/>
  <c r="D51" i="6"/>
  <c r="E51" i="7"/>
  <c r="D38" i="8"/>
  <c r="E38" i="9"/>
  <c r="E53" i="9" s="1"/>
  <c r="E54" i="9" s="1"/>
  <c r="D53" i="9"/>
  <c r="D54" i="9" s="1"/>
  <c r="D39" i="6"/>
  <c r="E39" i="7"/>
  <c r="D42" i="7"/>
  <c r="E42" i="8"/>
  <c r="D46" i="7"/>
  <c r="E46" i="8"/>
  <c r="D48" i="7"/>
  <c r="E48" i="8"/>
  <c r="D41" i="7"/>
  <c r="E41" i="8"/>
  <c r="D43" i="7"/>
  <c r="E43" i="8"/>
  <c r="D45" i="7"/>
  <c r="E45" i="8"/>
  <c r="D47" i="7"/>
  <c r="E47" i="8"/>
  <c r="D49" i="7"/>
  <c r="E49" i="8"/>
  <c r="D50" i="7"/>
  <c r="E50" i="8"/>
  <c r="D52" i="43"/>
  <c r="E52" i="43" s="1"/>
  <c r="E52" i="4"/>
  <c r="D40" i="6"/>
  <c r="E40" i="7"/>
  <c r="D44" i="6"/>
  <c r="E44" i="7"/>
  <c r="J37" i="8"/>
  <c r="J39" i="9"/>
  <c r="J38" i="4"/>
  <c r="J56" i="6"/>
  <c r="J44" i="9" l="1"/>
  <c r="J43" i="8"/>
  <c r="M20" i="13"/>
  <c r="M34" i="14"/>
  <c r="BB30" i="48"/>
  <c r="S31" i="48"/>
  <c r="K30" i="48"/>
  <c r="AE30" i="48"/>
  <c r="AK30" i="48"/>
  <c r="F30" i="2"/>
  <c r="FF29" i="2"/>
  <c r="M7" i="9"/>
  <c r="K56" i="11"/>
  <c r="J41" i="11"/>
  <c r="J40" i="10"/>
  <c r="K57" i="11"/>
  <c r="J45" i="11"/>
  <c r="D44" i="37"/>
  <c r="E44" i="6"/>
  <c r="D40" i="37"/>
  <c r="E40" i="6"/>
  <c r="D50" i="6"/>
  <c r="E50" i="7"/>
  <c r="D49" i="6"/>
  <c r="E49" i="7"/>
  <c r="D47" i="6"/>
  <c r="E47" i="7"/>
  <c r="D45" i="6"/>
  <c r="E45" i="7"/>
  <c r="D43" i="6"/>
  <c r="E43" i="7"/>
  <c r="D41" i="6"/>
  <c r="E41" i="7"/>
  <c r="D48" i="6"/>
  <c r="E48" i="7"/>
  <c r="D46" i="6"/>
  <c r="E46" i="7"/>
  <c r="D42" i="6"/>
  <c r="E42" i="7"/>
  <c r="D39" i="37"/>
  <c r="E39" i="6"/>
  <c r="D38" i="7"/>
  <c r="E38" i="8"/>
  <c r="E53" i="8" s="1"/>
  <c r="E54" i="8" s="1"/>
  <c r="D53" i="8"/>
  <c r="D54" i="8" s="1"/>
  <c r="D51" i="37"/>
  <c r="E51" i="6"/>
  <c r="J37" i="7"/>
  <c r="J39" i="8"/>
  <c r="J56" i="37"/>
  <c r="J38" i="43"/>
  <c r="J44" i="8" l="1"/>
  <c r="J43" i="7"/>
  <c r="M20" i="12"/>
  <c r="M34" i="13"/>
  <c r="BB31" i="48"/>
  <c r="F31" i="2"/>
  <c r="FF30" i="2"/>
  <c r="K31" i="48"/>
  <c r="AE31" i="48"/>
  <c r="S32" i="48"/>
  <c r="AK31" i="48"/>
  <c r="J41" i="10"/>
  <c r="K56" i="10"/>
  <c r="J40" i="9"/>
  <c r="K57"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56" i="4"/>
  <c r="J43" i="6" l="1"/>
  <c r="J44" i="7"/>
  <c r="M20" i="11"/>
  <c r="M34" i="12"/>
  <c r="D54" i="7"/>
  <c r="BB32" i="48"/>
  <c r="S33" i="48"/>
  <c r="K32" i="48"/>
  <c r="AK32" i="48"/>
  <c r="AE32" i="48"/>
  <c r="F32" i="2"/>
  <c r="FF31" i="2"/>
  <c r="J41" i="9"/>
  <c r="K57" i="9"/>
  <c r="K56" i="9"/>
  <c r="J40" i="8"/>
  <c r="J45"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56" i="43"/>
  <c r="J43" i="37" l="1"/>
  <c r="J44" i="6"/>
  <c r="M20" i="10"/>
  <c r="M34" i="11"/>
  <c r="D54" i="6"/>
  <c r="BB33" i="48"/>
  <c r="F33" i="2"/>
  <c r="FF32" i="2"/>
  <c r="S34" i="48"/>
  <c r="AK33" i="48"/>
  <c r="K33" i="48"/>
  <c r="AE33" i="48"/>
  <c r="M7" i="6"/>
  <c r="K56" i="8"/>
  <c r="J41" i="8"/>
  <c r="K57" i="8"/>
  <c r="J40" i="7"/>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J43" i="4" l="1"/>
  <c r="J44" i="37"/>
  <c r="M20" i="9"/>
  <c r="M34" i="10"/>
  <c r="D54" i="37"/>
  <c r="BB34" i="48"/>
  <c r="AK34" i="48"/>
  <c r="S35" i="48"/>
  <c r="K34" i="48"/>
  <c r="AE34" i="48"/>
  <c r="F34" i="2"/>
  <c r="FF33" i="2"/>
  <c r="J41" i="7"/>
  <c r="K57" i="7"/>
  <c r="K56" i="7"/>
  <c r="J40" i="6"/>
  <c r="J45" i="7"/>
  <c r="M7" i="37"/>
  <c r="D38" i="43"/>
  <c r="E38" i="4"/>
  <c r="E53" i="4" s="1"/>
  <c r="E54" i="4" s="1"/>
  <c r="D53" i="4"/>
  <c r="D54" i="4" s="1"/>
  <c r="J39" i="4"/>
  <c r="J37" i="43"/>
  <c r="J39" i="43" s="1"/>
  <c r="J44" i="4" l="1"/>
  <c r="J43" i="43"/>
  <c r="J44" i="43" s="1"/>
  <c r="M20" i="8"/>
  <c r="M34" i="9"/>
  <c r="BB35" i="48"/>
  <c r="F35" i="2"/>
  <c r="FF34" i="2"/>
  <c r="AK35" i="48"/>
  <c r="K35" i="48"/>
  <c r="AE35" i="48"/>
  <c r="S36" i="48"/>
  <c r="M7" i="4"/>
  <c r="K56" i="6"/>
  <c r="J40" i="37"/>
  <c r="J41" i="6"/>
  <c r="K57" i="6"/>
  <c r="J45" i="6"/>
  <c r="D53" i="43"/>
  <c r="E38" i="43"/>
  <c r="E53" i="43" s="1"/>
  <c r="E54" i="43" s="1"/>
  <c r="M20" i="7" l="1"/>
  <c r="M34" i="8"/>
  <c r="BB36" i="48"/>
  <c r="D54" i="43"/>
  <c r="AK36" i="48"/>
  <c r="S37" i="48"/>
  <c r="AE36" i="48"/>
  <c r="K36" i="48"/>
  <c r="F36" i="2"/>
  <c r="FF35" i="2"/>
  <c r="J40" i="4"/>
  <c r="K57" i="37"/>
  <c r="J41" i="37"/>
  <c r="K56" i="37"/>
  <c r="J45" i="37"/>
  <c r="M7" i="43"/>
  <c r="M20" i="6" l="1"/>
  <c r="M34" i="7"/>
  <c r="BB37" i="48"/>
  <c r="F37" i="2"/>
  <c r="FF36" i="2"/>
  <c r="AK37" i="48"/>
  <c r="S38" i="48"/>
  <c r="K37" i="48"/>
  <c r="AE37" i="48"/>
  <c r="J41" i="4"/>
  <c r="J40" i="43"/>
  <c r="K57" i="4"/>
  <c r="K56" i="4"/>
  <c r="J45" i="4"/>
  <c r="M20" i="37" l="1"/>
  <c r="M34" i="6"/>
  <c r="BB38" i="48"/>
  <c r="AK38" i="48"/>
  <c r="S39" i="48"/>
  <c r="AE38" i="48"/>
  <c r="K38" i="48"/>
  <c r="F38" i="2"/>
  <c r="FF37" i="2"/>
  <c r="K56" i="43"/>
  <c r="J41" i="43"/>
  <c r="K57" i="43"/>
  <c r="J45" i="43"/>
  <c r="M20" i="4" l="1"/>
  <c r="M34" i="37"/>
  <c r="BB39" i="48"/>
  <c r="F39" i="2"/>
  <c r="F40" i="2" s="1"/>
  <c r="FF40" i="2" s="1"/>
  <c r="FF38" i="2"/>
  <c r="AK39" i="48"/>
  <c r="K39" i="48"/>
  <c r="AE39" i="48"/>
  <c r="M20" i="43" l="1"/>
  <c r="M34" i="4"/>
  <c r="FF39" i="2"/>
  <c r="J31" i="27" l="1"/>
  <c r="J31" i="28" s="1"/>
  <c r="J31" i="26" s="1"/>
  <c r="J31" i="25" s="1"/>
  <c r="J31" i="24" s="1"/>
  <c r="M34" i="43"/>
  <c r="J31" i="23" l="1"/>
  <c r="J31" i="21" s="1"/>
  <c r="J31" i="22" s="1"/>
  <c r="J31" i="20" s="1"/>
  <c r="J31" i="19" s="1"/>
  <c r="J31" i="18" l="1"/>
  <c r="J31" i="17" s="1"/>
  <c r="J31" i="16" s="1"/>
  <c r="J31" i="15" s="1"/>
  <c r="J31" i="14" s="1"/>
  <c r="J31" i="13" s="1"/>
  <c r="J31" i="12" s="1"/>
  <c r="J31" i="11" s="1"/>
  <c r="J31" i="10" s="1"/>
  <c r="J31" i="9" s="1"/>
  <c r="J31" i="8" s="1"/>
  <c r="J31" i="7" s="1"/>
  <c r="J31" i="6" s="1"/>
  <c r="I49" i="43"/>
  <c r="J31" i="37" l="1"/>
  <c r="J31" i="4" s="1"/>
  <c r="J31" i="43" s="1"/>
  <c r="I50" i="43"/>
  <c r="I51" i="43"/>
  <c r="E38" i="45" l="1"/>
  <c r="I38" i="45"/>
  <c r="U38" i="45"/>
  <c r="V38" i="45" l="1"/>
  <c r="W38" i="45"/>
  <c r="J38" i="45"/>
  <c r="K38" i="45"/>
  <c r="F38" i="45"/>
  <c r="G38" i="45"/>
  <c r="AA38" i="45" l="1"/>
  <c r="AR39" i="48" s="1"/>
  <c r="I9" i="45"/>
  <c r="J9" i="45" l="1"/>
  <c r="K9" i="45"/>
  <c r="AB38" i="45"/>
  <c r="AC38" i="45"/>
  <c r="AT39" i="48" l="1"/>
  <c r="AV39" i="48"/>
  <c r="U37" i="45" l="1"/>
  <c r="I37" i="45"/>
  <c r="E36" i="45"/>
  <c r="E35" i="45"/>
  <c r="E33" i="45"/>
  <c r="E31" i="45"/>
  <c r="E30" i="45"/>
  <c r="E29" i="45"/>
  <c r="E24" i="45"/>
  <c r="E22" i="45"/>
  <c r="E18" i="45"/>
  <c r="E16" i="45"/>
  <c r="E15" i="45"/>
  <c r="E12" i="45"/>
  <c r="E11" i="45"/>
  <c r="I36" i="45"/>
  <c r="I35" i="45"/>
  <c r="I34" i="45"/>
  <c r="E34" i="45"/>
  <c r="U33" i="45"/>
  <c r="I33" i="45"/>
  <c r="U32" i="45"/>
  <c r="I32" i="45"/>
  <c r="U31" i="45"/>
  <c r="I31" i="45"/>
  <c r="U30" i="45"/>
  <c r="U29" i="45"/>
  <c r="I29" i="45"/>
  <c r="U28" i="45"/>
  <c r="I28" i="45"/>
  <c r="U27" i="45"/>
  <c r="I27" i="45"/>
  <c r="U26" i="45"/>
  <c r="I26" i="45"/>
  <c r="U25" i="45"/>
  <c r="I25" i="45"/>
  <c r="U24" i="45"/>
  <c r="I24" i="45"/>
  <c r="U23" i="45"/>
  <c r="I23" i="45"/>
  <c r="U22" i="45"/>
  <c r="I22" i="45"/>
  <c r="U21" i="45"/>
  <c r="I21" i="45"/>
  <c r="U20" i="45"/>
  <c r="I20" i="45"/>
  <c r="U19" i="45"/>
  <c r="I19" i="45"/>
  <c r="U18" i="45"/>
  <c r="I18" i="45"/>
  <c r="U17" i="45"/>
  <c r="I17" i="45"/>
  <c r="U16" i="45"/>
  <c r="I16" i="45"/>
  <c r="U15" i="45"/>
  <c r="I15" i="45"/>
  <c r="U14" i="45"/>
  <c r="I14" i="45"/>
  <c r="U13" i="45"/>
  <c r="I13" i="45"/>
  <c r="U12" i="45"/>
  <c r="I12" i="45"/>
  <c r="U11" i="45"/>
  <c r="I11" i="45"/>
  <c r="U10" i="45"/>
  <c r="I10" i="45"/>
  <c r="U9" i="45"/>
  <c r="E9" i="45"/>
  <c r="U8" i="45"/>
  <c r="V22" i="45" l="1"/>
  <c r="W22" i="45"/>
  <c r="V30" i="45"/>
  <c r="W30" i="45"/>
  <c r="J33" i="45"/>
  <c r="K33" i="45"/>
  <c r="F11" i="45"/>
  <c r="G11" i="45"/>
  <c r="F22" i="45"/>
  <c r="G22" i="45"/>
  <c r="J11" i="45"/>
  <c r="K11" i="45"/>
  <c r="J15" i="45"/>
  <c r="K15" i="45"/>
  <c r="J18" i="45"/>
  <c r="K18" i="45"/>
  <c r="J22" i="45"/>
  <c r="K22" i="45"/>
  <c r="V27" i="45"/>
  <c r="W27" i="45"/>
  <c r="J36" i="45"/>
  <c r="K36" i="45"/>
  <c r="J37" i="45"/>
  <c r="K37" i="45"/>
  <c r="F16" i="45"/>
  <c r="G16" i="45"/>
  <c r="V14" i="45"/>
  <c r="W14" i="45"/>
  <c r="V21" i="45"/>
  <c r="W21" i="45"/>
  <c r="V24" i="45"/>
  <c r="W24" i="45"/>
  <c r="J27" i="45"/>
  <c r="K27" i="45"/>
  <c r="V32" i="45"/>
  <c r="W32" i="45"/>
  <c r="V37" i="45"/>
  <c r="W37" i="45"/>
  <c r="V15" i="45"/>
  <c r="W15" i="45"/>
  <c r="J25" i="45"/>
  <c r="K25" i="45"/>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V8" i="45"/>
  <c r="W8" i="45"/>
  <c r="J14" i="45"/>
  <c r="K14" i="45"/>
  <c r="V17" i="45"/>
  <c r="W17" i="45"/>
  <c r="V20" i="45"/>
  <c r="W20" i="45"/>
  <c r="J21" i="45"/>
  <c r="K21" i="45"/>
  <c r="J24" i="45"/>
  <c r="K24" i="45"/>
  <c r="V29" i="45"/>
  <c r="W29" i="45"/>
  <c r="J32" i="45"/>
  <c r="K32" i="45"/>
  <c r="V11" i="45"/>
  <c r="W11" i="45"/>
  <c r="J17" i="45"/>
  <c r="K17" i="45"/>
  <c r="J20" i="45"/>
  <c r="K20" i="45"/>
  <c r="V26" i="45"/>
  <c r="W26" i="45"/>
  <c r="J29" i="45"/>
  <c r="K29" i="45"/>
  <c r="J35" i="45"/>
  <c r="K35" i="45"/>
  <c r="V10" i="45"/>
  <c r="W10" i="45"/>
  <c r="V9" i="45"/>
  <c r="W9" i="45"/>
  <c r="V13" i="45"/>
  <c r="W13" i="45"/>
  <c r="V19" i="45"/>
  <c r="W19" i="45"/>
  <c r="V23" i="45"/>
  <c r="W23" i="45"/>
  <c r="J26" i="45"/>
  <c r="K26" i="45"/>
  <c r="V31" i="45"/>
  <c r="W31" i="45"/>
  <c r="F34" i="45"/>
  <c r="G34" i="45"/>
  <c r="F18" i="45"/>
  <c r="G18" i="45"/>
  <c r="J12" i="45"/>
  <c r="K12" i="45"/>
  <c r="V18" i="45"/>
  <c r="W18" i="45"/>
  <c r="F12" i="45"/>
  <c r="G12" i="45"/>
  <c r="F9" i="45"/>
  <c r="G9" i="45"/>
  <c r="J13" i="45"/>
  <c r="K13" i="45"/>
  <c r="V16" i="45"/>
  <c r="W16" i="45"/>
  <c r="J19" i="45"/>
  <c r="K19" i="45"/>
  <c r="J23" i="45"/>
  <c r="K23" i="45"/>
  <c r="V28" i="45"/>
  <c r="W28" i="45"/>
  <c r="J31" i="45"/>
  <c r="K31" i="45"/>
  <c r="J34" i="45"/>
  <c r="K34" i="45"/>
  <c r="F24" i="45"/>
  <c r="G24" i="45"/>
  <c r="F30" i="45"/>
  <c r="G30" i="45"/>
  <c r="F31" i="45"/>
  <c r="G31" i="45"/>
  <c r="F33" i="45"/>
  <c r="G33" i="45"/>
  <c r="F35" i="45"/>
  <c r="G35" i="45"/>
  <c r="F36" i="45"/>
  <c r="G36" i="45"/>
  <c r="J10" i="45"/>
  <c r="K10" i="45"/>
  <c r="V12" i="45"/>
  <c r="W12" i="45"/>
  <c r="J16" i="45"/>
  <c r="K16" i="45"/>
  <c r="V25" i="45"/>
  <c r="W25" i="45"/>
  <c r="J28" i="45"/>
  <c r="K28" i="45"/>
  <c r="V33" i="45"/>
  <c r="W33" i="45"/>
  <c r="F15" i="45"/>
  <c r="G15" i="45"/>
  <c r="F29" i="45"/>
  <c r="G29" i="45"/>
  <c r="U35" i="45"/>
  <c r="E37" i="45"/>
  <c r="U36" i="45"/>
  <c r="E23" i="45"/>
  <c r="E26" i="45"/>
  <c r="E28" i="45"/>
  <c r="I8" i="45"/>
  <c r="E13" i="45"/>
  <c r="E20" i="45"/>
  <c r="I30" i="45"/>
  <c r="E32" i="45"/>
  <c r="U34" i="45"/>
  <c r="U40" i="45" l="1"/>
  <c r="V40" i="45" s="1"/>
  <c r="F32" i="45"/>
  <c r="G32" i="45"/>
  <c r="V35" i="45"/>
  <c r="W35" i="45"/>
  <c r="V36" i="45"/>
  <c r="W36" i="45"/>
  <c r="F37" i="45"/>
  <c r="G37" i="45"/>
  <c r="F13" i="45"/>
  <c r="G13" i="45"/>
  <c r="T34" i="45"/>
  <c r="T35" i="45" s="1"/>
  <c r="T36" i="45" s="1"/>
  <c r="T37" i="45" s="1"/>
  <c r="T38" i="45" s="1"/>
  <c r="AA10" i="45"/>
  <c r="AR11" i="48" s="1"/>
  <c r="F20" i="45"/>
  <c r="G20" i="45"/>
  <c r="F28" i="45"/>
  <c r="G28" i="45"/>
  <c r="V34" i="45"/>
  <c r="W34" i="45"/>
  <c r="I40"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J8" i="45"/>
  <c r="K8" i="45"/>
  <c r="F23" i="45"/>
  <c r="G23" i="45"/>
  <c r="J30" i="45"/>
  <c r="K30" i="45"/>
  <c r="F26" i="45"/>
  <c r="G26" i="45"/>
  <c r="M33" i="45"/>
  <c r="M24" i="45"/>
  <c r="AA12" i="45"/>
  <c r="AR13" i="48" s="1"/>
  <c r="AA36" i="45"/>
  <c r="AR37" i="48" s="1"/>
  <c r="AA27" i="45"/>
  <c r="AR28" i="48" s="1"/>
  <c r="AA15" i="45"/>
  <c r="AR16" i="48" s="1"/>
  <c r="AA14" i="45"/>
  <c r="AR15" i="48" s="1"/>
  <c r="AA35" i="45"/>
  <c r="AR36" i="48" s="1"/>
  <c r="AA29" i="45"/>
  <c r="AR30" i="48" s="1"/>
  <c r="AA9" i="45"/>
  <c r="AR10" i="48" s="1"/>
  <c r="AA20" i="45"/>
  <c r="AR21" i="48" s="1"/>
  <c r="AA31" i="45"/>
  <c r="AR32" i="48" s="1"/>
  <c r="AA30" i="45"/>
  <c r="AR31" i="48" s="1"/>
  <c r="AA16" i="45"/>
  <c r="AR17" i="48" s="1"/>
  <c r="AA32" i="45"/>
  <c r="AR33" i="48" s="1"/>
  <c r="AA18" i="45"/>
  <c r="AR19" i="48" s="1"/>
  <c r="AA34" i="45"/>
  <c r="AR35" i="48" s="1"/>
  <c r="AA22" i="45"/>
  <c r="AR23" i="48" s="1"/>
  <c r="AA25" i="45"/>
  <c r="AR26" i="48" s="1"/>
  <c r="AA13" i="45"/>
  <c r="AR14" i="48" s="1"/>
  <c r="AA21" i="45"/>
  <c r="AR22" i="48" s="1"/>
  <c r="AA33" i="45"/>
  <c r="AR34" i="48" s="1"/>
  <c r="AA26" i="45"/>
  <c r="AR27" i="48" s="1"/>
  <c r="AA19" i="45"/>
  <c r="AR20" i="48" s="1"/>
  <c r="AA11" i="45"/>
  <c r="AR12" i="48" s="1"/>
  <c r="AA24" i="45"/>
  <c r="AR25" i="48" s="1"/>
  <c r="E10" i="45"/>
  <c r="AA28" i="45"/>
  <c r="AR29" i="48" s="1"/>
  <c r="AA23" i="45"/>
  <c r="AR24" i="48" s="1"/>
  <c r="AA17" i="45"/>
  <c r="AR18" i="48" s="1"/>
  <c r="M10" i="45"/>
  <c r="E17" i="45"/>
  <c r="M27" i="45"/>
  <c r="M8" i="45"/>
  <c r="M34" i="45"/>
  <c r="M21" i="45"/>
  <c r="E27" i="45"/>
  <c r="M14" i="45"/>
  <c r="E14" i="45"/>
  <c r="M19" i="45"/>
  <c r="E25" i="45"/>
  <c r="M17" i="45"/>
  <c r="E21" i="45"/>
  <c r="E19" i="45"/>
  <c r="M25" i="45"/>
  <c r="W40" i="45" l="1"/>
  <c r="AB13" i="45"/>
  <c r="AC13" i="45"/>
  <c r="AB14" i="45"/>
  <c r="AC14" i="45"/>
  <c r="AB25" i="45"/>
  <c r="AC25" i="45"/>
  <c r="AB10" i="45"/>
  <c r="AC10" i="45"/>
  <c r="AB17" i="45"/>
  <c r="AC17" i="45"/>
  <c r="AB23" i="45"/>
  <c r="AC23" i="45"/>
  <c r="AB33" i="45"/>
  <c r="AC33" i="45"/>
  <c r="AB22" i="45"/>
  <c r="AC22" i="45"/>
  <c r="AB16" i="45"/>
  <c r="AC16" i="45"/>
  <c r="AB20" i="45"/>
  <c r="AC20" i="45"/>
  <c r="AB32" i="45"/>
  <c r="AC32" i="45"/>
  <c r="AB21" i="45"/>
  <c r="AC21" i="45"/>
  <c r="AB15" i="45"/>
  <c r="AC15" i="45"/>
  <c r="AB34" i="45"/>
  <c r="AC34" i="45"/>
  <c r="AB36" i="45"/>
  <c r="AC36" i="45"/>
  <c r="AB18" i="45"/>
  <c r="AC18" i="45"/>
  <c r="AB29" i="45"/>
  <c r="AC29" i="45"/>
  <c r="AB27" i="45"/>
  <c r="AC27" i="45"/>
  <c r="AB11" i="45"/>
  <c r="AC11" i="45"/>
  <c r="AB31" i="45"/>
  <c r="AC31" i="45"/>
  <c r="AB12" i="45"/>
  <c r="AC12" i="45"/>
  <c r="AB24" i="45"/>
  <c r="AC24" i="45"/>
  <c r="F17" i="45"/>
  <c r="G17" i="45"/>
  <c r="F19" i="45"/>
  <c r="G19" i="45"/>
  <c r="AB26" i="45"/>
  <c r="AC26" i="45"/>
  <c r="F21" i="45"/>
  <c r="G21" i="45"/>
  <c r="AB19" i="45"/>
  <c r="AC19" i="45"/>
  <c r="AB30" i="45"/>
  <c r="AC30" i="45"/>
  <c r="AB28" i="45"/>
  <c r="AC28" i="45"/>
  <c r="F27" i="45"/>
  <c r="G27" i="45"/>
  <c r="AB9" i="45"/>
  <c r="AC9" i="45"/>
  <c r="F25" i="45"/>
  <c r="G25" i="45"/>
  <c r="F14" i="45"/>
  <c r="G14" i="45"/>
  <c r="F10" i="45"/>
  <c r="G10" i="45"/>
  <c r="AB35" i="45"/>
  <c r="AC35" i="45"/>
  <c r="J40" i="45"/>
  <c r="K40" i="45"/>
  <c r="M38" i="45"/>
  <c r="X21" i="45"/>
  <c r="N21" i="45"/>
  <c r="O21" i="45"/>
  <c r="M22" i="45"/>
  <c r="X19" i="45"/>
  <c r="N19" i="45"/>
  <c r="O19" i="45"/>
  <c r="X27" i="45"/>
  <c r="N27" i="45"/>
  <c r="O27" i="45"/>
  <c r="M31" i="45"/>
  <c r="X10" i="45"/>
  <c r="N10" i="45"/>
  <c r="O10" i="45"/>
  <c r="M32" i="45"/>
  <c r="M30" i="45"/>
  <c r="M37" i="45"/>
  <c r="X25" i="45"/>
  <c r="N25" i="45"/>
  <c r="O25" i="45"/>
  <c r="X14" i="45"/>
  <c r="N14" i="45"/>
  <c r="O14" i="45"/>
  <c r="M11" i="45"/>
  <c r="M18" i="45"/>
  <c r="M15" i="45"/>
  <c r="M12" i="45"/>
  <c r="M35" i="45"/>
  <c r="M28" i="45"/>
  <c r="M26" i="45"/>
  <c r="X33" i="45"/>
  <c r="N33" i="45"/>
  <c r="O33" i="45"/>
  <c r="X34" i="45"/>
  <c r="N34" i="45"/>
  <c r="O34" i="45"/>
  <c r="M20" i="45"/>
  <c r="M23" i="45"/>
  <c r="M9" i="45"/>
  <c r="M16" i="45"/>
  <c r="X24" i="45"/>
  <c r="N24" i="45"/>
  <c r="O24" i="45"/>
  <c r="X17" i="45"/>
  <c r="N17" i="45"/>
  <c r="O17" i="45"/>
  <c r="M13" i="45"/>
  <c r="M29" i="45"/>
  <c r="M36" i="45"/>
  <c r="L8" i="45"/>
  <c r="N8" i="45"/>
  <c r="O8" i="45"/>
  <c r="AA8" i="45"/>
  <c r="AR9" i="48" s="1"/>
  <c r="L9" i="45" l="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AT20" i="48"/>
  <c r="AV20" i="48"/>
  <c r="AT35" i="48"/>
  <c r="AV35" i="48"/>
  <c r="AB8" i="45"/>
  <c r="AC8" i="45"/>
  <c r="AT28" i="48"/>
  <c r="AV28" i="48"/>
  <c r="AT33" i="48"/>
  <c r="AV33" i="48"/>
  <c r="AT26" i="48"/>
  <c r="AV26" i="48"/>
  <c r="AT36" i="48"/>
  <c r="AV36" i="48"/>
  <c r="AT29" i="48"/>
  <c r="AV29" i="48"/>
  <c r="AT23" i="48"/>
  <c r="AV23" i="48"/>
  <c r="AT10" i="48"/>
  <c r="AV10" i="48"/>
  <c r="AT32" i="48"/>
  <c r="AV32" i="48"/>
  <c r="AT16" i="48"/>
  <c r="AV16" i="48"/>
  <c r="AT18" i="48"/>
  <c r="AV18" i="48"/>
  <c r="AT25" i="48"/>
  <c r="AV25" i="48"/>
  <c r="AT30" i="48"/>
  <c r="AV30" i="48"/>
  <c r="AT21" i="48"/>
  <c r="AV21" i="48"/>
  <c r="AT15" i="48"/>
  <c r="AV15" i="48"/>
  <c r="AT31" i="48"/>
  <c r="AV31" i="48"/>
  <c r="AT27" i="48"/>
  <c r="AV27" i="48"/>
  <c r="AT37" i="48"/>
  <c r="AV37" i="48"/>
  <c r="AT34" i="48"/>
  <c r="AV34" i="48"/>
  <c r="AT13" i="48"/>
  <c r="AV13" i="48"/>
  <c r="AT24" i="48"/>
  <c r="AV24" i="48"/>
  <c r="AT12" i="48"/>
  <c r="AV12" i="48"/>
  <c r="AT22" i="48"/>
  <c r="AV22" i="48"/>
  <c r="AT11" i="48"/>
  <c r="AV11" i="48"/>
  <c r="E8" i="45"/>
  <c r="AT19" i="48"/>
  <c r="AV19" i="48"/>
  <c r="AT17" i="48"/>
  <c r="AV17" i="48"/>
  <c r="AT14" i="48"/>
  <c r="AV14" i="48"/>
  <c r="M40" i="45"/>
  <c r="X38" i="45"/>
  <c r="N38" i="45"/>
  <c r="O38" i="45"/>
  <c r="X18" i="45"/>
  <c r="N18" i="45"/>
  <c r="O18" i="45"/>
  <c r="X9" i="45"/>
  <c r="N9" i="45"/>
  <c r="O9" i="45"/>
  <c r="I46" i="7"/>
  <c r="Y34" i="45"/>
  <c r="Z34" i="45"/>
  <c r="X35" i="45"/>
  <c r="N35" i="45"/>
  <c r="O35" i="45"/>
  <c r="I46" i="16"/>
  <c r="Y25" i="45"/>
  <c r="Z25" i="45"/>
  <c r="X11" i="45"/>
  <c r="N11" i="45"/>
  <c r="O11" i="45"/>
  <c r="X37" i="45"/>
  <c r="N37" i="45"/>
  <c r="O37" i="45"/>
  <c r="I46" i="31"/>
  <c r="Y10" i="45"/>
  <c r="Z10" i="45"/>
  <c r="I46" i="21"/>
  <c r="Y19" i="45"/>
  <c r="Z19" i="45"/>
  <c r="X36" i="45"/>
  <c r="N36" i="45"/>
  <c r="O36" i="45"/>
  <c r="I46" i="24"/>
  <c r="Y17" i="45"/>
  <c r="Z17" i="45"/>
  <c r="X23" i="45"/>
  <c r="N23" i="45"/>
  <c r="O23" i="45"/>
  <c r="X12" i="45"/>
  <c r="N12" i="45"/>
  <c r="O12" i="45"/>
  <c r="X31" i="45"/>
  <c r="N31" i="45"/>
  <c r="O31" i="45"/>
  <c r="X22" i="45"/>
  <c r="N22" i="45"/>
  <c r="O22" i="45"/>
  <c r="I46" i="8"/>
  <c r="Y33" i="45"/>
  <c r="Z33" i="45"/>
  <c r="X30" i="45"/>
  <c r="N30" i="45"/>
  <c r="O30" i="45"/>
  <c r="X29" i="45"/>
  <c r="N29" i="45"/>
  <c r="O29" i="45"/>
  <c r="X20" i="45"/>
  <c r="N20" i="45"/>
  <c r="O20" i="45"/>
  <c r="X26" i="45"/>
  <c r="N26" i="45"/>
  <c r="O26" i="45"/>
  <c r="I46" i="17"/>
  <c r="Y24" i="45"/>
  <c r="Z24" i="45"/>
  <c r="X15" i="45"/>
  <c r="N15" i="45"/>
  <c r="O15" i="45"/>
  <c r="I46" i="28"/>
  <c r="Y14" i="45"/>
  <c r="Z14" i="45"/>
  <c r="X32" i="45"/>
  <c r="N32" i="45"/>
  <c r="O32" i="45"/>
  <c r="X13" i="45"/>
  <c r="N13" i="45"/>
  <c r="O13" i="45"/>
  <c r="X16" i="45"/>
  <c r="N16" i="45"/>
  <c r="O16" i="45"/>
  <c r="X28" i="45"/>
  <c r="N28" i="45"/>
  <c r="O28" i="45"/>
  <c r="I46" i="14"/>
  <c r="Y27" i="45"/>
  <c r="Z27" i="45"/>
  <c r="I46" i="20"/>
  <c r="Y21" i="45"/>
  <c r="Z21" i="45"/>
  <c r="E40" i="45" l="1"/>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F8" i="45"/>
  <c r="G8" i="45"/>
  <c r="X8" i="45"/>
  <c r="AS9" i="48"/>
  <c r="AT9" i="48"/>
  <c r="AV9" i="48"/>
  <c r="O40" i="45"/>
  <c r="N40" i="45"/>
  <c r="I46" i="43"/>
  <c r="Y38" i="45"/>
  <c r="Z38" i="45"/>
  <c r="I47" i="17"/>
  <c r="AL25" i="48"/>
  <c r="I48" i="17"/>
  <c r="I46" i="13"/>
  <c r="Y28" i="45"/>
  <c r="Z28" i="45"/>
  <c r="I46" i="22"/>
  <c r="Y20" i="45"/>
  <c r="Z20" i="45"/>
  <c r="I46" i="10"/>
  <c r="Y31" i="45"/>
  <c r="Z31" i="45"/>
  <c r="I46" i="30"/>
  <c r="Y11" i="45"/>
  <c r="Z11" i="45"/>
  <c r="I46" i="9"/>
  <c r="Y32" i="45"/>
  <c r="Z32" i="45"/>
  <c r="AL18" i="48"/>
  <c r="I48" i="24"/>
  <c r="I47" i="24"/>
  <c r="I47" i="7"/>
  <c r="AL35" i="48"/>
  <c r="I48" i="7"/>
  <c r="AL34" i="48"/>
  <c r="I48" i="8"/>
  <c r="I47" i="8"/>
  <c r="AL11" i="48"/>
  <c r="I47" i="31"/>
  <c r="I48" i="31"/>
  <c r="I46" i="25"/>
  <c r="Y16" i="45"/>
  <c r="Z16" i="45"/>
  <c r="I46" i="12"/>
  <c r="Y29" i="45"/>
  <c r="Z29" i="45"/>
  <c r="I46" i="29"/>
  <c r="Y12" i="45"/>
  <c r="Z12" i="45"/>
  <c r="AL26" i="48"/>
  <c r="I47" i="16"/>
  <c r="I48" i="16"/>
  <c r="AL15" i="48"/>
  <c r="I47" i="28"/>
  <c r="I48" i="28"/>
  <c r="I46" i="37"/>
  <c r="Y36" i="45"/>
  <c r="Z36" i="45"/>
  <c r="I46" i="32"/>
  <c r="Y9" i="45"/>
  <c r="Z9" i="45"/>
  <c r="AL22" i="48"/>
  <c r="I47" i="20"/>
  <c r="I48" i="20"/>
  <c r="I47" i="14"/>
  <c r="AL28" i="48"/>
  <c r="I48" i="14"/>
  <c r="I46" i="15"/>
  <c r="Y26" i="45"/>
  <c r="Z26" i="45"/>
  <c r="I46" i="19"/>
  <c r="Y22" i="45"/>
  <c r="Z22" i="45"/>
  <c r="I46" i="4"/>
  <c r="Y37" i="45"/>
  <c r="Z37" i="45"/>
  <c r="I46" i="27"/>
  <c r="Y13" i="45"/>
  <c r="Z13" i="45"/>
  <c r="I46" i="18"/>
  <c r="Y23" i="45"/>
  <c r="Z23" i="45"/>
  <c r="I46" i="6"/>
  <c r="Y35" i="45"/>
  <c r="Z35" i="45"/>
  <c r="I46" i="26"/>
  <c r="Y15" i="45"/>
  <c r="Z15" i="45"/>
  <c r="I46" i="11"/>
  <c r="Y30" i="45"/>
  <c r="Z30" i="45"/>
  <c r="AL20" i="48"/>
  <c r="I47" i="21"/>
  <c r="I48" i="21"/>
  <c r="I46" i="23"/>
  <c r="Y18" i="45"/>
  <c r="Z18" i="45"/>
  <c r="I46" i="33" l="1"/>
  <c r="Y8" i="45"/>
  <c r="Z8" i="45"/>
  <c r="F40" i="45"/>
  <c r="G40" i="45"/>
  <c r="AU9" i="48"/>
  <c r="AW9" i="48"/>
  <c r="AS10" i="48"/>
  <c r="X40" i="45"/>
  <c r="AL39" i="48"/>
  <c r="I47" i="43"/>
  <c r="I48" i="43"/>
  <c r="AL38" i="48"/>
  <c r="I47" i="4"/>
  <c r="I48" i="4"/>
  <c r="AN28" i="48"/>
  <c r="AP28" i="48"/>
  <c r="AN26" i="48"/>
  <c r="AP26" i="48"/>
  <c r="I47" i="9"/>
  <c r="AL33" i="48"/>
  <c r="I48" i="9"/>
  <c r="AL31" i="48"/>
  <c r="I47" i="11"/>
  <c r="I48" i="11"/>
  <c r="I47" i="25"/>
  <c r="AL17" i="48"/>
  <c r="I48" i="25"/>
  <c r="AN35" i="48"/>
  <c r="AP35" i="48"/>
  <c r="AL21" i="48"/>
  <c r="I47" i="22"/>
  <c r="I48" i="22"/>
  <c r="AL24" i="48"/>
  <c r="I47" i="18"/>
  <c r="I48" i="18"/>
  <c r="I47" i="37"/>
  <c r="AL37" i="48"/>
  <c r="I48" i="37"/>
  <c r="AL23" i="48"/>
  <c r="I47" i="19"/>
  <c r="I48" i="19"/>
  <c r="I47" i="29"/>
  <c r="I48" i="29"/>
  <c r="AL13" i="48"/>
  <c r="I47" i="30"/>
  <c r="I48" i="30"/>
  <c r="AL12" i="48"/>
  <c r="AL16" i="48"/>
  <c r="I47" i="26"/>
  <c r="I48" i="26"/>
  <c r="AN22" i="48"/>
  <c r="AP22" i="48"/>
  <c r="AN11" i="48"/>
  <c r="AP11" i="48"/>
  <c r="AL29" i="48"/>
  <c r="I47" i="13"/>
  <c r="I48" i="13"/>
  <c r="AL14" i="48"/>
  <c r="I47" i="27"/>
  <c r="I48" i="27"/>
  <c r="AN15" i="48"/>
  <c r="AP15" i="48"/>
  <c r="AP18" i="48"/>
  <c r="AN18" i="48"/>
  <c r="I47" i="23"/>
  <c r="AL19" i="48"/>
  <c r="I48" i="23"/>
  <c r="AN20" i="48"/>
  <c r="AP20" i="48"/>
  <c r="AL27" i="48"/>
  <c r="I47" i="15"/>
  <c r="I48" i="15"/>
  <c r="AL30" i="48"/>
  <c r="I47" i="12"/>
  <c r="I48" i="12"/>
  <c r="I47" i="10"/>
  <c r="AL32" i="48"/>
  <c r="I48" i="10"/>
  <c r="AN25" i="48"/>
  <c r="AP25" i="48"/>
  <c r="AL36" i="48"/>
  <c r="I47" i="6"/>
  <c r="I48" i="6"/>
  <c r="AL10" i="48"/>
  <c r="I47" i="32"/>
  <c r="I48" i="32"/>
  <c r="AN34" i="48"/>
  <c r="AP34" i="48"/>
  <c r="Y40" i="45" l="1"/>
  <c r="Z40" i="45"/>
  <c r="AS11" i="48"/>
  <c r="AU10" i="48"/>
  <c r="AW10" i="48"/>
  <c r="AL9" i="48"/>
  <c r="J46" i="33"/>
  <c r="I48" i="33"/>
  <c r="I47" i="33"/>
  <c r="AN39" i="48"/>
  <c r="AP39" i="48"/>
  <c r="AN19" i="48"/>
  <c r="AP19" i="48"/>
  <c r="AN14" i="48"/>
  <c r="AP14" i="48"/>
  <c r="AN17" i="48"/>
  <c r="AP17" i="48"/>
  <c r="AN36" i="48"/>
  <c r="AP36" i="48"/>
  <c r="AN30" i="48"/>
  <c r="AP30" i="48"/>
  <c r="AN24" i="48"/>
  <c r="AP24" i="48"/>
  <c r="AN16" i="48"/>
  <c r="AP16" i="48"/>
  <c r="AN29" i="48"/>
  <c r="AP29" i="48"/>
  <c r="AN12" i="48"/>
  <c r="AP12" i="48"/>
  <c r="AN23" i="48"/>
  <c r="AP23" i="48"/>
  <c r="AN27" i="48"/>
  <c r="AP27" i="48"/>
  <c r="AN21" i="48"/>
  <c r="AP21" i="48"/>
  <c r="AN31" i="48"/>
  <c r="AP31" i="48"/>
  <c r="AP32" i="48"/>
  <c r="AN32" i="48"/>
  <c r="AN37" i="48"/>
  <c r="AP37" i="48"/>
  <c r="AN10" i="48"/>
  <c r="AP10" i="48"/>
  <c r="AN13" i="48"/>
  <c r="AP13" i="48"/>
  <c r="AN33" i="48"/>
  <c r="AP33" i="48"/>
  <c r="AN38" i="48"/>
  <c r="AP38" i="48"/>
  <c r="AL41" i="48" l="1"/>
  <c r="AP9" i="48"/>
  <c r="AN9" i="48"/>
  <c r="AM9" i="48"/>
  <c r="AS12" i="48"/>
  <c r="AU11" i="48"/>
  <c r="AW11" i="48"/>
  <c r="J47" i="33"/>
  <c r="J46" i="32"/>
  <c r="J48" i="33"/>
  <c r="AS13" i="48" l="1"/>
  <c r="AU12" i="48"/>
  <c r="AW12" i="48"/>
  <c r="AO9" i="48"/>
  <c r="AM10" i="48"/>
  <c r="AQ9" i="48"/>
  <c r="J48" i="32"/>
  <c r="J47" i="32"/>
  <c r="J46" i="31"/>
  <c r="AN41" i="48"/>
  <c r="AP41" i="48"/>
  <c r="AO10" i="48" l="1"/>
  <c r="AM11" i="48"/>
  <c r="AQ10" i="48"/>
  <c r="J46" i="30"/>
  <c r="J47" i="31"/>
  <c r="J48" i="31"/>
  <c r="AS14" i="48"/>
  <c r="AU13" i="48"/>
  <c r="AW13" i="48"/>
  <c r="AM12" i="48" l="1"/>
  <c r="AO11" i="48"/>
  <c r="AQ11" i="48"/>
  <c r="AS15" i="48"/>
  <c r="AU14" i="48"/>
  <c r="AW14" i="48"/>
  <c r="J48" i="30"/>
  <c r="J46" i="29"/>
  <c r="J47" i="30"/>
  <c r="J47" i="29" l="1"/>
  <c r="J46" i="27"/>
  <c r="J48" i="29"/>
  <c r="AS16" i="48"/>
  <c r="AU15" i="48"/>
  <c r="AW15" i="48"/>
  <c r="AO12" i="48"/>
  <c r="AQ12" i="48"/>
  <c r="AM13" i="48"/>
  <c r="AS17" i="48" l="1"/>
  <c r="AU16" i="48"/>
  <c r="AW16" i="48"/>
  <c r="J46" i="28"/>
  <c r="J47" i="27"/>
  <c r="J48" i="27"/>
  <c r="AQ13" i="48"/>
  <c r="AM14" i="48"/>
  <c r="AO13" i="48"/>
  <c r="AO14" i="48" l="1"/>
  <c r="AM15" i="48"/>
  <c r="AQ14" i="48"/>
  <c r="J48" i="28"/>
  <c r="J47" i="28"/>
  <c r="J46" i="26"/>
  <c r="AS18" i="48"/>
  <c r="AU17" i="48"/>
  <c r="AW17" i="48"/>
  <c r="AS19" i="48" l="1"/>
  <c r="AU18" i="48"/>
  <c r="AW18" i="48"/>
  <c r="AQ15" i="48"/>
  <c r="AO15" i="48"/>
  <c r="AM16" i="48"/>
  <c r="J47" i="26"/>
  <c r="J48" i="26"/>
  <c r="J46" i="25"/>
  <c r="AO16" i="48" l="1"/>
  <c r="AQ16" i="48"/>
  <c r="AM17" i="48"/>
  <c r="J47" i="25"/>
  <c r="J48" i="25"/>
  <c r="J46" i="24"/>
  <c r="AS20" i="48"/>
  <c r="AU19" i="48"/>
  <c r="AW19" i="48"/>
  <c r="AS21" i="48" l="1"/>
  <c r="AU20" i="48"/>
  <c r="AW20" i="48"/>
  <c r="AO17" i="48"/>
  <c r="AQ17" i="48"/>
  <c r="AM18" i="48"/>
  <c r="J46" i="23"/>
  <c r="J47" i="24"/>
  <c r="J48" i="24"/>
  <c r="J47" i="23" l="1"/>
  <c r="J46" i="21"/>
  <c r="J48" i="23"/>
  <c r="AO18" i="48"/>
  <c r="AM19" i="48"/>
  <c r="AQ18" i="48"/>
  <c r="AS22" i="48"/>
  <c r="AU21" i="48"/>
  <c r="AW21" i="48"/>
  <c r="AQ19" i="48" l="1"/>
  <c r="AM20" i="48"/>
  <c r="AO19" i="48"/>
  <c r="J46" i="22"/>
  <c r="J47" i="21"/>
  <c r="J48" i="21"/>
  <c r="AS23" i="48"/>
  <c r="AU22" i="48"/>
  <c r="AW22" i="48"/>
  <c r="AS24" i="48" l="1"/>
  <c r="AU23" i="48"/>
  <c r="AW23" i="48"/>
  <c r="AO20" i="48"/>
  <c r="AM21" i="48"/>
  <c r="AQ20" i="48"/>
  <c r="J46" i="20"/>
  <c r="J47" i="22"/>
  <c r="J48" i="22"/>
  <c r="J46" i="19" l="1"/>
  <c r="J47" i="20"/>
  <c r="J48" i="20"/>
  <c r="AQ21" i="48"/>
  <c r="AO21" i="48"/>
  <c r="AM22" i="48"/>
  <c r="AS25" i="48"/>
  <c r="AU24" i="48"/>
  <c r="AW24" i="48"/>
  <c r="AS26" i="48" l="1"/>
  <c r="AU25" i="48"/>
  <c r="AW25" i="48"/>
  <c r="AM23" i="48"/>
  <c r="AO22" i="48"/>
  <c r="AQ22" i="48"/>
  <c r="J47" i="19"/>
  <c r="J46" i="18"/>
  <c r="J48" i="19"/>
  <c r="J46" i="17" l="1"/>
  <c r="J47" i="18"/>
  <c r="J48" i="18"/>
  <c r="AQ23" i="48"/>
  <c r="AM24" i="48"/>
  <c r="AO23" i="48"/>
  <c r="AS27" i="48"/>
  <c r="AU26" i="48"/>
  <c r="AW26" i="48"/>
  <c r="AS28" i="48" l="1"/>
  <c r="AU27" i="48"/>
  <c r="AW27" i="48"/>
  <c r="AO24" i="48"/>
  <c r="AM25" i="48"/>
  <c r="AQ24" i="48"/>
  <c r="J47" i="17"/>
  <c r="J46" i="16"/>
  <c r="J48" i="17"/>
  <c r="AM26" i="48" l="1"/>
  <c r="AQ25" i="48"/>
  <c r="AO25" i="48"/>
  <c r="J48" i="16"/>
  <c r="J47" i="16"/>
  <c r="J46" i="15"/>
  <c r="AS29" i="48"/>
  <c r="AU28" i="48"/>
  <c r="AW28" i="48"/>
  <c r="AS30" i="48" l="1"/>
  <c r="AU29" i="48"/>
  <c r="AW29" i="48"/>
  <c r="J47" i="15"/>
  <c r="J46" i="14"/>
  <c r="J48" i="15"/>
  <c r="AO26" i="48"/>
  <c r="AQ26" i="48"/>
  <c r="AM27" i="48"/>
  <c r="J46" i="13" l="1"/>
  <c r="J47" i="14"/>
  <c r="J48" i="14"/>
  <c r="AM28" i="48"/>
  <c r="AO27" i="48"/>
  <c r="AQ27" i="48"/>
  <c r="AS31" i="48"/>
  <c r="AU30" i="48"/>
  <c r="AW30" i="48"/>
  <c r="AQ28" i="48" l="1"/>
  <c r="AM29" i="48"/>
  <c r="AO28" i="48"/>
  <c r="AS32" i="48"/>
  <c r="AU31" i="48"/>
  <c r="AW31" i="48"/>
  <c r="J47" i="13"/>
  <c r="J46" i="12"/>
  <c r="J48" i="13"/>
  <c r="AS33" i="48" l="1"/>
  <c r="AU32" i="48"/>
  <c r="AW32" i="48"/>
  <c r="J47" i="12"/>
  <c r="J46" i="11"/>
  <c r="J48" i="12"/>
  <c r="AO29" i="48"/>
  <c r="AQ29" i="48"/>
  <c r="AM30" i="48"/>
  <c r="J47" i="11" l="1"/>
  <c r="J46" i="10"/>
  <c r="J48" i="11"/>
  <c r="AO30" i="48"/>
  <c r="AM31" i="48"/>
  <c r="AQ30" i="48"/>
  <c r="AS34" i="48"/>
  <c r="AU33" i="48"/>
  <c r="AW33" i="48"/>
  <c r="AS35" i="48" l="1"/>
  <c r="AU34" i="48"/>
  <c r="AW34" i="48"/>
  <c r="AM32" i="48"/>
  <c r="AO31" i="48"/>
  <c r="AQ31" i="48"/>
  <c r="J48" i="10"/>
  <c r="J47" i="10"/>
  <c r="J46" i="9"/>
  <c r="AQ32" i="48" l="1"/>
  <c r="AM33" i="48"/>
  <c r="AO32" i="48"/>
  <c r="J46" i="8"/>
  <c r="J47" i="9"/>
  <c r="J48" i="9"/>
  <c r="AS36" i="48"/>
  <c r="AU35" i="48"/>
  <c r="AW35" i="48"/>
  <c r="AS37" i="48" l="1"/>
  <c r="AU36" i="48"/>
  <c r="AW36" i="48"/>
  <c r="J47" i="8"/>
  <c r="J46" i="7"/>
  <c r="J48" i="8"/>
  <c r="AO33" i="48"/>
  <c r="AM34" i="48"/>
  <c r="AQ33" i="48"/>
  <c r="AO34" i="48" l="1"/>
  <c r="AM35" i="48"/>
  <c r="AQ34" i="48"/>
  <c r="J46" i="6"/>
  <c r="J47" i="7"/>
  <c r="J48" i="7"/>
  <c r="AU37" i="48"/>
  <c r="AW37" i="48"/>
  <c r="J48" i="6" l="1"/>
  <c r="J46" i="37"/>
  <c r="J47" i="6"/>
  <c r="AM36" i="48"/>
  <c r="AO35" i="48"/>
  <c r="AQ35" i="48"/>
  <c r="J46" i="4" l="1"/>
  <c r="J47" i="37"/>
  <c r="J48" i="37"/>
  <c r="AO36" i="48"/>
  <c r="AM37" i="48"/>
  <c r="AQ36" i="48"/>
  <c r="AM38" i="48" l="1"/>
  <c r="AO37" i="48"/>
  <c r="AQ37" i="48"/>
  <c r="J46" i="43"/>
  <c r="J47" i="4"/>
  <c r="J48" i="4"/>
  <c r="J47" i="43" l="1"/>
  <c r="J48" i="43"/>
  <c r="AO38" i="48"/>
  <c r="AQ38" i="48"/>
  <c r="AM39" i="48"/>
  <c r="AO39" i="48" l="1"/>
  <c r="AQ39" i="48"/>
  <c r="KV20" i="1" l="1"/>
  <c r="EG20" i="1"/>
  <c r="KT20" i="1"/>
  <c r="EE42" i="1"/>
  <c r="EG42" i="1" s="1"/>
  <c r="EF20" i="1"/>
  <c r="EF42" i="1" l="1"/>
  <c r="AX23" i="1" l="1"/>
  <c r="KT23" i="1" s="1"/>
  <c r="AW23" i="1"/>
  <c r="KV23" i="1"/>
  <c r="P74" i="46" l="1"/>
  <c r="U74" i="46"/>
  <c r="U75" i="46"/>
  <c r="V74" i="46"/>
  <c r="P75" i="46" l="1"/>
  <c r="V75" i="46"/>
  <c r="P76" i="46" l="1"/>
  <c r="V76" i="46"/>
  <c r="U76" i="46"/>
  <c r="AA74" i="46" l="1"/>
  <c r="AB74" i="46" l="1"/>
  <c r="P109" i="46" l="1"/>
  <c r="V109" i="46"/>
  <c r="P110" i="46"/>
  <c r="P180" i="46" s="1"/>
  <c r="U109" i="46"/>
  <c r="V110" i="46" l="1"/>
  <c r="U110" i="46"/>
  <c r="V180" i="46"/>
  <c r="V181" i="46" l="1"/>
  <c r="I10" i="53"/>
  <c r="U180" i="46"/>
  <c r="X183" i="46" s="1"/>
  <c r="AA108" i="46"/>
  <c r="AA180" i="46" s="1"/>
  <c r="S181" i="46"/>
  <c r="O180" i="46"/>
  <c r="I3" i="53" l="1"/>
  <c r="AA181" i="46"/>
  <c r="X191" i="46" s="1"/>
  <c r="AM181" i="46"/>
  <c r="AW181" i="46"/>
  <c r="X207" i="46" s="1"/>
  <c r="AZ181" i="46"/>
  <c r="X210" i="46" s="1"/>
  <c r="AX181" i="46"/>
  <c r="AY181" i="46"/>
  <c r="AK181" i="46"/>
  <c r="X198" i="46" s="1"/>
  <c r="AJ181" i="46"/>
  <c r="X197" i="46" s="1"/>
  <c r="AG181" i="46"/>
  <c r="X194" i="46" s="1"/>
  <c r="AO181" i="46"/>
  <c r="X201" i="46" s="1"/>
  <c r="AI181" i="46"/>
  <c r="X196" i="46" s="1"/>
  <c r="BA181" i="46"/>
  <c r="AN181" i="46"/>
  <c r="X200" i="46" s="1"/>
  <c r="AT181" i="46"/>
  <c r="X205" i="46" s="1"/>
  <c r="AP181" i="46"/>
  <c r="X202" i="46" s="1"/>
  <c r="AQ181" i="46"/>
  <c r="X203" i="46" s="1"/>
  <c r="AV181" i="46"/>
  <c r="X208" i="46" s="1"/>
  <c r="AL181" i="46"/>
  <c r="X199" i="46" s="1"/>
  <c r="AU181" i="46"/>
  <c r="X206" i="46" s="1"/>
  <c r="AF181" i="46"/>
  <c r="X193" i="46" s="1"/>
  <c r="AH181" i="46"/>
  <c r="X195" i="46" s="1"/>
  <c r="AR181" i="46"/>
  <c r="AS181" i="46"/>
  <c r="X204" i="46" s="1"/>
  <c r="E35" i="54"/>
  <c r="E39" i="54"/>
  <c r="E7" i="54"/>
  <c r="E27" i="54"/>
  <c r="E33" i="54"/>
  <c r="E19" i="54"/>
  <c r="E18" i="54"/>
  <c r="E10" i="54"/>
  <c r="E6" i="54"/>
  <c r="E25" i="54"/>
  <c r="E16" i="54"/>
  <c r="E5" i="54"/>
  <c r="E38" i="54"/>
  <c r="E36" i="54"/>
  <c r="E17" i="54"/>
  <c r="E29" i="54"/>
  <c r="E9" i="54"/>
  <c r="E26" i="54"/>
  <c r="E8" i="54"/>
  <c r="E11" i="54"/>
  <c r="E37" i="54"/>
  <c r="E28" i="54"/>
  <c r="E24" i="54"/>
  <c r="E31" i="54"/>
  <c r="I11" i="53"/>
  <c r="E32" i="54"/>
  <c r="E20" i="54"/>
  <c r="E34" i="54"/>
  <c r="E30" i="54"/>
  <c r="E21" i="54"/>
  <c r="E22" i="54"/>
  <c r="E23" i="54"/>
  <c r="E4" i="54"/>
  <c r="AB108" i="46"/>
  <c r="AB180" i="46" s="1"/>
  <c r="X209" i="46" l="1"/>
  <c r="I4" i="53"/>
  <c r="AB181" i="46"/>
  <c r="X192" i="46" s="1"/>
  <c r="F25" i="54"/>
  <c r="F35" i="54"/>
  <c r="F30" i="54"/>
  <c r="F11" i="54"/>
  <c r="G11" i="54" s="1"/>
  <c r="F5" i="54"/>
  <c r="G5" i="54" s="1"/>
  <c r="F27" i="54"/>
  <c r="F32" i="54"/>
  <c r="F23" i="54"/>
  <c r="F38" i="54"/>
  <c r="F16" i="54"/>
  <c r="F18" i="54"/>
  <c r="G18" i="54" s="1"/>
  <c r="F37" i="54"/>
  <c r="F34" i="54"/>
  <c r="F33" i="54"/>
  <c r="F8" i="54"/>
  <c r="G8" i="54" s="1"/>
  <c r="F21" i="54"/>
  <c r="F36" i="54"/>
  <c r="F4" i="54"/>
  <c r="F22" i="54"/>
  <c r="F20" i="54"/>
  <c r="F7" i="54"/>
  <c r="G7" i="54" s="1"/>
  <c r="F39" i="54"/>
  <c r="F24" i="54"/>
  <c r="F17" i="54"/>
  <c r="F29" i="54"/>
  <c r="F9" i="54"/>
  <c r="G9" i="54" s="1"/>
  <c r="F19" i="54"/>
  <c r="F6" i="54"/>
  <c r="G6" i="54" s="1"/>
  <c r="F31" i="54"/>
  <c r="F26" i="54"/>
  <c r="F28" i="54"/>
  <c r="F10" i="54"/>
  <c r="G10" i="54" s="1"/>
  <c r="E13" i="54"/>
  <c r="F13" i="54" s="1"/>
  <c r="G13" i="54" s="1"/>
  <c r="H12" i="54" s="1"/>
  <c r="J3" i="53"/>
  <c r="G38" i="54" l="1"/>
  <c r="H38" i="54" s="1"/>
  <c r="X211" i="46"/>
  <c r="X213" i="46" s="1"/>
  <c r="G16" i="54"/>
  <c r="G19" i="54"/>
  <c r="G36" i="54"/>
  <c r="G4" i="54"/>
  <c r="G24" i="54"/>
  <c r="G31" i="54"/>
  <c r="E14" i="54"/>
  <c r="F14" i="54" s="1"/>
  <c r="G14" i="54" s="1"/>
  <c r="J4" i="53"/>
  <c r="G33" i="54"/>
  <c r="H14" i="54" l="1"/>
  <c r="E40" i="54"/>
  <c r="H24" i="54"/>
  <c r="G40" i="54"/>
  <c r="G42" i="54" s="1"/>
  <c r="H4" i="54"/>
  <c r="F40" i="54"/>
  <c r="F42" i="54" s="1"/>
  <c r="H40" i="54" l="1"/>
  <c r="H42" i="54" s="1"/>
  <c r="G11" i="53" s="1"/>
  <c r="K34" i="1" l="1"/>
  <c r="KT34" i="1" s="1"/>
  <c r="KV34" i="1"/>
  <c r="I42" i="1"/>
  <c r="K42" i="1" s="1"/>
  <c r="J34" i="1"/>
  <c r="J42" i="1" l="1"/>
  <c r="KV38" i="1" l="1"/>
  <c r="KV41" i="1" s="1"/>
  <c r="AX38" i="1"/>
  <c r="KT38" i="1" s="1"/>
  <c r="AV42" i="1"/>
  <c r="AW42" i="1" s="1"/>
  <c r="AW38" i="1"/>
  <c r="AX42" i="1" l="1"/>
  <c r="KT42" i="1" s="1"/>
  <c r="KV42" i="1"/>
  <c r="T9" i="48" l="1"/>
  <c r="T38" i="48"/>
  <c r="T12" i="48" l="1"/>
  <c r="I49" i="33"/>
  <c r="V9" i="48"/>
  <c r="U9" i="48"/>
  <c r="X9" i="48"/>
  <c r="T10" i="48"/>
  <c r="T11" i="48"/>
  <c r="V38" i="48"/>
  <c r="X38" i="48"/>
  <c r="I49" i="4"/>
  <c r="T13" i="48"/>
  <c r="T35" i="48" l="1"/>
  <c r="I51" i="4"/>
  <c r="I50" i="4"/>
  <c r="T14" i="48"/>
  <c r="I50" i="33"/>
  <c r="J49" i="33"/>
  <c r="I51" i="33"/>
  <c r="V12" i="48"/>
  <c r="X12" i="48"/>
  <c r="T16" i="48"/>
  <c r="T18" i="48"/>
  <c r="T20" i="48"/>
  <c r="T19" i="48"/>
  <c r="T15" i="48"/>
  <c r="T25" i="48"/>
  <c r="T22" i="48"/>
  <c r="T32" i="48"/>
  <c r="T27" i="48"/>
  <c r="X11" i="48"/>
  <c r="I49" i="31"/>
  <c r="I49" i="30"/>
  <c r="V11" i="48"/>
  <c r="T23" i="48"/>
  <c r="T33" i="48"/>
  <c r="T28" i="48"/>
  <c r="T29" i="48"/>
  <c r="I49" i="29"/>
  <c r="V13" i="48"/>
  <c r="X13" i="48"/>
  <c r="T17" i="48"/>
  <c r="T36" i="48"/>
  <c r="T30" i="48"/>
  <c r="V10" i="48"/>
  <c r="X10" i="48"/>
  <c r="U10" i="48"/>
  <c r="I49" i="32"/>
  <c r="T21" i="48"/>
  <c r="T31" i="48"/>
  <c r="T34" i="48"/>
  <c r="T37" i="48"/>
  <c r="T24" i="48"/>
  <c r="T26" i="48"/>
  <c r="Y9" i="48"/>
  <c r="W9" i="48"/>
  <c r="U11" i="48" l="1"/>
  <c r="Y10" i="48"/>
  <c r="W10" i="48"/>
  <c r="I49" i="23"/>
  <c r="V19" i="48"/>
  <c r="X19" i="48"/>
  <c r="V35" i="48"/>
  <c r="X35" i="48"/>
  <c r="I49" i="7"/>
  <c r="I49" i="18"/>
  <c r="X24" i="48"/>
  <c r="V24" i="48"/>
  <c r="V17" i="48"/>
  <c r="I49" i="25"/>
  <c r="X17" i="48"/>
  <c r="I49" i="9"/>
  <c r="X33" i="48"/>
  <c r="V33" i="48"/>
  <c r="X27" i="48"/>
  <c r="I49" i="15"/>
  <c r="V27" i="48"/>
  <c r="I49" i="24"/>
  <c r="X18" i="48"/>
  <c r="V18" i="48"/>
  <c r="X25" i="48"/>
  <c r="I49" i="17"/>
  <c r="V25" i="48"/>
  <c r="I49" i="12"/>
  <c r="X30" i="48"/>
  <c r="V30" i="48"/>
  <c r="I49" i="13"/>
  <c r="X29" i="48"/>
  <c r="V29" i="48"/>
  <c r="X23" i="48"/>
  <c r="V23" i="48"/>
  <c r="I49" i="19"/>
  <c r="V20" i="48"/>
  <c r="I49" i="21"/>
  <c r="X20" i="48"/>
  <c r="V37" i="48"/>
  <c r="X37" i="48"/>
  <c r="I49" i="37"/>
  <c r="V32" i="48"/>
  <c r="X32" i="48"/>
  <c r="I49" i="10"/>
  <c r="X31" i="48"/>
  <c r="I49" i="11"/>
  <c r="V31" i="48"/>
  <c r="X21" i="48"/>
  <c r="I49" i="22"/>
  <c r="V21" i="48"/>
  <c r="V15" i="48"/>
  <c r="X15" i="48"/>
  <c r="I49" i="28"/>
  <c r="J51" i="33"/>
  <c r="J50" i="33"/>
  <c r="I49" i="16"/>
  <c r="X26" i="48"/>
  <c r="V26" i="48"/>
  <c r="V36" i="48"/>
  <c r="X36" i="48"/>
  <c r="I49" i="6"/>
  <c r="X28" i="48"/>
  <c r="I49" i="14"/>
  <c r="V28" i="48"/>
  <c r="I51" i="30"/>
  <c r="I50" i="30"/>
  <c r="V34" i="48"/>
  <c r="X34" i="48"/>
  <c r="I49" i="8"/>
  <c r="I50" i="32"/>
  <c r="J49" i="32"/>
  <c r="I51" i="32"/>
  <c r="I50" i="29"/>
  <c r="I51" i="29"/>
  <c r="I51" i="31"/>
  <c r="I50" i="31"/>
  <c r="I49" i="20"/>
  <c r="X22" i="48"/>
  <c r="V22" i="48"/>
  <c r="X16" i="48"/>
  <c r="I49" i="26"/>
  <c r="V16" i="48"/>
  <c r="X14" i="48"/>
  <c r="I49" i="27"/>
  <c r="V14" i="48"/>
  <c r="T41" i="48"/>
  <c r="I50" i="15" l="1"/>
  <c r="I51" i="15"/>
  <c r="I50" i="9"/>
  <c r="I51" i="9"/>
  <c r="I51" i="18"/>
  <c r="I50" i="18"/>
  <c r="I51" i="22"/>
  <c r="I50" i="22"/>
  <c r="I51" i="8"/>
  <c r="I50" i="8"/>
  <c r="I51" i="10"/>
  <c r="I50" i="10"/>
  <c r="I51" i="7"/>
  <c r="I50" i="7"/>
  <c r="I50" i="14"/>
  <c r="I51" i="14"/>
  <c r="I50" i="6"/>
  <c r="I51" i="6"/>
  <c r="I50" i="25"/>
  <c r="I51" i="25"/>
  <c r="I51" i="23"/>
  <c r="I50" i="23"/>
  <c r="I51" i="17"/>
  <c r="I50" i="17"/>
  <c r="I51" i="27"/>
  <c r="I50" i="27"/>
  <c r="I51" i="28"/>
  <c r="I50" i="28"/>
  <c r="I51" i="21"/>
  <c r="I50" i="21"/>
  <c r="I50" i="12"/>
  <c r="I51" i="12"/>
  <c r="I50" i="26"/>
  <c r="I51" i="26"/>
  <c r="I50" i="20"/>
  <c r="I51" i="20"/>
  <c r="J50" i="32"/>
  <c r="J51" i="32"/>
  <c r="I51" i="16"/>
  <c r="I50" i="16"/>
  <c r="I50" i="11"/>
  <c r="I51" i="11"/>
  <c r="I50" i="13"/>
  <c r="I51" i="13"/>
  <c r="I50" i="24"/>
  <c r="I51" i="24"/>
  <c r="I50" i="19"/>
  <c r="I51" i="19"/>
  <c r="X41" i="48"/>
  <c r="V41" i="48"/>
  <c r="J49" i="31"/>
  <c r="I50" i="37"/>
  <c r="I51" i="37"/>
  <c r="W11" i="48"/>
  <c r="Y11" i="48"/>
  <c r="U12" i="48"/>
  <c r="J50" i="31" l="1"/>
  <c r="J51" i="31"/>
  <c r="J49" i="30"/>
  <c r="W12" i="48"/>
  <c r="Y12" i="48"/>
  <c r="U13" i="48"/>
  <c r="AH41" i="48"/>
  <c r="J50" i="30" l="1"/>
  <c r="J51" i="30"/>
  <c r="J49" i="29"/>
  <c r="W13" i="48"/>
  <c r="Y13" i="48"/>
  <c r="U14" i="48"/>
  <c r="W14" i="48" l="1"/>
  <c r="Y14" i="48"/>
  <c r="U15" i="48"/>
  <c r="J50" i="29"/>
  <c r="J51" i="29"/>
  <c r="J49" i="27"/>
  <c r="J51" i="27" l="1"/>
  <c r="J50" i="27"/>
  <c r="J49" i="28"/>
  <c r="Y15" i="48"/>
  <c r="W15" i="48"/>
  <c r="U16" i="48"/>
  <c r="J50" i="28" l="1"/>
  <c r="J51" i="28"/>
  <c r="J49" i="26"/>
  <c r="W16" i="48"/>
  <c r="Y16" i="48"/>
  <c r="U17" i="48"/>
  <c r="J50" i="26" l="1"/>
  <c r="J51" i="26"/>
  <c r="J49" i="25"/>
  <c r="W17" i="48"/>
  <c r="Y17" i="48"/>
  <c r="U18" i="48"/>
  <c r="J51" i="25" l="1"/>
  <c r="J50" i="25"/>
  <c r="J49" i="24"/>
  <c r="W18" i="48"/>
  <c r="Y18" i="48"/>
  <c r="U19" i="48"/>
  <c r="J50" i="24" l="1"/>
  <c r="J51" i="24"/>
  <c r="J49" i="23"/>
  <c r="W19" i="48"/>
  <c r="Y19" i="48"/>
  <c r="U20" i="48"/>
  <c r="J51" i="23" l="1"/>
  <c r="J50" i="23"/>
  <c r="J49" i="21"/>
  <c r="Y20" i="48"/>
  <c r="W20" i="48"/>
  <c r="U21" i="48"/>
  <c r="J51" i="21" l="1"/>
  <c r="J50" i="21"/>
  <c r="J49" i="22"/>
  <c r="W21" i="48"/>
  <c r="Y21" i="48"/>
  <c r="U22" i="48"/>
  <c r="Y22" i="48" l="1"/>
  <c r="W22" i="48"/>
  <c r="U23" i="48"/>
  <c r="J50" i="22"/>
  <c r="J51" i="22"/>
  <c r="J49" i="20"/>
  <c r="W23" i="48" l="1"/>
  <c r="Y23" i="48"/>
  <c r="U24" i="48"/>
  <c r="J51" i="20"/>
  <c r="J50" i="20"/>
  <c r="J49" i="19"/>
  <c r="W24" i="48" l="1"/>
  <c r="Y24" i="48"/>
  <c r="U25" i="48"/>
  <c r="J50" i="19"/>
  <c r="J51" i="19"/>
  <c r="J49" i="18"/>
  <c r="Y25" i="48" l="1"/>
  <c r="W25" i="48"/>
  <c r="U26" i="48"/>
  <c r="J50" i="18"/>
  <c r="J51" i="18"/>
  <c r="J49" i="17"/>
  <c r="Y26" i="48" l="1"/>
  <c r="W26" i="48"/>
  <c r="U27" i="48"/>
  <c r="J51" i="17"/>
  <c r="J50" i="17"/>
  <c r="J49" i="16"/>
  <c r="J50" i="16" l="1"/>
  <c r="J51" i="16"/>
  <c r="J49" i="15"/>
  <c r="W27" i="48"/>
  <c r="Y27" i="48"/>
  <c r="U28" i="48"/>
  <c r="J51" i="15" l="1"/>
  <c r="J50" i="15"/>
  <c r="J49" i="14"/>
  <c r="W28" i="48"/>
  <c r="Y28" i="48"/>
  <c r="U29" i="48"/>
  <c r="W29" i="48" l="1"/>
  <c r="Y29" i="48"/>
  <c r="U30" i="48"/>
  <c r="J50" i="14"/>
  <c r="J51" i="14"/>
  <c r="J49" i="13"/>
  <c r="Y30" i="48" l="1"/>
  <c r="W30" i="48"/>
  <c r="U31" i="48"/>
  <c r="J50" i="13"/>
  <c r="J51" i="13"/>
  <c r="J49" i="12"/>
  <c r="Y31" i="48" l="1"/>
  <c r="W31" i="48"/>
  <c r="U32" i="48"/>
  <c r="J51" i="12"/>
  <c r="J50" i="12"/>
  <c r="J49" i="11"/>
  <c r="W32" i="48" l="1"/>
  <c r="Y32" i="48"/>
  <c r="U33" i="48"/>
  <c r="J50" i="11"/>
  <c r="J51" i="11"/>
  <c r="J49" i="10"/>
  <c r="J51" i="10" l="1"/>
  <c r="J50" i="10"/>
  <c r="J49" i="9"/>
  <c r="W33" i="48"/>
  <c r="Y33" i="48"/>
  <c r="U34" i="48"/>
  <c r="J50" i="9" l="1"/>
  <c r="J51" i="9"/>
  <c r="J49" i="8"/>
  <c r="W34" i="48"/>
  <c r="Y34" i="48"/>
  <c r="U35" i="48"/>
  <c r="Y35" i="48" l="1"/>
  <c r="W35" i="48"/>
  <c r="U36" i="48"/>
  <c r="J51" i="8"/>
  <c r="J50" i="8"/>
  <c r="J49" i="7"/>
  <c r="W36" i="48" l="1"/>
  <c r="Y36" i="48"/>
  <c r="U37" i="48"/>
  <c r="J50" i="7"/>
  <c r="J51" i="7"/>
  <c r="J49" i="6"/>
  <c r="Y37" i="48" l="1"/>
  <c r="W37" i="48"/>
  <c r="U38" i="48"/>
  <c r="J51" i="6"/>
  <c r="J50" i="6"/>
  <c r="J49" i="37"/>
  <c r="W38" i="48" l="1"/>
  <c r="U39" i="48"/>
  <c r="Y38" i="48"/>
  <c r="J51" i="37"/>
  <c r="J50" i="37"/>
  <c r="J49" i="4"/>
  <c r="J51" i="4" l="1"/>
  <c r="J50" i="4"/>
  <c r="J49" i="43"/>
  <c r="Y39" i="48"/>
  <c r="W39" i="48"/>
  <c r="J51" i="43" l="1"/>
  <c r="J50" i="43"/>
  <c r="AA37" i="45" l="1"/>
  <c r="AR38" i="48" l="1"/>
  <c r="AC37" i="45"/>
  <c r="AB37" i="45"/>
  <c r="AA40" i="45"/>
  <c r="AB40" i="45" l="1"/>
  <c r="AC40" i="45"/>
  <c r="AT38" i="48"/>
  <c r="AV38" i="48"/>
  <c r="AR41" i="48"/>
  <c r="AS38" i="48"/>
  <c r="AW38" i="48" l="1"/>
  <c r="AU38" i="48"/>
  <c r="AS39" i="48"/>
  <c r="AV41" i="48"/>
  <c r="AT41" i="48"/>
  <c r="AU39" i="48" l="1"/>
  <c r="AW39" i="48"/>
  <c r="EJ40" i="2"/>
  <c r="EI42" i="2"/>
  <c r="EJ42" i="2" s="1"/>
  <c r="FA40" i="2"/>
  <c r="FB40" i="2" s="1"/>
  <c r="EK40" i="2"/>
  <c r="EL40" i="2" s="1"/>
  <c r="EY42" i="2" l="1"/>
  <c r="EZ42" i="2" s="1"/>
  <c r="EZ40" i="2"/>
</calcChain>
</file>

<file path=xl/comments1.xml><?xml version="1.0" encoding="utf-8"?>
<comments xmlns="http://schemas.openxmlformats.org/spreadsheetml/2006/main">
  <authors>
    <author>win10</author>
  </authors>
  <commentList>
    <comment ref="G122" authorId="0" shapeId="0">
      <text>
        <r>
          <rPr>
            <b/>
            <sz val="9"/>
            <color indexed="81"/>
            <rFont val="Tahoma"/>
            <charset val="1"/>
          </rPr>
          <t>win10:</t>
        </r>
        <r>
          <rPr>
            <sz val="9"/>
            <color indexed="81"/>
            <rFont val="Tahoma"/>
            <charset val="1"/>
          </rPr>
          <t xml:space="preserve">
PGN Off
</t>
        </r>
      </text>
    </comment>
  </commentList>
</comments>
</file>

<file path=xl/sharedStrings.xml><?xml version="1.0" encoding="utf-8"?>
<sst xmlns="http://schemas.openxmlformats.org/spreadsheetml/2006/main" count="6164" uniqueCount="809">
  <si>
    <t xml:space="preserve"> </t>
  </si>
  <si>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</si>
  <si>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</si>
  <si>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</si>
  <si>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</si>
  <si>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</si>
  <si>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</si>
  <si>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</si>
  <si>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</si>
  <si>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</si>
  <si>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</si>
  <si>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</si>
  <si>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</si>
  <si>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</si>
  <si>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</si>
  <si>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</si>
  <si>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</si>
  <si>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</si>
  <si>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</si>
  <si>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</si>
  <si>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</si>
  <si>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</si>
  <si>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</si>
  <si>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</si>
  <si>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</si>
  <si>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</si>
  <si>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</si>
  <si>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</si>
  <si>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</si>
  <si>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</si>
  <si>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</si>
  <si>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</si>
  <si>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</si>
  <si>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</si>
  <si>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</si>
  <si>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</si>
  <si>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</si>
  <si>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</si>
  <si>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</si>
  <si>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</si>
  <si>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</si>
  <si>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</si>
  <si>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</si>
  <si>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</si>
  <si>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</si>
  <si>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</si>
  <si>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</si>
  <si>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</si>
  <si>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</si>
  <si>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</si>
  <si>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</si>
  <si>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</si>
  <si>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</si>
  <si>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</si>
  <si>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</si>
  <si>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</si>
  <si>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</si>
  <si>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</si>
  <si>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</si>
  <si>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</si>
  <si>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</si>
  <si>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</si>
  <si>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</si>
  <si>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</si>
  <si>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</si>
  <si>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</si>
  <si>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</si>
  <si>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</si>
  <si>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</si>
  <si>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</si>
  <si>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</si>
  <si>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</si>
  <si>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</si>
  <si>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</si>
  <si>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</si>
  <si>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</si>
  <si>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</si>
  <si>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</si>
  <si>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</si>
  <si>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</si>
  <si>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</si>
  <si>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</si>
  <si>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</si>
  <si>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</si>
  <si>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</si>
  <si>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</si>
  <si>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</si>
  <si>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</si>
  <si>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</si>
  <si>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</si>
  <si>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</si>
  <si>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</si>
  <si>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</si>
  <si>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</si>
  <si>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</si>
  <si>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</si>
  <si>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</si>
  <si>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</si>
  <si>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</si>
  <si>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</si>
  <si>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</si>
  <si>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</si>
  <si>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</si>
  <si>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</si>
  <si>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</si>
  <si>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</si>
  <si>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</si>
  <si>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</si>
  <si>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</si>
  <si>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</si>
  <si>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</si>
  <si>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</si>
  <si>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</si>
  <si>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</si>
  <si>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</si>
  <si>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</si>
  <si>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</si>
  <si>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</si>
  <si>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</si>
  <si>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</si>
  <si>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</si>
  <si>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</si>
  <si>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</si>
  <si>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</si>
  <si>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</si>
  <si>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</si>
  <si>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</si>
  <si>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</si>
  <si>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</si>
  <si>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</si>
  <si>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</si>
  <si>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</si>
  <si>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</si>
  <si>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</si>
  <si>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</si>
  <si>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</si>
  <si>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</si>
  <si>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</si>
  <si>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</si>
  <si>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</si>
  <si>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</si>
  <si>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</si>
  <si>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</si>
  <si>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</si>
  <si>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</si>
  <si>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</si>
  <si>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</si>
  <si>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</si>
  <si>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</si>
  <si>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</si>
  <si>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</si>
  <si>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</si>
  <si>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</si>
  <si>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</si>
  <si>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</si>
  <si>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</si>
  <si>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</si>
  <si>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</si>
  <si>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</si>
  <si>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</si>
  <si>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</si>
  <si>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</si>
  <si>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</si>
  <si>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</si>
  <si>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</si>
  <si>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</si>
  <si>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</si>
  <si>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</si>
  <si>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</si>
  <si>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</si>
  <si>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</si>
  <si>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</si>
  <si>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</si>
  <si>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</si>
  <si>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</si>
  <si>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</si>
  <si>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</si>
  <si>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</si>
  <si>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</si>
  <si>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</si>
  <si>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</si>
  <si>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</si>
  <si>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</si>
  <si>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</si>
  <si>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</si>
  <si>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</si>
  <si>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</si>
  <si>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</si>
  <si>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</si>
  <si>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</si>
  <si>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</si>
  <si>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</si>
  <si>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</si>
  <si>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</si>
  <si>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</si>
  <si>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</si>
  <si>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</si>
  <si>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</si>
  <si>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</si>
  <si>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</si>
  <si>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</si>
  <si>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</si>
  <si>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</si>
  <si>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</si>
  <si>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</si>
  <si>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</si>
  <si>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</si>
  <si>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</si>
  <si>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</si>
  <si>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</si>
  <si>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</si>
  <si>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</si>
  <si>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</si>
  <si>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</si>
  <si>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</si>
  <si>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</si>
  <si>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</si>
  <si>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</si>
  <si>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</si>
  <si>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</si>
  <si>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</si>
  <si>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</si>
  <si>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</si>
  <si>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</si>
  <si>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</si>
  <si>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</si>
  <si>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</si>
  <si>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</si>
  <si>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</si>
  <si>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</si>
  <si>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</si>
  <si>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</si>
  <si>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</si>
  <si>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</si>
  <si>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</si>
  <si>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</si>
  <si>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</si>
  <si>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</si>
  <si>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</si>
  <si>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</si>
  <si>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</si>
  <si>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</si>
  <si>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</si>
  <si>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</si>
  <si>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</si>
  <si>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</si>
  <si>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</si>
  <si>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</si>
  <si>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</si>
  <si>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</si>
  <si>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</si>
  <si>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</si>
  <si>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</si>
  <si>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</si>
  <si>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</si>
  <si>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</si>
  <si>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</si>
  <si>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</si>
  <si>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</si>
  <si>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</si>
  <si>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</si>
  <si>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</si>
  <si>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</si>
  <si>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</si>
  <si>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</si>
  <si>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</si>
  <si>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</si>
  <si>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</si>
  <si>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</si>
  <si>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</si>
  <si>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</si>
  <si>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</si>
  <si>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</si>
  <si>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</si>
  <si>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</si>
  <si>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</si>
  <si>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</si>
  <si>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</si>
  <si>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</si>
  <si>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</si>
  <si>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</si>
  <si>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</si>
  <si>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</si>
  <si>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</si>
  <si>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</si>
  <si>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</si>
  <si>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</si>
  <si>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SWL</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</si>
  <si>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</si>
  <si>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</si>
  <si>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</si>
  <si>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</si>
  <si>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</si>
  <si>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</si>
  <si>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</si>
  <si>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</si>
  <si>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</si>
  <si>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</si>
  <si>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</si>
  <si>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</si>
  <si>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</si>
  <si>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</si>
  <si>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</si>
  <si>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</si>
  <si>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</si>
  <si>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</si>
  <si>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</si>
  <si>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</si>
  <si>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</si>
  <si>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</si>
  <si>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</si>
  <si>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</si>
  <si>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</si>
  <si>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</si>
  <si>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</si>
  <si>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</si>
  <si>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</si>
  <si>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</si>
  <si>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</si>
  <si>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</si>
  <si>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</si>
  <si>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</si>
  <si>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</si>
  <si>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</si>
  <si>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</si>
  <si>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</si>
  <si>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</si>
  <si>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</si>
  <si>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</si>
  <si>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</si>
  <si>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</si>
  <si>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</si>
  <si>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</si>
  <si>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</si>
  <si>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</si>
  <si>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</si>
  <si>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</si>
  <si>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</si>
  <si>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</si>
  <si>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</si>
  <si>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</si>
  <si>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</si>
  <si>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</si>
  <si>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</si>
  <si>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</si>
  <si>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</si>
  <si>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</si>
  <si>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</si>
  <si>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</si>
  <si>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</si>
  <si>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</si>
  <si>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</si>
  <si>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</si>
  <si>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</si>
  <si>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</si>
  <si>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</si>
  <si>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</si>
  <si>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</si>
  <si>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</si>
  <si>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</si>
  <si>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</si>
  <si>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</si>
  <si>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</si>
  <si>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</si>
  <si>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</si>
  <si>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</si>
  <si>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</si>
  <si>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</si>
  <si>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</si>
  <si>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</si>
  <si>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</si>
  <si>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</si>
  <si>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</si>
  <si>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</si>
  <si>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</si>
  <si>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</si>
  <si>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</si>
  <si>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</si>
  <si>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</si>
  <si>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</si>
  <si>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</si>
  <si>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</si>
  <si>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</si>
  <si>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</si>
  <si>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</si>
  <si>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</si>
  <si>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</si>
  <si>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</si>
  <si>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</si>
  <si>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</si>
  <si>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</si>
  <si>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</si>
  <si>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HOWE/HSPP</t>
  </si>
  <si>
    <t>NBKP Crestbrook</t>
  </si>
  <si>
    <t>Chest Akhir</t>
  </si>
  <si>
    <t>Putra Radian RAP</t>
  </si>
  <si>
    <t>0</t>
  </si>
  <si>
    <t>Abdul Syuhud</t>
  </si>
  <si>
    <t>- Change Blade (3x)</t>
  </si>
  <si>
    <t>- Change Spool (8x)</t>
  </si>
  <si>
    <t>- Sheet Breaks (3x)</t>
  </si>
  <si>
    <t>NBKP Catalyst/Crafton</t>
  </si>
  <si>
    <t>LBKP TEL PELITA/TEL PRIME</t>
  </si>
  <si>
    <t>LBKP ASTRA CELL</t>
  </si>
  <si>
    <t>SS</t>
  </si>
  <si>
    <t>PHP PM</t>
  </si>
  <si>
    <t xml:space="preserve">PM17 Efficiency Running Report </t>
  </si>
  <si>
    <t>Steam, &amp; gangguan sinergy (X)</t>
  </si>
  <si>
    <t>Freq, Trip PLN (X)</t>
  </si>
  <si>
    <t>Cleaning Holes (X)</t>
  </si>
  <si>
    <t>Per hari</t>
  </si>
  <si>
    <t>.10.25</t>
  </si>
  <si>
    <t>OKTOBER</t>
  </si>
  <si>
    <t>RC HW</t>
  </si>
  <si>
    <t>- Produksi stop
-cleaning area samping pm 16
-potong dan lipat felt
-cleaning frame mesin</t>
  </si>
  <si>
    <t>- CLEANING CHEST DAN GANTI FELT</t>
  </si>
  <si>
    <t>- cleaning area pm
- boil out menggunakan hidrogen peroksida (07:00 ~ 08:50 / Silo -&gt; headbox) 
- boil out menggunakan soda ( 09:00 ~ 11:45 / Lbkp dump, Lbkp storage, Utm, broke dump, broke storage, mix chest, machine chest, silo) 
- flushing menggunakan fresh water ( pulper -&gt; silo ) 
- bantu bersihkan hood pm 16
- kacer wire
- drain ww, cw, silo &amp; couch pit
- bilas endapan sedimen couch pit</t>
  </si>
  <si>
    <t>17</t>
  </si>
  <si>
    <t>- Sheet Breaks (0x)</t>
  </si>
  <si>
    <t>- Change Blade (0x)</t>
  </si>
  <si>
    <t>- Change Spool (0x)</t>
  </si>
  <si>
    <t>STOP</t>
  </si>
  <si>
    <t>- STOP, No Order</t>
  </si>
  <si>
    <t>TW 17 RC HW</t>
  </si>
  <si>
    <t>TW 17</t>
  </si>
  <si>
    <t>256,5*1</t>
  </si>
  <si>
    <t>- bongkar holder Scrapper popereel (cleaning bagian dalam) + ganti pisau karbon Scrapper
- habiskan sisa - sisa kertas Hw &amp; cleaning spool
- bersihkan stabilizer &amp; banana dari sticky yang mengeras
- kacer frame popereel &amp; frame stabilizer
- cleaning holder blade 1, 2 &amp; 3
- kacer Spr
- cleaning endapan sedimen Cw &amp; Ww</t>
  </si>
  <si>
    <t>- Cleaning sisa endapan di WW tank.
- Cleaning CW tank.
- Karcer roll felt dari lem.
- Karcer frame area roll felt.
- Karcer Talang area uhle box.</t>
  </si>
  <si>
    <t>- Cleaning WW tank.
- Cleaning Nbkp Dump.
- Cleaning Mixing chest.
- Cleaning Krofta.</t>
  </si>
  <si>
    <t>- cleaning atap hood
- cleaning Nbkp storage chest
- cleaning Machine chest
- ⁠cleaning Frame PM area felt
- bersihkan ruang makan (buang box felt , wire &amp; refiner plate bekas . sisihkan peralatan yang masih bagus)</t>
  </si>
  <si>
    <t>- Bantu proses PM 16
- Drain dan cleaning UTM
- Flushing pulper lama
- Drain dan bilas LBKP dump.
- Drain dan bilas LBKP storage
- Drain dan bilas Broke storage.</t>
  </si>
  <si>
    <t>Shift 2
4 - 10 - 2025
Kashift : Nyoman M, Putra R
Awal shift PM 17 Stop Produksi.
Kegiatan :
- Bantu proses PM 16
- Flushing shower coating release
- Flushing Silo ke headbox
- Ganti nozzle coating release</t>
  </si>
  <si>
    <t>Awal shift PM 17 Stop Produksi.
Kegiatan :
- Bantu proses PM 16
- Cleaning Krofta 
- Cleaning area ds  Frame atas &amp; hood
- Buka &amp; Cleaning Aerator
- Buka &amp; Cleaning Tickling
- Buka Breast Roll</t>
  </si>
  <si>
    <t>Awal shift PM 17 Stop Produksi.
Kegiatan :
- Bantu proses PM 16
- Cleaning headbox
- Drain dan bilas silo
- Flushing pulper
- Seset reject roll</t>
  </si>
  <si>
    <t>Awal shift PM 17 Stop Produksi.
Kegiatan :
- Bantu proses PM 16
- Cleaning watertray
- Cleaning broke dump
- Cleaning LBKP storage</t>
  </si>
  <si>
    <t>Pm 17 
Shift 1
1. Cleaning frame wire arah ke water tray
2. Cleaning water tray di katcher belum selesai progres 50%
3. Lepas core 12 inch yg rusak dari spool core
4. Bantu proses pm 16</t>
  </si>
  <si>
    <t>- cleaning water tray
- bantu proses produksi pm 16
- flushing pulper -&gt; dump chest -&gt; mixing chest -&gt; machine chest -&gt; silo
- bersihkan kerak / karat bawah yankee
Downtime : 480 mnt</t>
  </si>
  <si>
    <t>- cleaning area utara dan gerbang pm 17
- tutup flank Aerator krofta dan  transfer air Ww ke cw
- cleaning head box lanjutan selesai
- Lanjutkan  cleaning water tray dalam proses bersih 20%
- bilas frame mesin hasil kerokan headbox</t>
  </si>
  <si>
    <t>- Bantu proses PM 16
- Cleaning water tray(dengan gerinda amplas).
- Cleaning filter fine screen.</t>
  </si>
  <si>
    <t>- amplas kerak water tray
- cleaning fine screen + tutup
- cek shower felt (belum selesai) 
- bantu proses produksi pm 16</t>
  </si>
  <si>
    <t>- cleaning tickling refiner &amp; tutup kembali
- kacer spr
- cek &amp; cleaning shower felt
- bantu proses produksi pm 16</t>
  </si>
  <si>
    <t>- Karcer frame, cover SPR
- Tutup semua drain chest
- Isi silo dgn air + soda 200 l
- Cleaning dan flushing shower felt
- Karcer frame felt sisi dalam. 
- Flushing silo -&gt; headbox
- Flushing air lewat LBKP line -&gt; headbox
- Karcer cover wire</t>
  </si>
  <si>
    <t>- pasang felt (proses 92%) -&gt; tunggu pengecekan permukaan nip spr baru
- cleaning HE
- ⁠cleaning silo
- ⁠Tutup manhole watertray
- buka fine screen (bocor) , cek seal &amp; tutup kembali
- bersihkan sisa2 proyek di couch pit
- proses heating up yankee
- persiapkan bahan baku / isi chest
- bantu proses produksi pm 16</t>
  </si>
  <si>
    <t>EBKP CAKRAWALA</t>
  </si>
  <si>
    <t>TOTAL EBKP</t>
  </si>
  <si>
    <t>No Order</t>
  </si>
  <si>
    <t>1. Toilet 14 Gsm (CvT) Deckle 264 cm
speed pm
Awal : 940 mpm / -23 %</t>
  </si>
  <si>
    <t>00:09 change blade
01:00 naik speed 980 mpm
03:10 naik speed 1000 mpm
03:30 sheet breaks, change blade
06:03 change blade, change grade T14,5 Gsm
- naik speed 1030 mpm</t>
  </si>
  <si>
    <t>1. Toilet 14 Gsm (CvT) Deckle 264 cm
speed pm
Awal : 920 mpm / -23 %</t>
  </si>
  <si>
    <t>16:06 pm 17 stop, kertas hole -&gt; cek wire
- wire ada bekas lipatan, coba treatment pakai setrika
19:16 pm 17 on reel speed 900 mpm, kertas sudah aman
21:05 naik speed 940 mpm
21:58 change blade</t>
  </si>
  <si>
    <t>1. Toilet 14 ( CVT )
- Deckle : 2640 mm
Speed Awal : -
Speed Akhir : 900 mpm / -22 %</t>
  </si>
  <si>
    <t xml:space="preserve">- Awal shift nip SPR
- Lanjut pasang felt
09.30 Pre compect felt
10.40 MED cek vibrasi motor  combution hood
11.20 Selesai cek motor, Persiapan start up. 
12.25 On reel 900 mpm, produksi T14
12.45 Jr SU, ada dirt ( Seset) 
- Drain air bertahap
13.43 Jr 01 dirt masih ada
13.12 Nyelilit DS ganti blade
13.43 Jr 03 dirt mulai berkurang, gulung unwid 1
14.00 Tisu putus, indikasi kotoran
- Cleaning sambung
14.30 Jr 04 Acc untuk unwind 2 . </t>
  </si>
  <si>
    <t>T 14</t>
  </si>
  <si>
    <t>T 14,5</t>
  </si>
  <si>
    <t>900/675</t>
  </si>
  <si>
    <t>926,483/713,33</t>
  </si>
  <si>
    <t>983,146/757,022</t>
  </si>
  <si>
    <t>951,45/729,58</t>
  </si>
  <si>
    <t>- Change Spool (4x)</t>
  </si>
  <si>
    <t>- Change Spool (5x)</t>
  </si>
  <si>
    <t>Toilet</t>
  </si>
  <si>
    <t>14/14,5</t>
  </si>
  <si>
    <t>VP OW</t>
  </si>
  <si>
    <t>- 16:06 pm 17 stop, kertas hole -&gt; cek wire</t>
  </si>
  <si>
    <t>- Change Blade (9x)</t>
  </si>
  <si>
    <t>- Change Spool (17x)</t>
  </si>
  <si>
    <t>T 14 VP OW</t>
  </si>
  <si>
    <t xml:space="preserve">T 14 </t>
  </si>
  <si>
    <t>132*2</t>
  </si>
  <si>
    <t>CHEMZYME CL</t>
  </si>
  <si>
    <t>SODIUM HYPOCHLORID</t>
  </si>
  <si>
    <t>T 14,5 VP OW</t>
  </si>
  <si>
    <t>Awal shift PM17 :
1.T14.5(Global Link)
- Deckle :2.565cm
Speed Awal :1150mpm /22%
Speed Akhir : 1185mpm /22%</t>
  </si>
  <si>
    <t>-23:06 Ganti Blade &amp; Cleaning hood
-03:30 Ganti Blade &amp; Cleaning</t>
  </si>
  <si>
    <t>1.T14.5(Global Link)
- Deckle :2.565 cm
Speed Awal : 1250mpm /22%</t>
  </si>
  <si>
    <t xml:space="preserve">-15:35 Ganti Blade &amp; Cleaning hood
-17:30 Ganti Blade &amp; Cleaning
-20:27 Ganti Blade &amp; Cleaning
-20:30 PM stop Trip proximity felt ds ,Alrm actual felt tidak geser (eid perbaikan) 
-21:30  PM 17 Onreel </t>
  </si>
  <si>
    <t>Pm
07:24 Naik Speed 1040 mpm
08:14 Change Blade &amp; cleaning 
08:56 Naik Speed 1100 mpm
09:20 Change Blade &amp; Cleaning 
10:21 Change Blade &amp; Cleaning
11:53 Change Blade &amp; cleaning 
13:40 Change Blade &amp; Cleaning 
14.44 Naik Speed 1200 mpm</t>
  </si>
  <si>
    <t>1. Toilet 14.5 Gsm (Global Link )
- Deckle 2.565 cm
speed pm
Awal : 1030 mpm / - 21%</t>
  </si>
  <si>
    <t>1088,33/859,783</t>
  </si>
  <si>
    <t>1167,5/910,65</t>
  </si>
  <si>
    <t>1243,57/969,99</t>
  </si>
  <si>
    <t>1163,12/911,02</t>
  </si>
  <si>
    <t>- Change Blade (6x)</t>
  </si>
  <si>
    <t>- Change Spool (9x)</t>
  </si>
  <si>
    <t>- Change Spool (7x)</t>
  </si>
  <si>
    <t>- Change Blade (7x)</t>
  </si>
  <si>
    <t>14,5</t>
  </si>
  <si>
    <t xml:space="preserve">-20:30 PM stop Trip proximity felt ds ,Alrm actual felt tidak geser (eid perbaikan) </t>
  </si>
  <si>
    <t>- Change Blade (16x)</t>
  </si>
  <si>
    <t>- Change Spool (23x)</t>
  </si>
  <si>
    <t>Awal shift PM17 :
1. Toilet 14,5 Gsm (Global Link) Deckle 2565 mm
speed pm
Awal : 1250 mpm / -22 %</t>
  </si>
  <si>
    <t>15.24: Sheetbreak, Seset PM dikarenakan join berdekatan 
18.34: Sheetbreak, change blade, Steam Up 7.6 -&gt; 7.7 Bar
22.07: New Blade, Susah untuk disambung (Speed down 1250 -&gt; 1200, crepe 22% -&gt; 23%)
22.32: Sheetbreak, 22.33 Kembali di sambung</t>
  </si>
  <si>
    <t>Awal shift PM17 :
1.T1. oilet 14,5 Gsm (Global Link) Deckle 2565 mm
speed pm
Awal : 1200 mpm / -22 %</t>
  </si>
  <si>
    <t>07:00 change blade, cleaning
- ketas hole, turun speed 1150 mpm untuk kacer wire + xelyne
08:08 change blade
09:18 pm 17 stop, cleaning wire &amp; felt
11:48 pm 17 on reel, kertas sudah bagus
12:04 sheet breaks, change blade
13:55 sheet breaks, pompa MaP masukangin -&gt; kertas putus2
13:57 sisi Ds gripis, change blade</t>
  </si>
  <si>
    <t>Awal shift PM17 :
1.T14.5(Global Link)
- Deckle :2.565cm
Speed Awal :1220mpm /22%</t>
  </si>
  <si>
    <t>-23:20 Ganti Blade &amp; Cleaning hood
-23.43 speed turun 1200 kertas lembab susah sambung
-03:27 Ganti Blade &amp; Cleaning
-05:03 Ganti Blade &amp; Cleaning
Note: 
* Loader Arm spool terlalu lambat saat UP (pengambilan spool di atas parkiran spool).
* 04:30 perbaikan krofta sudah slesai dan sudah bisa di gunakan seperti semula(normal).</t>
  </si>
  <si>
    <t>Awal shift PM17 :
1.T14.5(Global Link)
- Deckle :2.565 cm
Speed Awal : 1220mpm /22%</t>
  </si>
  <si>
    <t>-15:23 Ganti Blade &amp; Cleaning hood
-16:17 Ganti Blade &amp; Cleaning
-17:56 Ganti Blade &amp; Cleaning
-19:07 Ganti Blade &amp; Cleaning
-20:33 Ganti Blade &amp; Cleaning 
-Note:
•Loader Arm untuk UP terlalu lambat
•Krofta trouble ,tidak bisa muter scraper nya
(+- kisaran jam 21:00 mulai macet scraper nya, MED mulai perbaikan).</t>
  </si>
  <si>
    <t>Awal shift PM17 :
1. Toilet 14.5 ( Global Link )
- Deckle : 2565 mm
Speed Awal : 1185 mpm / 23 %</t>
  </si>
  <si>
    <t>07.05 Ganti blade , cleaning
08.30 Speed naik 1200 mpm
09.45 Ganti blade, cleaning
09.50 Speed nakk 1210 mpm
11.42 Ganti blade, Cleaning
11.45 Speed naik 1220 mpm
13.50 Ganti blade, Cleaning
14.30 Tisu putus, Cleaning -&gt; sambung</t>
  </si>
  <si>
    <t>Awal shift PM17 :
1. Toilet 14,5 Gsm (Global Link) Deckle 2565 mm
speed pm
Awal : 1225 mpm / -22 %</t>
  </si>
  <si>
    <t>23.30: PM Stabil, Speed up 1200 -&gt; 1225 mpm, Crepe 23% -&gt; 22%
01.45: New Blade, sheetbreak selama 5 menit untuk change blade
05.15: New Blade, Cleaning All PM (Hpp felt &amp; wire, press roll, shower coating, etc) Speed up 1225 -&gt; 1235 mpm
05.40: indikasi Hole di area DS berukuran 1cm, Jumbo roll nomer 75 (2165 kg) (Pending)
Coba Karcher + xylene wire bagian sisi DS tidak ada perubahan 
06.17: PM STOP, karcher wire di area DS, 107 cm dari DS -&gt; Tengah. Jumbo roll nomer 76 (1860 kg) (Pending)
06.40: PM START, tisu on reel</t>
  </si>
  <si>
    <t>1215,59/944,14</t>
  </si>
  <si>
    <t>1220/951,6</t>
  </si>
  <si>
    <t>1206,77/929,21</t>
  </si>
  <si>
    <t>- Change Blade (4x)</t>
  </si>
  <si>
    <t>- Sheet Breaks (5x)</t>
  </si>
  <si>
    <t>1219,29/946,41</t>
  </si>
  <si>
    <t>1174,55/916,15</t>
  </si>
  <si>
    <t>1244,48/969,37</t>
  </si>
  <si>
    <t>1225,15/944,16</t>
  </si>
  <si>
    <t>- Change Spool (6x)</t>
  </si>
  <si>
    <t>- Change Blade (12x)</t>
  </si>
  <si>
    <t>- Change Spool (24x)</t>
  </si>
  <si>
    <t>- Change Spool (20x)</t>
  </si>
  <si>
    <t>- 09:18 pm 17 stop, cleaning wire &amp; felt</t>
  </si>
  <si>
    <t>Hole, cleaning</t>
  </si>
  <si>
    <t>Perbaikan alarm felt</t>
  </si>
  <si>
    <t>Awal shift PM17 :
1. Toilet 14,5 Gsm (Global Link) Deckle 2565 mm
speed pm
Awal : 1200 mpm / -22 %</t>
  </si>
  <si>
    <t>23:00 PM Stabil, Speed 1200mpm, Steam 8.0 Bar
00:27 Indikasi Hole di bagian Center (Jumbo roll 91), HPP Felt jalan 8 bar, Speed Down 1200 -&gt; 1180mpm
00:50 Indikasi Hole hilang (jumbo roll 92), Sheetbreak, New blade &amp; HPP FELT OFF
01:21 Sheetbreak, Speed Up 1180 -&gt; 1190mpm, Crepe 22% -&gt; 23%, Steam 8.0 -&gt; 7.9 Bar
02:30 Pulper lama diganti di Pulper baru, dikarenakan dari stock terdapat masalah di conveyor
03:20 Thickness naik, Crepe 23% -&gt; 22%
04:10 Pulper lama sudah di perbaiki dan bisa digunakan lagi 
04:30 Indikasi marking, Change Blade, Drain Shower coating release. Pukul 04:38 kertas membaik, Speed up 1190 -&gt; 1250mpm
04:45 pulper lama rusak lagi dibagian conveyor dan sedang di perbaiki oleh maintenance</t>
  </si>
  <si>
    <t>Awal shift PM17 :
1. Toilet 14,5 Gsm (Global Link) Deckle 2565 mm
speed pm
Awal : 1215 mpm / -22 %</t>
  </si>
  <si>
    <t>07:00 Jumbo SU turun, hole kertas sudah hilang
- speed  1100 mpm / -22%
09:18 change blade, cleaning, tail cutter buntu
- naik speed 1170 mpm (kertas masih aman) 
11:40 sheet breaks, sisi Ds gripis, change blade
11:45 naik speed 1200 mpm (bagian Ct kertas temperatur rendah) 
14:24 sheet breaks, sisi Fs gripis, change blade</t>
  </si>
  <si>
    <t>Awal shift PM17 :
1. Toilet 14,5 Gsm (Global Link) Deckle 2565 mm
speed pm
Awal : 1100 mpm / -22 %</t>
  </si>
  <si>
    <t>15.53: Coba naik speed 1230mpm
16.10: Jumbo turun, Hand feel kertas kasar indikasi temperature rendah
16.26: Kertas brosot, change blade, coba adjust sudut SPR dan Shoe Press Load
16:05 -&gt; 17:27: PM Tidak lancar, setting temperatur yankee dan hood, turun speed 1215mpm, cek dosing coating release di lapangan serta koreksi selisih penggunaan
19:21: Speed down 1215 -&gt; 1200mpm, Prepare blade sudut
19:42 -&gt; 19:52: Sheetbreak, New blade sudut dan setting slotter
20:24: Sheetbreak, Steam down 8.0 -&gt; 7.9 bar
20:43: shopping, Steam Up 7.9 -&gt; 8.0
20:44: kertas mulai halus saat dilakukan handfeel
21:38: Sheetbreak, New Blade 
22:25: Change Blade, dikarenakan sheetbreak, serta setting slotter</t>
  </si>
  <si>
    <t>1162,06/906,409</t>
  </si>
  <si>
    <t>1211,09/944,65</t>
  </si>
  <si>
    <t>1207,31/938,75</t>
  </si>
  <si>
    <t>1193,49/929,94</t>
  </si>
  <si>
    <t>- Change Spool (10x)</t>
  </si>
  <si>
    <t>- Change Blade (2x)</t>
  </si>
  <si>
    <t>Awal shift PM17 :
1. Toilet 13.5 ( Synergy Pasific) 
- Deckle : 2635 mm
Speed Awal : 1270 mpm / -20 %</t>
  </si>
  <si>
    <t>Awal shift PM17 :
1. 1. Toilet 14.5 ( Global Link )
- Deckle : 2565 mm
2. Toilet 13.5 ( Synergy Pasific) 
- Deckle : 2635 mm
Speed Awal : 1220 mpm / -22%</t>
  </si>
  <si>
    <t>08:03 sheet breaks, osilasi shower coating macet/mati, coba naikkan load &amp; berikan pelumas
09:48 sheet breaks, nyelilit Ds, change blade
12:02 change blade
13:10 gripis Ds, change blade</t>
  </si>
  <si>
    <t>15.24 Kertas lolos popereel, ganti blade, cleaning. 
16.00 Speed naik 1210 mpm
17.16 Nyelilit DS, Ganti blade
17.20 Speed nakk 1220 mpm
19.25 Ganti blade, Cleaning
20.35 Tisu nyelilit ds, ganti blade
- tisu mudah putus indikasi stabilizer kotor - &gt; amplas stabilizer. 
20.55 Tisu sudah stabil
22.05 Change grade T13.5 speed 1270 mpm
- Ganti blade, cleaning</t>
  </si>
  <si>
    <t>T 13,5</t>
  </si>
  <si>
    <t>00.10 Ganti blade, Cleaning
00.53 Tisu putus, cleaning stabilizer, sulit sambung, tisu nyangkut di  blade popereel. 
01.12 Ganti blade, sambung
01.55 Tisu putus dari sisi fs, ganti blade. 
03.10 Tisu putus, ganti blade
- Speed naik 1280 mpm
04.45 Ganti blade, cleaning
05.45 Speed naik 1290 mpm</t>
  </si>
  <si>
    <t>1276,35/1021,08</t>
  </si>
  <si>
    <t>1224,06/954,77</t>
  </si>
  <si>
    <t>1200/936</t>
  </si>
  <si>
    <t>1233,47/970,62</t>
  </si>
  <si>
    <t>- Change Blade (5x)</t>
  </si>
  <si>
    <t>14,5/13,5</t>
  </si>
  <si>
    <t>T 13,5 VP OW</t>
  </si>
  <si>
    <t>263,5*1</t>
  </si>
  <si>
    <t>Awal shift PM17 :
1. Toilet 13.5 ( Riverpro) 
- Deckle : 2520 mm
2. Toilet 12.5 ( Morcon) 
- Deckle : 2580 mm
Speed Awal : 1280 mpm / -23 %</t>
  </si>
  <si>
    <t>23.41 Tisu putus, Ganti blade, Cleaning
00.00 Tisu putus lagi, tisu sulit sambung
- Jr 35 Mdt drop, naikkan tickling. 
01.07 Tisu putus, trim sisi DS nempel tisu
01.28 Jr 36 Mdt sudah 400an 
02.15 Tisu putus, ganti blade, cleaning
03.20 Change grade T12.5 Speed 1350 mpm
- Ganti blade, cleaning
06.15 Ganti blade, cleaning</t>
  </si>
  <si>
    <t>Awal shift PM17 :
1. Toilet 13.5 ( Riverpro) 
- Deckle : 2520 mm
Speed Awal : 1280 mpm / -23 %</t>
  </si>
  <si>
    <t>17.23 Ganti blade, Cleaning
19.10 Tisu putus, Cleaning -&gt; sambung
19.42 Ganti, blade
22.55 Putus, Ganti blade, Cleaning</t>
  </si>
  <si>
    <t>Awal shift PM17 :
1. Toilet 13,5 Gsm (Global Link) Deckle 2565 mm
2. Toilet 16,5 Gsm (Techson) Deckle 259 cm
speed pm
Awal : 1290 mpm / -20 %</t>
  </si>
  <si>
    <t>07:16 change blade, cleaning
09:46 change blade, cleaning
10:00 change grade T16,5 Gsm
-&gt; speed 1080 mpm/ -16%
10:40 sheet breaks, temperature kertas sisi Ds ke Ct rendah. Kertas putus2
11:52 sheet breaks, setting temperature, coba nyalakan Hpp felt
13:33 sheet breaks, kertas lembab, matikan Hpp felt, turun speed 1020 mpm / -16%
15:00 change grade T13,5 Gsm speed 1280 mpm</t>
  </si>
  <si>
    <t>T 16,5</t>
  </si>
  <si>
    <t>T 12,5</t>
  </si>
  <si>
    <t>1312,08/1010,30</t>
  </si>
  <si>
    <t>1282,41/987,59</t>
  </si>
  <si>
    <t>1158,75/954</t>
  </si>
  <si>
    <t>13,5/16,5/12,5</t>
  </si>
  <si>
    <t>1251,08/983,96</t>
  </si>
  <si>
    <t>- Change Blade (14x)</t>
  </si>
  <si>
    <t>TOTAL LBKP</t>
  </si>
  <si>
    <t>126*2</t>
  </si>
  <si>
    <t>259*1</t>
  </si>
  <si>
    <t>258*1</t>
  </si>
  <si>
    <t>T 16,5 VP OW</t>
  </si>
  <si>
    <t>Awal shift PM17 :
1. Towel 18( Purchasing)
- Deckle : 257 cm
Speed Awal : 1040 mpm / -23 %</t>
  </si>
  <si>
    <t>02.15 Ganti blade, Cleaning
02.50 control valve air utm tidak bisa nutup, EID perbaikan. 
04.10 control valve air utm sudah normal</t>
  </si>
  <si>
    <t>Awal shift PM17 :
1.T12.5(Morcon)
- Deckle :2.58 cm
2.T16.5(Techson)
-Deckle : 2.59cm
3.TW18(Purchasing)
- Deckle : 2.57cm
Speed Awal : 1350mpm /22%</t>
  </si>
  <si>
    <t>-09:10 Ganti Blade &amp; Cleaning hood
-10:10 Ganti Blade &amp; Cleaning
-10:40 Change Grade dari T12.5 ke T16.5
-12:40 Change Grade dari T16.5 ke TW18</t>
  </si>
  <si>
    <t>TW 18</t>
  </si>
  <si>
    <t>1042,17/802,47</t>
  </si>
  <si>
    <t>1042,92/803,07</t>
  </si>
  <si>
    <t>1146,25/887,18</t>
  </si>
  <si>
    <t>- Change Blade (1x)</t>
  </si>
  <si>
    <t>Toilet/Towel</t>
  </si>
  <si>
    <t>12,5/16,5/18</t>
  </si>
  <si>
    <t>Towel</t>
  </si>
  <si>
    <t xml:space="preserve">-17. 03 press oli tiba" turun turbo vacum trip, PM stock off. </t>
  </si>
  <si>
    <t>SUZANO</t>
  </si>
  <si>
    <t xml:space="preserve">- Med pindah pompa oli lubrication turbo vaccum
-17. 03 press oli tiba" turun turbo vacum trip, PM stock off. 
- 17. 20 onrell. </t>
  </si>
  <si>
    <t>257*1</t>
  </si>
  <si>
    <t>T 12,5 VP OW</t>
  </si>
  <si>
    <t>TW 18 RC HW</t>
  </si>
  <si>
    <t>TW 18 VP OW</t>
  </si>
  <si>
    <t>1184,58/931,442</t>
  </si>
  <si>
    <t>Awal shift PM17 :
1. Towel 18 (Purchasing)
- Deckle : 257 cm
Speed Awal : 1020 mpm /-25%</t>
  </si>
  <si>
    <t>23.45 Ganti blade, Cleaning
05.20 Ganti blade, Cleaning</t>
  </si>
  <si>
    <t xml:space="preserve">•17.00 Cleaning &amp; ganti Blade . </t>
  </si>
  <si>
    <t>Awal shift PM17 :
1.TW18(Purchasing)
- Deckle : 257cm
Speed Awal : 1040mpm /23%</t>
  </si>
  <si>
    <t>-07:27 Ganti Blade &amp; Cleaning hood
-12:48 Ganti Blade &amp; Cleaning</t>
  </si>
  <si>
    <t>1040/800,8</t>
  </si>
  <si>
    <t>1020/765</t>
  </si>
  <si>
    <t>1026,67/776,93</t>
  </si>
  <si>
    <t>18</t>
  </si>
  <si>
    <t>- Change Spool (18x)</t>
  </si>
  <si>
    <t>- Ada hole 47cm dari DS. Karcer wire
01.00 Ada pipa bocor area stok, MED perbaikan
01.05 Jr 65 hole masih ada
01.25 MED selesai perbaikan
03.30 Turun speed 1000 mpm
- Karcer wire
05.00 Ganti blade, Cleaning</t>
  </si>
  <si>
    <t>Awal shift PM17 :
1. Towel 18 Gsm (purchasing) Deckle 257 cm
speed pm
Awal : 1020 mpm / -26 %</t>
  </si>
  <si>
    <t>15:00 valve dilution Utm buka full, tidak bisa nutup. Perbaikan Eid
15:21 sheet breaks, change blade cleaning
21:00 Eid selesai perbaikan valve dilution Utm</t>
  </si>
  <si>
    <t>Awal shift PM17 :
.TW18(Purchasing)
- Deckle : 2.57cm
Speed Awal : 1020mpm /22%</t>
  </si>
  <si>
    <t>- 09:55 Jumbo geripis DS -&gt; change blade, cleaning
- 14.40 Jumbo marking, brosot DS</t>
  </si>
  <si>
    <t>23:00 change blade cleaning
03:26 sheet breaks, sisi Ds gripis, change blade
06:22 sheet breaks, pm kurang lancar, sisi Ds yankee berkerak / cutting mark, kertas soping2</t>
  </si>
  <si>
    <t>17:09 change blade cleaning
20:10 sheet breaks, sisi Ds brosot, change blade
21:40 sheet breaks, cutter mark Ds</t>
  </si>
  <si>
    <t>- 09:10 Jumbo geripis DS -&gt; change blade, cleaning
- 11:45 Jumbo muncul marking blade aus area CT -&gt; kurangi release, tambah panas
- 13:00 Hpp felt on 5 bar</t>
  </si>
  <si>
    <t>Awal shift PM17 :
.TW18(Purchasing)
- Deckle : 2.57cm
Speed Awal : 1020mpm /23%</t>
  </si>
  <si>
    <t>1022,13/756,37</t>
  </si>
  <si>
    <t>1020/754,8</t>
  </si>
  <si>
    <t>1020/785,4</t>
  </si>
  <si>
    <t>1020,71/765,52</t>
  </si>
  <si>
    <t>1010,88/775,01</t>
  </si>
  <si>
    <t>1022,13/756,46</t>
  </si>
  <si>
    <t>1020/795,6</t>
  </si>
  <si>
    <t>1017,67/775,69</t>
  </si>
  <si>
    <t>- Change Spool (19x)</t>
  </si>
  <si>
    <t>Press oli tiba tiba turun</t>
  </si>
  <si>
    <t>Awal shift PM17 :
1. Towel 18 (Purchasing)
- Deckle : 257 cm
Speed Awal : 1020 mpm /-24%</t>
  </si>
  <si>
    <t>02.05 Ganti blade, Cleaning</t>
  </si>
  <si>
    <t>Awal shift PM17 :
1. Towel 18 Gsm (purchasing) Deckle 257 cm
speed pm
Awal : 1020 mpm / -24 %</t>
  </si>
  <si>
    <t>18:33 change blade cleaning</t>
  </si>
  <si>
    <t>Awal shift PM17 :
1. Towel 18 (Purchasing)
- Deckle : 257 cm
Speed Awal : 1000 mpm /-25%</t>
  </si>
  <si>
    <t xml:space="preserve">- 08:47  Kertas Geripis, Change Blade &amp; Cleaning
- 10:00 Change Blade &amp; Cleaning Headbox
- 11:25 Wire geser ke ds &amp; sudah tidak kena pulm guide, eid setting pressure, pulm guide roll. 
- 11.55 Wire sudah kembali ke posisi semula. </t>
  </si>
  <si>
    <t>1000/760</t>
  </si>
  <si>
    <t>1020/775,2</t>
  </si>
  <si>
    <t>1013,33/770,13</t>
  </si>
  <si>
    <t>EBPKP SUZANO</t>
  </si>
  <si>
    <t>Awal shift PM17 :
1. T12 ( FG Purchasing ) 
- Deckle : 259 cm
Speed Awal : 1320 mpm /-28%</t>
  </si>
  <si>
    <t>23.41 Tisu soping dari sisi FS, ganti blade, cleaning. 
- thicknes cenderunh rendah --&gt; setting crepe tinggi 28 %
23.51 speed turun 1300 mpm
- coba setting temp, chemical. 
00.50 Tisu brosot sisi fs, ganti blade
02.10 Tisu brosot 1 dekle. PM stock off
02.35 PM on reel
03.33 Tisu putus, Nyelilit
- Ganti blade, brosot beberapa kali. 
03.43 Tisu sudah bisa gulung
05.05 speed naik 1310 mpm
05.38 Ganti blade, cleaning
06.35 Speed naik 1320 mpm
note : 
- Beberapa kali secondary arm tidak mau load lagi. harus didorong manual dulu.</t>
  </si>
  <si>
    <t>Awal shift PM17 :
1. Toilet 12 Gsm (Fg Safeway) Deckle 259 cm
2. Toilet 12 Gsm (Fg Purchasing) Deckle 260 cm
speed pm
Awal : 1350 mpm / -25 %</t>
  </si>
  <si>
    <t>353+382+</t>
  </si>
  <si>
    <t>15:41 change blade cleaning
- thickness rendah (0,83)
- indikasi temperatur rendah, coba turun speed 1320 mpm &amp; naikkan crepe popereel 27%
- cek dosis coating release dilapangan
16:51 thickness masih minim (0,88) 
18:00 thickness mulai naik (0,96) 
20:17 sisi Fs hole blade, change blade cleaning
- crepe 28%, thickness rendah</t>
  </si>
  <si>
    <t>Awal shift PM17 :
1. Towel 18 (Purchasing)
- Deckle : 257 cm
2. F15 ( CvT ) 
- Deckle : 264 cm
3. T12 ( FG Safeway ) 
- Deckle : 259 cm
Speed Awal : 1020 mpm /-22%</t>
  </si>
  <si>
    <t>F 15</t>
  </si>
  <si>
    <t>T 12</t>
  </si>
  <si>
    <t>- 10:10 Ganti grade F15 speed 1200 mpm /-22%
- 10:50 PM stop, cleaning wire. 
- 11:50 PM persiapan jalan
- 12:20 Onrell. 
- 14:30 Ganti grade T12 speed 1350 mpm/-24%</t>
  </si>
  <si>
    <t>1305,04/939,63</t>
  </si>
  <si>
    <t>1322,56/959,99</t>
  </si>
  <si>
    <t>1123,85/864,58</t>
  </si>
  <si>
    <t>1258,93/925,19</t>
  </si>
  <si>
    <t>- Change Spool (12x)</t>
  </si>
  <si>
    <t>- Sheet Breaks (10x)</t>
  </si>
  <si>
    <t>Towel/Facial/Toilet</t>
  </si>
  <si>
    <t>18/15/12</t>
  </si>
  <si>
    <t>Facial</t>
  </si>
  <si>
    <t>- Change Blade (11x)</t>
  </si>
  <si>
    <t>- Change Spool (26x)</t>
  </si>
  <si>
    <t xml:space="preserve">- 10:50 PM stop, cleaning wire. </t>
  </si>
  <si>
    <t>F 15 VP OW</t>
  </si>
  <si>
    <t>T 12 VP OW</t>
  </si>
  <si>
    <t>Awal shift PM17 :
1. T12,5 &amp; T12 (FG Purchasing)
- Deckle :2.59cm &amp; 2.60 cm
Speed Awal :1350mpm /23%</t>
  </si>
  <si>
    <t>- 23:47 Ganti Blade &amp; Cleaning hood
- ⁠01:00 Change grade T12
- 03:15 Ganti Blade &amp; Cleaning
- 06:32 Ganti Blade &amp; Cleaning</t>
  </si>
  <si>
    <t>15:00 awal shift trial SnH + blade alloy
15:11 change grade T12,5 Gsm
19:33 change blade cleaning
22:35 sheet breaks, change blade</t>
  </si>
  <si>
    <t xml:space="preserve">07.45 Steam Drop
09:05 Change Blade &amp; Cleaning Area PM
12:35 Change Blade &amp; Cleaning Head box
13:40 Change Blade &amp; Trial F12 ( Blade Ceramic) 
Rewinder :
Rew B : </t>
  </si>
  <si>
    <t>Awal shift PM17 :
1. T12( FGPurchasing )
- Deckle : 259 cm
Speed Awal : 1320 mpm /28,5%</t>
  </si>
  <si>
    <t>- 07:00-13:40 Produksi T 12
- 13:40-15:00 Produksi F 12</t>
  </si>
  <si>
    <t>- 15:00 - 15:11 Produksi F 12
- 15:11-23:00 Produksi T 12,5</t>
  </si>
  <si>
    <t>- 23:00-01:00 Produksi T 12,5
- 01:00-07:00 Produksi T 12</t>
  </si>
  <si>
    <t>F 12</t>
  </si>
  <si>
    <t>Awal shift PM17 :
1. Facial 12 Gsm (SnH trial) Deckle 257cm
2. Toilet 12,5 Gsm (Fg Purchasing) Deckle 259cm
speed pm
Awal : 1350 mpm / -26 %</t>
  </si>
  <si>
    <t>1350/1039,5</t>
  </si>
  <si>
    <t>1350/999</t>
  </si>
  <si>
    <t>1325/953</t>
  </si>
  <si>
    <t>1341,67/997,17</t>
  </si>
  <si>
    <t>Toilet/Facial</t>
  </si>
  <si>
    <t>12/12/12,5</t>
  </si>
  <si>
    <t>- Change Spool (21x)</t>
  </si>
  <si>
    <t>260*1</t>
  </si>
  <si>
    <t>Awal shift PM17 :
1.T14.5(SNH)
2.T14.5(McCaughn)
- Deckle :2.56cm
Speed Awal :1250mpm /23%</t>
  </si>
  <si>
    <t>00:00 - 00:06 sheet break ,cleaning roll" dan hood
-tidak ada change Blade
(pakai Blade kramik)</t>
  </si>
  <si>
    <t>Awal shift PM17 :
1. Toilet 14,5 Gsm (SnH) Deckle 256cm
speed pm
Awal : 1300 mpm / -25 %</t>
  </si>
  <si>
    <t>Awal shift setting T14,5 SnH sesuai speck cust.
15:12 thickness rendah, temperature rendah
17:05 pressure steam drop
17:56 turun speed 1250 mpm, temperature rendah
19:15 cleaning roll2 &amp; debu stabilizer</t>
  </si>
  <si>
    <t>Awal shift PM17 :
1. T12.5( FGPurchasing )
- Deckle : 259 Cm
2. T13 (FG A&amp;S) 
- Deckle: 260 Cm
3. T14. 5 ( SnH) ) 
- Deckle 256 Cm
Speed Awal : 1350 mpm /-25%</t>
  </si>
  <si>
    <t>07.45 : Ganti Grade T13 Speed 1350 Mpm/-25%
08.28 : Change blade &amp; Cleaning Area PM
11.54 : Change blade &amp; Cleaning 
14.11 Change blade alloy &amp; Ganti Grade T14. 5 speed 1300 mpm /-25%</t>
  </si>
  <si>
    <t>T 13</t>
  </si>
  <si>
    <t>1250/962,5</t>
  </si>
  <si>
    <t>1268,33/951,25</t>
  </si>
  <si>
    <t>1344,9/1008,67</t>
  </si>
  <si>
    <t>1287,74/974,14</t>
  </si>
  <si>
    <t>12,5/13/14,5</t>
  </si>
  <si>
    <t>- Change Spool (25x)</t>
  </si>
  <si>
    <t>128*2</t>
  </si>
  <si>
    <t>256*1</t>
  </si>
  <si>
    <t>T 13 VP OW</t>
  </si>
  <si>
    <t>EID perbaikan Secondary arm,tidak bisa kembali saat setelah Eject jumbo no 18 kertas ngelokor tambor ga nempel dram ,+-22.000 kertas reject (26 menit) 4,5%</t>
  </si>
  <si>
    <t>-23:00  sheet break ,cleaning roll" dan hood
-00:00 -00:06 Sheet break, EID perbaikan Secondary Arm,karna tidak bisa kembali saat setelah Eject jumbo.
- change Blade
(pakai Blade keramik bekas yg 90*)</t>
  </si>
  <si>
    <t>Awal shift PM17 :
1. F16 ( Trial Kuma) 
- Deckle : 270 cm
2. F12 ( Cvt ) 
- Deckle 262.5 cm
Speed Awal : 1100 mpm /-26 %</t>
  </si>
  <si>
    <t>- Awal shift jalan F16 off reel core 12".
15.50 Change grade F12, speed 1350 mpm
17.10 Jr 10 thicknes rendah (0.78 ) 
- Setting creping, temperatur. 
18.20 Jr 11 Thicknes mulai naik ( 0.88 ) 
- MAP on 2 ml / min
19.25  Jr 12 Thicknes (0.95) 
19.25 Tisu gagal sambung, cleaning -&gt; sambung
20.38 Tisu putus, indikasi stabilizer ada kotoran tajam -&gt; amplas stabilizer</t>
  </si>
  <si>
    <t>Awal shift PM17 :
1. T14.5 ( McCaughan) 
Deckle : 256 cm
2. F12 ( CVT) 
Deckle : 262.5 cm
3. F16 ( Trial Kuma) 
- Deckle : 270 cm
Speed Awal : 1350 mpm /-25%</t>
  </si>
  <si>
    <t>07.51 Ganti Blade dan Cleaning
09.55 : Ganti Grade F12 ( CVT) 
12.05 Trial Ganti Grade F16 
12.55 Gulung F16 270 ∅ 150 cm
13.48 Tunggu Spooll Core 12
14.22 Tunggu Spooll Core 12</t>
  </si>
  <si>
    <t>F 16</t>
  </si>
  <si>
    <t>Awal shift PM17 :
1.F12(CVT)
- Deckle :2.625cm
Speed Awal :1350mpm /26%</t>
  </si>
  <si>
    <t>1323,96/991,82</t>
  </si>
  <si>
    <t>1167,71/883,8</t>
  </si>
  <si>
    <t>1280,56/958,21</t>
  </si>
  <si>
    <t>14,5/12/16</t>
  </si>
  <si>
    <t xml:space="preserve">- Trial Ganti Grade F16 </t>
  </si>
  <si>
    <t>140+122,5</t>
  </si>
  <si>
    <t>270*1</t>
  </si>
  <si>
    <t>F 12 VP OW</t>
  </si>
  <si>
    <t>F 16 VP OW</t>
  </si>
  <si>
    <t>Pending PM Awal : 9668 kg
Pending akhir : 12702 kg 
- Jr 06 --&gt; diameter 180 join 1
- Jr 07 --&gt; thickness 0,82 
- Jr 08 --&gt; join 1 geser trim size 257,5 cm
- Jr 11 --&gt; Formasi 
- Jr 15 --&gt; hole acak
- Jr 16 --&gt; hole acak
- Jr 29 --&gt; thicknes, bw tinggi
- Jr 31 --&gt; over join 
PM :
- Awal shift jalan T13 off reel core 12". water trim deckle 256.5 cm
- Jalan tanpa burner, PGN perbaikan pipa gas. 
00.45 Ganti blade, Cleaning
01.40 Gas dari PGN mulai masuk. 
01.50 Nyalakan burner hood
02.00 Speed naik bertahap 900 mpm
02.10 Speed naik bertahap 1000 mpm
02.40 Speed naik bertahap 1200 mpm
02.41 Jr 29 pending, thicknes terlalu tinggi. 
03.08 Tisu putus, ganti blade keramik, cleaning
03.10 Speed naik 1330 mpm
03.45 Jr 30 sudah ok
04.20 Tisu putus, water trim kotor 
04.31 Sirkulai UTM, setting water trim
05.50 Jr turun kecil, setting water trim. 
05.55 speed turun 1320 mpm
06.45 Ganti blade</t>
  </si>
  <si>
    <t>Loss speed : 650 mpm / 51.2% ( 220 menit)</t>
  </si>
  <si>
    <t>Awal shift PM17 :
T13 ( Purchasing ) 
- Deckle 256.5 cm
Speed Awal : 700 mpm /-25.5 %
Speed Akhir : 700 mpm / -25.5 %</t>
  </si>
  <si>
    <t>- Jr 06 --&gt; diameter 180 join 1
- Jr 07 --&gt; thickness 0,82 
- Jr 08 --&gt; join 1 geser trim size 257,5 cm
- Jr 11 --&gt; Formasi 
- Jr 15 --&gt; hole acak
- Jr 16 --&gt; hole acak
PM :
- Awal shift jalan T13 off reel core 12". water trim deckle 256.5 cm
- Jalan tanpa burner, PGN perbaikan pipa gas. 
16.38 Brosot tengah, ganti blade, cleaning
17.03 Tisu lolos popereel. 
20.11 Ganti blade, cleaning</t>
  </si>
  <si>
    <t>- PGN perbaikan pipa, burner hood off
07:00 sheet breaks, sisi Fs brosot, change blade
- setting temperature, buka venting vertical screen, tambah rpm fan pump
09:58 change blade
10:47 coba naik speed ± 650 mpm
11:44 jumbo turun deckle water trim berubah, adjust ulang water trim
12:12 adjust water trim selesai
12:25 coba naik speed ± 700 mpm</t>
  </si>
  <si>
    <t>Awal shift PM17 :
F12 ( Purchasing ) 
- Deckle 256.5 cm
Speed Awal : 1350 mpm /-23%</t>
  </si>
  <si>
    <t>- Jr 11 --&gt; awal shift Formasi 
- Jr 15 --&gt; hole acak speed 550 burner mati
- Jr 16 --&gt; hole acak</t>
  </si>
  <si>
    <t>- Awal shift jalan T13 off reel core 12". water trim deckle 256.5 cm2
23.45 Tisu putus, Cleaning hood, breast roll
23.55 sambung
00.50 Sirkulsi UTM, Crane T15 macet, EID perbaikan. 
01.00 Crane sudah bisa
02.08 Tissue putus, Pressure gas turun persiapan perbaikan pipa pgn burner off 
- Ganti blade steel, Cleaning
- seting speed
02.20 Tisu turun bertahap ke 800 mpm, tisu nyelilit ds
-Turun 700 mpm , Tisu masih nyelilit
- speed turun bertahap sampai 550 mpm, tisu sudah tidak nyelilit. 
02.27 Tisu sambung
04.27 Tisu nyelilit sisi DS, ganti blade, cleaning
- Jr 15 pending ada hole acak sisi FS indikasi bulu felt berdiri matikan Hps felt
05.00 speed naik 560 mpm
- setting vacum
05.35 speed naik 570 mpm
05.48 Speed najk 600 mpm
06.00 Speed naik bertahap 650 mpm
06.24 Jr 16 hole acak masih ada
07.00  buka lagi Hps felt speed turun lagi 600 mpm sampai akhir shift masih ada hole acak</t>
  </si>
  <si>
    <t>Awal shift PM17 :
T13( Purchasing ) 
- Deckle 256.5 cm
Speed Awal : 1350 mpm /-23%</t>
  </si>
  <si>
    <t>- Awal shift jalan T13 off reel core 12". water trim deckle 256.5 cm
17.11 Sirkulasi utm, water trim ada kotoran. claning 
18.27 Tisu putus, setting water trim
19.50 Sirkulasi UTM setting water trim. 
20.25 Gulung
20.58 Tisu lolos popereel, setting temperatur. 
- Cleaning breast rol
- amplas stabilizer
21.16 Tisu beberapa kali lolos popereel - &gt; setting temperatur. 
- ganti  spool.</t>
  </si>
  <si>
    <t>Awal shift PM17 :
1. F12 ( CVT) 
Deckle : 262.5 cm
2. T13 ( Purchasing) 
Deckle : 256.5 Cm ( core 12" water trim ) 
Speed Awal : 1350 mpm /-25%</t>
  </si>
  <si>
    <t xml:space="preserve">08.33 : Cleaning area PM
09.35 : WSR Off
09.47 : Setting Water Trim
10.10 Change Grade T13 ( Water Trim Deckkle 256.5 cm) 
10:10 Kertas  Putus Putus (Gripis) Water Trim Setting Ulang 10.00 - 11.35
13.15 Setting nozzle water trim. </t>
  </si>
  <si>
    <t>1350/1053,28</t>
  </si>
  <si>
    <t>942,799/725,955</t>
  </si>
  <si>
    <t>- Sheet Breaks (15x)</t>
  </si>
  <si>
    <t>Awal shift PM17 :
1. Toilet 13 Gsm (purchasing) Deckle 2565 mm
speed pm
Awal : 600 mpm / -27 %</t>
  </si>
  <si>
    <t>1214,27/939,58</t>
  </si>
  <si>
    <t>1054,69/785,74</t>
  </si>
  <si>
    <t>700/521,5</t>
  </si>
  <si>
    <t>642,5/494,73</t>
  </si>
  <si>
    <t>799,06/600,66</t>
  </si>
  <si>
    <t>12/13</t>
  </si>
  <si>
    <t>Facial/Toilet</t>
  </si>
  <si>
    <t>13</t>
  </si>
  <si>
    <t>- Sheet Breaks (28x)</t>
  </si>
  <si>
    <t xml:space="preserve">- 00.50 Sirkulsi UTM, Crane T15 macet, EID perbaikan. </t>
  </si>
  <si>
    <t>- Sheet Breaks (8x)</t>
  </si>
  <si>
    <t>Awal shift PM17 :
T13 ( Purchasing ) 
- Deckle 256.5 cm
Speed Awal : 700 mpm /-25.5 %</t>
  </si>
  <si>
    <t>- Jr 06 --&gt; diameter 180 join 1
- Jr 07 --&gt; thickness 0,82 
- Jr 08 --&gt; join 1 geser trim size 257,5 cm
- Jr 11 --&gt; Formasi 
- Jr 16 --&gt; hole acak
- Jr 36 --&gt; diameter kurang
- Jr 44 --&gt; diametsr kurang</t>
  </si>
  <si>
    <t>- Awal shift jalan T13 off reel core 12". water trim deckle 256.5 cm
15.15 PM stop, indikasi wire cacat. 
- Cek wire ada yang cacat
- Cleaning area PM
- Drain silo, couch pit
16.50 Persiapan ganti wire
17.50 Wire baru sudah terpasang, 
- Proses isi air silo. 
- Tutup breast rol, dan kencangkan pillow. 
- Tim MED masih cek talang SPR, ada baut yang putus. 
19.00 MED sudah selesai, crawl wire. Persiapan start up. 
20.00 On reel 1300 mpm
- beberapa kali seset jr kecil, setting water trim dan core. 
20.34 Jr di popereel sudah ok. 
21.25 Jr 45 size kurang sedikit. 
21.35 seset jr di popereel untuk setting water trim.
22.45 Tisu putus, sulit sambung</t>
  </si>
  <si>
    <t>Awal shift PM17 :
1. Toilet 13 Gsm (purchasing) Deckle 2565 mm
speed pm
Awal : 1.320 mpm / -23 %</t>
  </si>
  <si>
    <t>- Jr 06 --&gt; diameter kurang join habis
- Jr 07 --&gt; thickness 0,82 
- Jr 08 --&gt; join 1 geser trim size 257,5 cm
- Jr 11 --&gt; Formasi
- Jr 16 --&gt; hole acak
- Jr 36 --&gt; diameter kurang join habis</t>
  </si>
  <si>
    <t xml:space="preserve">07:30 sheet breaks, gagal sambung
08:19 change blade cleaning
08:57 ~ 09:17 sheet breaks, sisi Fs nempel water trim, cleaning nozzle water trim
09:07 coba naik speed 1330 mpm
10:24 ~ 10:38 sheet breaks, sisi Fs kembali nempel water trim, coba adjust sudut nozzle water trim
13:10 coba naik speed 1340 mpm
13:17 sheet breaks, gagal sambung
Note: 
- Jr no. 15 hole acak jadi reject, sudah di seset
- Jr no. 29 seset &amp; cek ulang spek, sudah acc
- Jr no. 31 seset sampai join, sudah acc
- Jr no. 38 reject. setting water trim &amp; diameter kurang, sudah di seset
</t>
  </si>
  <si>
    <t>1.T13(Purchasing)
- Deckle :2.565cm
Speed Awal :1300mpm /23%</t>
  </si>
  <si>
    <t>Pending PM Awal: 10.755kg
-Jr 06 --&gt; diameter 180 join 1
- Jr 07 --&gt; thickness 0,82 
- Jr 08 --&gt; join 1 geser trim size 257,5 cm
- Jr 11 --&gt; Formasi (digulung pengalihan)
- Jr 16 --&gt; hole acak
- Jr 36 --&gt; diameter kurang
-Jr.48 --&gt; MDT kurang
- Jr 44 --&gt; diametsr kurang</t>
  </si>
  <si>
    <t>-23:15  sheet break ,cleaning roll" dan hood,ganti blade
-01:20 Ganti Blade &amp; Cleaning 
-04:02 Ganti Blade &amp; Cleaning 
Note: 
Kertas sering putus" indikasi MDT tidak stabil</t>
  </si>
  <si>
    <t>1.T13 ( Purchasing ) 
- Deckle 256.5 cm
Speed Awal : 1340 mpm /-23%</t>
  </si>
  <si>
    <t>1300/1001</t>
  </si>
  <si>
    <t>1303,08/1003,37</t>
  </si>
  <si>
    <t>1329,65/1023,83</t>
  </si>
  <si>
    <t>1310,91/1009,4</t>
  </si>
  <si>
    <t>- Change Spool (13x)</t>
  </si>
  <si>
    <t>- Change Spool (27x)</t>
  </si>
  <si>
    <t xml:space="preserve">- 15.15 PM stop, indikasi wire cacat. </t>
  </si>
  <si>
    <t xml:space="preserve">- Tim MED masih cek talang SPR, ada baut yang putus. </t>
  </si>
  <si>
    <t>Trial grade F 16</t>
  </si>
  <si>
    <t>Crane macet</t>
  </si>
  <si>
    <t>Wire cacat</t>
  </si>
  <si>
    <t>Perbaikan talang SPR</t>
  </si>
  <si>
    <t>243*1</t>
  </si>
  <si>
    <t>T13 ( Purchasing) 
Deckle : 256.5 Cm ( core 12" water trim ) 
Speed Awal : 1310 mpm /-23%</t>
  </si>
  <si>
    <t>23.00 Awal Shif  jalan T13 "Off Real Core 12" ( Water Trim Deckkle 256.5 cm) 
00.34  setting Ulang Water Trim Potongan Terlalu Kasar. 
01.24 Change Blade &amp; Cleaning Head Box 
02.12 Tissue Putus Dari DS Stabilizer kotor &amp; Tajam (amplas ) , ∅ kurang gulung rewinder. 
03.36 Tissue Putus Ganti Blade &amp; Cleaning
03.48 Tissue Putus Nozel Water Trim Pecah. ) , ∅ kurang gulung rewinder.
04.37 Ganti blade &amp; Cleaning Area PM, 
05. 27 Tissue Bagian DS Kasar Ganti blade</t>
  </si>
  <si>
    <t>1.F12 ( Purchasing ) 
- Deckle 256.5 cm
Speed Awal : 1310 mpm /-23%</t>
  </si>
  <si>
    <t>- Awal shift jalan T13 off reel core 12". water trim, deckle 256.5 cm
15.19 Ganti blade, Cleaning
15.30 Tissue putus, blade jelek, ganti blade. 
15.40 Tissue putus, indikasi stabilizer tajam -&gt; amplas
18.47 Ganti blade, Cleaning
21.12 Ganti blade, Cleaning
22.55 Tissue putus, ganti blade</t>
  </si>
  <si>
    <t>1. Toilet 13 Gsm (purchasing)
- Deckle 2565 mm
speed pm
Awal : 1.300 mpm / -23 %</t>
  </si>
  <si>
    <t>08:13 change blade cleaning
10:38 change blade cleaning
13:00 change blade cleaning</t>
  </si>
  <si>
    <t>1310/1008,7</t>
  </si>
  <si>
    <t>1306,67/1006,13</t>
  </si>
  <si>
    <t>- Change Spool (29x)</t>
  </si>
  <si>
    <t>- Awal shift jalan T13 off reel core 12". water trim, deckle 256.5 cm
16.07 Ganti blade, Cleaning
17.55 Tissue putus, trim sisi DS nempel dgn tissue. -&gt; cleaning, ganti blade
20.14 Ganti blade, cleaning
20.27 Tissue putus, stabilizer tajam -&gt; amplas stabilizer, sambung
22.50 Ganti blade, Cleaning</t>
  </si>
  <si>
    <t xml:space="preserve">1. Toilet 13 Gsm (purchasing) Deckle 2565 mm
speed pm
Awal : 1.310 mpm / -23 </t>
  </si>
  <si>
    <t>08:04 change blade cleaning
11:24 pressure steam hunting, kertas putus
12:20 coba naik speed 1320 mpm
13:48 change blade cleaning</t>
  </si>
  <si>
    <t>Toilet 13 Gsm ( Purchasing ) 
- Deckle 256.5 cm
Speed Awal : 1320 mpm /-23%</t>
  </si>
  <si>
    <t xml:space="preserve">23.00 Awal Shif  jalan T13 "Off Real Core 12" ( Water Trim Deckkle 256.5 cm) 
00.45 Wsr On 200 ml/menit
01.05 Ganti F13, water trim off, cleaning &amp; ganti blade. bagian felt bekas water trim di kucuri air &amp; sikat felt. garis bekas water trim sudah hilang. 
02.07 Tissue Putus, Sulit Sambung, Matikan water colling, ganti blade Lanjut Sambung. 
03.40 Ganti blade &amp; cleaning area Hood. 
04.47 Tissue putus nylilit Area DS, Ganti blade. 
05.05 Tissue putus Bagian FS, Cleaning headbox lanjut Sambung. </t>
  </si>
  <si>
    <t>T13 ( Purchasing) 
Deckle : 256.5 Cm ( core 12" water trim ) 
2. F13 ( AHS &amp; FG CP Axtra ) 
Deckle : 257 cm
Speed Awal : 1330 mpm /-23%</t>
  </si>
  <si>
    <t>F 13</t>
  </si>
  <si>
    <t>13/13</t>
  </si>
  <si>
    <t>1313,33/1011,27</t>
  </si>
  <si>
    <t>1320/1016,4</t>
  </si>
  <si>
    <t>1327,4/1022,09</t>
  </si>
  <si>
    <t>1320,24/1016,59</t>
  </si>
  <si>
    <t>- Change Spool (31x)</t>
  </si>
  <si>
    <t>- 11:24 pressure steam hunting, kertas putus</t>
  </si>
  <si>
    <t>F 13 VP OW</t>
  </si>
  <si>
    <t>140+117</t>
  </si>
  <si>
    <t>Awal shift PM17 produksi:
1.T14 ( FG P1 ) 
Deckle : 260 Cm
2. T13.5 LB ( Morcon ) 
Deckle : 256.5 cm
Speed Awal : 1310 mpm /-23%</t>
  </si>
  <si>
    <t xml:space="preserve">23.00 Awal Shift  jalan T14 
00.50 Change grade T13.5 speed 1320 mpm/-17%
01. 45 Change blade Dan Cleaning
03.30 Cleaning Area PM
</t>
  </si>
  <si>
    <t>Awal shift PM17 :
1.F12(CVT)
2T14(PG P1)
- Deckle :2.625cm &amp; 260cm
Speed Awal :1350mpm /23%</t>
  </si>
  <si>
    <t>1. Facial 13 Gsm (Ahs) Deckle 257 cm
2. Facial 12 Gsm (cvt) Deckle 2625 mm
3. Facial 16 Gsm (Kuma) Deckle 270 cm
speed pm
Awal : 1.330 mpm / -25 %</t>
  </si>
  <si>
    <t>08:21 change grade F12
08:38 sheet breaks change blade
- kendala mdt rendah, naikkan load refiner
10:37 change blade
11:40 change grade F16
15:00 change grade F12</t>
  </si>
  <si>
    <t>-15:58  sheet break ,cleaning roll" dan hood,ganti blade
-18:08 Ganti Blade &amp; Cleaning 
-19:01Change Grade dari F12 ke T14
-21:50 Change Blade &amp; Cleaning</t>
  </si>
  <si>
    <t>1318,96/1086,55</t>
  </si>
  <si>
    <t>1330/997,5</t>
  </si>
  <si>
    <t>1332,99/1014,18</t>
  </si>
  <si>
    <t>13/12/16/14/13,5</t>
  </si>
  <si>
    <t>- 11:40 change grade F16</t>
  </si>
  <si>
    <t>- Sheet Breaks (6x)</t>
  </si>
  <si>
    <t>130*2</t>
  </si>
  <si>
    <t>T 13,5 RC HW</t>
  </si>
  <si>
    <t>T 14 RC HW</t>
  </si>
  <si>
    <t>TOTAL BB RCY</t>
  </si>
  <si>
    <t>TWS + Core</t>
  </si>
  <si>
    <t>RR PPIC</t>
  </si>
  <si>
    <t>SOFTENER PURIFEC</t>
  </si>
  <si>
    <t>DFR 810S</t>
  </si>
  <si>
    <t>Steam hunting</t>
  </si>
  <si>
    <t>Awal shift PM17 produksi:
1. T13.5 LB ( Morcon ) 
Deckle : 256.5 cm
Speed Awal : 1250 mpm /-23%</t>
  </si>
  <si>
    <t>Awal shift PM17 produksi:
T13.5(Morcon)
- Deckle :2.565
Speed Awal :1250mpm /15%</t>
  </si>
  <si>
    <t>Downtime 120mnt/(PM Stop muncul Pinhole pada kertas dari FS ke DS 30 menit EID wire geser ke ds drive not ready eid seting guider roll).</t>
  </si>
  <si>
    <t>-16:59  sheet break ,sirkulasi UTM,cek pinhole pada Jumbo.
-17:30  PM Stop,pinhole acak dari FS ke DS
Kegiatan: 
-Cleaning area PM DS &amp;FS ,(hood,roll",frame,Doktor Blade,).
-Drain dan Cleaning Couchpit .
-Drain Silo &amp; Refresh water silo from fresh water.
-Karcher wire dengan xyline.
-19:30 PM 17 persiapan Startup sambil nunggu proses EID setting posisi Wire.
-20:00 PM 17 Onreel.</t>
  </si>
  <si>
    <t>Awal shift PM17 produksi:
1. Toilet 13,5 Gsm (morcon) Deckle 2565 cm
speed pm
Awal : 1.320 mpm / -17 %</t>
  </si>
  <si>
    <t>08:20 pompa collecting tank no.2 trip, cek Eid
- coba nyalakan pompa no.1 -&gt; masih ada kebocoran (tidak bisa digunakan karena dapat membanjiri area pompa)
08:40 pompa no.2 sudah bisa jalan normal
08:50 cleaning roll2 felt &amp; stabilizer
13:05 cleaning roll2 felt &amp; stabilizer</t>
  </si>
  <si>
    <t xml:space="preserve">23.00 Awal Shif  jalan T13. 5 Ada Hole Area DS 
23.54 Ganti blade &amp; Cleaning Masih Hole DS 
00.00 Load Blade No 3, Hole DS Tambah Lebar. 
00.15 PM Stop, Indikasi Hole Dari Felt. 
- Cek Felt Buanyak Lem. 
- Drain Coucpit. 
- Cleaning Felt dan Sikat Pakai Solar. 
- Bilas Felt. 
- Start Up
03.00 On Reel..
05.15 Change Blade. </t>
  </si>
  <si>
    <t>1291,07/1053,92</t>
  </si>
  <si>
    <t>1288,18/1080,55</t>
  </si>
  <si>
    <t>1320/1095,6</t>
  </si>
  <si>
    <t>13,5</t>
  </si>
  <si>
    <t>Change Grade/Cleaning</t>
  </si>
  <si>
    <t>- Cleaning</t>
  </si>
  <si>
    <t>-17:30  PM Stop,pinhole acak dari FS ke DS</t>
  </si>
  <si>
    <t>CVT Broke</t>
  </si>
  <si>
    <t xml:space="preserve"> - EID wire geser ke ds drive not ready eid seting guider roll).</t>
  </si>
  <si>
    <t>EID seting guider</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</si>
</sst>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_(* #,##0.0_);_(* \(#,##0.0\);_(* &quot;-&quot;_);_(@_)"/>
    <numFmt numFmtId="180" formatCode="[$-409]mmm\-yy;@"/>
    <numFmt numFmtId="181" formatCode="_(* #,##0.000_);_(* \(#,##0.000\);_(* &quot;-&quot;_);_(@_)"/>
  </numFmts>
  <fonts count="64">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sz val="9"/>
      <color indexed="81"/>
      <name val="Tahoma"/>
      <charset val="1"/>
    </font>
    <font>
      <b/>
      <sz val="9"/>
      <color indexed="81"/>
      <name val="Tahoma"/>
      <charset val="1"/>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9">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0" fontId="44" fillId="0" borderId="0"/>
    <xf numFmtId="164" fontId="44" fillId="0" borderId="0" applyFont="0" applyFill="0" applyBorder="0" applyAlignment="0" applyProtection="0"/>
  </cellStyleXfs>
  <cellXfs count="815">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7" fontId="41" fillId="0" borderId="0" xfId="0" applyNumberFormat="1" applyFont="1" applyAlignment="1">
      <alignment horizontal="center" vertical="center" wrapText="1"/>
    </xf>
    <xf numFmtId="178"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8"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7"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7" fontId="41" fillId="0" borderId="11" xfId="0" applyNumberFormat="1" applyFont="1" applyBorder="1"/>
    <xf numFmtId="164" fontId="41" fillId="0" borderId="11" xfId="29" applyFont="1" applyFill="1" applyBorder="1" applyAlignment="1">
      <alignment horizontal="center"/>
    </xf>
    <xf numFmtId="178"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8" fontId="38" fillId="0" borderId="11" xfId="29" applyNumberFormat="1" applyFont="1" applyFill="1" applyBorder="1" applyAlignment="1">
      <alignment horizontal="center"/>
    </xf>
    <xf numFmtId="178"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8" fontId="42" fillId="0" borderId="11" xfId="29" applyNumberFormat="1" applyFont="1" applyFill="1" applyBorder="1" applyAlignment="1">
      <alignment vertical="center"/>
    </xf>
    <xf numFmtId="0" fontId="41" fillId="0" borderId="11" xfId="0" applyFont="1" applyBorder="1" applyAlignment="1">
      <alignment horizontal="center" wrapText="1"/>
    </xf>
    <xf numFmtId="9" fontId="41" fillId="0" borderId="11" xfId="0" applyNumberFormat="1" applyFont="1" applyBorder="1" applyAlignment="1">
      <alignment horizontal="center" wrapText="1"/>
    </xf>
    <xf numFmtId="178" fontId="41" fillId="0" borderId="0" xfId="29" applyNumberFormat="1" applyFont="1" applyFill="1" applyBorder="1" applyAlignment="1">
      <alignment vertical="center"/>
    </xf>
    <xf numFmtId="0" fontId="41" fillId="0" borderId="0" xfId="0" applyFont="1" applyAlignment="1">
      <alignment horizontal="center"/>
    </xf>
    <xf numFmtId="177"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8" fontId="42" fillId="25" borderId="11" xfId="29" applyNumberFormat="1" applyFont="1" applyFill="1" applyBorder="1" applyAlignment="1">
      <alignment vertical="center"/>
    </xf>
    <xf numFmtId="177"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8" fontId="41" fillId="0" borderId="0" xfId="29" applyNumberFormat="1" applyFont="1" applyFill="1" applyBorder="1" applyAlignment="1">
      <alignment horizontal="center"/>
    </xf>
    <xf numFmtId="165" fontId="42" fillId="0" borderId="0" xfId="0" applyNumberFormat="1" applyFont="1" applyAlignment="1">
      <alignment horizontal="right"/>
    </xf>
    <xf numFmtId="178"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68" fontId="38" fillId="0" borderId="11" xfId="0" applyNumberFormat="1" applyFont="1" applyBorder="1" applyAlignment="1">
      <alignment horizontal="center"/>
    </xf>
    <xf numFmtId="178" fontId="41" fillId="0" borderId="17" xfId="29" applyNumberFormat="1" applyFont="1" applyBorder="1" applyAlignment="1">
      <alignment vertical="center"/>
    </xf>
    <xf numFmtId="178"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8" fontId="42" fillId="0" borderId="0" xfId="29" applyNumberFormat="1" applyFont="1" applyFill="1" applyBorder="1" applyAlignment="1">
      <alignment vertical="center"/>
    </xf>
    <xf numFmtId="178" fontId="26" fillId="24" borderId="21" xfId="29" applyNumberFormat="1" applyFont="1" applyFill="1" applyBorder="1" applyAlignment="1" applyProtection="1">
      <alignment horizontal="right" vertical="center"/>
    </xf>
    <xf numFmtId="178" fontId="26" fillId="24" borderId="17" xfId="29" applyNumberFormat="1" applyFont="1" applyFill="1" applyBorder="1" applyAlignment="1" applyProtection="1">
      <alignment horizontal="right" vertical="center"/>
    </xf>
    <xf numFmtId="178" fontId="26" fillId="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vertical="center"/>
    </xf>
    <xf numFmtId="178" fontId="22" fillId="2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xf>
    <xf numFmtId="178" fontId="26" fillId="24" borderId="14" xfId="29" applyNumberFormat="1" applyFont="1" applyFill="1" applyBorder="1" applyAlignment="1" applyProtection="1">
      <alignment horizontal="right"/>
    </xf>
    <xf numFmtId="178"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8"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8" fontId="42" fillId="25" borderId="13" xfId="29" applyNumberFormat="1" applyFont="1" applyFill="1" applyBorder="1" applyAlignment="1">
      <alignment vertical="center"/>
    </xf>
    <xf numFmtId="178"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8"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44" fillId="0" borderId="0" xfId="0" applyFont="1"/>
    <xf numFmtId="178" fontId="51" fillId="0" borderId="0" xfId="29" applyNumberFormat="1" applyFont="1" applyProtection="1"/>
    <xf numFmtId="9" fontId="0" fillId="0" borderId="0" xfId="50" applyFont="1" applyProtection="1"/>
    <xf numFmtId="0" fontId="44" fillId="0" borderId="36" xfId="0" applyFont="1" applyBorder="1"/>
    <xf numFmtId="2" fontId="0" fillId="0" borderId="40" xfId="0" applyNumberFormat="1" applyBorder="1" applyAlignment="1">
      <alignment vertical="center"/>
    </xf>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8" fontId="42" fillId="0" borderId="17" xfId="29" applyNumberFormat="1" applyFont="1" applyFill="1" applyBorder="1" applyAlignment="1">
      <alignment vertical="center" wrapText="1"/>
    </xf>
    <xf numFmtId="177"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1"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9" xfId="29" applyNumberFormat="1" applyFont="1" applyFill="1" applyBorder="1" applyAlignment="1">
      <alignment vertical="center"/>
    </xf>
    <xf numFmtId="2" fontId="35" fillId="0" borderId="11" xfId="46" applyNumberFormat="1" applyFont="1" applyBorder="1"/>
    <xf numFmtId="0" fontId="22" fillId="24" borderId="11" xfId="57" applyFont="1" applyFill="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79"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10" fontId="0" fillId="0" borderId="0" xfId="0" applyNumberFormat="1"/>
    <xf numFmtId="178" fontId="42" fillId="39" borderId="11" xfId="58" applyNumberFormat="1" applyFont="1" applyFill="1" applyBorder="1" applyAlignment="1">
      <alignment horizontal="center" vertical="center" wrapText="1"/>
    </xf>
    <xf numFmtId="178" fontId="42" fillId="26" borderId="14" xfId="58" applyNumberFormat="1" applyFont="1" applyFill="1" applyBorder="1" applyAlignment="1">
      <alignment horizontal="center" vertical="center" wrapText="1"/>
    </xf>
    <xf numFmtId="178" fontId="42" fillId="26" borderId="11" xfId="58" applyNumberFormat="1" applyFont="1" applyFill="1" applyBorder="1" applyAlignment="1">
      <alignment horizontal="center" vertical="center" wrapText="1"/>
    </xf>
    <xf numFmtId="178" fontId="42" fillId="39" borderId="14" xfId="58"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0" fontId="0" fillId="0" borderId="11" xfId="0" applyBorder="1" applyAlignment="1">
      <alignment horizontal="center"/>
    </xf>
    <xf numFmtId="0" fontId="52" fillId="27" borderId="11" xfId="0" applyFont="1" applyFill="1" applyBorder="1" applyAlignment="1">
      <alignment horizontal="center" vertical="center"/>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58" fillId="24" borderId="0" xfId="0" applyFont="1" applyFill="1" applyAlignment="1">
      <alignment horizontal="right"/>
    </xf>
    <xf numFmtId="0" fontId="58" fillId="24" borderId="0" xfId="0" applyFont="1" applyFill="1"/>
    <xf numFmtId="0" fontId="44" fillId="24" borderId="0" xfId="0" applyFont="1" applyFill="1" applyAlignment="1">
      <alignment horizontal="right"/>
    </xf>
    <xf numFmtId="0" fontId="44" fillId="24" borderId="0" xfId="0" applyFont="1" applyFill="1"/>
    <xf numFmtId="165" fontId="26" fillId="24" borderId="11" xfId="28" applyNumberFormat="1" applyFont="1" applyFill="1" applyBorder="1" applyAlignment="1" applyProtection="1">
      <alignment horizontal="center"/>
      <protection locked="0"/>
    </xf>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0" fontId="27" fillId="0" borderId="11" xfId="0" applyNumberFormat="1" applyFont="1" applyBorder="1"/>
    <xf numFmtId="173" fontId="27" fillId="27" borderId="0" xfId="0" applyNumberFormat="1" applyFont="1" applyFill="1" applyAlignment="1">
      <alignment vertical="center"/>
    </xf>
    <xf numFmtId="180" fontId="27" fillId="27" borderId="0" xfId="0" applyNumberFormat="1" applyFont="1" applyFill="1" applyAlignment="1">
      <alignment horizontal="right" vertical="center"/>
    </xf>
    <xf numFmtId="0" fontId="22" fillId="24" borderId="0" xfId="0" applyFont="1" applyFill="1" applyAlignment="1">
      <alignment horizontal="right"/>
    </xf>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7"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7" fontId="41" fillId="0" borderId="11" xfId="0" applyNumberFormat="1" applyFont="1" applyFill="1" applyBorder="1"/>
    <xf numFmtId="2" fontId="38" fillId="0" borderId="11" xfId="45" applyNumberFormat="1" applyFont="1" applyFill="1" applyBorder="1" applyAlignment="1">
      <alignment horizontal="center"/>
    </xf>
    <xf numFmtId="0" fontId="0" fillId="0" borderId="11" xfId="0" applyFill="1" applyBorder="1"/>
    <xf numFmtId="0" fontId="59" fillId="24" borderId="0" xfId="0" applyNumberFormat="1" applyFont="1" applyFill="1" applyAlignment="1">
      <alignment horizontal="right"/>
    </xf>
    <xf numFmtId="0" fontId="59" fillId="24" borderId="0" xfId="0" applyFont="1" applyFill="1"/>
    <xf numFmtId="0" fontId="44" fillId="24" borderId="0" xfId="0" applyNumberFormat="1" applyFont="1" applyFill="1" applyAlignment="1">
      <alignment horizontal="right"/>
    </xf>
    <xf numFmtId="0" fontId="59" fillId="24" borderId="0" xfId="0" applyFont="1" applyFill="1" applyAlignment="1">
      <alignment horizontal="right"/>
    </xf>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38" fillId="0" borderId="11" xfId="0" applyFont="1" applyBorder="1" applyAlignment="1">
      <alignment horizontal="center"/>
    </xf>
    <xf numFmtId="0" fontId="0" fillId="0" borderId="62" xfId="0" applyFill="1" applyBorder="1"/>
    <xf numFmtId="0" fontId="60" fillId="42" borderId="0" xfId="0" applyFont="1" applyFill="1"/>
    <xf numFmtId="0" fontId="0" fillId="0" borderId="11" xfId="0" applyBorder="1" applyAlignment="1">
      <alignment horizontal="center"/>
    </xf>
    <xf numFmtId="14" fontId="0" fillId="0" borderId="11" xfId="0" applyNumberFormat="1" applyBorder="1" applyAlignment="1">
      <alignment horizontal="center"/>
    </xf>
    <xf numFmtId="0" fontId="0" fillId="0" borderId="11" xfId="0" applyBorder="1" applyAlignment="1">
      <alignment horizontal="center"/>
    </xf>
    <xf numFmtId="0" fontId="26" fillId="24" borderId="36" xfId="0" applyFont="1" applyFill="1" applyBorder="1" applyAlignment="1">
      <alignment horizontal="center"/>
    </xf>
    <xf numFmtId="0" fontId="52"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1" fillId="24" borderId="0" xfId="0" applyFont="1" applyFill="1" applyAlignment="1">
      <alignment horizontal="right"/>
    </xf>
    <xf numFmtId="0" fontId="61" fillId="24" borderId="0" xfId="0" applyFont="1" applyFill="1"/>
    <xf numFmtId="0" fontId="61"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2" fillId="24" borderId="0" xfId="0" applyFont="1" applyFill="1" applyBorder="1"/>
    <xf numFmtId="2" fontId="22" fillId="24" borderId="0" xfId="0" applyNumberFormat="1" applyFont="1" applyFill="1" applyBorder="1"/>
    <xf numFmtId="0" fontId="26" fillId="24" borderId="36" xfId="0" applyFont="1" applyFill="1" applyBorder="1" applyAlignment="1">
      <alignment horizontal="center"/>
    </xf>
    <xf numFmtId="1" fontId="44" fillId="27" borderId="39" xfId="0" applyNumberFormat="1" applyFont="1" applyFill="1" applyBorder="1" applyAlignment="1">
      <alignment horizontal="center" vertical="center"/>
    </xf>
    <xf numFmtId="173" fontId="47" fillId="0" borderId="85" xfId="0" applyNumberFormat="1" applyFont="1" applyBorder="1"/>
    <xf numFmtId="4" fontId="0" fillId="0" borderId="11" xfId="0" quotePrefix="1" applyNumberFormat="1" applyBorder="1" applyAlignment="1" applyProtection="1">
      <alignment vertical="center" wrapText="1"/>
      <protection locked="0"/>
    </xf>
    <xf numFmtId="2" fontId="22" fillId="24" borderId="0" xfId="28" applyNumberFormat="1" applyFont="1" applyFill="1" applyBorder="1" applyAlignment="1" applyProtection="1">
      <protection locked="0"/>
    </xf>
    <xf numFmtId="165" fontId="22" fillId="24" borderId="0" xfId="28" applyFont="1" applyFill="1" applyBorder="1" applyAlignment="1" applyProtection="1">
      <protection locked="0"/>
    </xf>
    <xf numFmtId="173" fontId="44" fillId="0" borderId="67" xfId="0" applyNumberFormat="1" applyFont="1" applyBorder="1"/>
    <xf numFmtId="165" fontId="0" fillId="0" borderId="64" xfId="0" applyNumberFormat="1" applyBorder="1" applyAlignment="1">
      <alignment vertical="center"/>
    </xf>
    <xf numFmtId="0" fontId="0" fillId="0" borderId="0" xfId="0" applyBorder="1" applyAlignment="1">
      <alignment vertical="top" wrapText="1"/>
    </xf>
    <xf numFmtId="43" fontId="22" fillId="24" borderId="0" xfId="0" applyNumberFormat="1" applyFont="1" applyFill="1"/>
    <xf numFmtId="0" fontId="27" fillId="0" borderId="17" xfId="0" applyFont="1" applyBorder="1" applyAlignment="1">
      <alignment horizontal="center" vertical="center" wrapText="1"/>
    </xf>
    <xf numFmtId="0" fontId="27" fillId="0" borderId="17" xfId="0" applyFont="1" applyBorder="1" applyAlignment="1">
      <alignment horizontal="center" vertical="center" wrapText="1"/>
    </xf>
    <xf numFmtId="177" fontId="41" fillId="27" borderId="11" xfId="0" applyNumberFormat="1" applyFont="1" applyFill="1" applyBorder="1" applyAlignment="1">
      <alignment horizontal="center" vertical="center" wrapText="1"/>
    </xf>
    <xf numFmtId="9" fontId="41" fillId="27" borderId="11" xfId="0" applyNumberFormat="1" applyFont="1" applyFill="1" applyBorder="1" applyAlignment="1">
      <alignment horizontal="center" vertical="center" wrapText="1"/>
    </xf>
    <xf numFmtId="169" fontId="34" fillId="0" borderId="0" xfId="0" applyNumberFormat="1" applyFont="1" applyAlignment="1">
      <alignment horizontal="center" vertical="center"/>
    </xf>
    <xf numFmtId="168" fontId="37" fillId="0" borderId="11" xfId="0" applyNumberFormat="1" applyFont="1" applyBorder="1" applyAlignment="1">
      <alignment horizontal="center" vertical="center" wrapText="1"/>
    </xf>
    <xf numFmtId="0" fontId="27" fillId="0" borderId="14" xfId="0" applyFont="1" applyBorder="1" applyAlignment="1">
      <alignment horizontal="center" vertical="center"/>
    </xf>
    <xf numFmtId="0" fontId="27" fillId="0" borderId="17" xfId="0" applyFont="1" applyBorder="1" applyAlignment="1">
      <alignment horizontal="center" vertical="center"/>
    </xf>
    <xf numFmtId="2"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0" fontId="42" fillId="0" borderId="11" xfId="0" applyFont="1" applyBorder="1" applyAlignment="1">
      <alignment horizontal="center" vertical="center" wrapText="1"/>
    </xf>
    <xf numFmtId="0" fontId="42" fillId="0" borderId="14" xfId="0" applyFont="1" applyBorder="1" applyAlignment="1">
      <alignment horizontal="center" vertical="center" wrapText="1"/>
    </xf>
    <xf numFmtId="178" fontId="42" fillId="0" borderId="11" xfId="29" applyNumberFormat="1" applyFont="1" applyFill="1" applyBorder="1" applyAlignment="1">
      <alignment horizontal="center" vertical="center" wrapText="1"/>
    </xf>
    <xf numFmtId="178" fontId="42" fillId="0" borderId="14" xfId="29" applyNumberFormat="1" applyFont="1" applyFill="1" applyBorder="1" applyAlignment="1">
      <alignment horizontal="center" vertical="center" wrapText="1"/>
    </xf>
    <xf numFmtId="178" fontId="42" fillId="25" borderId="11" xfId="29" applyNumberFormat="1" applyFont="1" applyFill="1" applyBorder="1" applyAlignment="1">
      <alignment horizontal="center" vertical="center" wrapText="1"/>
    </xf>
    <xf numFmtId="178" fontId="42" fillId="25" borderId="14" xfId="29" applyNumberFormat="1" applyFont="1" applyFill="1" applyBorder="1" applyAlignment="1">
      <alignment horizontal="center" vertical="center" wrapText="1"/>
    </xf>
    <xf numFmtId="178" fontId="43" fillId="25" borderId="11" xfId="29" applyNumberFormat="1" applyFont="1" applyFill="1" applyBorder="1" applyAlignment="1">
      <alignment horizontal="center"/>
    </xf>
    <xf numFmtId="178" fontId="42" fillId="4" borderId="11"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78" fontId="42" fillId="39" borderId="58" xfId="58" applyNumberFormat="1" applyFont="1" applyFill="1" applyBorder="1" applyAlignment="1">
      <alignment horizontal="center" vertical="center" wrapText="1"/>
    </xf>
    <xf numFmtId="178" fontId="42" fillId="39" borderId="31" xfId="58" applyNumberFormat="1" applyFont="1" applyFill="1" applyBorder="1" applyAlignment="1">
      <alignment horizontal="center" vertical="center" wrapText="1"/>
    </xf>
    <xf numFmtId="178" fontId="42" fillId="26" borderId="13" xfId="58" applyNumberFormat="1" applyFont="1" applyFill="1" applyBorder="1" applyAlignment="1">
      <alignment horizontal="center" vertical="center" wrapText="1"/>
    </xf>
    <xf numFmtId="178" fontId="42" fillId="26" borderId="19" xfId="58" applyNumberFormat="1" applyFont="1" applyFill="1" applyBorder="1" applyAlignment="1">
      <alignment horizontal="center" vertical="center" wrapText="1"/>
    </xf>
    <xf numFmtId="178" fontId="42" fillId="26" borderId="14" xfId="29" applyNumberFormat="1" applyFont="1" applyFill="1" applyBorder="1" applyAlignment="1">
      <alignment horizontal="center" vertical="center" wrapText="1"/>
    </xf>
    <xf numFmtId="178" fontId="42" fillId="26" borderId="62" xfId="29" applyNumberFormat="1" applyFont="1" applyFill="1" applyBorder="1" applyAlignment="1">
      <alignment horizontal="center" vertical="center" wrapText="1"/>
    </xf>
    <xf numFmtId="178" fontId="42" fillId="26" borderId="17" xfId="29" applyNumberFormat="1" applyFont="1" applyFill="1" applyBorder="1" applyAlignment="1">
      <alignment horizontal="center" vertical="center" wrapText="1"/>
    </xf>
    <xf numFmtId="178" fontId="42" fillId="22" borderId="14" xfId="29" applyNumberFormat="1" applyFont="1" applyFill="1" applyBorder="1" applyAlignment="1">
      <alignment horizontal="center" vertical="center" wrapText="1"/>
    </xf>
    <xf numFmtId="178" fontId="42" fillId="22" borderId="62" xfId="29" applyNumberFormat="1" applyFont="1" applyFill="1" applyBorder="1" applyAlignment="1">
      <alignment horizontal="center" vertical="center" wrapText="1"/>
    </xf>
    <xf numFmtId="178" fontId="42" fillId="22" borderId="17" xfId="29" applyNumberFormat="1" applyFont="1" applyFill="1" applyBorder="1" applyAlignment="1">
      <alignment horizontal="center" vertical="center" wrapText="1"/>
    </xf>
    <xf numFmtId="178" fontId="42" fillId="0" borderId="13" xfId="29" applyNumberFormat="1" applyFont="1" applyFill="1" applyBorder="1" applyAlignment="1">
      <alignment horizontal="center" vertical="center" wrapText="1"/>
    </xf>
    <xf numFmtId="178" fontId="42" fillId="0" borderId="20" xfId="29" applyNumberFormat="1" applyFont="1" applyFill="1" applyBorder="1" applyAlignment="1">
      <alignment horizontal="center" vertical="center" wrapText="1"/>
    </xf>
    <xf numFmtId="178" fontId="42" fillId="0" borderId="19" xfId="29" applyNumberFormat="1" applyFont="1" applyFill="1" applyBorder="1" applyAlignment="1">
      <alignment horizontal="center" vertical="center" wrapText="1"/>
    </xf>
    <xf numFmtId="178" fontId="42" fillId="0" borderId="62"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4" borderId="58" xfId="29" applyNumberFormat="1" applyFont="1" applyFill="1" applyBorder="1" applyAlignment="1">
      <alignment horizontal="center" vertical="center" wrapText="1"/>
    </xf>
    <xf numFmtId="178" fontId="42" fillId="4" borderId="31" xfId="29" applyNumberFormat="1" applyFont="1" applyFill="1" applyBorder="1" applyAlignment="1">
      <alignment horizontal="center" vertical="center" wrapText="1"/>
    </xf>
    <xf numFmtId="178" fontId="42" fillId="4" borderId="30" xfId="29" applyNumberFormat="1" applyFont="1" applyFill="1" applyBorder="1" applyAlignment="1">
      <alignment horizontal="center" vertical="center" wrapText="1"/>
    </xf>
    <xf numFmtId="178" fontId="42" fillId="4" borderId="16"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9" fillId="22" borderId="11" xfId="0" applyFont="1" applyFill="1" applyBorder="1" applyAlignment="1">
      <alignment horizontal="center"/>
    </xf>
    <xf numFmtId="178" fontId="42" fillId="25" borderId="62" xfId="29" applyNumberFormat="1" applyFont="1" applyFill="1" applyBorder="1" applyAlignment="1">
      <alignment horizontal="center" vertical="center" wrapText="1"/>
    </xf>
    <xf numFmtId="178" fontId="42" fillId="39" borderId="87" xfId="58" applyNumberFormat="1" applyFont="1" applyFill="1" applyBorder="1" applyAlignment="1">
      <alignment horizontal="center" vertical="center" wrapText="1"/>
    </xf>
    <xf numFmtId="178" fontId="42" fillId="39" borderId="62" xfId="58" applyNumberFormat="1" applyFont="1" applyFill="1" applyBorder="1" applyAlignment="1">
      <alignment horizontal="center" vertical="center" wrapText="1"/>
    </xf>
    <xf numFmtId="178" fontId="42" fillId="39" borderId="17" xfId="58" applyNumberFormat="1" applyFont="1" applyFill="1" applyBorder="1" applyAlignment="1">
      <alignment horizontal="center" vertical="center" wrapText="1"/>
    </xf>
    <xf numFmtId="178" fontId="42" fillId="26" borderId="87" xfId="58" applyNumberFormat="1" applyFont="1" applyFill="1" applyBorder="1" applyAlignment="1">
      <alignment horizontal="center" vertical="center" wrapText="1"/>
    </xf>
    <xf numFmtId="178" fontId="42" fillId="26" borderId="62" xfId="58" applyNumberFormat="1" applyFont="1" applyFill="1" applyBorder="1" applyAlignment="1">
      <alignment horizontal="center" vertical="center" wrapText="1"/>
    </xf>
    <xf numFmtId="178" fontId="42" fillId="26" borderId="17" xfId="58" applyNumberFormat="1" applyFont="1" applyFill="1" applyBorder="1" applyAlignment="1">
      <alignment horizontal="center" vertical="center" wrapText="1"/>
    </xf>
    <xf numFmtId="0" fontId="42" fillId="0" borderId="87" xfId="0" applyFont="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177" fontId="42" fillId="0" borderId="58" xfId="0" applyNumberFormat="1" applyFont="1" applyBorder="1" applyAlignment="1">
      <alignment horizontal="center" vertical="center"/>
    </xf>
    <xf numFmtId="177"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7" fontId="42" fillId="0" borderId="30" xfId="0" applyNumberFormat="1" applyFont="1" applyBorder="1" applyAlignment="1">
      <alignment horizontal="center" vertical="center"/>
    </xf>
    <xf numFmtId="177"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0" fillId="0" borderId="11" xfId="0" applyBorder="1" applyAlignment="1">
      <alignment horizontal="center" vertical="center"/>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0" fontId="0" fillId="0" borderId="11" xfId="0"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52" fillId="27" borderId="11" xfId="0" applyFont="1" applyFill="1" applyBorder="1" applyAlignment="1">
      <alignment horizontal="center"/>
    </xf>
    <xf numFmtId="10" fontId="1" fillId="0" borderId="87"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0" borderId="11" xfId="0" applyFont="1" applyBorder="1" applyAlignment="1">
      <alignment horizontal="center"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0" fontId="52"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2" fillId="0" borderId="11" xfId="0" applyNumberFormat="1" applyFont="1" applyBorder="1" applyAlignment="1">
      <alignment horizontal="center"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cellXfs>
  <cellStyles count="5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8"/>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li_37" xfId="57"/>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522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Report1!$R$9:$R$39</c:f>
              <c:numCache>
                <c:formatCode>#,##0.00</c:formatCode>
                <c:ptCount val="31"/>
                <c:pt idx="0">
                  <c:v>3.3639999999999999</c:v>
                </c:pt>
                <c:pt idx="1">
                  <c:v>0</c:v>
                </c:pt>
                <c:pt idx="2">
                  <c:v>0</c:v>
                </c:pt>
                <c:pt idx="3">
                  <c:v>0</c:v>
                </c:pt>
                <c:pt idx="4">
                  <c:v>0</c:v>
                </c:pt>
                <c:pt idx="5">
                  <c:v>0</c:v>
                </c:pt>
                <c:pt idx="6">
                  <c:v>0</c:v>
                </c:pt>
                <c:pt idx="7">
                  <c:v>0</c:v>
                </c:pt>
                <c:pt idx="8">
                  <c:v>17.867000000000001</c:v>
                </c:pt>
                <c:pt idx="9">
                  <c:v>38.145000000000003</c:v>
                </c:pt>
                <c:pt idx="10">
                  <c:v>35.463999999999999</c:v>
                </c:pt>
                <c:pt idx="11">
                  <c:v>44.765000000000001</c:v>
                </c:pt>
                <c:pt idx="12">
                  <c:v>42.232999999999997</c:v>
                </c:pt>
                <c:pt idx="13">
                  <c:v>39.456000000000003</c:v>
                </c:pt>
                <c:pt idx="14">
                  <c:v>39.707000000000001</c:v>
                </c:pt>
                <c:pt idx="15">
                  <c:v>43.972000000000001</c:v>
                </c:pt>
                <c:pt idx="16">
                  <c:v>55.052999999999997</c:v>
                </c:pt>
                <c:pt idx="17">
                  <c:v>48.03</c:v>
                </c:pt>
                <c:pt idx="18">
                  <c:v>45.658000000000001</c:v>
                </c:pt>
                <c:pt idx="19">
                  <c:v>48.939</c:v>
                </c:pt>
                <c:pt idx="20">
                  <c:v>38.347000000000001</c:v>
                </c:pt>
                <c:pt idx="21">
                  <c:v>37.927999999999997</c:v>
                </c:pt>
                <c:pt idx="22">
                  <c:v>42.213000000000001</c:v>
                </c:pt>
                <c:pt idx="23">
                  <c:v>38.56</c:v>
                </c:pt>
                <c:pt idx="24">
                  <c:v>23.135000000000002</c:v>
                </c:pt>
                <c:pt idx="25">
                  <c:v>24.103000000000002</c:v>
                </c:pt>
                <c:pt idx="26">
                  <c:v>27.523</c:v>
                </c:pt>
                <c:pt idx="27">
                  <c:v>50.752000000000002</c:v>
                </c:pt>
                <c:pt idx="28">
                  <c:v>41.235999999999997</c:v>
                </c:pt>
                <c:pt idx="29">
                  <c:v>38.847999999999999</c:v>
                </c:pt>
                <c:pt idx="30">
                  <c:v>39.340000000000003</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267091032"/>
        <c:axId val="267095736"/>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Report1!$J$9:$J$39</c:f>
              <c:numCache>
                <c:formatCode>0.00%</c:formatCode>
                <c:ptCount val="31"/>
                <c:pt idx="0">
                  <c:v>6.3779031213958406E-2</c:v>
                </c:pt>
                <c:pt idx="1">
                  <c:v>0</c:v>
                </c:pt>
                <c:pt idx="2">
                  <c:v>0</c:v>
                </c:pt>
                <c:pt idx="3">
                  <c:v>0</c:v>
                </c:pt>
                <c:pt idx="4">
                  <c:v>0</c:v>
                </c:pt>
                <c:pt idx="5">
                  <c:v>0</c:v>
                </c:pt>
                <c:pt idx="6">
                  <c:v>0</c:v>
                </c:pt>
                <c:pt idx="7">
                  <c:v>0</c:v>
                </c:pt>
                <c:pt idx="8">
                  <c:v>0.33723214167880161</c:v>
                </c:pt>
                <c:pt idx="9">
                  <c:v>0.73928462722957766</c:v>
                </c:pt>
                <c:pt idx="10">
                  <c:v>0.68754318232120826</c:v>
                </c:pt>
                <c:pt idx="11">
                  <c:v>0.86841445826486119</c:v>
                </c:pt>
                <c:pt idx="12">
                  <c:v>0.81946711240461079</c:v>
                </c:pt>
                <c:pt idx="13">
                  <c:v>0.75745989323230734</c:v>
                </c:pt>
                <c:pt idx="14">
                  <c:v>0.76448884990270061</c:v>
                </c:pt>
                <c:pt idx="15">
                  <c:v>0.83539903279744832</c:v>
                </c:pt>
                <c:pt idx="16">
                  <c:v>1.0551597752404343</c:v>
                </c:pt>
                <c:pt idx="17">
                  <c:v>0.92884415584716962</c:v>
                </c:pt>
                <c:pt idx="18">
                  <c:v>0.86881282319173403</c:v>
                </c:pt>
                <c:pt idx="19">
                  <c:v>0.93397021892165755</c:v>
                </c:pt>
                <c:pt idx="20">
                  <c:v>0.815387169305125</c:v>
                </c:pt>
                <c:pt idx="21">
                  <c:v>0.83047657000280273</c:v>
                </c:pt>
                <c:pt idx="22">
                  <c:v>0.83073164472014116</c:v>
                </c:pt>
                <c:pt idx="23">
                  <c:v>0.80693926922324177</c:v>
                </c:pt>
                <c:pt idx="24">
                  <c:v>0.46427469827431206</c:v>
                </c:pt>
                <c:pt idx="25">
                  <c:v>0.49465140196536939</c:v>
                </c:pt>
                <c:pt idx="26">
                  <c:v>0.56080583350215796</c:v>
                </c:pt>
                <c:pt idx="27">
                  <c:v>1.0354079048772293</c:v>
                </c:pt>
                <c:pt idx="28">
                  <c:v>0.82954698594074572</c:v>
                </c:pt>
                <c:pt idx="29">
                  <c:v>0.73589135703641773</c:v>
                </c:pt>
                <c:pt idx="30">
                  <c:v>0.74858932356270591</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Report1!$K$9:$K$39</c:f>
              <c:numCache>
                <c:formatCode>0.00%</c:formatCode>
                <c:ptCount val="31"/>
                <c:pt idx="0">
                  <c:v>6.3779031213958406E-2</c:v>
                </c:pt>
                <c:pt idx="1">
                  <c:v>3.1889515606979203E-2</c:v>
                </c:pt>
                <c:pt idx="2">
                  <c:v>2.1259677071319465E-2</c:v>
                </c:pt>
                <c:pt idx="3">
                  <c:v>1.5944757803489602E-2</c:v>
                </c:pt>
                <c:pt idx="4">
                  <c:v>1.2755806242791681E-2</c:v>
                </c:pt>
                <c:pt idx="5">
                  <c:v>1.0629838535659734E-2</c:v>
                </c:pt>
                <c:pt idx="6">
                  <c:v>9.1112901734226297E-3</c:v>
                </c:pt>
                <c:pt idx="7">
                  <c:v>7.9723789017448025E-3</c:v>
                </c:pt>
                <c:pt idx="8">
                  <c:v>4.4702660782263773E-2</c:v>
                </c:pt>
                <c:pt idx="9">
                  <c:v>0.11276735752957592</c:v>
                </c:pt>
                <c:pt idx="10">
                  <c:v>0.16405009032838719</c:v>
                </c:pt>
                <c:pt idx="11">
                  <c:v>0.2217134582497351</c:v>
                </c:pt>
                <c:pt idx="12">
                  <c:v>0.26693727592403049</c:v>
                </c:pt>
                <c:pt idx="13">
                  <c:v>0.30178191955444045</c:v>
                </c:pt>
                <c:pt idx="14">
                  <c:v>0.33238779618664105</c:v>
                </c:pt>
                <c:pt idx="15">
                  <c:v>0.36398765963483876</c:v>
                </c:pt>
                <c:pt idx="16">
                  <c:v>0.40450480002206313</c:v>
                </c:pt>
                <c:pt idx="17">
                  <c:v>0.43329510068281685</c:v>
                </c:pt>
                <c:pt idx="18">
                  <c:v>0.45631364018158782</c:v>
                </c:pt>
                <c:pt idx="19">
                  <c:v>0.48022558162664908</c:v>
                </c:pt>
                <c:pt idx="20">
                  <c:v>0.49463714927567271</c:v>
                </c:pt>
                <c:pt idx="21">
                  <c:v>0.50809846652076174</c:v>
                </c:pt>
                <c:pt idx="22">
                  <c:v>0.52187274663598016</c:v>
                </c:pt>
                <c:pt idx="23">
                  <c:v>0.53287600769733623</c:v>
                </c:pt>
                <c:pt idx="24">
                  <c:v>0.53022159835193838</c:v>
                </c:pt>
                <c:pt idx="25">
                  <c:v>0.5289248069736836</c:v>
                </c:pt>
                <c:pt idx="26">
                  <c:v>0.53005399515933571</c:v>
                </c:pt>
                <c:pt idx="27">
                  <c:v>0.54731994830388797</c:v>
                </c:pt>
                <c:pt idx="28">
                  <c:v>0.55677131086856846</c:v>
                </c:pt>
                <c:pt idx="29">
                  <c:v>0.56292282912310532</c:v>
                </c:pt>
                <c:pt idx="30">
                  <c:v>0.56906056118136883</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267091816"/>
        <c:axId val="267091424"/>
      </c:lineChart>
      <c:dateAx>
        <c:axId val="267091032"/>
        <c:scaling>
          <c:orientation val="minMax"/>
        </c:scaling>
        <c:delete val="0"/>
        <c:axPos val="b"/>
        <c:numFmt formatCode="d\-mmm" sourceLinked="1"/>
        <c:majorTickMark val="out"/>
        <c:minorTickMark val="none"/>
        <c:tickLblPos val="nextTo"/>
        <c:crossAx val="267095736"/>
        <c:crosses val="autoZero"/>
        <c:auto val="1"/>
        <c:lblOffset val="100"/>
        <c:baseTimeUnit val="days"/>
      </c:dateAx>
      <c:valAx>
        <c:axId val="267095736"/>
        <c:scaling>
          <c:orientation val="minMax"/>
        </c:scaling>
        <c:delete val="0"/>
        <c:axPos val="l"/>
        <c:majorGridlines/>
        <c:numFmt formatCode="#,##0.00" sourceLinked="1"/>
        <c:majorTickMark val="out"/>
        <c:minorTickMark val="none"/>
        <c:tickLblPos val="nextTo"/>
        <c:crossAx val="267091032"/>
        <c:crosses val="autoZero"/>
        <c:crossBetween val="between"/>
      </c:valAx>
      <c:valAx>
        <c:axId val="267091424"/>
        <c:scaling>
          <c:orientation val="minMax"/>
        </c:scaling>
        <c:delete val="0"/>
        <c:axPos val="r"/>
        <c:numFmt formatCode="0.00%" sourceLinked="1"/>
        <c:majorTickMark val="out"/>
        <c:minorTickMark val="none"/>
        <c:tickLblPos val="nextTo"/>
        <c:crossAx val="267091816"/>
        <c:crosses val="max"/>
        <c:crossBetween val="between"/>
      </c:valAx>
      <c:dateAx>
        <c:axId val="267091816"/>
        <c:scaling>
          <c:orientation val="minMax"/>
        </c:scaling>
        <c:delete val="1"/>
        <c:axPos val="b"/>
        <c:numFmt formatCode="d\-mmm" sourceLinked="1"/>
        <c:majorTickMark val="out"/>
        <c:minorTickMark val="none"/>
        <c:tickLblPos val="none"/>
        <c:crossAx val="267091424"/>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OKTO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J9">
            <v>0.20473999820231253</v>
          </cell>
          <cell r="AZ9">
            <v>0</v>
          </cell>
        </row>
        <row r="10">
          <cell r="AZ10">
            <v>0</v>
          </cell>
        </row>
        <row r="11">
          <cell r="AZ11">
            <v>0</v>
          </cell>
        </row>
        <row r="12">
          <cell r="AZ12">
            <v>0</v>
          </cell>
        </row>
        <row r="13">
          <cell r="AZ13">
            <v>0</v>
          </cell>
        </row>
        <row r="14">
          <cell r="AZ14">
            <v>0</v>
          </cell>
        </row>
        <row r="15">
          <cell r="AZ15">
            <v>0</v>
          </cell>
        </row>
        <row r="16">
          <cell r="AZ16">
            <v>0</v>
          </cell>
        </row>
        <row r="17">
          <cell r="AZ17">
            <v>2768.5009482043379</v>
          </cell>
        </row>
        <row r="18">
          <cell r="AZ18">
            <v>3799.328145868416</v>
          </cell>
        </row>
        <row r="19">
          <cell r="AZ19">
            <v>4117.2851796564555</v>
          </cell>
        </row>
        <row r="20">
          <cell r="AZ20">
            <v>3583.8023488021686</v>
          </cell>
        </row>
        <row r="21">
          <cell r="AZ21">
            <v>3966.528986965367</v>
          </cell>
        </row>
        <row r="22">
          <cell r="AZ22">
            <v>4108.5239736060157</v>
          </cell>
        </row>
        <row r="23">
          <cell r="AZ23">
            <v>3919.3263458528231</v>
          </cell>
        </row>
        <row r="24">
          <cell r="AZ24">
            <v>3927.6601068110322</v>
          </cell>
        </row>
        <row r="25">
          <cell r="AZ25">
            <v>4142.5593634664247</v>
          </cell>
        </row>
        <row r="26">
          <cell r="AZ26">
            <v>3881.8829291117518</v>
          </cell>
        </row>
        <row r="27">
          <cell r="AZ27">
            <v>4757.3024394257272</v>
          </cell>
        </row>
        <row r="28">
          <cell r="AZ28">
            <v>4568.7659394722459</v>
          </cell>
        </row>
        <row r="29">
          <cell r="AZ29">
            <v>4524.8061245997733</v>
          </cell>
        </row>
        <row r="30">
          <cell r="AZ30">
            <v>4602.2885506487219</v>
          </cell>
        </row>
        <row r="31">
          <cell r="AZ31">
            <v>4680.1040255321714</v>
          </cell>
        </row>
        <row r="32">
          <cell r="AZ32">
            <v>4262.6399609581522</v>
          </cell>
        </row>
        <row r="33">
          <cell r="AZ33">
            <v>3112.4447263271391</v>
          </cell>
        </row>
        <row r="34">
          <cell r="AZ34">
            <v>1235.101321585903</v>
          </cell>
        </row>
        <row r="35">
          <cell r="AZ35">
            <v>3279.5542487503676</v>
          </cell>
        </row>
        <row r="36">
          <cell r="AZ36">
            <v>3987.5154755851522</v>
          </cell>
        </row>
        <row r="37">
          <cell r="AZ37">
            <v>4136.4003828182176</v>
          </cell>
        </row>
        <row r="38">
          <cell r="AZ38">
            <v>4105.0038781659259</v>
          </cell>
        </row>
        <row r="39">
          <cell r="AZ39">
            <v>3352.9696691070831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7">
          <cell r="D7">
            <v>98.21000000089407</v>
          </cell>
          <cell r="AZ7">
            <v>3118.6499999999774</v>
          </cell>
          <cell r="BA7">
            <v>2068.6500000003639</v>
          </cell>
          <cell r="BB7">
            <v>0</v>
          </cell>
          <cell r="BC7">
            <v>0</v>
          </cell>
          <cell r="BO7">
            <v>0</v>
          </cell>
        </row>
        <row r="8">
          <cell r="AZ8">
            <v>2877.0900000000338</v>
          </cell>
          <cell r="BA8">
            <v>1377.0899999996361</v>
          </cell>
          <cell r="BB8">
            <v>0</v>
          </cell>
          <cell r="BC8">
            <v>0</v>
          </cell>
          <cell r="BO8">
            <v>0</v>
          </cell>
        </row>
        <row r="9">
          <cell r="AZ9">
            <v>1536.109999999966</v>
          </cell>
          <cell r="BA9">
            <v>186.11</v>
          </cell>
          <cell r="BB9">
            <v>0</v>
          </cell>
          <cell r="BC9">
            <v>0</v>
          </cell>
          <cell r="BO9">
            <v>0</v>
          </cell>
        </row>
        <row r="10">
          <cell r="AZ10">
            <v>3963.220000000023</v>
          </cell>
          <cell r="BA10">
            <v>13.219999999636229</v>
          </cell>
          <cell r="BB10">
            <v>0</v>
          </cell>
          <cell r="BC10">
            <v>0</v>
          </cell>
          <cell r="BO10">
            <v>0</v>
          </cell>
        </row>
        <row r="11">
          <cell r="AZ11">
            <v>2660.2400000000116</v>
          </cell>
          <cell r="BA11">
            <v>360.24</v>
          </cell>
          <cell r="BB11">
            <v>0</v>
          </cell>
          <cell r="BC11">
            <v>0</v>
          </cell>
          <cell r="BO11">
            <v>0</v>
          </cell>
        </row>
        <row r="12">
          <cell r="AZ12">
            <v>2152.3699999999817</v>
          </cell>
          <cell r="BA12">
            <v>82.3700000007276</v>
          </cell>
          <cell r="BB12">
            <v>0</v>
          </cell>
          <cell r="BC12">
            <v>0</v>
          </cell>
          <cell r="BO12">
            <v>0</v>
          </cell>
        </row>
        <row r="13">
          <cell r="AZ13">
            <v>2041.6500000000296</v>
          </cell>
          <cell r="BA13">
            <v>886.65</v>
          </cell>
          <cell r="BB13">
            <v>0</v>
          </cell>
          <cell r="BC13">
            <v>0</v>
          </cell>
          <cell r="BO13">
            <v>0</v>
          </cell>
        </row>
        <row r="14">
          <cell r="AZ14">
            <v>2267.1299999999592</v>
          </cell>
          <cell r="BA14">
            <v>72.130000000363793</v>
          </cell>
          <cell r="BB14">
            <v>0</v>
          </cell>
          <cell r="BC14">
            <v>99.999999999909051</v>
          </cell>
          <cell r="BO14">
            <v>0</v>
          </cell>
        </row>
        <row r="15">
          <cell r="AZ15">
            <v>8439.9300000000258</v>
          </cell>
          <cell r="BA15">
            <v>7329.9299999992727</v>
          </cell>
          <cell r="BB15">
            <v>0</v>
          </cell>
          <cell r="BC15">
            <v>900.00000000009095</v>
          </cell>
          <cell r="BO15">
            <v>0</v>
          </cell>
        </row>
        <row r="16">
          <cell r="AZ16">
            <v>11628.66999999855</v>
          </cell>
          <cell r="BA16">
            <v>15258.670000000364</v>
          </cell>
          <cell r="BB16">
            <v>8628.2423999992134</v>
          </cell>
          <cell r="BC16">
            <v>299.99999999995453</v>
          </cell>
          <cell r="BO16">
            <v>0</v>
          </cell>
        </row>
        <row r="17">
          <cell r="AZ17">
            <v>11621.390000002171</v>
          </cell>
          <cell r="BA17">
            <v>16271.389999998908</v>
          </cell>
          <cell r="BB17">
            <v>12176.390000001382</v>
          </cell>
          <cell r="BC17">
            <v>0</v>
          </cell>
          <cell r="BO17">
            <v>0</v>
          </cell>
        </row>
        <row r="18">
          <cell r="AZ18">
            <v>9585.5399999992769</v>
          </cell>
          <cell r="BA18">
            <v>15365.540000000728</v>
          </cell>
          <cell r="BB18">
            <v>12235.53999999971</v>
          </cell>
          <cell r="BC18">
            <v>0</v>
          </cell>
          <cell r="BO18">
            <v>0</v>
          </cell>
        </row>
        <row r="19">
          <cell r="AZ19">
            <v>12261.47000000001</v>
          </cell>
          <cell r="BA19">
            <v>15461.47</v>
          </cell>
          <cell r="BB19">
            <v>11461.469999999998</v>
          </cell>
          <cell r="BC19">
            <v>1000</v>
          </cell>
          <cell r="BO19">
            <v>0</v>
          </cell>
        </row>
        <row r="20">
          <cell r="AZ20">
            <v>11816.199999999992</v>
          </cell>
          <cell r="BA20">
            <v>17306.2</v>
          </cell>
          <cell r="BB20">
            <v>11806.2</v>
          </cell>
          <cell r="BC20">
            <v>1200.0000000000455</v>
          </cell>
          <cell r="BO20">
            <v>0</v>
          </cell>
        </row>
        <row r="21">
          <cell r="AZ21">
            <v>11083.599999999966</v>
          </cell>
          <cell r="BA21">
            <v>17733.599999999999</v>
          </cell>
          <cell r="BB21">
            <v>11733.599999999999</v>
          </cell>
          <cell r="BC21">
            <v>1199.9999999998181</v>
          </cell>
          <cell r="BO21">
            <v>0</v>
          </cell>
        </row>
        <row r="22">
          <cell r="AZ22">
            <v>12130.200000000021</v>
          </cell>
          <cell r="BA22">
            <v>14715.2</v>
          </cell>
          <cell r="BB22">
            <v>13715.2</v>
          </cell>
          <cell r="BC22">
            <v>1500</v>
          </cell>
          <cell r="BO22">
            <v>0</v>
          </cell>
        </row>
        <row r="23">
          <cell r="AZ23">
            <v>12969.379999999997</v>
          </cell>
          <cell r="BA23">
            <v>14529.38</v>
          </cell>
          <cell r="BB23">
            <v>15529.380000000001</v>
          </cell>
          <cell r="BC23">
            <v>1500</v>
          </cell>
          <cell r="BO23">
            <v>0</v>
          </cell>
        </row>
        <row r="24">
          <cell r="AZ24">
            <v>11353.990000000013</v>
          </cell>
          <cell r="BA24">
            <v>18868.990000000002</v>
          </cell>
          <cell r="BB24">
            <v>14868.990000000002</v>
          </cell>
          <cell r="BC24">
            <v>1600.0000000001364</v>
          </cell>
          <cell r="BO24">
            <v>0</v>
          </cell>
        </row>
        <row r="25">
          <cell r="AZ25">
            <v>12018.29000000001</v>
          </cell>
          <cell r="BA25">
            <v>9653.2900000000009</v>
          </cell>
          <cell r="BB25">
            <v>16153.29</v>
          </cell>
          <cell r="BC25">
            <v>1599.9999999999091</v>
          </cell>
          <cell r="BO25">
            <v>0</v>
          </cell>
        </row>
        <row r="26">
          <cell r="AZ26">
            <v>10992.609999999961</v>
          </cell>
          <cell r="BA26">
            <v>13572.61</v>
          </cell>
          <cell r="BB26">
            <v>14572.61</v>
          </cell>
          <cell r="BC26">
            <v>1400.0000000000909</v>
          </cell>
          <cell r="BO26">
            <v>0</v>
          </cell>
        </row>
        <row r="27">
          <cell r="AZ27">
            <v>10747.430000000011</v>
          </cell>
          <cell r="BA27">
            <v>17322.43</v>
          </cell>
          <cell r="BB27">
            <v>12322.43</v>
          </cell>
          <cell r="BC27">
            <v>1599.9999999999091</v>
          </cell>
          <cell r="BO27">
            <v>0</v>
          </cell>
        </row>
        <row r="28">
          <cell r="AZ28">
            <v>11678.740000000027</v>
          </cell>
          <cell r="BA28">
            <v>19208.740000000002</v>
          </cell>
          <cell r="BB28">
            <v>10708.739999999998</v>
          </cell>
          <cell r="BC28">
            <v>799.99999999995453</v>
          </cell>
          <cell r="BO28">
            <v>0</v>
          </cell>
        </row>
        <row r="29">
          <cell r="AZ29">
            <v>12941.969999999965</v>
          </cell>
          <cell r="BA29">
            <v>19591.97</v>
          </cell>
          <cell r="BB29">
            <v>10591.969999999998</v>
          </cell>
          <cell r="BC29">
            <v>1300.0000000001819</v>
          </cell>
          <cell r="BO29">
            <v>0</v>
          </cell>
        </row>
        <row r="30">
          <cell r="AZ30">
            <v>12262.730000000034</v>
          </cell>
          <cell r="BA30">
            <v>18862.73</v>
          </cell>
          <cell r="BB30">
            <v>11862.73</v>
          </cell>
          <cell r="BC30">
            <v>2000</v>
          </cell>
          <cell r="BO30">
            <v>0</v>
          </cell>
        </row>
        <row r="31">
          <cell r="AZ31">
            <v>11695.319999999989</v>
          </cell>
          <cell r="BA31">
            <v>18245.32</v>
          </cell>
          <cell r="BB31">
            <v>10745.32</v>
          </cell>
          <cell r="BC31">
            <v>2000</v>
          </cell>
          <cell r="BO31">
            <v>0</v>
          </cell>
        </row>
        <row r="32">
          <cell r="AZ32">
            <v>10170.110000000011</v>
          </cell>
          <cell r="BA32">
            <v>11120.11</v>
          </cell>
          <cell r="BB32">
            <v>9620.11</v>
          </cell>
          <cell r="BC32">
            <v>2000</v>
          </cell>
          <cell r="BO32">
            <v>0</v>
          </cell>
        </row>
        <row r="33">
          <cell r="AZ33">
            <v>9005.9099999999653</v>
          </cell>
          <cell r="BA33">
            <v>15655.91</v>
          </cell>
          <cell r="BB33">
            <v>10155.91</v>
          </cell>
          <cell r="BC33">
            <v>1969.9999999998636</v>
          </cell>
          <cell r="BO33">
            <v>0</v>
          </cell>
        </row>
        <row r="34">
          <cell r="AZ34">
            <v>11294.390000000038</v>
          </cell>
          <cell r="BA34">
            <v>17774.39</v>
          </cell>
          <cell r="BB34">
            <v>10274.39</v>
          </cell>
          <cell r="BC34">
            <v>1869.9999999999545</v>
          </cell>
          <cell r="BO34">
            <v>0</v>
          </cell>
        </row>
        <row r="35">
          <cell r="AZ35">
            <v>10839.580000000002</v>
          </cell>
          <cell r="BA35">
            <v>19529.580000000002</v>
          </cell>
          <cell r="BB35">
            <v>12029.579999999998</v>
          </cell>
          <cell r="BC35">
            <v>1765.0000000000455</v>
          </cell>
          <cell r="BO35">
            <v>0</v>
          </cell>
        </row>
        <row r="36">
          <cell r="AZ36">
            <v>11450.300000000003</v>
          </cell>
          <cell r="BA36">
            <v>18205.3</v>
          </cell>
          <cell r="BB36">
            <v>7323.1800000000012</v>
          </cell>
          <cell r="BC36">
            <v>815.00000000004547</v>
          </cell>
          <cell r="BO36">
            <v>9973.7999999999884</v>
          </cell>
        </row>
        <row r="37">
          <cell r="AZ37">
            <v>9789.9899999999943</v>
          </cell>
          <cell r="BA37">
            <v>15534.99</v>
          </cell>
          <cell r="BB37">
            <v>0</v>
          </cell>
          <cell r="BC37">
            <v>115</v>
          </cell>
          <cell r="BO37">
            <v>19339.2</v>
          </cell>
        </row>
      </sheetData>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5536"/>
  <sheetViews>
    <sheetView zoomScaleNormal="100" workbookViewId="0">
      <pane xSplit="3" ySplit="8" topLeftCell="Y9" activePane="bottomRight" state="frozen"/>
      <selection pane="topRight" activeCell="E1" sqref="E1"/>
      <selection pane="bottomLeft" activeCell="A9" sqref="A9"/>
      <selection pane="bottomRight" activeCell="AK9" sqref="AK9"/>
    </sheetView>
  </sheetViews>
  <sheetFormatPr defaultColWidth="9.140625" defaultRowHeight="12.75"/>
  <cols>
    <col min="1" max="1" width="7.5703125" style="266" customWidth="1"/>
    <col min="2" max="2" width="12" style="265" customWidth="1"/>
    <col min="3" max="3" width="12.28515625" style="265" bestFit="1" customWidth="1"/>
    <col min="4" max="4" width="8.28515625" style="265" customWidth="1"/>
    <col min="5" max="5" width="8" style="265" customWidth="1"/>
    <col min="6" max="6" width="6.85546875" style="265" customWidth="1"/>
    <col min="7" max="11" width="8.7109375" style="265" customWidth="1"/>
    <col min="12" max="12" width="8.7109375" style="267" customWidth="1"/>
    <col min="13" max="15" width="8.7109375" style="268" customWidth="1"/>
    <col min="16" max="16" width="8.7109375" style="267" customWidth="1"/>
    <col min="17" max="17" width="8.7109375" style="268" customWidth="1"/>
    <col min="18" max="18" width="8.7109375" style="267" customWidth="1"/>
    <col min="19" max="19" width="8.7109375" style="269" customWidth="1"/>
    <col min="20" max="21" width="10.140625" style="269" bestFit="1" customWidth="1"/>
    <col min="22" max="25" width="8.7109375" style="269" customWidth="1"/>
    <col min="26" max="27" width="7.7109375" style="269" customWidth="1"/>
    <col min="28" max="29" width="7.7109375" style="270" customWidth="1"/>
    <col min="30" max="30" width="7.7109375" style="269" customWidth="1"/>
    <col min="31" max="31" width="7.7109375" style="270" customWidth="1"/>
    <col min="32" max="33" width="7.7109375" style="269" customWidth="1"/>
    <col min="34" max="35" width="7.7109375" style="270" customWidth="1"/>
    <col min="36" max="36" width="7.7109375" style="269" customWidth="1"/>
    <col min="37" max="37" width="7.7109375" style="270" customWidth="1"/>
    <col min="38" max="38" width="12" style="269" customWidth="1"/>
    <col min="39" max="39" width="11.140625" style="269" customWidth="1"/>
    <col min="40" max="43" width="7.5703125" style="270" customWidth="1"/>
    <col min="44" max="44" width="8.85546875" style="269" customWidth="1"/>
    <col min="45" max="45" width="11.140625" style="269" customWidth="1"/>
    <col min="46" max="49" width="7.5703125" style="270" customWidth="1"/>
    <col min="50" max="50" width="11.140625" style="96" hidden="1" customWidth="1"/>
    <col min="51" max="51" width="8.7109375" style="267" customWidth="1"/>
    <col min="52" max="52" width="8.7109375" style="268" customWidth="1"/>
    <col min="53" max="54" width="8.7109375" style="265" customWidth="1"/>
  </cols>
  <sheetData>
    <row r="1" spans="1:54" ht="12.75" customHeight="1">
      <c r="A1" s="264"/>
    </row>
    <row r="2" spans="1:54">
      <c r="A2" s="264"/>
    </row>
    <row r="3" spans="1:54" ht="12.75" customHeight="1">
      <c r="A3" s="608" t="s">
        <v>231</v>
      </c>
      <c r="B3" s="608"/>
      <c r="C3" s="608"/>
      <c r="D3" s="608"/>
      <c r="E3" s="608"/>
      <c r="F3" s="608"/>
      <c r="G3" s="608"/>
      <c r="H3" s="608"/>
      <c r="I3" s="608"/>
      <c r="J3" s="608"/>
      <c r="K3" s="608"/>
      <c r="L3" s="608"/>
      <c r="M3" s="608"/>
      <c r="N3" s="608"/>
      <c r="O3" s="608"/>
      <c r="P3" s="608"/>
      <c r="Q3" s="608"/>
      <c r="R3" s="608"/>
      <c r="S3" s="608"/>
      <c r="T3" s="608"/>
      <c r="U3" s="608"/>
      <c r="V3" s="608"/>
      <c r="W3" s="608"/>
      <c r="X3" s="608"/>
      <c r="Y3" s="608"/>
      <c r="Z3" s="608"/>
      <c r="AA3" s="608"/>
      <c r="AB3" s="608"/>
      <c r="AC3" s="608"/>
      <c r="AD3" s="608"/>
      <c r="AE3" s="608"/>
      <c r="AF3" s="608"/>
      <c r="AG3" s="608"/>
      <c r="AH3" s="608"/>
      <c r="AI3" s="608"/>
      <c r="AJ3" s="608"/>
      <c r="AK3" s="608"/>
      <c r="AL3" s="608"/>
      <c r="AM3" s="608"/>
      <c r="AN3" s="608"/>
      <c r="AO3" s="608"/>
      <c r="AP3" s="608"/>
      <c r="AQ3" s="608"/>
      <c r="AR3" s="454"/>
      <c r="AS3" s="454"/>
      <c r="AT3" s="454"/>
      <c r="AU3" s="454"/>
      <c r="AV3" s="454"/>
      <c r="AW3" s="454"/>
      <c r="AY3"/>
      <c r="AZ3"/>
      <c r="BA3"/>
      <c r="BB3"/>
    </row>
    <row r="4" spans="1:54" ht="12.75" customHeight="1">
      <c r="A4" s="608"/>
      <c r="B4" s="608"/>
      <c r="C4" s="608"/>
      <c r="D4" s="608"/>
      <c r="E4" s="608"/>
      <c r="F4" s="608"/>
      <c r="G4" s="608"/>
      <c r="H4" s="608"/>
      <c r="I4" s="608"/>
      <c r="J4" s="608"/>
      <c r="K4" s="608"/>
      <c r="L4" s="608"/>
      <c r="M4" s="608"/>
      <c r="N4" s="608"/>
      <c r="O4" s="608"/>
      <c r="P4" s="608"/>
      <c r="Q4" s="608"/>
      <c r="R4" s="608"/>
      <c r="S4" s="608"/>
      <c r="T4" s="608"/>
      <c r="U4" s="608"/>
      <c r="V4" s="608"/>
      <c r="W4" s="608"/>
      <c r="X4" s="608"/>
      <c r="Y4" s="608"/>
      <c r="Z4" s="608"/>
      <c r="AA4" s="608"/>
      <c r="AB4" s="608"/>
      <c r="AC4" s="608"/>
      <c r="AD4" s="608"/>
      <c r="AE4" s="608"/>
      <c r="AF4" s="608"/>
      <c r="AG4" s="608"/>
      <c r="AH4" s="608"/>
      <c r="AI4" s="608"/>
      <c r="AJ4" s="608"/>
      <c r="AK4" s="608"/>
      <c r="AL4" s="608"/>
      <c r="AM4" s="608"/>
      <c r="AN4" s="608"/>
      <c r="AO4" s="608"/>
      <c r="AP4" s="608"/>
      <c r="AQ4" s="608"/>
      <c r="AR4" s="454"/>
      <c r="AS4" s="454"/>
      <c r="AT4" s="454"/>
      <c r="AU4" s="454"/>
      <c r="AV4" s="454"/>
      <c r="AW4" s="454"/>
      <c r="AY4"/>
      <c r="AZ4"/>
      <c r="BA4"/>
      <c r="BB4"/>
    </row>
    <row r="5" spans="1:54">
      <c r="H5" s="267"/>
      <c r="I5" s="268"/>
      <c r="J5" s="268"/>
      <c r="K5" s="268"/>
      <c r="BA5" s="268"/>
      <c r="BB5" s="268"/>
    </row>
    <row r="6" spans="1:54" ht="22.7" customHeight="1">
      <c r="A6" s="614" t="s">
        <v>8</v>
      </c>
      <c r="B6" s="613" t="s">
        <v>9</v>
      </c>
      <c r="C6" s="613" t="s">
        <v>6</v>
      </c>
      <c r="D6" s="613" t="s">
        <v>200</v>
      </c>
      <c r="E6" s="613" t="s">
        <v>201</v>
      </c>
      <c r="F6" s="613" t="s">
        <v>197</v>
      </c>
      <c r="G6" s="613" t="s">
        <v>196</v>
      </c>
      <c r="H6" s="613" t="s">
        <v>198</v>
      </c>
      <c r="I6" s="613" t="s">
        <v>199</v>
      </c>
      <c r="J6" s="618" t="s">
        <v>203</v>
      </c>
      <c r="K6" s="619"/>
      <c r="L6" s="617" t="s">
        <v>202</v>
      </c>
      <c r="M6" s="617"/>
      <c r="N6" s="617" t="s">
        <v>204</v>
      </c>
      <c r="O6" s="617"/>
      <c r="P6" s="622" t="s">
        <v>31</v>
      </c>
      <c r="Q6" s="622"/>
      <c r="R6" s="609" t="s">
        <v>23</v>
      </c>
      <c r="S6" s="609"/>
      <c r="T6" s="609" t="s">
        <v>32</v>
      </c>
      <c r="U6" s="609"/>
      <c r="V6" s="609"/>
      <c r="W6" s="609"/>
      <c r="X6" s="609"/>
      <c r="Y6" s="609"/>
      <c r="Z6" s="609" t="s">
        <v>33</v>
      </c>
      <c r="AA6" s="609"/>
      <c r="AB6" s="609"/>
      <c r="AC6" s="609"/>
      <c r="AD6" s="609"/>
      <c r="AE6" s="609"/>
      <c r="AF6" s="609" t="s">
        <v>291</v>
      </c>
      <c r="AG6" s="609"/>
      <c r="AH6" s="609"/>
      <c r="AI6" s="609"/>
      <c r="AJ6" s="609"/>
      <c r="AK6" s="609"/>
      <c r="AL6" s="609" t="s">
        <v>34</v>
      </c>
      <c r="AM6" s="609"/>
      <c r="AN6" s="609"/>
      <c r="AO6" s="609"/>
      <c r="AP6" s="609"/>
      <c r="AQ6" s="609"/>
      <c r="AR6" s="609" t="s">
        <v>292</v>
      </c>
      <c r="AS6" s="609"/>
      <c r="AT6" s="609"/>
      <c r="AU6" s="609"/>
      <c r="AV6" s="609"/>
      <c r="AW6" s="609"/>
      <c r="AX6" s="610" t="s">
        <v>286</v>
      </c>
      <c r="AY6" s="617" t="s">
        <v>372</v>
      </c>
      <c r="AZ6" s="617"/>
      <c r="BA6" s="618" t="s">
        <v>373</v>
      </c>
      <c r="BB6" s="619"/>
    </row>
    <row r="7" spans="1:54" ht="22.7" customHeight="1">
      <c r="A7" s="615"/>
      <c r="B7" s="613"/>
      <c r="C7" s="613"/>
      <c r="D7" s="613"/>
      <c r="E7" s="613"/>
      <c r="F7" s="613"/>
      <c r="G7" s="613"/>
      <c r="H7" s="613"/>
      <c r="I7" s="613"/>
      <c r="J7" s="620"/>
      <c r="K7" s="621"/>
      <c r="L7" s="617"/>
      <c r="M7" s="617"/>
      <c r="N7" s="617"/>
      <c r="O7" s="617"/>
      <c r="P7" s="622"/>
      <c r="Q7" s="622"/>
      <c r="R7" s="609"/>
      <c r="S7" s="609"/>
      <c r="T7" s="609" t="s">
        <v>37</v>
      </c>
      <c r="U7" s="609"/>
      <c r="V7" s="609" t="s">
        <v>35</v>
      </c>
      <c r="W7" s="609"/>
      <c r="X7" s="609" t="s">
        <v>36</v>
      </c>
      <c r="Y7" s="609"/>
      <c r="Z7" s="609" t="s">
        <v>37</v>
      </c>
      <c r="AA7" s="609"/>
      <c r="AB7" s="612" t="s">
        <v>35</v>
      </c>
      <c r="AC7" s="612"/>
      <c r="AD7" s="609" t="s">
        <v>36</v>
      </c>
      <c r="AE7" s="609"/>
      <c r="AF7" s="609" t="s">
        <v>37</v>
      </c>
      <c r="AG7" s="609"/>
      <c r="AH7" s="612" t="s">
        <v>35</v>
      </c>
      <c r="AI7" s="612"/>
      <c r="AJ7" s="609" t="s">
        <v>36</v>
      </c>
      <c r="AK7" s="609"/>
      <c r="AL7" s="609" t="s">
        <v>37</v>
      </c>
      <c r="AM7" s="609"/>
      <c r="AN7" s="609" t="s">
        <v>26</v>
      </c>
      <c r="AO7" s="609"/>
      <c r="AP7" s="609" t="s">
        <v>27</v>
      </c>
      <c r="AQ7" s="609"/>
      <c r="AR7" s="609" t="s">
        <v>37</v>
      </c>
      <c r="AS7" s="609"/>
      <c r="AT7" s="609" t="s">
        <v>26</v>
      </c>
      <c r="AU7" s="609"/>
      <c r="AV7" s="609" t="s">
        <v>27</v>
      </c>
      <c r="AW7" s="609"/>
      <c r="AX7" s="611"/>
      <c r="AY7" s="617"/>
      <c r="AZ7" s="617"/>
      <c r="BA7" s="620"/>
      <c r="BB7" s="621"/>
    </row>
    <row r="8" spans="1:54" s="1" customFormat="1">
      <c r="A8" s="616"/>
      <c r="B8" s="613"/>
      <c r="C8" s="613"/>
      <c r="D8" s="613"/>
      <c r="E8" s="613"/>
      <c r="F8" s="613"/>
      <c r="G8" s="613"/>
      <c r="H8" s="613"/>
      <c r="I8" s="613"/>
      <c r="J8" s="407" t="s">
        <v>38</v>
      </c>
      <c r="K8" s="405" t="s">
        <v>39</v>
      </c>
      <c r="L8" s="271" t="s">
        <v>38</v>
      </c>
      <c r="M8" s="272" t="s">
        <v>39</v>
      </c>
      <c r="N8" s="271" t="s">
        <v>38</v>
      </c>
      <c r="O8" s="272" t="s">
        <v>39</v>
      </c>
      <c r="P8" s="271" t="s">
        <v>38</v>
      </c>
      <c r="Q8" s="272" t="s">
        <v>39</v>
      </c>
      <c r="R8" s="271" t="s">
        <v>38</v>
      </c>
      <c r="S8" s="273" t="s">
        <v>39</v>
      </c>
      <c r="T8" s="276" t="s">
        <v>38</v>
      </c>
      <c r="U8" s="272" t="s">
        <v>39</v>
      </c>
      <c r="V8" s="277" t="s">
        <v>38</v>
      </c>
      <c r="W8" s="272" t="s">
        <v>39</v>
      </c>
      <c r="X8" s="277" t="s">
        <v>38</v>
      </c>
      <c r="Y8" s="272" t="s">
        <v>39</v>
      </c>
      <c r="Z8" s="274" t="s">
        <v>38</v>
      </c>
      <c r="AA8" s="273" t="s">
        <v>39</v>
      </c>
      <c r="AB8" s="275" t="s">
        <v>38</v>
      </c>
      <c r="AC8" s="278" t="s">
        <v>39</v>
      </c>
      <c r="AD8" s="274" t="s">
        <v>38</v>
      </c>
      <c r="AE8" s="278" t="s">
        <v>39</v>
      </c>
      <c r="AF8" s="274" t="s">
        <v>38</v>
      </c>
      <c r="AG8" s="273" t="s">
        <v>39</v>
      </c>
      <c r="AH8" s="275" t="s">
        <v>38</v>
      </c>
      <c r="AI8" s="278" t="s">
        <v>39</v>
      </c>
      <c r="AJ8" s="274" t="s">
        <v>38</v>
      </c>
      <c r="AK8" s="278" t="s">
        <v>39</v>
      </c>
      <c r="AL8" s="274" t="s">
        <v>38</v>
      </c>
      <c r="AM8" s="273" t="s">
        <v>39</v>
      </c>
      <c r="AN8" s="275" t="s">
        <v>38</v>
      </c>
      <c r="AO8" s="278" t="s">
        <v>39</v>
      </c>
      <c r="AP8" s="275" t="s">
        <v>38</v>
      </c>
      <c r="AQ8" s="278" t="s">
        <v>39</v>
      </c>
      <c r="AR8" s="274" t="s">
        <v>38</v>
      </c>
      <c r="AS8" s="273" t="s">
        <v>39</v>
      </c>
      <c r="AT8" s="275" t="s">
        <v>38</v>
      </c>
      <c r="AU8" s="278" t="s">
        <v>39</v>
      </c>
      <c r="AV8" s="275" t="s">
        <v>38</v>
      </c>
      <c r="AW8" s="278" t="s">
        <v>39</v>
      </c>
      <c r="AX8" s="453"/>
      <c r="AY8" s="271" t="s">
        <v>38</v>
      </c>
      <c r="AZ8" s="272" t="s">
        <v>39</v>
      </c>
      <c r="BA8" s="407" t="s">
        <v>38</v>
      </c>
      <c r="BB8" s="405" t="s">
        <v>39</v>
      </c>
    </row>
    <row r="9" spans="1:54" s="381" customFormat="1" ht="12.75" customHeight="1">
      <c r="A9" s="395">
        <v>45931</v>
      </c>
      <c r="B9" s="404" t="s">
        <v>421</v>
      </c>
      <c r="C9" s="417" t="s">
        <v>417</v>
      </c>
      <c r="D9" s="374">
        <f>+'1'!F42</f>
        <v>0</v>
      </c>
      <c r="E9" s="374">
        <f>+'1'!G42</f>
        <v>0</v>
      </c>
      <c r="F9" s="48" t="e">
        <f t="shared" ref="F9:F39" si="0">1-(E9/D9)</f>
        <v>#DIV/0!</v>
      </c>
      <c r="G9" s="400">
        <f>+P9/N9</f>
        <v>0</v>
      </c>
      <c r="H9" s="396">
        <f>+P9/L9</f>
        <v>0</v>
      </c>
      <c r="I9" s="396" t="e">
        <f>+R9/P9</f>
        <v>#DIV/0!</v>
      </c>
      <c r="J9" s="401">
        <f>+R9/L9</f>
        <v>6.3779031213958406E-2</v>
      </c>
      <c r="K9" s="401">
        <f>+S9/M9</f>
        <v>6.3779031213958406E-2</v>
      </c>
      <c r="L9" s="375">
        <f>+Efficiency1!K6</f>
        <v>52.744607999999999</v>
      </c>
      <c r="M9" s="376">
        <f>L9</f>
        <v>52.744607999999999</v>
      </c>
      <c r="N9" s="376">
        <f>+Efficiency1!C6</f>
        <v>52.744607999999999</v>
      </c>
      <c r="O9" s="376">
        <f>N9</f>
        <v>52.744607999999999</v>
      </c>
      <c r="P9" s="376">
        <f>'1'!I38</f>
        <v>0</v>
      </c>
      <c r="Q9" s="376">
        <f>P9</f>
        <v>0</v>
      </c>
      <c r="R9" s="376">
        <f>'1'!I40</f>
        <v>3.3639999999999999</v>
      </c>
      <c r="S9" s="376">
        <f>R9</f>
        <v>3.3639999999999999</v>
      </c>
      <c r="T9" s="99">
        <f>+[1]Report1!AZ9</f>
        <v>0</v>
      </c>
      <c r="U9" s="279">
        <f>T9</f>
        <v>0</v>
      </c>
      <c r="V9" s="279" t="e">
        <f>T9/P9</f>
        <v>#DIV/0!</v>
      </c>
      <c r="W9" s="279" t="e">
        <f>U9/Q9</f>
        <v>#DIV/0!</v>
      </c>
      <c r="X9" s="280">
        <f>IF(AND(R9&gt;0,T9&gt;0),(T9/(R9*1000))*1000,0)</f>
        <v>0</v>
      </c>
      <c r="Y9" s="279">
        <f>IF(AND(S9&gt;0,U9&gt;0),U9/S9,0)</f>
        <v>0</v>
      </c>
      <c r="Z9" s="99">
        <v>0.4</v>
      </c>
      <c r="AA9" s="379">
        <f>Z9</f>
        <v>0.4</v>
      </c>
      <c r="AB9" s="380" t="e">
        <f t="shared" ref="AB9:AC39" si="1">Z9/(P9)</f>
        <v>#DIV/0!</v>
      </c>
      <c r="AC9" s="380" t="e">
        <f t="shared" si="1"/>
        <v>#DIV/0!</v>
      </c>
      <c r="AD9" s="375">
        <f>IF(AND(R9&gt;0,Z9&gt;0),Z9/(R9),0)</f>
        <v>0.11890606420927469</v>
      </c>
      <c r="AE9" s="380">
        <f>IF(AND(S9&gt;0,AA9&gt;0),AA9/(S9),0)</f>
        <v>0.11890606420927469</v>
      </c>
      <c r="AF9" s="99">
        <v>0</v>
      </c>
      <c r="AG9" s="379">
        <f>AF9</f>
        <v>0</v>
      </c>
      <c r="AH9" s="380" t="e">
        <f>AF9/(P9)</f>
        <v>#DIV/0!</v>
      </c>
      <c r="AI9" s="380" t="e">
        <f>AG9/(Q9)</f>
        <v>#DIV/0!</v>
      </c>
      <c r="AJ9" s="375">
        <f>IF(AND(R9&gt;0,AF9&gt;0),AF9/(R9),0)</f>
        <v>0</v>
      </c>
      <c r="AK9" s="380">
        <f>IF(AND(S9&gt;0,AG9&gt;0),AG9/(S9),0)</f>
        <v>0</v>
      </c>
      <c r="AL9" s="379">
        <f>'1'!I46</f>
        <v>5187.3000000003412</v>
      </c>
      <c r="AM9" s="379">
        <f>AL9</f>
        <v>5187.3000000003412</v>
      </c>
      <c r="AN9" s="380" t="e">
        <f>IF(AND(L9&gt;0,AL9&gt;0),(AL9/(P9*1000)*1000),0)</f>
        <v>#DIV/0!</v>
      </c>
      <c r="AO9" s="380" t="e">
        <f>IF(AND(M9&gt;0,AM9&gt;0),(AM9/(Q9*1000)*1000),0)</f>
        <v>#DIV/0!</v>
      </c>
      <c r="AP9" s="380">
        <f>IF(AND(R9&gt;0,AL9&gt;0),(AL9/(R9*1000)*1000),0)</f>
        <v>1542.0035671820278</v>
      </c>
      <c r="AQ9" s="380">
        <f>IF(AND(S9&gt;0,AM9&gt;0),(AM9/(S9*1000)*1000),0)</f>
        <v>1542.0035671820278</v>
      </c>
      <c r="AR9" s="379">
        <f>+Listrik!AA8</f>
        <v>0</v>
      </c>
      <c r="AS9" s="379">
        <f>AR9</f>
        <v>0</v>
      </c>
      <c r="AT9" s="380">
        <f>IF(AND(L9&gt;0,AR9&gt;0),(AR9/(P9*1000)*1000),0)</f>
        <v>0</v>
      </c>
      <c r="AU9" s="380">
        <f>IF(AND(M9&gt;0,AS9&gt;0),(AS9/(Q9*1000)*1000),0)</f>
        <v>0</v>
      </c>
      <c r="AV9" s="380">
        <f>IF(AND(R9&gt;0,AR9&gt;0),(AR9/(R9*1000)*1000),0)</f>
        <v>0</v>
      </c>
      <c r="AW9" s="380">
        <f>IF(AND(S9&gt;0,AS9&gt;0),(AS9/(S9*1000)*1000),0)</f>
        <v>0</v>
      </c>
      <c r="AX9" s="453"/>
      <c r="AY9" s="375">
        <f>+Efficiency2!K6</f>
        <v>0</v>
      </c>
      <c r="AZ9" s="376">
        <f>AY9</f>
        <v>0</v>
      </c>
      <c r="BA9" s="401" t="e">
        <f>+R9/AY9</f>
        <v>#DIV/0!</v>
      </c>
      <c r="BB9" s="401" t="e">
        <f>+S9/AZ9</f>
        <v>#DIV/0!</v>
      </c>
    </row>
    <row r="10" spans="1:54" s="381" customFormat="1" ht="12.75" customHeight="1">
      <c r="A10" s="395">
        <f t="shared" ref="A10:A38" si="2">A9+1</f>
        <v>45932</v>
      </c>
      <c r="B10" s="404" t="s">
        <v>421</v>
      </c>
      <c r="C10" s="417" t="s">
        <v>417</v>
      </c>
      <c r="D10" s="374">
        <f>+'2'!F42</f>
        <v>0</v>
      </c>
      <c r="E10" s="374">
        <f>+'2'!G42</f>
        <v>0</v>
      </c>
      <c r="F10" s="48" t="e">
        <f t="shared" si="0"/>
        <v>#DIV/0!</v>
      </c>
      <c r="G10" s="400">
        <f t="shared" ref="G10:G41" si="3">+P10/N10</f>
        <v>0</v>
      </c>
      <c r="H10" s="396">
        <f t="shared" ref="H10:H41" si="4">+P10/L10</f>
        <v>0</v>
      </c>
      <c r="I10" s="396" t="e">
        <f t="shared" ref="I10:I41" si="5">+R10/P10</f>
        <v>#DIV/0!</v>
      </c>
      <c r="J10" s="401">
        <f t="shared" ref="J10:K41" si="6">+R10/L10</f>
        <v>0</v>
      </c>
      <c r="K10" s="401">
        <f t="shared" si="6"/>
        <v>3.1889515606979203E-2</v>
      </c>
      <c r="L10" s="375">
        <f>+Efficiency1!K11</f>
        <v>52.744607999999999</v>
      </c>
      <c r="M10" s="376">
        <f t="shared" ref="M10:O25" si="7">M9+L10</f>
        <v>105.489216</v>
      </c>
      <c r="N10" s="375">
        <f>+Efficiency1!C11</f>
        <v>52.744607999999999</v>
      </c>
      <c r="O10" s="376">
        <f t="shared" si="7"/>
        <v>105.489216</v>
      </c>
      <c r="P10" s="376">
        <f>'2'!I38</f>
        <v>0</v>
      </c>
      <c r="Q10" s="376">
        <f t="shared" ref="Q10:Q38" si="8">Q9+P10</f>
        <v>0</v>
      </c>
      <c r="R10" s="376">
        <f>'2'!I40</f>
        <v>0</v>
      </c>
      <c r="S10" s="376">
        <f t="shared" ref="S10:S38" si="9">S9+R10</f>
        <v>3.3639999999999999</v>
      </c>
      <c r="T10" s="99">
        <f>+[1]Report1!AZ10</f>
        <v>0</v>
      </c>
      <c r="U10" s="13">
        <f t="shared" ref="U10:U38" si="10">T10+U9</f>
        <v>0</v>
      </c>
      <c r="V10" s="279" t="e">
        <f t="shared" ref="V10:W39" si="11">T10/P10</f>
        <v>#DIV/0!</v>
      </c>
      <c r="W10" s="279" t="e">
        <f t="shared" si="11"/>
        <v>#DIV/0!</v>
      </c>
      <c r="X10" s="280">
        <f t="shared" ref="X10:X39" si="12">IF(AND(R10&gt;0,T10&gt;0),(T10/(R10*1000))*1000,0)</f>
        <v>0</v>
      </c>
      <c r="Y10" s="279">
        <f t="shared" ref="Y10:Y39" si="13">IF(AND(S10&gt;0,U10&gt;0),U10/S10,0)</f>
        <v>0</v>
      </c>
      <c r="Z10" s="99">
        <v>0.1</v>
      </c>
      <c r="AA10" s="377">
        <f t="shared" ref="AA10:AA38" si="14">Z10+AA9</f>
        <v>0.5</v>
      </c>
      <c r="AB10" s="380" t="e">
        <f t="shared" si="1"/>
        <v>#DIV/0!</v>
      </c>
      <c r="AC10" s="380" t="e">
        <f t="shared" si="1"/>
        <v>#DIV/0!</v>
      </c>
      <c r="AD10" s="375">
        <f>IF(AND(R10&gt;0,Z10&gt;0),Z10/(R10),0)</f>
        <v>0</v>
      </c>
      <c r="AE10" s="380">
        <f t="shared" ref="AD10:AE39" si="15">IF(AND(S10&gt;0,AA10&gt;0),AA10/(S10),0)</f>
        <v>0.14863258026159334</v>
      </c>
      <c r="AF10" s="99">
        <v>0</v>
      </c>
      <c r="AG10" s="379">
        <f>+AF10+AG9</f>
        <v>0</v>
      </c>
      <c r="AH10" s="380" t="e">
        <f t="shared" ref="AH10:AI39" si="16">AF10/(P10)</f>
        <v>#DIV/0!</v>
      </c>
      <c r="AI10" s="380" t="e">
        <f t="shared" si="16"/>
        <v>#DIV/0!</v>
      </c>
      <c r="AJ10" s="375">
        <f t="shared" ref="AJ10:AK39" si="17">IF(AND(R10&gt;0,AF10&gt;0),AF10/(R10),0)</f>
        <v>0</v>
      </c>
      <c r="AK10" s="380">
        <f t="shared" si="17"/>
        <v>0</v>
      </c>
      <c r="AL10" s="379">
        <f>'2'!I46</f>
        <v>4254.1799999996701</v>
      </c>
      <c r="AM10" s="377">
        <f t="shared" ref="AM10:AM38" si="18">AL10+AM9</f>
        <v>9441.4800000000105</v>
      </c>
      <c r="AN10" s="380" t="e">
        <f t="shared" ref="AN10:AO39" si="19">IF(AND(L10&gt;0,AL10&gt;0),(AL10/(P10*1000)*1000),0)</f>
        <v>#DIV/0!</v>
      </c>
      <c r="AO10" s="380" t="e">
        <f t="shared" si="19"/>
        <v>#DIV/0!</v>
      </c>
      <c r="AP10" s="380">
        <f t="shared" ref="AP10:AQ39" si="20">IF(AND(R10&gt;0,AL10&gt;0),(AL10/(R10*1000)*1000),0)</f>
        <v>0</v>
      </c>
      <c r="AQ10" s="380">
        <f t="shared" si="20"/>
        <v>2806.6230677764597</v>
      </c>
      <c r="AR10" s="379">
        <f>+Listrik!AA9</f>
        <v>0</v>
      </c>
      <c r="AS10" s="377">
        <f t="shared" ref="AS10:AS38" si="21">AR10+AS9</f>
        <v>0</v>
      </c>
      <c r="AT10" s="380">
        <f t="shared" ref="AT10:AU39" si="22">IF(AND(L10&gt;0,AR10&gt;0),(AR10/(P10*1000)*1000),0)</f>
        <v>0</v>
      </c>
      <c r="AU10" s="380">
        <f t="shared" si="22"/>
        <v>0</v>
      </c>
      <c r="AV10" s="380">
        <f t="shared" ref="AV10:AW39" si="23">IF(AND(R10&gt;0,AR10&gt;0),(AR10/(R10*1000)*1000),0)</f>
        <v>0</v>
      </c>
      <c r="AW10" s="380">
        <f t="shared" si="23"/>
        <v>0</v>
      </c>
      <c r="AX10" s="453"/>
      <c r="AY10" s="375">
        <f>+Efficiency2!K11</f>
        <v>0</v>
      </c>
      <c r="AZ10" s="376">
        <f t="shared" ref="AZ10:AZ38" si="24">AZ9+AY10</f>
        <v>0</v>
      </c>
      <c r="BA10" s="401" t="e">
        <f t="shared" ref="BA10:BA41" si="25">+R10/AY10</f>
        <v>#DIV/0!</v>
      </c>
      <c r="BB10" s="401" t="e">
        <f t="shared" ref="BB10:BB39" si="26">+S10/AZ10</f>
        <v>#DIV/0!</v>
      </c>
    </row>
    <row r="11" spans="1:54" s="381" customFormat="1" ht="12.75" customHeight="1">
      <c r="A11" s="395">
        <f t="shared" si="2"/>
        <v>45933</v>
      </c>
      <c r="B11" s="404" t="s">
        <v>421</v>
      </c>
      <c r="C11" s="417" t="s">
        <v>417</v>
      </c>
      <c r="D11" s="374">
        <f>+'3'!F42</f>
        <v>0</v>
      </c>
      <c r="E11" s="374">
        <f>+'3'!G42</f>
        <v>0</v>
      </c>
      <c r="F11" s="48" t="e">
        <f t="shared" si="0"/>
        <v>#DIV/0!</v>
      </c>
      <c r="G11" s="400">
        <f t="shared" si="3"/>
        <v>0</v>
      </c>
      <c r="H11" s="396">
        <f>+P11/L11</f>
        <v>0</v>
      </c>
      <c r="I11" s="396" t="e">
        <f t="shared" si="5"/>
        <v>#DIV/0!</v>
      </c>
      <c r="J11" s="401">
        <f t="shared" si="6"/>
        <v>0</v>
      </c>
      <c r="K11" s="401">
        <f t="shared" si="6"/>
        <v>2.1259677071319465E-2</v>
      </c>
      <c r="L11" s="375">
        <f>+Efficiency1!K16</f>
        <v>52.744607999999999</v>
      </c>
      <c r="M11" s="376">
        <f t="shared" si="7"/>
        <v>158.233824</v>
      </c>
      <c r="N11" s="375">
        <f>+Efficiency1!C16</f>
        <v>52.744607999999999</v>
      </c>
      <c r="O11" s="376">
        <f t="shared" si="7"/>
        <v>158.233824</v>
      </c>
      <c r="P11" s="376">
        <f>'3'!I38</f>
        <v>0</v>
      </c>
      <c r="Q11" s="376">
        <f t="shared" si="8"/>
        <v>0</v>
      </c>
      <c r="R11" s="376">
        <f>'3'!I40</f>
        <v>0</v>
      </c>
      <c r="S11" s="376">
        <f t="shared" si="9"/>
        <v>3.3639999999999999</v>
      </c>
      <c r="T11" s="99">
        <f>+[1]Report1!AZ11</f>
        <v>0</v>
      </c>
      <c r="U11" s="13">
        <f t="shared" si="10"/>
        <v>0</v>
      </c>
      <c r="V11" s="279" t="e">
        <f t="shared" si="11"/>
        <v>#DIV/0!</v>
      </c>
      <c r="W11" s="279" t="e">
        <f t="shared" si="11"/>
        <v>#DIV/0!</v>
      </c>
      <c r="X11" s="280">
        <f t="shared" si="12"/>
        <v>0</v>
      </c>
      <c r="Y11" s="279">
        <f t="shared" si="13"/>
        <v>0</v>
      </c>
      <c r="Z11" s="99">
        <v>0.1</v>
      </c>
      <c r="AA11" s="377">
        <f t="shared" si="14"/>
        <v>0.6</v>
      </c>
      <c r="AB11" s="380" t="e">
        <f t="shared" si="1"/>
        <v>#DIV/0!</v>
      </c>
      <c r="AC11" s="380" t="e">
        <f t="shared" si="1"/>
        <v>#DIV/0!</v>
      </c>
      <c r="AD11" s="375">
        <f t="shared" si="15"/>
        <v>0</v>
      </c>
      <c r="AE11" s="380">
        <f t="shared" si="15"/>
        <v>0.178359096313912</v>
      </c>
      <c r="AF11" s="99">
        <v>0</v>
      </c>
      <c r="AG11" s="379">
        <f t="shared" ref="AG11:AG39" si="27">+AF11+AG10</f>
        <v>0</v>
      </c>
      <c r="AH11" s="380" t="e">
        <f t="shared" si="16"/>
        <v>#DIV/0!</v>
      </c>
      <c r="AI11" s="380" t="e">
        <f t="shared" si="16"/>
        <v>#DIV/0!</v>
      </c>
      <c r="AJ11" s="375">
        <f t="shared" si="17"/>
        <v>0</v>
      </c>
      <c r="AK11" s="380">
        <f t="shared" si="17"/>
        <v>0</v>
      </c>
      <c r="AL11" s="379">
        <f>'3'!I46</f>
        <v>1722.2199999999661</v>
      </c>
      <c r="AM11" s="377">
        <f t="shared" si="18"/>
        <v>11163.699999999977</v>
      </c>
      <c r="AN11" s="380" t="e">
        <f t="shared" si="19"/>
        <v>#DIV/0!</v>
      </c>
      <c r="AO11" s="380" t="e">
        <f t="shared" si="19"/>
        <v>#DIV/0!</v>
      </c>
      <c r="AP11" s="380">
        <f t="shared" si="20"/>
        <v>0</v>
      </c>
      <c r="AQ11" s="380">
        <f t="shared" si="20"/>
        <v>3318.5790725326924</v>
      </c>
      <c r="AR11" s="379">
        <f>+Listrik!AA10</f>
        <v>0</v>
      </c>
      <c r="AS11" s="377">
        <f t="shared" si="21"/>
        <v>0</v>
      </c>
      <c r="AT11" s="380">
        <f t="shared" si="22"/>
        <v>0</v>
      </c>
      <c r="AU11" s="380">
        <f t="shared" si="22"/>
        <v>0</v>
      </c>
      <c r="AV11" s="380">
        <f t="shared" si="23"/>
        <v>0</v>
      </c>
      <c r="AW11" s="380">
        <f t="shared" si="23"/>
        <v>0</v>
      </c>
      <c r="AX11" s="453"/>
      <c r="AY11" s="375">
        <f>+Efficiency2!K16</f>
        <v>0</v>
      </c>
      <c r="AZ11" s="376">
        <f t="shared" si="24"/>
        <v>0</v>
      </c>
      <c r="BA11" s="401" t="e">
        <f t="shared" si="25"/>
        <v>#DIV/0!</v>
      </c>
      <c r="BB11" s="401" t="e">
        <f t="shared" si="26"/>
        <v>#DIV/0!</v>
      </c>
    </row>
    <row r="12" spans="1:54" s="381" customFormat="1" ht="12.75" customHeight="1">
      <c r="A12" s="395">
        <f t="shared" si="2"/>
        <v>45934</v>
      </c>
      <c r="B12" s="404" t="s">
        <v>421</v>
      </c>
      <c r="C12" s="417" t="s">
        <v>417</v>
      </c>
      <c r="D12" s="374">
        <f>+'4'!F42</f>
        <v>0</v>
      </c>
      <c r="E12" s="374">
        <f>+'4'!G42</f>
        <v>0</v>
      </c>
      <c r="F12" s="48" t="e">
        <f t="shared" si="0"/>
        <v>#DIV/0!</v>
      </c>
      <c r="G12" s="400">
        <f t="shared" si="3"/>
        <v>0</v>
      </c>
      <c r="H12" s="396">
        <f t="shared" si="4"/>
        <v>0</v>
      </c>
      <c r="I12" s="396" t="e">
        <f t="shared" si="5"/>
        <v>#DIV/0!</v>
      </c>
      <c r="J12" s="401">
        <f t="shared" si="6"/>
        <v>0</v>
      </c>
      <c r="K12" s="401">
        <f t="shared" si="6"/>
        <v>1.5944757803489602E-2</v>
      </c>
      <c r="L12" s="375">
        <f>+Efficiency1!K21</f>
        <v>52.744607999999999</v>
      </c>
      <c r="M12" s="376">
        <f t="shared" si="7"/>
        <v>210.978432</v>
      </c>
      <c r="N12" s="375">
        <f>+Efficiency1!C21</f>
        <v>52.744607999999999</v>
      </c>
      <c r="O12" s="376">
        <f t="shared" si="7"/>
        <v>210.978432</v>
      </c>
      <c r="P12" s="376">
        <f>'4'!I38</f>
        <v>0</v>
      </c>
      <c r="Q12" s="376">
        <f t="shared" si="8"/>
        <v>0</v>
      </c>
      <c r="R12" s="376">
        <f>'4'!I40</f>
        <v>0</v>
      </c>
      <c r="S12" s="376">
        <f t="shared" si="9"/>
        <v>3.3639999999999999</v>
      </c>
      <c r="T12" s="99">
        <f>+[1]Report1!AZ12</f>
        <v>0</v>
      </c>
      <c r="U12" s="13">
        <f t="shared" si="10"/>
        <v>0</v>
      </c>
      <c r="V12" s="279" t="e">
        <f t="shared" si="11"/>
        <v>#DIV/0!</v>
      </c>
      <c r="W12" s="279" t="e">
        <f t="shared" si="11"/>
        <v>#DIV/0!</v>
      </c>
      <c r="X12" s="280">
        <f t="shared" si="12"/>
        <v>0</v>
      </c>
      <c r="Y12" s="279">
        <f t="shared" si="13"/>
        <v>0</v>
      </c>
      <c r="Z12" s="378">
        <v>0.1</v>
      </c>
      <c r="AA12" s="377">
        <f t="shared" si="14"/>
        <v>0.7</v>
      </c>
      <c r="AB12" s="380" t="e">
        <f t="shared" si="1"/>
        <v>#DIV/0!</v>
      </c>
      <c r="AC12" s="380" t="e">
        <f t="shared" si="1"/>
        <v>#DIV/0!</v>
      </c>
      <c r="AD12" s="375">
        <f t="shared" si="15"/>
        <v>0</v>
      </c>
      <c r="AE12" s="380">
        <f t="shared" si="15"/>
        <v>0.20808561236623066</v>
      </c>
      <c r="AF12" s="99">
        <v>0</v>
      </c>
      <c r="AG12" s="379">
        <f t="shared" si="27"/>
        <v>0</v>
      </c>
      <c r="AH12" s="380" t="e">
        <f t="shared" si="16"/>
        <v>#DIV/0!</v>
      </c>
      <c r="AI12" s="380" t="e">
        <f t="shared" si="16"/>
        <v>#DIV/0!</v>
      </c>
      <c r="AJ12" s="375">
        <f t="shared" si="17"/>
        <v>0</v>
      </c>
      <c r="AK12" s="380">
        <f t="shared" si="17"/>
        <v>0</v>
      </c>
      <c r="AL12" s="379">
        <f>'4'!I46</f>
        <v>3976.4399999996594</v>
      </c>
      <c r="AM12" s="377">
        <f t="shared" si="18"/>
        <v>15140.139999999636</v>
      </c>
      <c r="AN12" s="380" t="e">
        <f t="shared" si="19"/>
        <v>#DIV/0!</v>
      </c>
      <c r="AO12" s="380" t="e">
        <f t="shared" si="19"/>
        <v>#DIV/0!</v>
      </c>
      <c r="AP12" s="380">
        <f t="shared" si="20"/>
        <v>0</v>
      </c>
      <c r="AQ12" s="380">
        <f t="shared" si="20"/>
        <v>4500.6361474434116</v>
      </c>
      <c r="AR12" s="379">
        <f>+Listrik!AA11</f>
        <v>0</v>
      </c>
      <c r="AS12" s="377">
        <f t="shared" si="21"/>
        <v>0</v>
      </c>
      <c r="AT12" s="380">
        <f t="shared" si="22"/>
        <v>0</v>
      </c>
      <c r="AU12" s="380">
        <f t="shared" si="22"/>
        <v>0</v>
      </c>
      <c r="AV12" s="380">
        <f t="shared" si="23"/>
        <v>0</v>
      </c>
      <c r="AW12" s="380">
        <f t="shared" si="23"/>
        <v>0</v>
      </c>
      <c r="AX12" s="453"/>
      <c r="AY12" s="375">
        <f>+Efficiency2!K21</f>
        <v>0</v>
      </c>
      <c r="AZ12" s="376">
        <f t="shared" si="24"/>
        <v>0</v>
      </c>
      <c r="BA12" s="401" t="e">
        <f t="shared" si="25"/>
        <v>#DIV/0!</v>
      </c>
      <c r="BB12" s="401" t="e">
        <f t="shared" si="26"/>
        <v>#DIV/0!</v>
      </c>
    </row>
    <row r="13" spans="1:54" s="381" customFormat="1" ht="12.75" customHeight="1">
      <c r="A13" s="395">
        <f t="shared" si="2"/>
        <v>45935</v>
      </c>
      <c r="B13" s="404" t="s">
        <v>421</v>
      </c>
      <c r="C13" s="417" t="s">
        <v>417</v>
      </c>
      <c r="D13" s="374">
        <f>+'5'!F42</f>
        <v>0</v>
      </c>
      <c r="E13" s="374">
        <f>+'5'!G42</f>
        <v>0</v>
      </c>
      <c r="F13" s="48" t="e">
        <f t="shared" si="0"/>
        <v>#DIV/0!</v>
      </c>
      <c r="G13" s="400">
        <f t="shared" si="3"/>
        <v>0</v>
      </c>
      <c r="H13" s="396">
        <f t="shared" si="4"/>
        <v>0</v>
      </c>
      <c r="I13" s="396" t="e">
        <f t="shared" si="5"/>
        <v>#DIV/0!</v>
      </c>
      <c r="J13" s="401">
        <f t="shared" si="6"/>
        <v>0</v>
      </c>
      <c r="K13" s="401">
        <f t="shared" si="6"/>
        <v>1.2755806242791681E-2</v>
      </c>
      <c r="L13" s="375">
        <f>+Efficiency1!K26</f>
        <v>52.744607999999999</v>
      </c>
      <c r="M13" s="376">
        <f t="shared" si="7"/>
        <v>263.72303999999997</v>
      </c>
      <c r="N13" s="375">
        <f>+Efficiency1!C26</f>
        <v>52.744607999999999</v>
      </c>
      <c r="O13" s="376">
        <f t="shared" si="7"/>
        <v>263.72303999999997</v>
      </c>
      <c r="P13" s="376">
        <f>'5'!I38</f>
        <v>0</v>
      </c>
      <c r="Q13" s="376">
        <f t="shared" si="8"/>
        <v>0</v>
      </c>
      <c r="R13" s="376">
        <f>'5'!I40</f>
        <v>0</v>
      </c>
      <c r="S13" s="376">
        <f t="shared" si="9"/>
        <v>3.3639999999999999</v>
      </c>
      <c r="T13" s="99">
        <f>+[1]Report1!AZ13</f>
        <v>0</v>
      </c>
      <c r="U13" s="13">
        <f t="shared" si="10"/>
        <v>0</v>
      </c>
      <c r="V13" s="279" t="e">
        <f t="shared" si="11"/>
        <v>#DIV/0!</v>
      </c>
      <c r="W13" s="279" t="e">
        <f t="shared" si="11"/>
        <v>#DIV/0!</v>
      </c>
      <c r="X13" s="280">
        <f t="shared" si="12"/>
        <v>0</v>
      </c>
      <c r="Y13" s="279">
        <f t="shared" si="13"/>
        <v>0</v>
      </c>
      <c r="Z13" s="378">
        <v>0.1</v>
      </c>
      <c r="AA13" s="377">
        <f t="shared" si="14"/>
        <v>0.79999999999999993</v>
      </c>
      <c r="AB13" s="380" t="e">
        <f t="shared" si="1"/>
        <v>#DIV/0!</v>
      </c>
      <c r="AC13" s="380" t="e">
        <f t="shared" si="1"/>
        <v>#DIV/0!</v>
      </c>
      <c r="AD13" s="375">
        <f t="shared" si="15"/>
        <v>0</v>
      </c>
      <c r="AE13" s="380">
        <f t="shared" si="15"/>
        <v>0.23781212841854935</v>
      </c>
      <c r="AF13" s="99">
        <v>0</v>
      </c>
      <c r="AG13" s="379">
        <f t="shared" si="27"/>
        <v>0</v>
      </c>
      <c r="AH13" s="380" t="e">
        <f t="shared" si="16"/>
        <v>#DIV/0!</v>
      </c>
      <c r="AI13" s="380" t="e">
        <f t="shared" si="16"/>
        <v>#DIV/0!</v>
      </c>
      <c r="AJ13" s="375">
        <f t="shared" si="17"/>
        <v>0</v>
      </c>
      <c r="AK13" s="380">
        <f t="shared" si="17"/>
        <v>0</v>
      </c>
      <c r="AL13" s="379">
        <f>'5'!I46</f>
        <v>3020.4800000000114</v>
      </c>
      <c r="AM13" s="377">
        <f t="shared" si="18"/>
        <v>18160.619999999646</v>
      </c>
      <c r="AN13" s="380" t="e">
        <f t="shared" si="19"/>
        <v>#DIV/0!</v>
      </c>
      <c r="AO13" s="380" t="e">
        <f t="shared" si="19"/>
        <v>#DIV/0!</v>
      </c>
      <c r="AP13" s="380">
        <f t="shared" si="20"/>
        <v>0</v>
      </c>
      <c r="AQ13" s="380">
        <f t="shared" si="20"/>
        <v>5398.5196195004892</v>
      </c>
      <c r="AR13" s="379">
        <f>+Listrik!AA12</f>
        <v>0</v>
      </c>
      <c r="AS13" s="377">
        <f t="shared" si="21"/>
        <v>0</v>
      </c>
      <c r="AT13" s="380">
        <f t="shared" si="22"/>
        <v>0</v>
      </c>
      <c r="AU13" s="380">
        <f t="shared" si="22"/>
        <v>0</v>
      </c>
      <c r="AV13" s="380">
        <f t="shared" si="23"/>
        <v>0</v>
      </c>
      <c r="AW13" s="380">
        <f t="shared" si="23"/>
        <v>0</v>
      </c>
      <c r="AX13" s="453"/>
      <c r="AY13" s="375">
        <f>+Efficiency2!K26</f>
        <v>0</v>
      </c>
      <c r="AZ13" s="376">
        <f t="shared" si="24"/>
        <v>0</v>
      </c>
      <c r="BA13" s="401" t="e">
        <f t="shared" si="25"/>
        <v>#DIV/0!</v>
      </c>
      <c r="BB13" s="401" t="e">
        <f t="shared" si="26"/>
        <v>#DIV/0!</v>
      </c>
    </row>
    <row r="14" spans="1:54" s="381" customFormat="1" ht="12.75" customHeight="1">
      <c r="A14" s="395">
        <f t="shared" si="2"/>
        <v>45936</v>
      </c>
      <c r="B14" s="404" t="s">
        <v>421</v>
      </c>
      <c r="C14" s="417" t="s">
        <v>417</v>
      </c>
      <c r="D14" s="374">
        <f>+'6'!F42</f>
        <v>0</v>
      </c>
      <c r="E14" s="374">
        <f>+'6'!G42</f>
        <v>0</v>
      </c>
      <c r="F14" s="48" t="e">
        <f t="shared" si="0"/>
        <v>#DIV/0!</v>
      </c>
      <c r="G14" s="400">
        <f t="shared" si="3"/>
        <v>0</v>
      </c>
      <c r="H14" s="396">
        <f t="shared" si="4"/>
        <v>0</v>
      </c>
      <c r="I14" s="396" t="e">
        <f t="shared" si="5"/>
        <v>#DIV/0!</v>
      </c>
      <c r="J14" s="401">
        <f t="shared" si="6"/>
        <v>0</v>
      </c>
      <c r="K14" s="401">
        <f t="shared" si="6"/>
        <v>1.0629838535659734E-2</v>
      </c>
      <c r="L14" s="375">
        <f>+Efficiency1!K31</f>
        <v>52.744607999999999</v>
      </c>
      <c r="M14" s="376">
        <f t="shared" si="7"/>
        <v>316.46764799999994</v>
      </c>
      <c r="N14" s="375">
        <f>+Efficiency1!C31</f>
        <v>52.744607999999999</v>
      </c>
      <c r="O14" s="376">
        <f t="shared" si="7"/>
        <v>316.46764799999994</v>
      </c>
      <c r="P14" s="376">
        <f>'6'!I38</f>
        <v>0</v>
      </c>
      <c r="Q14" s="376">
        <f t="shared" si="8"/>
        <v>0</v>
      </c>
      <c r="R14" s="376">
        <f>'6'!I40</f>
        <v>0</v>
      </c>
      <c r="S14" s="376">
        <f t="shared" si="9"/>
        <v>3.3639999999999999</v>
      </c>
      <c r="T14" s="99">
        <f>+[1]Report1!AZ14</f>
        <v>0</v>
      </c>
      <c r="U14" s="13">
        <f t="shared" si="10"/>
        <v>0</v>
      </c>
      <c r="V14" s="279" t="e">
        <f t="shared" si="11"/>
        <v>#DIV/0!</v>
      </c>
      <c r="W14" s="279" t="e">
        <f t="shared" si="11"/>
        <v>#DIV/0!</v>
      </c>
      <c r="X14" s="280">
        <f t="shared" si="12"/>
        <v>0</v>
      </c>
      <c r="Y14" s="279">
        <f t="shared" si="13"/>
        <v>0</v>
      </c>
      <c r="Z14" s="378">
        <v>0.1</v>
      </c>
      <c r="AA14" s="377">
        <f t="shared" si="14"/>
        <v>0.89999999999999991</v>
      </c>
      <c r="AB14" s="380" t="e">
        <f t="shared" si="1"/>
        <v>#DIV/0!</v>
      </c>
      <c r="AC14" s="380" t="e">
        <f t="shared" si="1"/>
        <v>#DIV/0!</v>
      </c>
      <c r="AD14" s="375">
        <f t="shared" si="15"/>
        <v>0</v>
      </c>
      <c r="AE14" s="380">
        <f t="shared" si="15"/>
        <v>0.267538644470868</v>
      </c>
      <c r="AF14" s="99">
        <v>0</v>
      </c>
      <c r="AG14" s="379">
        <f t="shared" si="27"/>
        <v>0</v>
      </c>
      <c r="AH14" s="380" t="e">
        <f t="shared" si="16"/>
        <v>#DIV/0!</v>
      </c>
      <c r="AI14" s="380" t="e">
        <f t="shared" si="16"/>
        <v>#DIV/0!</v>
      </c>
      <c r="AJ14" s="375">
        <f t="shared" si="17"/>
        <v>0</v>
      </c>
      <c r="AK14" s="380">
        <f t="shared" si="17"/>
        <v>0</v>
      </c>
      <c r="AL14" s="379">
        <f>'6'!I46</f>
        <v>2234.7400000007092</v>
      </c>
      <c r="AM14" s="377">
        <f t="shared" si="18"/>
        <v>20395.360000000357</v>
      </c>
      <c r="AN14" s="380" t="e">
        <f t="shared" si="19"/>
        <v>#DIV/0!</v>
      </c>
      <c r="AO14" s="380" t="e">
        <f t="shared" si="19"/>
        <v>#DIV/0!</v>
      </c>
      <c r="AP14" s="380">
        <f t="shared" si="20"/>
        <v>0</v>
      </c>
      <c r="AQ14" s="380">
        <f t="shared" si="20"/>
        <v>6062.8299643282871</v>
      </c>
      <c r="AR14" s="379">
        <f>+Listrik!AA13</f>
        <v>0</v>
      </c>
      <c r="AS14" s="377">
        <f t="shared" si="21"/>
        <v>0</v>
      </c>
      <c r="AT14" s="380">
        <f t="shared" si="22"/>
        <v>0</v>
      </c>
      <c r="AU14" s="380">
        <f t="shared" si="22"/>
        <v>0</v>
      </c>
      <c r="AV14" s="380">
        <f t="shared" si="23"/>
        <v>0</v>
      </c>
      <c r="AW14" s="380">
        <f t="shared" si="23"/>
        <v>0</v>
      </c>
      <c r="AX14" s="453"/>
      <c r="AY14" s="375">
        <f>+Efficiency2!K31</f>
        <v>0</v>
      </c>
      <c r="AZ14" s="376">
        <f t="shared" si="24"/>
        <v>0</v>
      </c>
      <c r="BA14" s="401" t="e">
        <f t="shared" si="25"/>
        <v>#DIV/0!</v>
      </c>
      <c r="BB14" s="401" t="e">
        <f t="shared" si="26"/>
        <v>#DIV/0!</v>
      </c>
    </row>
    <row r="15" spans="1:54" s="381" customFormat="1" ht="12.75" customHeight="1">
      <c r="A15" s="395">
        <f t="shared" si="2"/>
        <v>45937</v>
      </c>
      <c r="B15" s="404" t="s">
        <v>421</v>
      </c>
      <c r="C15" s="417" t="s">
        <v>417</v>
      </c>
      <c r="D15" s="374">
        <f>+'7'!F42</f>
        <v>0</v>
      </c>
      <c r="E15" s="374">
        <f>+'7'!G42</f>
        <v>0</v>
      </c>
      <c r="F15" s="48" t="e">
        <f t="shared" si="0"/>
        <v>#DIV/0!</v>
      </c>
      <c r="G15" s="400">
        <f t="shared" si="3"/>
        <v>0</v>
      </c>
      <c r="H15" s="396">
        <f t="shared" si="4"/>
        <v>0</v>
      </c>
      <c r="I15" s="396" t="e">
        <f t="shared" si="5"/>
        <v>#DIV/0!</v>
      </c>
      <c r="J15" s="401">
        <f t="shared" si="6"/>
        <v>0</v>
      </c>
      <c r="K15" s="401">
        <f t="shared" si="6"/>
        <v>9.1112901734226297E-3</v>
      </c>
      <c r="L15" s="375">
        <f>+Efficiency1!K36</f>
        <v>52.744607999999999</v>
      </c>
      <c r="M15" s="376">
        <f t="shared" si="7"/>
        <v>369.21225599999991</v>
      </c>
      <c r="N15" s="375">
        <f>+Efficiency1!C36</f>
        <v>52.744607999999999</v>
      </c>
      <c r="O15" s="376">
        <f t="shared" si="7"/>
        <v>369.21225599999991</v>
      </c>
      <c r="P15" s="376">
        <f>'7'!I38</f>
        <v>0</v>
      </c>
      <c r="Q15" s="376">
        <f t="shared" si="8"/>
        <v>0</v>
      </c>
      <c r="R15" s="376">
        <f>'7'!I40</f>
        <v>0</v>
      </c>
      <c r="S15" s="376">
        <f t="shared" si="9"/>
        <v>3.3639999999999999</v>
      </c>
      <c r="T15" s="99">
        <f>+[1]Report1!AZ15</f>
        <v>0</v>
      </c>
      <c r="U15" s="13">
        <f t="shared" si="10"/>
        <v>0</v>
      </c>
      <c r="V15" s="279" t="e">
        <f t="shared" si="11"/>
        <v>#DIV/0!</v>
      </c>
      <c r="W15" s="279" t="e">
        <f t="shared" si="11"/>
        <v>#DIV/0!</v>
      </c>
      <c r="X15" s="280">
        <f t="shared" si="12"/>
        <v>0</v>
      </c>
      <c r="Y15" s="279">
        <f t="shared" si="13"/>
        <v>0</v>
      </c>
      <c r="Z15" s="378">
        <v>0.1</v>
      </c>
      <c r="AA15" s="377">
        <f t="shared" si="14"/>
        <v>0.99999999999999989</v>
      </c>
      <c r="AB15" s="380" t="e">
        <f t="shared" si="1"/>
        <v>#DIV/0!</v>
      </c>
      <c r="AC15" s="380" t="e">
        <f t="shared" si="1"/>
        <v>#DIV/0!</v>
      </c>
      <c r="AD15" s="375">
        <f t="shared" si="15"/>
        <v>0</v>
      </c>
      <c r="AE15" s="380">
        <f t="shared" si="15"/>
        <v>0.29726516052318663</v>
      </c>
      <c r="AF15" s="99">
        <v>0</v>
      </c>
      <c r="AG15" s="379">
        <f t="shared" si="27"/>
        <v>0</v>
      </c>
      <c r="AH15" s="380" t="e">
        <f t="shared" si="16"/>
        <v>#DIV/0!</v>
      </c>
      <c r="AI15" s="380" t="e">
        <f t="shared" si="16"/>
        <v>#DIV/0!</v>
      </c>
      <c r="AJ15" s="375">
        <f t="shared" si="17"/>
        <v>0</v>
      </c>
      <c r="AK15" s="380">
        <f t="shared" si="17"/>
        <v>0</v>
      </c>
      <c r="AL15" s="379">
        <f>'7'!I46</f>
        <v>2928.3000000000297</v>
      </c>
      <c r="AM15" s="377">
        <f t="shared" si="18"/>
        <v>23323.660000000385</v>
      </c>
      <c r="AN15" s="380" t="e">
        <f t="shared" si="19"/>
        <v>#DIV/0!</v>
      </c>
      <c r="AO15" s="380" t="e">
        <f t="shared" si="19"/>
        <v>#DIV/0!</v>
      </c>
      <c r="AP15" s="380">
        <f t="shared" si="20"/>
        <v>0</v>
      </c>
      <c r="AQ15" s="380">
        <f t="shared" si="20"/>
        <v>6933.3115338883435</v>
      </c>
      <c r="AR15" s="379">
        <f>+Listrik!AA14</f>
        <v>0</v>
      </c>
      <c r="AS15" s="377">
        <f t="shared" si="21"/>
        <v>0</v>
      </c>
      <c r="AT15" s="380">
        <f t="shared" si="22"/>
        <v>0</v>
      </c>
      <c r="AU15" s="380">
        <f t="shared" si="22"/>
        <v>0</v>
      </c>
      <c r="AV15" s="380">
        <f t="shared" si="23"/>
        <v>0</v>
      </c>
      <c r="AW15" s="380">
        <f t="shared" si="23"/>
        <v>0</v>
      </c>
      <c r="AX15" s="453"/>
      <c r="AY15" s="375">
        <f>+Efficiency2!K36</f>
        <v>0</v>
      </c>
      <c r="AZ15" s="376">
        <f t="shared" si="24"/>
        <v>0</v>
      </c>
      <c r="BA15" s="401" t="e">
        <f t="shared" si="25"/>
        <v>#DIV/0!</v>
      </c>
      <c r="BB15" s="401" t="e">
        <f t="shared" si="26"/>
        <v>#DIV/0!</v>
      </c>
    </row>
    <row r="16" spans="1:54" s="381" customFormat="1" ht="12.75" customHeight="1">
      <c r="A16" s="395">
        <f t="shared" si="2"/>
        <v>45938</v>
      </c>
      <c r="B16" s="404" t="s">
        <v>421</v>
      </c>
      <c r="C16" s="417" t="s">
        <v>417</v>
      </c>
      <c r="D16" s="374">
        <f>+'8'!F42</f>
        <v>0</v>
      </c>
      <c r="E16" s="374">
        <f>+'8'!G42</f>
        <v>0</v>
      </c>
      <c r="F16" s="48" t="e">
        <f t="shared" si="0"/>
        <v>#DIV/0!</v>
      </c>
      <c r="G16" s="400">
        <f t="shared" si="3"/>
        <v>0</v>
      </c>
      <c r="H16" s="396">
        <f t="shared" si="4"/>
        <v>0</v>
      </c>
      <c r="I16" s="396" t="e">
        <f t="shared" si="5"/>
        <v>#DIV/0!</v>
      </c>
      <c r="J16" s="401">
        <f t="shared" si="6"/>
        <v>0</v>
      </c>
      <c r="K16" s="401">
        <f t="shared" si="6"/>
        <v>7.9723789017448025E-3</v>
      </c>
      <c r="L16" s="375">
        <f>+Efficiency1!K41</f>
        <v>52.744607999999999</v>
      </c>
      <c r="M16" s="376">
        <f t="shared" si="7"/>
        <v>421.95686399999988</v>
      </c>
      <c r="N16" s="375">
        <f>+Efficiency1!C41</f>
        <v>52.744607999999999</v>
      </c>
      <c r="O16" s="376">
        <f t="shared" si="7"/>
        <v>421.95686399999988</v>
      </c>
      <c r="P16" s="376">
        <f>'8'!I38</f>
        <v>0</v>
      </c>
      <c r="Q16" s="376">
        <f t="shared" si="8"/>
        <v>0</v>
      </c>
      <c r="R16" s="376">
        <f>'8'!I40</f>
        <v>0</v>
      </c>
      <c r="S16" s="376">
        <f t="shared" si="9"/>
        <v>3.3639999999999999</v>
      </c>
      <c r="T16" s="99">
        <f>+[1]Report1!AZ16</f>
        <v>0</v>
      </c>
      <c r="U16" s="13">
        <f t="shared" si="10"/>
        <v>0</v>
      </c>
      <c r="V16" s="279" t="e">
        <f t="shared" si="11"/>
        <v>#DIV/0!</v>
      </c>
      <c r="W16" s="279" t="e">
        <f t="shared" si="11"/>
        <v>#DIV/0!</v>
      </c>
      <c r="X16" s="280">
        <f t="shared" si="12"/>
        <v>0</v>
      </c>
      <c r="Y16" s="279">
        <f t="shared" si="13"/>
        <v>0</v>
      </c>
      <c r="Z16" s="378">
        <v>1.6</v>
      </c>
      <c r="AA16" s="377">
        <f t="shared" si="14"/>
        <v>2.6</v>
      </c>
      <c r="AB16" s="380" t="e">
        <f t="shared" si="1"/>
        <v>#DIV/0!</v>
      </c>
      <c r="AC16" s="380" t="e">
        <f t="shared" si="1"/>
        <v>#DIV/0!</v>
      </c>
      <c r="AD16" s="375">
        <f t="shared" si="15"/>
        <v>0</v>
      </c>
      <c r="AE16" s="380">
        <f t="shared" si="15"/>
        <v>0.77288941736028538</v>
      </c>
      <c r="AF16" s="99">
        <v>0</v>
      </c>
      <c r="AG16" s="379">
        <f t="shared" si="27"/>
        <v>0</v>
      </c>
      <c r="AH16" s="380" t="e">
        <f t="shared" si="16"/>
        <v>#DIV/0!</v>
      </c>
      <c r="AI16" s="380" t="e">
        <f t="shared" si="16"/>
        <v>#DIV/0!</v>
      </c>
      <c r="AJ16" s="375">
        <f t="shared" si="17"/>
        <v>0</v>
      </c>
      <c r="AK16" s="380">
        <f t="shared" si="17"/>
        <v>0</v>
      </c>
      <c r="AL16" s="379">
        <f>'8'!I46</f>
        <v>2439.2600000002321</v>
      </c>
      <c r="AM16" s="377">
        <f t="shared" si="18"/>
        <v>25762.920000000617</v>
      </c>
      <c r="AN16" s="380" t="e">
        <f t="shared" si="19"/>
        <v>#DIV/0!</v>
      </c>
      <c r="AO16" s="380" t="e">
        <f t="shared" si="19"/>
        <v>#DIV/0!</v>
      </c>
      <c r="AP16" s="380">
        <f t="shared" si="20"/>
        <v>0</v>
      </c>
      <c r="AQ16" s="380">
        <f t="shared" si="20"/>
        <v>7658.4185493462001</v>
      </c>
      <c r="AR16" s="379">
        <f>+Listrik!AA15</f>
        <v>0</v>
      </c>
      <c r="AS16" s="377">
        <f t="shared" si="21"/>
        <v>0</v>
      </c>
      <c r="AT16" s="380">
        <f t="shared" si="22"/>
        <v>0</v>
      </c>
      <c r="AU16" s="380">
        <f t="shared" si="22"/>
        <v>0</v>
      </c>
      <c r="AV16" s="380">
        <f t="shared" si="23"/>
        <v>0</v>
      </c>
      <c r="AW16" s="380">
        <f t="shared" si="23"/>
        <v>0</v>
      </c>
      <c r="AX16" s="453"/>
      <c r="AY16" s="375">
        <f>+Efficiency2!K41</f>
        <v>0</v>
      </c>
      <c r="AZ16" s="376">
        <f t="shared" si="24"/>
        <v>0</v>
      </c>
      <c r="BA16" s="401" t="e">
        <f t="shared" si="25"/>
        <v>#DIV/0!</v>
      </c>
      <c r="BB16" s="401" t="e">
        <f t="shared" si="26"/>
        <v>#DIV/0!</v>
      </c>
    </row>
    <row r="17" spans="1:54" s="381" customFormat="1" ht="12.75" customHeight="1">
      <c r="A17" s="395">
        <f t="shared" si="2"/>
        <v>45939</v>
      </c>
      <c r="B17" s="404" t="s">
        <v>460</v>
      </c>
      <c r="C17" s="382" t="s">
        <v>461</v>
      </c>
      <c r="D17" s="374">
        <f>+'9'!F42</f>
        <v>951.4486486486486</v>
      </c>
      <c r="E17" s="374">
        <f>+'9'!G42</f>
        <v>729.5797837837838</v>
      </c>
      <c r="F17" s="48">
        <f t="shared" si="0"/>
        <v>0.23319058278130644</v>
      </c>
      <c r="G17" s="400">
        <f t="shared" si="3"/>
        <v>0.57939611910933952</v>
      </c>
      <c r="H17" s="396">
        <f t="shared" si="4"/>
        <v>0.42345122844147948</v>
      </c>
      <c r="I17" s="396">
        <f t="shared" si="5"/>
        <v>0.79638956986850906</v>
      </c>
      <c r="J17" s="401">
        <f t="shared" si="6"/>
        <v>0.33723214167880161</v>
      </c>
      <c r="K17" s="401">
        <f t="shared" si="6"/>
        <v>4.4702660782263773E-2</v>
      </c>
      <c r="L17" s="375">
        <f>+SUM(Efficiency1!K46:K47)</f>
        <v>52.981308101460598</v>
      </c>
      <c r="M17" s="376">
        <f t="shared" si="7"/>
        <v>474.93817210146051</v>
      </c>
      <c r="N17" s="375">
        <f>+SUM(Efficiency1!C46:C47)</f>
        <v>38.721350143814519</v>
      </c>
      <c r="O17" s="376">
        <f t="shared" si="7"/>
        <v>460.67821414381439</v>
      </c>
      <c r="P17" s="376">
        <f>'9'!I38</f>
        <v>22.434999999999999</v>
      </c>
      <c r="Q17" s="376">
        <f t="shared" si="8"/>
        <v>22.434999999999999</v>
      </c>
      <c r="R17" s="376">
        <f>'9'!I40</f>
        <v>17.867000000000001</v>
      </c>
      <c r="S17" s="376">
        <f t="shared" si="9"/>
        <v>21.231000000000002</v>
      </c>
      <c r="T17" s="99">
        <f>+[1]Report1!AZ17</f>
        <v>2768.5009482043379</v>
      </c>
      <c r="U17" s="13">
        <f t="shared" si="10"/>
        <v>2768.5009482043379</v>
      </c>
      <c r="V17" s="279">
        <f t="shared" si="11"/>
        <v>123.400978301954</v>
      </c>
      <c r="W17" s="279">
        <f t="shared" si="11"/>
        <v>123.400978301954</v>
      </c>
      <c r="X17" s="280">
        <f t="shared" si="12"/>
        <v>154.95052041217542</v>
      </c>
      <c r="Y17" s="279">
        <f t="shared" si="13"/>
        <v>130.39898960031735</v>
      </c>
      <c r="Z17" s="378">
        <v>63.9</v>
      </c>
      <c r="AA17" s="377">
        <f t="shared" si="14"/>
        <v>66.5</v>
      </c>
      <c r="AB17" s="380">
        <f t="shared" si="1"/>
        <v>2.8482282148428797</v>
      </c>
      <c r="AC17" s="380">
        <f t="shared" si="1"/>
        <v>2.9641185647425901</v>
      </c>
      <c r="AD17" s="375">
        <f t="shared" si="15"/>
        <v>3.5764258129512507</v>
      </c>
      <c r="AE17" s="380">
        <f t="shared" si="15"/>
        <v>3.1322123310253871</v>
      </c>
      <c r="AF17" s="99">
        <v>0</v>
      </c>
      <c r="AG17" s="379">
        <f t="shared" si="27"/>
        <v>0</v>
      </c>
      <c r="AH17" s="380">
        <f t="shared" si="16"/>
        <v>0</v>
      </c>
      <c r="AI17" s="380">
        <f t="shared" si="16"/>
        <v>0</v>
      </c>
      <c r="AJ17" s="375">
        <f t="shared" si="17"/>
        <v>0</v>
      </c>
      <c r="AK17" s="380">
        <f t="shared" si="17"/>
        <v>0</v>
      </c>
      <c r="AL17" s="379">
        <f>'9'!I46</f>
        <v>16669.859999999389</v>
      </c>
      <c r="AM17" s="377">
        <f t="shared" si="18"/>
        <v>42432.780000000006</v>
      </c>
      <c r="AN17" s="380">
        <f t="shared" si="19"/>
        <v>743.02919545350517</v>
      </c>
      <c r="AO17" s="380">
        <f t="shared" si="19"/>
        <v>1891.3652774682419</v>
      </c>
      <c r="AP17" s="380">
        <f t="shared" si="20"/>
        <v>932.9971455756081</v>
      </c>
      <c r="AQ17" s="380">
        <f t="shared" si="20"/>
        <v>1998.6237106118415</v>
      </c>
      <c r="AR17" s="379">
        <f>+Listrik!AA16</f>
        <v>0</v>
      </c>
      <c r="AS17" s="377">
        <f t="shared" si="21"/>
        <v>0</v>
      </c>
      <c r="AT17" s="380">
        <f t="shared" si="22"/>
        <v>0</v>
      </c>
      <c r="AU17" s="380">
        <f t="shared" si="22"/>
        <v>0</v>
      </c>
      <c r="AV17" s="380">
        <f t="shared" si="23"/>
        <v>0</v>
      </c>
      <c r="AW17" s="380">
        <f t="shared" si="23"/>
        <v>0</v>
      </c>
      <c r="AX17" s="453"/>
      <c r="AY17" s="375">
        <f>+SUM(Efficiency2!K46:K47)</f>
        <v>41.01039614533736</v>
      </c>
      <c r="AZ17" s="376">
        <f t="shared" si="24"/>
        <v>41.01039614533736</v>
      </c>
      <c r="BA17" s="401">
        <f t="shared" si="25"/>
        <v>0.43567001734586691</v>
      </c>
      <c r="BB17" s="401">
        <f t="shared" si="26"/>
        <v>0.51769799844798237</v>
      </c>
    </row>
    <row r="18" spans="1:54" s="381" customFormat="1" ht="12.75" customHeight="1">
      <c r="A18" s="395">
        <f t="shared" si="2"/>
        <v>45940</v>
      </c>
      <c r="B18" s="404" t="s">
        <v>460</v>
      </c>
      <c r="C18" s="382" t="s">
        <v>486</v>
      </c>
      <c r="D18" s="374">
        <f>+'10'!F42</f>
        <v>1163.1159420289855</v>
      </c>
      <c r="E18" s="374">
        <f>+'10'!G42</f>
        <v>911.01594202898548</v>
      </c>
      <c r="F18" s="48">
        <f t="shared" si="0"/>
        <v>0.21674537411999251</v>
      </c>
      <c r="G18" s="400">
        <f t="shared" si="3"/>
        <v>0.87433328225629392</v>
      </c>
      <c r="H18" s="396">
        <f t="shared" si="4"/>
        <v>0.82678941401530415</v>
      </c>
      <c r="I18" s="396">
        <f>+R18/P18</f>
        <v>0.89416315049226458</v>
      </c>
      <c r="J18" s="401">
        <f t="shared" si="6"/>
        <v>0.73928462722957766</v>
      </c>
      <c r="K18" s="401">
        <f t="shared" si="6"/>
        <v>0.11276735752957592</v>
      </c>
      <c r="L18" s="375">
        <f>+Efficiency1!K52</f>
        <v>51.597177318492307</v>
      </c>
      <c r="M18" s="376">
        <f t="shared" si="7"/>
        <v>526.53534941995281</v>
      </c>
      <c r="N18" s="375">
        <f>+Efficiency1!C52</f>
        <v>48.791463010434782</v>
      </c>
      <c r="O18" s="376">
        <f t="shared" si="7"/>
        <v>509.46967715424915</v>
      </c>
      <c r="P18" s="376">
        <f>'10'!I38</f>
        <v>42.66</v>
      </c>
      <c r="Q18" s="376">
        <f t="shared" si="8"/>
        <v>65.094999999999999</v>
      </c>
      <c r="R18" s="376">
        <f>'10'!I40</f>
        <v>38.145000000000003</v>
      </c>
      <c r="S18" s="376">
        <f t="shared" si="9"/>
        <v>59.376000000000005</v>
      </c>
      <c r="T18" s="99">
        <f>+[1]Report1!AZ18</f>
        <v>3799.328145868416</v>
      </c>
      <c r="U18" s="13">
        <f t="shared" si="10"/>
        <v>6567.8290940727538</v>
      </c>
      <c r="V18" s="279">
        <f t="shared" si="11"/>
        <v>89.06066914834544</v>
      </c>
      <c r="W18" s="279">
        <f t="shared" si="11"/>
        <v>100.8960610503534</v>
      </c>
      <c r="X18" s="280">
        <f t="shared" si="12"/>
        <v>99.602258379038304</v>
      </c>
      <c r="Y18" s="279">
        <f t="shared" si="13"/>
        <v>110.6142059767036</v>
      </c>
      <c r="Z18" s="378">
        <v>95.2</v>
      </c>
      <c r="AA18" s="377">
        <f t="shared" si="14"/>
        <v>161.69999999999999</v>
      </c>
      <c r="AB18" s="380">
        <f t="shared" si="1"/>
        <v>2.2315986872948899</v>
      </c>
      <c r="AC18" s="380">
        <f t="shared" si="1"/>
        <v>2.48406175589523</v>
      </c>
      <c r="AD18" s="375">
        <f t="shared" si="15"/>
        <v>2.4957399397037618</v>
      </c>
      <c r="AE18" s="380">
        <f t="shared" si="15"/>
        <v>2.7233225545675017</v>
      </c>
      <c r="AF18" s="99">
        <v>0</v>
      </c>
      <c r="AG18" s="379">
        <f t="shared" si="27"/>
        <v>0</v>
      </c>
      <c r="AH18" s="380">
        <f t="shared" si="16"/>
        <v>0</v>
      </c>
      <c r="AI18" s="380">
        <f t="shared" si="16"/>
        <v>0</v>
      </c>
      <c r="AJ18" s="375">
        <f t="shared" si="17"/>
        <v>0</v>
      </c>
      <c r="AK18" s="380">
        <f t="shared" si="17"/>
        <v>0</v>
      </c>
      <c r="AL18" s="379">
        <f>'10'!I46</f>
        <v>35815.582399998078</v>
      </c>
      <c r="AM18" s="377">
        <f t="shared" si="18"/>
        <v>78248.362399998092</v>
      </c>
      <c r="AN18" s="380">
        <f t="shared" si="19"/>
        <v>839.55889357707633</v>
      </c>
      <c r="AO18" s="380">
        <f t="shared" si="19"/>
        <v>1202.0640970888408</v>
      </c>
      <c r="AP18" s="380">
        <f t="shared" si="20"/>
        <v>938.93255734691513</v>
      </c>
      <c r="AQ18" s="380">
        <f t="shared" si="20"/>
        <v>1317.8449609269417</v>
      </c>
      <c r="AR18" s="379">
        <f>+Listrik!AA17</f>
        <v>0</v>
      </c>
      <c r="AS18" s="377">
        <f t="shared" si="21"/>
        <v>0</v>
      </c>
      <c r="AT18" s="380">
        <f t="shared" si="22"/>
        <v>0</v>
      </c>
      <c r="AU18" s="380">
        <f t="shared" si="22"/>
        <v>0</v>
      </c>
      <c r="AV18" s="380">
        <f t="shared" si="23"/>
        <v>0</v>
      </c>
      <c r="AW18" s="380">
        <f t="shared" si="23"/>
        <v>0</v>
      </c>
      <c r="AX18" s="453"/>
      <c r="AY18" s="375">
        <f>+SUM(Efficiency2!K52)</f>
        <v>51.597177318492307</v>
      </c>
      <c r="AZ18" s="376">
        <f t="shared" si="24"/>
        <v>92.607573463829667</v>
      </c>
      <c r="BA18" s="401">
        <f t="shared" si="25"/>
        <v>0.73928462722957766</v>
      </c>
      <c r="BB18" s="401">
        <f t="shared" si="26"/>
        <v>0.64115706501251613</v>
      </c>
    </row>
    <row r="19" spans="1:54" s="381" customFormat="1" ht="12.75" customHeight="1">
      <c r="A19" s="395">
        <f t="shared" si="2"/>
        <v>45941</v>
      </c>
      <c r="B19" s="404" t="s">
        <v>460</v>
      </c>
      <c r="C19" s="382" t="s">
        <v>486</v>
      </c>
      <c r="D19" s="374">
        <f>+'11'!F42</f>
        <v>1215.5902777777778</v>
      </c>
      <c r="E19" s="374">
        <f>+'11'!G42</f>
        <v>944.13784722222226</v>
      </c>
      <c r="F19" s="48">
        <f t="shared" si="0"/>
        <v>0.2233091490759519</v>
      </c>
      <c r="G19" s="400">
        <f t="shared" si="3"/>
        <v>0.89183548973397608</v>
      </c>
      <c r="H19" s="396">
        <f t="shared" si="4"/>
        <v>0.87427947636919723</v>
      </c>
      <c r="I19" s="396">
        <f t="shared" si="5"/>
        <v>0.78641121163739569</v>
      </c>
      <c r="J19" s="401">
        <f t="shared" si="6"/>
        <v>0.68754318232120826</v>
      </c>
      <c r="K19" s="401">
        <f t="shared" si="6"/>
        <v>0.16405009032838719</v>
      </c>
      <c r="L19" s="375">
        <f>+Efficiency1!K57</f>
        <v>51.580760178975687</v>
      </c>
      <c r="M19" s="376">
        <f t="shared" si="7"/>
        <v>578.11610959892846</v>
      </c>
      <c r="N19" s="375">
        <f>+Efficiency1!C57</f>
        <v>50.565379511250001</v>
      </c>
      <c r="O19" s="376">
        <f t="shared" si="7"/>
        <v>560.03505666549916</v>
      </c>
      <c r="P19" s="376">
        <f>'11'!I38</f>
        <v>45.096000000000004</v>
      </c>
      <c r="Q19" s="376">
        <f t="shared" si="8"/>
        <v>110.191</v>
      </c>
      <c r="R19" s="376">
        <f>'11'!I40</f>
        <v>35.463999999999999</v>
      </c>
      <c r="S19" s="376">
        <f t="shared" si="9"/>
        <v>94.84</v>
      </c>
      <c r="T19" s="99">
        <f>+[1]Report1!AZ19</f>
        <v>4117.2851796564555</v>
      </c>
      <c r="U19" s="13">
        <f t="shared" si="10"/>
        <v>10685.11427372921</v>
      </c>
      <c r="V19" s="279">
        <f t="shared" si="11"/>
        <v>91.300451917164608</v>
      </c>
      <c r="W19" s="279">
        <f t="shared" si="11"/>
        <v>96.969028992651033</v>
      </c>
      <c r="X19" s="280">
        <f t="shared" si="12"/>
        <v>116.09759699008728</v>
      </c>
      <c r="Y19" s="279">
        <f t="shared" si="13"/>
        <v>112.66463806125275</v>
      </c>
      <c r="Z19" s="597">
        <v>98.4</v>
      </c>
      <c r="AA19" s="377">
        <f t="shared" si="14"/>
        <v>260.10000000000002</v>
      </c>
      <c r="AB19" s="380">
        <f t="shared" si="1"/>
        <v>2.1820117083555082</v>
      </c>
      <c r="AC19" s="380">
        <f t="shared" si="1"/>
        <v>2.3604468604513982</v>
      </c>
      <c r="AD19" s="375">
        <f t="shared" si="15"/>
        <v>2.7746447101285812</v>
      </c>
      <c r="AE19" s="380">
        <f t="shared" si="15"/>
        <v>2.7425137072964993</v>
      </c>
      <c r="AF19" s="99">
        <v>0</v>
      </c>
      <c r="AG19" s="379">
        <f t="shared" si="27"/>
        <v>0</v>
      </c>
      <c r="AH19" s="380">
        <f t="shared" si="16"/>
        <v>0</v>
      </c>
      <c r="AI19" s="380">
        <f t="shared" si="16"/>
        <v>0</v>
      </c>
      <c r="AJ19" s="375">
        <f t="shared" si="17"/>
        <v>0</v>
      </c>
      <c r="AK19" s="380">
        <f t="shared" si="17"/>
        <v>0</v>
      </c>
      <c r="AL19" s="379">
        <f>'11'!I46</f>
        <v>40069.170000002458</v>
      </c>
      <c r="AM19" s="377">
        <f t="shared" si="18"/>
        <v>118317.53240000055</v>
      </c>
      <c r="AN19" s="380">
        <f t="shared" si="19"/>
        <v>888.53046833427481</v>
      </c>
      <c r="AO19" s="380">
        <f t="shared" si="19"/>
        <v>1073.7495113031059</v>
      </c>
      <c r="AP19" s="380">
        <f t="shared" si="20"/>
        <v>1129.8547823145291</v>
      </c>
      <c r="AQ19" s="380">
        <f t="shared" si="20"/>
        <v>1247.5488443694703</v>
      </c>
      <c r="AR19" s="379">
        <f>+Listrik!AA18</f>
        <v>0</v>
      </c>
      <c r="AS19" s="377">
        <f t="shared" si="21"/>
        <v>0</v>
      </c>
      <c r="AT19" s="380">
        <f t="shared" si="22"/>
        <v>0</v>
      </c>
      <c r="AU19" s="380">
        <f t="shared" si="22"/>
        <v>0</v>
      </c>
      <c r="AV19" s="380">
        <f t="shared" si="23"/>
        <v>0</v>
      </c>
      <c r="AW19" s="380">
        <f t="shared" si="23"/>
        <v>0</v>
      </c>
      <c r="AX19" s="453"/>
      <c r="AY19" s="375">
        <f>+Efficiency2!K57</f>
        <v>51.580760178975687</v>
      </c>
      <c r="AZ19" s="376">
        <f t="shared" si="24"/>
        <v>144.18833364280536</v>
      </c>
      <c r="BA19" s="401">
        <f t="shared" si="25"/>
        <v>0.68754318232120826</v>
      </c>
      <c r="BB19" s="401">
        <f t="shared" si="26"/>
        <v>0.6577508568407836</v>
      </c>
    </row>
    <row r="20" spans="1:54" s="381" customFormat="1" ht="12.75" customHeight="1">
      <c r="A20" s="395">
        <f t="shared" si="2"/>
        <v>45942</v>
      </c>
      <c r="B20" s="404" t="s">
        <v>460</v>
      </c>
      <c r="C20" s="382" t="s">
        <v>486</v>
      </c>
      <c r="D20" s="374">
        <f>+'12'!F42</f>
        <v>1219.2936069455407</v>
      </c>
      <c r="E20" s="374">
        <f>+'12'!G42</f>
        <v>946.41211523283334</v>
      </c>
      <c r="F20" s="48">
        <f t="shared" si="0"/>
        <v>0.22380293815884456</v>
      </c>
      <c r="G20" s="400">
        <f t="shared" si="3"/>
        <v>0.84184990221765832</v>
      </c>
      <c r="H20" s="396">
        <f t="shared" si="4"/>
        <v>0.82779209982396718</v>
      </c>
      <c r="I20" s="396">
        <f t="shared" si="5"/>
        <v>1.0490731410091163</v>
      </c>
      <c r="J20" s="401">
        <f t="shared" si="6"/>
        <v>0.86841445826486119</v>
      </c>
      <c r="K20" s="401">
        <f t="shared" si="6"/>
        <v>0.2217134582497351</v>
      </c>
      <c r="L20" s="375">
        <f>+Efficiency1!K61</f>
        <v>51.547967187744526</v>
      </c>
      <c r="M20" s="376">
        <f t="shared" si="7"/>
        <v>629.66407678667304</v>
      </c>
      <c r="N20" s="375">
        <f>+Efficiency1!C61</f>
        <v>50.687182937947902</v>
      </c>
      <c r="O20" s="376">
        <f t="shared" si="7"/>
        <v>610.72223960344706</v>
      </c>
      <c r="P20" s="376">
        <f>'12'!I38</f>
        <v>42.670999999999999</v>
      </c>
      <c r="Q20" s="376">
        <f t="shared" si="8"/>
        <v>152.86199999999999</v>
      </c>
      <c r="R20" s="376">
        <f>'12'!I40</f>
        <v>44.765000000000001</v>
      </c>
      <c r="S20" s="376">
        <f t="shared" si="9"/>
        <v>139.60500000000002</v>
      </c>
      <c r="T20" s="99">
        <f>+[1]Report1!AZ20</f>
        <v>3583.8023488021686</v>
      </c>
      <c r="U20" s="13">
        <f t="shared" si="10"/>
        <v>14268.916622531378</v>
      </c>
      <c r="V20" s="279">
        <f t="shared" si="11"/>
        <v>83.986837636853338</v>
      </c>
      <c r="W20" s="279">
        <f t="shared" si="11"/>
        <v>93.345086565211616</v>
      </c>
      <c r="X20" s="280">
        <f t="shared" si="12"/>
        <v>80.058133559749095</v>
      </c>
      <c r="Y20" s="279">
        <f t="shared" si="13"/>
        <v>102.20920900061873</v>
      </c>
      <c r="Z20" s="378">
        <v>90.4</v>
      </c>
      <c r="AA20" s="377">
        <f t="shared" si="14"/>
        <v>350.5</v>
      </c>
      <c r="AB20" s="380">
        <f t="shared" si="1"/>
        <v>2.1185348363056877</v>
      </c>
      <c r="AC20" s="380">
        <f t="shared" si="1"/>
        <v>2.2929177951354816</v>
      </c>
      <c r="AD20" s="375">
        <f t="shared" si="15"/>
        <v>2.0194348263152015</v>
      </c>
      <c r="AE20" s="380">
        <f t="shared" si="15"/>
        <v>2.510655062497761</v>
      </c>
      <c r="AF20" s="99">
        <v>0</v>
      </c>
      <c r="AG20" s="379">
        <f t="shared" si="27"/>
        <v>0</v>
      </c>
      <c r="AH20" s="380">
        <f t="shared" si="16"/>
        <v>0</v>
      </c>
      <c r="AI20" s="380">
        <f t="shared" si="16"/>
        <v>0</v>
      </c>
      <c r="AJ20" s="375">
        <f t="shared" si="17"/>
        <v>0</v>
      </c>
      <c r="AK20" s="380">
        <f t="shared" si="17"/>
        <v>0</v>
      </c>
      <c r="AL20" s="379">
        <f>'12'!I46</f>
        <v>37186.619999999719</v>
      </c>
      <c r="AM20" s="377">
        <f t="shared" si="18"/>
        <v>155504.15240000025</v>
      </c>
      <c r="AN20" s="380">
        <f t="shared" si="19"/>
        <v>871.47289728386306</v>
      </c>
      <c r="AO20" s="380">
        <f t="shared" si="19"/>
        <v>1017.284559929873</v>
      </c>
      <c r="AP20" s="380">
        <f t="shared" si="20"/>
        <v>830.70747235562874</v>
      </c>
      <c r="AQ20" s="380">
        <f t="shared" si="20"/>
        <v>1113.8866974678574</v>
      </c>
      <c r="AR20" s="379">
        <f>+Listrik!AA19</f>
        <v>0</v>
      </c>
      <c r="AS20" s="377">
        <f t="shared" si="21"/>
        <v>0</v>
      </c>
      <c r="AT20" s="380">
        <f t="shared" si="22"/>
        <v>0</v>
      </c>
      <c r="AU20" s="380">
        <f t="shared" si="22"/>
        <v>0</v>
      </c>
      <c r="AV20" s="380">
        <f t="shared" si="23"/>
        <v>0</v>
      </c>
      <c r="AW20" s="380">
        <f t="shared" si="23"/>
        <v>0</v>
      </c>
      <c r="AX20" s="453"/>
      <c r="AY20" s="375">
        <f>+Efficiency2!K61</f>
        <v>51.547967187744526</v>
      </c>
      <c r="AZ20" s="376">
        <f t="shared" si="24"/>
        <v>195.73630083054988</v>
      </c>
      <c r="BA20" s="401">
        <f t="shared" si="25"/>
        <v>0.86841445826486119</v>
      </c>
      <c r="BB20" s="401">
        <f t="shared" si="26"/>
        <v>0.71322999059258263</v>
      </c>
    </row>
    <row r="21" spans="1:54" s="381" customFormat="1" ht="12.75" customHeight="1">
      <c r="A21" s="395">
        <f t="shared" si="2"/>
        <v>45943</v>
      </c>
      <c r="B21" s="404" t="s">
        <v>460</v>
      </c>
      <c r="C21" s="382" t="s">
        <v>486</v>
      </c>
      <c r="D21" s="374">
        <f>+'13'!F42</f>
        <v>1193.4895833333333</v>
      </c>
      <c r="E21" s="374">
        <f>+'13'!G42</f>
        <v>929.93847222222212</v>
      </c>
      <c r="F21" s="48">
        <f t="shared" si="0"/>
        <v>0.2208239726525566</v>
      </c>
      <c r="G21" s="400">
        <f t="shared" si="3"/>
        <v>0.8761989151201971</v>
      </c>
      <c r="H21" s="396">
        <f t="shared" si="4"/>
        <v>0.84674840333920887</v>
      </c>
      <c r="I21" s="396">
        <f t="shared" si="5"/>
        <v>0.96778111322440941</v>
      </c>
      <c r="J21" s="401">
        <f t="shared" si="6"/>
        <v>0.81946711240461079</v>
      </c>
      <c r="K21" s="401">
        <f t="shared" si="6"/>
        <v>0.26693727592403049</v>
      </c>
      <c r="L21" s="375">
        <f>+Efficiency1!K66</f>
        <v>51.537150619837824</v>
      </c>
      <c r="M21" s="376">
        <f t="shared" si="7"/>
        <v>681.20122740651084</v>
      </c>
      <c r="N21" s="375">
        <f>+Efficiency1!C66</f>
        <v>49.804900744499996</v>
      </c>
      <c r="O21" s="376">
        <f t="shared" si="7"/>
        <v>660.52714034794701</v>
      </c>
      <c r="P21" s="376">
        <f>'13'!I38</f>
        <v>43.638999999999996</v>
      </c>
      <c r="Q21" s="376">
        <f t="shared" si="8"/>
        <v>196.50099999999998</v>
      </c>
      <c r="R21" s="376">
        <f>'13'!I40</f>
        <v>42.232999999999997</v>
      </c>
      <c r="S21" s="376">
        <f t="shared" si="9"/>
        <v>181.83800000000002</v>
      </c>
      <c r="T21" s="99">
        <f>+[1]Report1!AZ21</f>
        <v>3966.528986965367</v>
      </c>
      <c r="U21" s="13">
        <f t="shared" si="10"/>
        <v>18235.445609496746</v>
      </c>
      <c r="V21" s="279">
        <f t="shared" si="11"/>
        <v>90.894131097535862</v>
      </c>
      <c r="W21" s="279">
        <f t="shared" si="11"/>
        <v>92.800777652514483</v>
      </c>
      <c r="X21" s="280">
        <f t="shared" si="12"/>
        <v>93.920133236222071</v>
      </c>
      <c r="Y21" s="279">
        <f t="shared" si="13"/>
        <v>100.28401989406363</v>
      </c>
      <c r="Z21" s="378">
        <v>94.3</v>
      </c>
      <c r="AA21" s="377">
        <f t="shared" si="14"/>
        <v>444.8</v>
      </c>
      <c r="AB21" s="380">
        <f t="shared" si="1"/>
        <v>2.1609111116203397</v>
      </c>
      <c r="AC21" s="380">
        <f t="shared" si="1"/>
        <v>2.2636017119505758</v>
      </c>
      <c r="AD21" s="375">
        <f t="shared" si="15"/>
        <v>2.2328510880117443</v>
      </c>
      <c r="AE21" s="380">
        <f t="shared" si="15"/>
        <v>2.4461333714625102</v>
      </c>
      <c r="AF21" s="99">
        <v>0</v>
      </c>
      <c r="AG21" s="379">
        <f t="shared" si="27"/>
        <v>0</v>
      </c>
      <c r="AH21" s="380">
        <f t="shared" si="16"/>
        <v>0</v>
      </c>
      <c r="AI21" s="380">
        <f t="shared" si="16"/>
        <v>0</v>
      </c>
      <c r="AJ21" s="375">
        <f t="shared" si="17"/>
        <v>0</v>
      </c>
      <c r="AK21" s="380">
        <f t="shared" si="17"/>
        <v>0</v>
      </c>
      <c r="AL21" s="379">
        <f>'13'!I46</f>
        <v>40184.410000000003</v>
      </c>
      <c r="AM21" s="377">
        <f t="shared" si="18"/>
        <v>195688.56240000026</v>
      </c>
      <c r="AN21" s="380">
        <f t="shared" si="19"/>
        <v>920.83709525882841</v>
      </c>
      <c r="AO21" s="380">
        <f t="shared" si="19"/>
        <v>995.86547854718447</v>
      </c>
      <c r="AP21" s="380">
        <f t="shared" si="20"/>
        <v>951.49314517083803</v>
      </c>
      <c r="AQ21" s="380">
        <f t="shared" si="20"/>
        <v>1076.1697906928159</v>
      </c>
      <c r="AR21" s="379">
        <f>+Listrik!AA20</f>
        <v>0</v>
      </c>
      <c r="AS21" s="377">
        <f t="shared" si="21"/>
        <v>0</v>
      </c>
      <c r="AT21" s="380">
        <f t="shared" si="22"/>
        <v>0</v>
      </c>
      <c r="AU21" s="380">
        <f t="shared" si="22"/>
        <v>0</v>
      </c>
      <c r="AV21" s="380">
        <f t="shared" si="23"/>
        <v>0</v>
      </c>
      <c r="AW21" s="380">
        <f t="shared" si="23"/>
        <v>0</v>
      </c>
      <c r="AX21" s="453"/>
      <c r="AY21" s="375">
        <f>+Efficiency2!K66</f>
        <v>51.537150619837824</v>
      </c>
      <c r="AZ21" s="376">
        <f t="shared" si="24"/>
        <v>247.27345145038771</v>
      </c>
      <c r="BA21" s="401">
        <f t="shared" si="25"/>
        <v>0.81946711240461079</v>
      </c>
      <c r="BB21" s="401">
        <f t="shared" si="26"/>
        <v>0.73537211105124856</v>
      </c>
    </row>
    <row r="22" spans="1:54" s="381" customFormat="1" ht="12.75" customHeight="1">
      <c r="A22" s="395">
        <f t="shared" si="2"/>
        <v>45944</v>
      </c>
      <c r="B22" s="404" t="s">
        <v>460</v>
      </c>
      <c r="C22" s="382" t="s">
        <v>541</v>
      </c>
      <c r="D22" s="374">
        <f>+'14'!F42</f>
        <v>1233.4722222222222</v>
      </c>
      <c r="E22" s="374">
        <f>+'14'!G42</f>
        <v>970.61736111111111</v>
      </c>
      <c r="F22" s="48">
        <f t="shared" si="0"/>
        <v>0.21310156513906087</v>
      </c>
      <c r="G22" s="400">
        <f t="shared" si="3"/>
        <v>0.8916995806820589</v>
      </c>
      <c r="H22" s="396">
        <f t="shared" si="4"/>
        <v>0.87477633198794991</v>
      </c>
      <c r="I22" s="396">
        <f t="shared" si="5"/>
        <v>0.86588978866284805</v>
      </c>
      <c r="J22" s="401">
        <f t="shared" si="6"/>
        <v>0.75745989323230734</v>
      </c>
      <c r="K22" s="401">
        <f t="shared" si="6"/>
        <v>0.30178191955444045</v>
      </c>
      <c r="L22" s="375">
        <f>+SUM(Efficiency1!K70:K71)</f>
        <v>52.089886675886532</v>
      </c>
      <c r="M22" s="376">
        <f t="shared" si="7"/>
        <v>733.29111408239737</v>
      </c>
      <c r="N22" s="375">
        <f>+SUM(Efficiency1!C70:C71)</f>
        <v>51.101291272499999</v>
      </c>
      <c r="O22" s="376">
        <f t="shared" si="7"/>
        <v>711.62843162044703</v>
      </c>
      <c r="P22" s="376">
        <f>'14'!I38</f>
        <v>45.567000000000007</v>
      </c>
      <c r="Q22" s="376">
        <f t="shared" si="8"/>
        <v>242.06799999999998</v>
      </c>
      <c r="R22" s="376">
        <f>'14'!I40</f>
        <v>39.456000000000003</v>
      </c>
      <c r="S22" s="376">
        <f t="shared" si="9"/>
        <v>221.29400000000004</v>
      </c>
      <c r="T22" s="99">
        <f>+[1]Report1!AZ22</f>
        <v>4108.5239736060157</v>
      </c>
      <c r="U22" s="13">
        <f t="shared" si="10"/>
        <v>22343.969583102764</v>
      </c>
      <c r="V22" s="279">
        <f t="shared" si="11"/>
        <v>90.164460543946603</v>
      </c>
      <c r="W22" s="279">
        <f t="shared" si="11"/>
        <v>92.304516016585282</v>
      </c>
      <c r="X22" s="280">
        <f t="shared" si="12"/>
        <v>104.12925723859529</v>
      </c>
      <c r="Y22" s="279">
        <f t="shared" si="13"/>
        <v>100.96961319829168</v>
      </c>
      <c r="Z22" s="378">
        <v>95.4</v>
      </c>
      <c r="AA22" s="377">
        <f t="shared" si="14"/>
        <v>540.20000000000005</v>
      </c>
      <c r="AB22" s="380">
        <f t="shared" si="1"/>
        <v>2.0936203831720324</v>
      </c>
      <c r="AC22" s="380">
        <f t="shared" si="1"/>
        <v>2.2316043425814236</v>
      </c>
      <c r="AD22" s="375">
        <f t="shared" si="15"/>
        <v>2.417883211678832</v>
      </c>
      <c r="AE22" s="380">
        <f t="shared" si="15"/>
        <v>2.4410964599130565</v>
      </c>
      <c r="AF22" s="99">
        <v>0</v>
      </c>
      <c r="AG22" s="379">
        <f t="shared" si="27"/>
        <v>0</v>
      </c>
      <c r="AH22" s="380">
        <f t="shared" si="16"/>
        <v>0</v>
      </c>
      <c r="AI22" s="380">
        <f t="shared" si="16"/>
        <v>0</v>
      </c>
      <c r="AJ22" s="375">
        <f t="shared" si="17"/>
        <v>0</v>
      </c>
      <c r="AK22" s="380">
        <f t="shared" si="17"/>
        <v>0</v>
      </c>
      <c r="AL22" s="379">
        <f>'14'!I46</f>
        <v>42128.600000000035</v>
      </c>
      <c r="AM22" s="377">
        <f t="shared" si="18"/>
        <v>237817.16240000029</v>
      </c>
      <c r="AN22" s="380">
        <f t="shared" si="19"/>
        <v>924.54188338051722</v>
      </c>
      <c r="AO22" s="380">
        <f t="shared" si="19"/>
        <v>982.43948973015983</v>
      </c>
      <c r="AP22" s="380">
        <f t="shared" si="20"/>
        <v>1067.736212489863</v>
      </c>
      <c r="AQ22" s="380">
        <f t="shared" si="20"/>
        <v>1074.6661111462593</v>
      </c>
      <c r="AR22" s="379">
        <f>+Listrik!AA21</f>
        <v>0</v>
      </c>
      <c r="AS22" s="377">
        <f t="shared" si="21"/>
        <v>0</v>
      </c>
      <c r="AT22" s="380">
        <f t="shared" si="22"/>
        <v>0</v>
      </c>
      <c r="AU22" s="380">
        <f t="shared" si="22"/>
        <v>0</v>
      </c>
      <c r="AV22" s="380">
        <f t="shared" si="23"/>
        <v>0</v>
      </c>
      <c r="AW22" s="380">
        <f t="shared" si="23"/>
        <v>0</v>
      </c>
      <c r="AX22" s="453"/>
      <c r="AY22" s="375">
        <f>+SUM(Efficiency2!K70:K71)</f>
        <v>52.089886675886532</v>
      </c>
      <c r="AZ22" s="376">
        <f t="shared" si="24"/>
        <v>299.36333812627424</v>
      </c>
      <c r="BA22" s="401">
        <f t="shared" si="25"/>
        <v>0.75745989323230734</v>
      </c>
      <c r="BB22" s="401">
        <f t="shared" si="26"/>
        <v>0.73921543427824876</v>
      </c>
    </row>
    <row r="23" spans="1:54" s="381" customFormat="1" ht="12.75" customHeight="1">
      <c r="A23" s="395">
        <f t="shared" si="2"/>
        <v>45945</v>
      </c>
      <c r="B23" s="404" t="s">
        <v>460</v>
      </c>
      <c r="C23" s="382" t="s">
        <v>555</v>
      </c>
      <c r="D23" s="374">
        <f>+'15'!F42</f>
        <v>1251.0824652777778</v>
      </c>
      <c r="E23" s="374">
        <f>+'15'!G42</f>
        <v>983.96388888888885</v>
      </c>
      <c r="F23" s="48">
        <f t="shared" si="0"/>
        <v>0.21350996741016637</v>
      </c>
      <c r="G23" s="400">
        <f t="shared" si="3"/>
        <v>0.91002020904203729</v>
      </c>
      <c r="H23" s="396">
        <f t="shared" si="4"/>
        <v>0.8870935542666768</v>
      </c>
      <c r="I23" s="396">
        <f t="shared" si="5"/>
        <v>0.86179055887140532</v>
      </c>
      <c r="J23" s="401">
        <f t="shared" si="6"/>
        <v>0.76448884990270061</v>
      </c>
      <c r="K23" s="401">
        <f t="shared" si="6"/>
        <v>0.33238779618664105</v>
      </c>
      <c r="L23" s="375">
        <f>+SUM(Efficiency1!K74:K76)</f>
        <v>51.939279434950109</v>
      </c>
      <c r="M23" s="376">
        <f t="shared" si="7"/>
        <v>785.23039351734747</v>
      </c>
      <c r="N23" s="375">
        <f>+SUM(Efficiency1!C74:C76)</f>
        <v>50.630743737551022</v>
      </c>
      <c r="O23" s="376">
        <f t="shared" si="7"/>
        <v>762.25917535799806</v>
      </c>
      <c r="P23" s="376">
        <f>'15'!I38</f>
        <v>46.075000000000003</v>
      </c>
      <c r="Q23" s="376">
        <f t="shared" si="8"/>
        <v>288.14299999999997</v>
      </c>
      <c r="R23" s="376">
        <f>'15'!I40</f>
        <v>39.707000000000001</v>
      </c>
      <c r="S23" s="376">
        <f t="shared" si="9"/>
        <v>261.00100000000003</v>
      </c>
      <c r="T23" s="99">
        <f>+[1]Report1!AZ23</f>
        <v>3919.3263458528231</v>
      </c>
      <c r="U23" s="13">
        <f t="shared" si="10"/>
        <v>26263.295928955587</v>
      </c>
      <c r="V23" s="279">
        <f t="shared" si="11"/>
        <v>85.064055254537664</v>
      </c>
      <c r="W23" s="279">
        <f t="shared" si="11"/>
        <v>91.146742863632255</v>
      </c>
      <c r="X23" s="280">
        <f t="shared" si="12"/>
        <v>98.70618142526061</v>
      </c>
      <c r="Y23" s="279">
        <f t="shared" si="13"/>
        <v>100.62526936278246</v>
      </c>
      <c r="Z23" s="378">
        <v>94.8</v>
      </c>
      <c r="AA23" s="377">
        <f t="shared" si="14"/>
        <v>635</v>
      </c>
      <c r="AB23" s="380">
        <f t="shared" si="1"/>
        <v>2.0575149213239281</v>
      </c>
      <c r="AC23" s="380">
        <f t="shared" si="1"/>
        <v>2.2037668796396237</v>
      </c>
      <c r="AD23" s="375">
        <f t="shared" si="15"/>
        <v>2.3874883521797163</v>
      </c>
      <c r="AE23" s="380">
        <f t="shared" si="15"/>
        <v>2.4329408699583523</v>
      </c>
      <c r="AF23" s="99">
        <v>0</v>
      </c>
      <c r="AG23" s="379">
        <f t="shared" si="27"/>
        <v>0</v>
      </c>
      <c r="AH23" s="380">
        <f t="shared" si="16"/>
        <v>0</v>
      </c>
      <c r="AI23" s="380">
        <f t="shared" si="16"/>
        <v>0</v>
      </c>
      <c r="AJ23" s="375">
        <f t="shared" si="17"/>
        <v>0</v>
      </c>
      <c r="AK23" s="380">
        <f t="shared" si="17"/>
        <v>0</v>
      </c>
      <c r="AL23" s="379">
        <f>'15'!I46</f>
        <v>41750.799999999777</v>
      </c>
      <c r="AM23" s="377">
        <f t="shared" si="18"/>
        <v>279567.96240000008</v>
      </c>
      <c r="AN23" s="380">
        <f t="shared" si="19"/>
        <v>906.14867064568148</v>
      </c>
      <c r="AO23" s="380">
        <f t="shared" si="19"/>
        <v>970.24034038654452</v>
      </c>
      <c r="AP23" s="380">
        <f t="shared" si="20"/>
        <v>1051.4720326390757</v>
      </c>
      <c r="AQ23" s="380">
        <f t="shared" si="20"/>
        <v>1071.1375144156539</v>
      </c>
      <c r="AR23" s="379">
        <f>+Listrik!AA22</f>
        <v>0</v>
      </c>
      <c r="AS23" s="377">
        <f t="shared" si="21"/>
        <v>0</v>
      </c>
      <c r="AT23" s="380">
        <f t="shared" si="22"/>
        <v>0</v>
      </c>
      <c r="AU23" s="380">
        <f t="shared" si="22"/>
        <v>0</v>
      </c>
      <c r="AV23" s="380">
        <f t="shared" si="23"/>
        <v>0</v>
      </c>
      <c r="AW23" s="380">
        <f t="shared" si="23"/>
        <v>0</v>
      </c>
      <c r="AX23" s="453"/>
      <c r="AY23" s="375">
        <f>+SUM(Efficiency2!K74:K76)</f>
        <v>51.939279434950109</v>
      </c>
      <c r="AZ23" s="376">
        <f t="shared" si="24"/>
        <v>351.30261756122434</v>
      </c>
      <c r="BA23" s="401">
        <f t="shared" si="25"/>
        <v>0.76448884990270061</v>
      </c>
      <c r="BB23" s="401">
        <f t="shared" si="26"/>
        <v>0.74295205032030054</v>
      </c>
    </row>
    <row r="24" spans="1:54" s="381" customFormat="1" ht="12.75" customHeight="1">
      <c r="A24" s="395">
        <f t="shared" si="2"/>
        <v>45946</v>
      </c>
      <c r="B24" s="404" t="s">
        <v>572</v>
      </c>
      <c r="C24" s="382" t="s">
        <v>573</v>
      </c>
      <c r="D24" s="374">
        <f>+'16'!F42</f>
        <v>1090.451803068685</v>
      </c>
      <c r="E24" s="374">
        <f>+'16'!G42</f>
        <v>846.17180203658188</v>
      </c>
      <c r="F24" s="48">
        <f t="shared" si="0"/>
        <v>0.22401723794180062</v>
      </c>
      <c r="G24" s="400">
        <f t="shared" si="3"/>
        <v>0.91576239831944428</v>
      </c>
      <c r="H24" s="396">
        <f t="shared" si="4"/>
        <v>0.91576239831944428</v>
      </c>
      <c r="I24" s="396">
        <f t="shared" si="5"/>
        <v>0.91224430521555133</v>
      </c>
      <c r="J24" s="401">
        <f t="shared" si="6"/>
        <v>0.83539903279744832</v>
      </c>
      <c r="K24" s="401">
        <f t="shared" si="6"/>
        <v>0.36398765963483876</v>
      </c>
      <c r="L24" s="375">
        <f>+SUM(Efficiency1!K78:K81)</f>
        <v>52.635924000000003</v>
      </c>
      <c r="M24" s="376">
        <f t="shared" si="7"/>
        <v>837.86631751734751</v>
      </c>
      <c r="N24" s="375">
        <f>+SUM(Efficiency1!C78:C81)</f>
        <v>52.635924000000003</v>
      </c>
      <c r="O24" s="376">
        <f t="shared" si="7"/>
        <v>814.89509935799811</v>
      </c>
      <c r="P24" s="376">
        <f>'16'!I38</f>
        <v>48.201999999999998</v>
      </c>
      <c r="Q24" s="376">
        <f t="shared" si="8"/>
        <v>336.34499999999997</v>
      </c>
      <c r="R24" s="376">
        <f>'16'!I40</f>
        <v>43.972000000000001</v>
      </c>
      <c r="S24" s="376">
        <f t="shared" si="9"/>
        <v>304.97300000000001</v>
      </c>
      <c r="T24" s="99">
        <f>+[1]Report1!AZ24</f>
        <v>3927.6601068110322</v>
      </c>
      <c r="U24" s="13">
        <f t="shared" si="10"/>
        <v>30190.95603576662</v>
      </c>
      <c r="V24" s="279">
        <f t="shared" si="11"/>
        <v>81.483343156114529</v>
      </c>
      <c r="W24" s="279">
        <f t="shared" si="11"/>
        <v>89.761869615325395</v>
      </c>
      <c r="X24" s="280">
        <f t="shared" si="12"/>
        <v>89.321843600723909</v>
      </c>
      <c r="Y24" s="279">
        <f t="shared" si="13"/>
        <v>98.995504637350251</v>
      </c>
      <c r="Z24" s="378">
        <v>101.8</v>
      </c>
      <c r="AA24" s="377">
        <f t="shared" si="14"/>
        <v>736.8</v>
      </c>
      <c r="AB24" s="380">
        <f t="shared" si="1"/>
        <v>2.1119455624247956</v>
      </c>
      <c r="AC24" s="380">
        <f t="shared" si="1"/>
        <v>2.1906078580029433</v>
      </c>
      <c r="AD24" s="375">
        <f t="shared" si="15"/>
        <v>2.3151096152096788</v>
      </c>
      <c r="AE24" s="380">
        <f t="shared" si="15"/>
        <v>2.4159515760411576</v>
      </c>
      <c r="AF24" s="99">
        <v>0</v>
      </c>
      <c r="AG24" s="379">
        <f t="shared" si="27"/>
        <v>0</v>
      </c>
      <c r="AH24" s="380">
        <f t="shared" si="16"/>
        <v>0</v>
      </c>
      <c r="AI24" s="380">
        <f t="shared" si="16"/>
        <v>0</v>
      </c>
      <c r="AJ24" s="375">
        <f t="shared" si="17"/>
        <v>0</v>
      </c>
      <c r="AK24" s="380">
        <f t="shared" si="17"/>
        <v>0</v>
      </c>
      <c r="AL24" s="379">
        <f>'16'!I46</f>
        <v>42060.60000000002</v>
      </c>
      <c r="AM24" s="377">
        <f t="shared" si="18"/>
        <v>321628.56240000011</v>
      </c>
      <c r="AN24" s="380">
        <f t="shared" si="19"/>
        <v>872.59034894817694</v>
      </c>
      <c r="AO24" s="380">
        <f t="shared" si="19"/>
        <v>956.24600454890117</v>
      </c>
      <c r="AP24" s="380">
        <f t="shared" si="20"/>
        <v>956.53142909124028</v>
      </c>
      <c r="AQ24" s="380">
        <f t="shared" si="20"/>
        <v>1054.6132359258036</v>
      </c>
      <c r="AR24" s="379">
        <f>+Listrik!AA23</f>
        <v>0</v>
      </c>
      <c r="AS24" s="377">
        <f t="shared" si="21"/>
        <v>0</v>
      </c>
      <c r="AT24" s="380">
        <f t="shared" si="22"/>
        <v>0</v>
      </c>
      <c r="AU24" s="380">
        <f t="shared" si="22"/>
        <v>0</v>
      </c>
      <c r="AV24" s="380">
        <f t="shared" si="23"/>
        <v>0</v>
      </c>
      <c r="AW24" s="380">
        <f t="shared" si="23"/>
        <v>0</v>
      </c>
      <c r="AX24" s="453"/>
      <c r="AY24" s="375">
        <f>+SUM(Efficiency2!K78:K80)</f>
        <v>52.635924000000003</v>
      </c>
      <c r="AZ24" s="376">
        <f t="shared" si="24"/>
        <v>403.93854156122433</v>
      </c>
      <c r="BA24" s="401">
        <f t="shared" si="25"/>
        <v>0.83539903279744832</v>
      </c>
      <c r="BB24" s="401">
        <f t="shared" si="26"/>
        <v>0.7549985174013798</v>
      </c>
    </row>
    <row r="25" spans="1:54" s="381" customFormat="1" ht="12.75" customHeight="1">
      <c r="A25" s="395">
        <f t="shared" si="2"/>
        <v>45947</v>
      </c>
      <c r="B25" s="404" t="s">
        <v>574</v>
      </c>
      <c r="C25" s="382" t="s">
        <v>591</v>
      </c>
      <c r="D25" s="374">
        <f>+'17'!F42</f>
        <v>1026.6666666666667</v>
      </c>
      <c r="E25" s="374">
        <f>+'17'!G42</f>
        <v>776.93333333333328</v>
      </c>
      <c r="F25" s="48">
        <f t="shared" si="0"/>
        <v>0.24324675324675338</v>
      </c>
      <c r="G25" s="400">
        <f t="shared" si="3"/>
        <v>0.98365474461272329</v>
      </c>
      <c r="H25" s="396">
        <f t="shared" si="4"/>
        <v>0.97573481913274973</v>
      </c>
      <c r="I25" s="396">
        <f t="shared" si="5"/>
        <v>1.0814001453574023</v>
      </c>
      <c r="J25" s="401">
        <f t="shared" si="6"/>
        <v>1.0551597752404343</v>
      </c>
      <c r="K25" s="401">
        <f t="shared" si="6"/>
        <v>0.40450480002206313</v>
      </c>
      <c r="L25" s="375">
        <f>+Efficiency1!K83</f>
        <v>52.17503670233765</v>
      </c>
      <c r="M25" s="376">
        <f t="shared" si="7"/>
        <v>890.04135421968522</v>
      </c>
      <c r="N25" s="375">
        <f>+Efficiency1!C83</f>
        <v>51.754947839999993</v>
      </c>
      <c r="O25" s="376">
        <f t="shared" si="7"/>
        <v>866.65004719799811</v>
      </c>
      <c r="P25" s="376">
        <f>'17'!I38</f>
        <v>50.909000000000006</v>
      </c>
      <c r="Q25" s="376">
        <f t="shared" si="8"/>
        <v>387.25399999999996</v>
      </c>
      <c r="R25" s="376">
        <f>'17'!I40</f>
        <v>55.052999999999997</v>
      </c>
      <c r="S25" s="376">
        <f t="shared" si="9"/>
        <v>360.02600000000001</v>
      </c>
      <c r="T25" s="99">
        <f>+[1]Report1!AZ25</f>
        <v>4142.5593634664247</v>
      </c>
      <c r="U25" s="13">
        <f t="shared" si="10"/>
        <v>34333.515399233045</v>
      </c>
      <c r="V25" s="279">
        <f t="shared" si="11"/>
        <v>81.371847089245989</v>
      </c>
      <c r="W25" s="279">
        <f t="shared" si="11"/>
        <v>88.658904489645167</v>
      </c>
      <c r="X25" s="280">
        <f t="shared" si="12"/>
        <v>75.246750648764362</v>
      </c>
      <c r="Y25" s="279">
        <f t="shared" si="13"/>
        <v>95.363988709796075</v>
      </c>
      <c r="Z25" s="378">
        <v>104.6</v>
      </c>
      <c r="AA25" s="377">
        <f t="shared" si="14"/>
        <v>841.4</v>
      </c>
      <c r="AB25" s="380">
        <f t="shared" si="1"/>
        <v>2.0546465261545106</v>
      </c>
      <c r="AC25" s="380">
        <f t="shared" si="1"/>
        <v>2.1727341744694697</v>
      </c>
      <c r="AD25" s="375">
        <f t="shared" si="15"/>
        <v>1.8999872849799284</v>
      </c>
      <c r="AE25" s="380">
        <f t="shared" si="15"/>
        <v>2.3370534350296923</v>
      </c>
      <c r="AF25" s="99">
        <v>0</v>
      </c>
      <c r="AG25" s="379">
        <f t="shared" si="27"/>
        <v>0</v>
      </c>
      <c r="AH25" s="380">
        <f t="shared" si="16"/>
        <v>0</v>
      </c>
      <c r="AI25" s="380">
        <f t="shared" si="16"/>
        <v>0</v>
      </c>
      <c r="AJ25" s="375">
        <f t="shared" si="17"/>
        <v>0</v>
      </c>
      <c r="AK25" s="380">
        <f t="shared" si="17"/>
        <v>0</v>
      </c>
      <c r="AL25" s="379">
        <f>'17'!I46</f>
        <v>44528.14</v>
      </c>
      <c r="AM25" s="377">
        <f t="shared" si="18"/>
        <v>366156.70240000013</v>
      </c>
      <c r="AN25" s="380">
        <f t="shared" si="19"/>
        <v>874.66145475259759</v>
      </c>
      <c r="AO25" s="380">
        <f t="shared" si="19"/>
        <v>945.52077551168009</v>
      </c>
      <c r="AP25" s="380">
        <f t="shared" si="20"/>
        <v>808.82313407080449</v>
      </c>
      <c r="AQ25" s="380">
        <f t="shared" si="20"/>
        <v>1017.0284990528464</v>
      </c>
      <c r="AR25" s="379">
        <f>+Listrik!AA24</f>
        <v>0</v>
      </c>
      <c r="AS25" s="377">
        <f t="shared" si="21"/>
        <v>0</v>
      </c>
      <c r="AT25" s="380">
        <f t="shared" si="22"/>
        <v>0</v>
      </c>
      <c r="AU25" s="380">
        <f t="shared" si="22"/>
        <v>0</v>
      </c>
      <c r="AV25" s="380">
        <f t="shared" si="23"/>
        <v>0</v>
      </c>
      <c r="AW25" s="380">
        <f t="shared" si="23"/>
        <v>0</v>
      </c>
      <c r="AX25" s="453"/>
      <c r="AY25" s="375">
        <f>+Efficiency2!K83</f>
        <v>52.17503670233765</v>
      </c>
      <c r="AZ25" s="376">
        <f t="shared" si="24"/>
        <v>456.11357826356198</v>
      </c>
      <c r="BA25" s="401">
        <f t="shared" si="25"/>
        <v>1.0551597752404343</v>
      </c>
      <c r="BB25" s="401">
        <f t="shared" si="26"/>
        <v>0.78933409825383793</v>
      </c>
    </row>
    <row r="26" spans="1:54" s="381" customFormat="1" ht="13.5" customHeight="1">
      <c r="A26" s="395">
        <f t="shared" si="2"/>
        <v>45948</v>
      </c>
      <c r="B26" s="404" t="s">
        <v>574</v>
      </c>
      <c r="C26" s="382" t="s">
        <v>591</v>
      </c>
      <c r="D26" s="374">
        <f>+'18'!F42</f>
        <v>1020.7083333333334</v>
      </c>
      <c r="E26" s="374">
        <f>+'18'!G42</f>
        <v>765.5241666666667</v>
      </c>
      <c r="F26" s="48">
        <f t="shared" si="0"/>
        <v>0.25000693962526022</v>
      </c>
      <c r="G26" s="400">
        <f t="shared" si="3"/>
        <v>0.9101492486775663</v>
      </c>
      <c r="H26" s="396">
        <f t="shared" si="4"/>
        <v>0.89757326265531301</v>
      </c>
      <c r="I26" s="396">
        <f t="shared" si="5"/>
        <v>1.0348393768987139</v>
      </c>
      <c r="J26" s="401">
        <f t="shared" si="6"/>
        <v>0.92884415584716962</v>
      </c>
      <c r="K26" s="401">
        <f t="shared" si="6"/>
        <v>0.43329510068281685</v>
      </c>
      <c r="L26" s="375">
        <f>+Efficiency1!K87</f>
        <v>51.709428000000003</v>
      </c>
      <c r="M26" s="376">
        <f t="shared" ref="M26:O38" si="28">M25+L26</f>
        <v>941.75078221968522</v>
      </c>
      <c r="N26" s="375">
        <f>+Efficiency1!C87</f>
        <v>50.994933048</v>
      </c>
      <c r="O26" s="376">
        <f t="shared" si="28"/>
        <v>917.64498024599811</v>
      </c>
      <c r="P26" s="376">
        <f>'18'!I38</f>
        <v>46.412999999999997</v>
      </c>
      <c r="Q26" s="376">
        <f t="shared" si="8"/>
        <v>433.66699999999997</v>
      </c>
      <c r="R26" s="376">
        <f>'18'!I40</f>
        <v>48.03</v>
      </c>
      <c r="S26" s="376">
        <f t="shared" si="9"/>
        <v>408.05600000000004</v>
      </c>
      <c r="T26" s="99">
        <f>+[1]Report1!AZ26</f>
        <v>3881.8829291117518</v>
      </c>
      <c r="U26" s="13">
        <f t="shared" si="10"/>
        <v>38215.398328344796</v>
      </c>
      <c r="V26" s="279">
        <f t="shared" si="11"/>
        <v>83.637837009280844</v>
      </c>
      <c r="W26" s="279">
        <f t="shared" si="11"/>
        <v>88.121527181788792</v>
      </c>
      <c r="X26" s="280">
        <f t="shared" si="12"/>
        <v>80.822047243634216</v>
      </c>
      <c r="Y26" s="279">
        <f t="shared" si="13"/>
        <v>93.652337738802501</v>
      </c>
      <c r="Z26" s="378">
        <v>102.8</v>
      </c>
      <c r="AA26" s="377">
        <f t="shared" si="14"/>
        <v>944.19999999999993</v>
      </c>
      <c r="AB26" s="380">
        <f t="shared" si="1"/>
        <v>2.2148966884278112</v>
      </c>
      <c r="AC26" s="380">
        <f t="shared" si="1"/>
        <v>2.1772465970433537</v>
      </c>
      <c r="AD26" s="375">
        <f t="shared" si="15"/>
        <v>2.1403289610660003</v>
      </c>
      <c r="AE26" s="380">
        <f t="shared" si="15"/>
        <v>2.3138980924186874</v>
      </c>
      <c r="AF26" s="99">
        <v>0</v>
      </c>
      <c r="AG26" s="379">
        <f t="shared" si="27"/>
        <v>0</v>
      </c>
      <c r="AH26" s="380">
        <f t="shared" si="16"/>
        <v>0</v>
      </c>
      <c r="AI26" s="380">
        <f t="shared" si="16"/>
        <v>0</v>
      </c>
      <c r="AJ26" s="375">
        <f t="shared" si="17"/>
        <v>0</v>
      </c>
      <c r="AK26" s="380">
        <f t="shared" si="17"/>
        <v>0</v>
      </c>
      <c r="AL26" s="379">
        <f>'18'!I46</f>
        <v>46691.970000000154</v>
      </c>
      <c r="AM26" s="377">
        <f t="shared" si="18"/>
        <v>412848.67240000027</v>
      </c>
      <c r="AN26" s="380">
        <f t="shared" si="19"/>
        <v>1006.0106004783175</v>
      </c>
      <c r="AO26" s="380">
        <f t="shared" si="19"/>
        <v>951.99466964283715</v>
      </c>
      <c r="AP26" s="380">
        <f t="shared" si="20"/>
        <v>972.14178638351359</v>
      </c>
      <c r="AQ26" s="380">
        <f t="shared" si="20"/>
        <v>1011.745134001216</v>
      </c>
      <c r="AR26" s="379">
        <f>+Listrik!AA25</f>
        <v>0</v>
      </c>
      <c r="AS26" s="377">
        <f t="shared" si="21"/>
        <v>0</v>
      </c>
      <c r="AT26" s="380">
        <f t="shared" si="22"/>
        <v>0</v>
      </c>
      <c r="AU26" s="380">
        <f t="shared" si="22"/>
        <v>0</v>
      </c>
      <c r="AV26" s="380">
        <f t="shared" si="23"/>
        <v>0</v>
      </c>
      <c r="AW26" s="380">
        <f t="shared" si="23"/>
        <v>0</v>
      </c>
      <c r="AX26" s="453"/>
      <c r="AY26" s="375">
        <f>+Efficiency2!K87</f>
        <v>51.709428000000003</v>
      </c>
      <c r="AZ26" s="376">
        <f t="shared" si="24"/>
        <v>507.82300626356198</v>
      </c>
      <c r="BA26" s="401">
        <f t="shared" si="25"/>
        <v>0.92884415584716962</v>
      </c>
      <c r="BB26" s="401">
        <f t="shared" si="26"/>
        <v>0.8035398061272897</v>
      </c>
    </row>
    <row r="27" spans="1:54" s="381" customFormat="1" ht="12.75" customHeight="1">
      <c r="A27" s="395">
        <f t="shared" si="2"/>
        <v>45949</v>
      </c>
      <c r="B27" s="404" t="s">
        <v>574</v>
      </c>
      <c r="C27" s="382" t="s">
        <v>591</v>
      </c>
      <c r="D27" s="374">
        <f>+'19'!F42</f>
        <v>1017.6681423611111</v>
      </c>
      <c r="E27" s="374">
        <f>+'19'!G42</f>
        <v>775.6903177083334</v>
      </c>
      <c r="F27" s="48">
        <f t="shared" si="0"/>
        <v>0.23777675116306618</v>
      </c>
      <c r="G27" s="400">
        <f t="shared" si="3"/>
        <v>0.94342899652616063</v>
      </c>
      <c r="H27" s="396">
        <f t="shared" si="4"/>
        <v>0.92763056458394666</v>
      </c>
      <c r="I27" s="396">
        <f t="shared" si="5"/>
        <v>0.93659357115017761</v>
      </c>
      <c r="J27" s="401">
        <f t="shared" si="6"/>
        <v>0.86881282319173403</v>
      </c>
      <c r="K27" s="401">
        <f t="shared" si="6"/>
        <v>0.45631364018158782</v>
      </c>
      <c r="L27" s="375">
        <f>+Efficiency1!K91</f>
        <v>52.552170940879357</v>
      </c>
      <c r="M27" s="376">
        <f t="shared" si="28"/>
        <v>994.30295316056458</v>
      </c>
      <c r="N27" s="375">
        <f>+Efficiency1!C91</f>
        <v>51.672145099950001</v>
      </c>
      <c r="O27" s="376">
        <f t="shared" si="28"/>
        <v>969.31712534594817</v>
      </c>
      <c r="P27" s="376">
        <f>'19'!I38</f>
        <v>48.748999999999995</v>
      </c>
      <c r="Q27" s="376">
        <f t="shared" si="8"/>
        <v>482.41599999999994</v>
      </c>
      <c r="R27" s="376">
        <f>'19'!I40</f>
        <v>45.658000000000001</v>
      </c>
      <c r="S27" s="376">
        <f t="shared" si="9"/>
        <v>453.71400000000006</v>
      </c>
      <c r="T27" s="99">
        <f>+[1]Report1!AZ27</f>
        <v>4757.3024394257272</v>
      </c>
      <c r="U27" s="13">
        <f t="shared" si="10"/>
        <v>42972.700767770526</v>
      </c>
      <c r="V27" s="279">
        <f t="shared" si="11"/>
        <v>97.587692863971114</v>
      </c>
      <c r="W27" s="279">
        <f t="shared" si="11"/>
        <v>89.078100162039675</v>
      </c>
      <c r="X27" s="280">
        <f t="shared" si="12"/>
        <v>104.19428006977368</v>
      </c>
      <c r="Y27" s="279">
        <f t="shared" si="13"/>
        <v>94.713191058178765</v>
      </c>
      <c r="Z27" s="378">
        <v>102.9</v>
      </c>
      <c r="AA27" s="377">
        <f t="shared" si="14"/>
        <v>1047.0999999999999</v>
      </c>
      <c r="AB27" s="380">
        <f t="shared" si="1"/>
        <v>2.1108125294877849</v>
      </c>
      <c r="AC27" s="380">
        <f t="shared" si="1"/>
        <v>2.170533315644589</v>
      </c>
      <c r="AD27" s="375">
        <f t="shared" si="15"/>
        <v>2.2537123833720267</v>
      </c>
      <c r="AE27" s="380">
        <f t="shared" si="15"/>
        <v>2.3078415036785285</v>
      </c>
      <c r="AF27" s="99">
        <v>0</v>
      </c>
      <c r="AG27" s="379">
        <f t="shared" si="27"/>
        <v>0</v>
      </c>
      <c r="AH27" s="380">
        <f t="shared" si="16"/>
        <v>0</v>
      </c>
      <c r="AI27" s="380">
        <f t="shared" si="16"/>
        <v>0</v>
      </c>
      <c r="AJ27" s="375">
        <f t="shared" si="17"/>
        <v>0</v>
      </c>
      <c r="AK27" s="380">
        <f t="shared" si="17"/>
        <v>0</v>
      </c>
      <c r="AL27" s="379">
        <f>'19'!I46</f>
        <v>39424.869999999923</v>
      </c>
      <c r="AM27" s="377">
        <f t="shared" si="18"/>
        <v>452273.54240000021</v>
      </c>
      <c r="AN27" s="380">
        <f t="shared" si="19"/>
        <v>808.73187142300208</v>
      </c>
      <c r="AO27" s="380">
        <f t="shared" si="19"/>
        <v>937.51770753872233</v>
      </c>
      <c r="AP27" s="380">
        <f t="shared" si="20"/>
        <v>863.48219370099264</v>
      </c>
      <c r="AQ27" s="380">
        <f t="shared" si="20"/>
        <v>996.82518591006703</v>
      </c>
      <c r="AR27" s="379">
        <f>+Listrik!AA26</f>
        <v>0</v>
      </c>
      <c r="AS27" s="377">
        <f t="shared" si="21"/>
        <v>0</v>
      </c>
      <c r="AT27" s="380">
        <f t="shared" si="22"/>
        <v>0</v>
      </c>
      <c r="AU27" s="380">
        <f t="shared" si="22"/>
        <v>0</v>
      </c>
      <c r="AV27" s="380">
        <f t="shared" si="23"/>
        <v>0</v>
      </c>
      <c r="AW27" s="380">
        <f t="shared" si="23"/>
        <v>0</v>
      </c>
      <c r="AX27" s="453"/>
      <c r="AY27" s="375">
        <f>+Efficiency2!K91</f>
        <v>52.552170940879357</v>
      </c>
      <c r="AZ27" s="376">
        <f t="shared" si="24"/>
        <v>560.37517720444134</v>
      </c>
      <c r="BA27" s="401">
        <f t="shared" si="25"/>
        <v>0.86881282319173403</v>
      </c>
      <c r="BB27" s="401">
        <f t="shared" si="26"/>
        <v>0.80966113142886742</v>
      </c>
    </row>
    <row r="28" spans="1:54" s="381" customFormat="1" ht="12.75" customHeight="1">
      <c r="A28" s="395">
        <f t="shared" si="2"/>
        <v>45950</v>
      </c>
      <c r="B28" s="404" t="s">
        <v>574</v>
      </c>
      <c r="C28" s="382" t="s">
        <v>591</v>
      </c>
      <c r="D28" s="374">
        <f>+'20'!F42</f>
        <v>1013.3333333333334</v>
      </c>
      <c r="E28" s="374">
        <f>+'20'!G42</f>
        <v>770.13333333333333</v>
      </c>
      <c r="F28" s="48">
        <f t="shared" si="0"/>
        <v>0.24</v>
      </c>
      <c r="G28" s="400">
        <f t="shared" si="3"/>
        <v>0.96392010047788845</v>
      </c>
      <c r="H28" s="396">
        <f t="shared" si="4"/>
        <v>0.94374141882537221</v>
      </c>
      <c r="I28" s="396">
        <f t="shared" si="5"/>
        <v>0.98964631655578239</v>
      </c>
      <c r="J28" s="401">
        <f t="shared" si="6"/>
        <v>0.93397021892165755</v>
      </c>
      <c r="K28" s="401">
        <f t="shared" si="6"/>
        <v>0.48022558162664908</v>
      </c>
      <c r="L28" s="375">
        <f>+Efficiency1!K95</f>
        <v>52.398887039999998</v>
      </c>
      <c r="M28" s="376">
        <f t="shared" si="28"/>
        <v>1046.7018402005647</v>
      </c>
      <c r="N28" s="375">
        <f>+Efficiency1!C95</f>
        <v>51.301969919999998</v>
      </c>
      <c r="O28" s="376">
        <f t="shared" si="28"/>
        <v>1020.6190952659482</v>
      </c>
      <c r="P28" s="376">
        <f>'20'!I38</f>
        <v>49.451000000000008</v>
      </c>
      <c r="Q28" s="376">
        <f t="shared" si="8"/>
        <v>531.86699999999996</v>
      </c>
      <c r="R28" s="376">
        <f>'20'!I40</f>
        <v>48.939</v>
      </c>
      <c r="S28" s="376">
        <f t="shared" si="9"/>
        <v>502.65300000000008</v>
      </c>
      <c r="T28" s="99">
        <f>+[1]Report1!AZ28</f>
        <v>4568.7659394722459</v>
      </c>
      <c r="U28" s="13">
        <f t="shared" si="10"/>
        <v>47541.466707242769</v>
      </c>
      <c r="V28" s="279">
        <f t="shared" si="11"/>
        <v>92.389758335973895</v>
      </c>
      <c r="W28" s="279">
        <f t="shared" si="11"/>
        <v>89.386005725571948</v>
      </c>
      <c r="X28" s="280">
        <f t="shared" si="12"/>
        <v>93.356340331274566</v>
      </c>
      <c r="Y28" s="279">
        <f t="shared" si="13"/>
        <v>94.581086171260807</v>
      </c>
      <c r="Z28" s="378">
        <v>102.9</v>
      </c>
      <c r="AA28" s="377">
        <f t="shared" si="14"/>
        <v>1150</v>
      </c>
      <c r="AB28" s="380">
        <f t="shared" si="1"/>
        <v>2.0808477078319951</v>
      </c>
      <c r="AC28" s="380">
        <f t="shared" si="1"/>
        <v>2.1621946840093482</v>
      </c>
      <c r="AD28" s="375">
        <f t="shared" si="15"/>
        <v>2.1026175442898305</v>
      </c>
      <c r="AE28" s="380">
        <f t="shared" si="15"/>
        <v>2.2878606115948772</v>
      </c>
      <c r="AF28" s="99">
        <v>0</v>
      </c>
      <c r="AG28" s="379">
        <f t="shared" si="27"/>
        <v>0</v>
      </c>
      <c r="AH28" s="380">
        <f t="shared" si="16"/>
        <v>0</v>
      </c>
      <c r="AI28" s="380">
        <f t="shared" si="16"/>
        <v>0</v>
      </c>
      <c r="AJ28" s="375">
        <f t="shared" si="17"/>
        <v>0</v>
      </c>
      <c r="AK28" s="380">
        <f t="shared" si="17"/>
        <v>0</v>
      </c>
      <c r="AL28" s="379">
        <f>'20'!I46</f>
        <v>40537.830000000045</v>
      </c>
      <c r="AM28" s="377">
        <f t="shared" si="18"/>
        <v>492811.37240000023</v>
      </c>
      <c r="AN28" s="380">
        <f t="shared" si="19"/>
        <v>819.75753776465672</v>
      </c>
      <c r="AO28" s="380">
        <f t="shared" si="19"/>
        <v>926.56880836750588</v>
      </c>
      <c r="AP28" s="380">
        <f t="shared" si="20"/>
        <v>828.33384417335969</v>
      </c>
      <c r="AQ28" s="380">
        <f t="shared" si="20"/>
        <v>980.4206329217177</v>
      </c>
      <c r="AR28" s="379">
        <f>+Listrik!AA27</f>
        <v>0</v>
      </c>
      <c r="AS28" s="377">
        <f t="shared" si="21"/>
        <v>0</v>
      </c>
      <c r="AT28" s="380">
        <f t="shared" si="22"/>
        <v>0</v>
      </c>
      <c r="AU28" s="380">
        <f t="shared" si="22"/>
        <v>0</v>
      </c>
      <c r="AV28" s="380">
        <f t="shared" si="23"/>
        <v>0</v>
      </c>
      <c r="AW28" s="380">
        <f t="shared" si="23"/>
        <v>0</v>
      </c>
      <c r="AX28" s="453"/>
      <c r="AY28" s="375">
        <f>+Efficiency2!K95</f>
        <v>52.398887039999998</v>
      </c>
      <c r="AZ28" s="376">
        <f t="shared" si="24"/>
        <v>612.77406424444132</v>
      </c>
      <c r="BA28" s="401">
        <f t="shared" si="25"/>
        <v>0.93397021892165755</v>
      </c>
      <c r="BB28" s="401">
        <f t="shared" si="26"/>
        <v>0.82029091851297264</v>
      </c>
    </row>
    <row r="29" spans="1:54" s="381" customFormat="1" ht="12.75" customHeight="1">
      <c r="A29" s="395">
        <f t="shared" si="2"/>
        <v>45951</v>
      </c>
      <c r="B29" s="404" t="s">
        <v>637</v>
      </c>
      <c r="C29" s="382" t="s">
        <v>638</v>
      </c>
      <c r="D29" s="374">
        <f>+'21'!F42</f>
        <v>1258.9259259259259</v>
      </c>
      <c r="E29" s="374">
        <f>+'21'!G42</f>
        <v>925.19088888888905</v>
      </c>
      <c r="F29" s="48">
        <f t="shared" si="0"/>
        <v>0.26509505457326921</v>
      </c>
      <c r="G29" s="400">
        <f t="shared" si="3"/>
        <v>0.8794736757069489</v>
      </c>
      <c r="H29" s="396">
        <f t="shared" si="4"/>
        <v>0.86180514699811506</v>
      </c>
      <c r="I29" s="396">
        <f t="shared" si="5"/>
        <v>0.94613866271897362</v>
      </c>
      <c r="J29" s="401">
        <f t="shared" si="6"/>
        <v>0.815387169305125</v>
      </c>
      <c r="K29" s="401">
        <f t="shared" si="6"/>
        <v>0.49463714927567271</v>
      </c>
      <c r="L29" s="375">
        <f>+SUM(Efficiency1!K99:K102)</f>
        <v>47.029192319373152</v>
      </c>
      <c r="M29" s="376">
        <f t="shared" si="28"/>
        <v>1093.7310325199378</v>
      </c>
      <c r="N29" s="375">
        <f>+SUM(Efficiency1!C99:C102)</f>
        <v>46.084381055999998</v>
      </c>
      <c r="O29" s="376">
        <f t="shared" si="28"/>
        <v>1066.7034763219483</v>
      </c>
      <c r="P29" s="376">
        <f>'21'!I38</f>
        <v>40.53</v>
      </c>
      <c r="Q29" s="376">
        <f t="shared" si="8"/>
        <v>572.39699999999993</v>
      </c>
      <c r="R29" s="376">
        <f>'21'!I40</f>
        <v>38.347000000000001</v>
      </c>
      <c r="S29" s="376">
        <f t="shared" si="9"/>
        <v>541.00000000000011</v>
      </c>
      <c r="T29" s="99">
        <f>+[1]Report1!AZ29</f>
        <v>4524.8061245997733</v>
      </c>
      <c r="U29" s="13">
        <f>T29+U28</f>
        <v>52066.272831842543</v>
      </c>
      <c r="V29" s="279">
        <f t="shared" si="11"/>
        <v>111.64091104366575</v>
      </c>
      <c r="W29" s="279">
        <f t="shared" si="11"/>
        <v>90.961819911429572</v>
      </c>
      <c r="X29" s="280">
        <f t="shared" si="12"/>
        <v>117.99635237697272</v>
      </c>
      <c r="Y29" s="279">
        <f t="shared" si="13"/>
        <v>96.240800058858653</v>
      </c>
      <c r="Z29" s="378">
        <v>91.8</v>
      </c>
      <c r="AA29" s="377">
        <f t="shared" si="14"/>
        <v>1241.8</v>
      </c>
      <c r="AB29" s="380">
        <f t="shared" si="1"/>
        <v>2.2649888971132492</v>
      </c>
      <c r="AC29" s="380">
        <f t="shared" si="1"/>
        <v>2.169473285149992</v>
      </c>
      <c r="AD29" s="375">
        <f t="shared" si="15"/>
        <v>2.3939291209221061</v>
      </c>
      <c r="AE29" s="380">
        <f t="shared" si="15"/>
        <v>2.2953789279112748</v>
      </c>
      <c r="AF29" s="99">
        <v>0</v>
      </c>
      <c r="AG29" s="379">
        <f t="shared" si="27"/>
        <v>0</v>
      </c>
      <c r="AH29" s="380">
        <f t="shared" si="16"/>
        <v>0</v>
      </c>
      <c r="AI29" s="380">
        <f t="shared" si="16"/>
        <v>0</v>
      </c>
      <c r="AJ29" s="375">
        <f t="shared" si="17"/>
        <v>0</v>
      </c>
      <c r="AK29" s="380">
        <f t="shared" si="17"/>
        <v>0</v>
      </c>
      <c r="AL29" s="379">
        <f>'21'!I46</f>
        <v>41992.289999999921</v>
      </c>
      <c r="AM29" s="377">
        <f t="shared" si="18"/>
        <v>534803.66240000015</v>
      </c>
      <c r="AN29" s="380">
        <f t="shared" si="19"/>
        <v>1036.0792005921519</v>
      </c>
      <c r="AO29" s="380">
        <f t="shared" si="19"/>
        <v>934.32296535446596</v>
      </c>
      <c r="AP29" s="380">
        <f t="shared" si="20"/>
        <v>1095.060630557799</v>
      </c>
      <c r="AQ29" s="380">
        <f t="shared" si="20"/>
        <v>988.5465109057302</v>
      </c>
      <c r="AR29" s="379">
        <f>+Listrik!AA28</f>
        <v>0</v>
      </c>
      <c r="AS29" s="377">
        <f t="shared" si="21"/>
        <v>0</v>
      </c>
      <c r="AT29" s="380">
        <f t="shared" si="22"/>
        <v>0</v>
      </c>
      <c r="AU29" s="380">
        <f t="shared" si="22"/>
        <v>0</v>
      </c>
      <c r="AV29" s="380">
        <f t="shared" si="23"/>
        <v>0</v>
      </c>
      <c r="AW29" s="380">
        <f t="shared" si="23"/>
        <v>0</v>
      </c>
      <c r="AX29" s="453"/>
      <c r="AY29" s="375">
        <f>+SUM(Efficiency2!K99:K101)</f>
        <v>47.029192319373152</v>
      </c>
      <c r="AZ29" s="376">
        <f t="shared" si="24"/>
        <v>659.80325656381444</v>
      </c>
      <c r="BA29" s="401">
        <f t="shared" si="25"/>
        <v>0.815387169305125</v>
      </c>
      <c r="BB29" s="401">
        <f t="shared" si="26"/>
        <v>0.81994139104052155</v>
      </c>
    </row>
    <row r="30" spans="1:54" s="381" customFormat="1" ht="12.75" customHeight="1">
      <c r="A30" s="395">
        <f t="shared" si="2"/>
        <v>45952</v>
      </c>
      <c r="B30" s="404" t="s">
        <v>659</v>
      </c>
      <c r="C30" s="382" t="s">
        <v>660</v>
      </c>
      <c r="D30" s="374">
        <f>+'22'!F42</f>
        <v>1341.6666666666667</v>
      </c>
      <c r="E30" s="374">
        <f>+'22'!G42</f>
        <v>997.16666666666663</v>
      </c>
      <c r="F30" s="48">
        <f t="shared" si="0"/>
        <v>0.25677018633540383</v>
      </c>
      <c r="G30" s="400">
        <f t="shared" si="3"/>
        <v>0.9023094231989689</v>
      </c>
      <c r="H30" s="396">
        <f t="shared" si="4"/>
        <v>0.89684375212889689</v>
      </c>
      <c r="I30" s="396">
        <f t="shared" si="5"/>
        <v>0.9259991699016088</v>
      </c>
      <c r="J30" s="401">
        <f t="shared" si="6"/>
        <v>0.83047657000280273</v>
      </c>
      <c r="K30" s="401">
        <f t="shared" si="6"/>
        <v>0.50809846652076174</v>
      </c>
      <c r="L30" s="375">
        <f>+SUM(Efficiency1!K104:K106)</f>
        <v>45.670162615029582</v>
      </c>
      <c r="M30" s="376">
        <f t="shared" si="28"/>
        <v>1139.4011951349673</v>
      </c>
      <c r="N30" s="375">
        <f>+SUM(Efficiency1!C104:C106)</f>
        <v>45.393519060000003</v>
      </c>
      <c r="O30" s="376">
        <f t="shared" si="28"/>
        <v>1112.0969953819483</v>
      </c>
      <c r="P30" s="376">
        <f>'22'!I38</f>
        <v>40.959000000000003</v>
      </c>
      <c r="Q30" s="376">
        <f t="shared" si="8"/>
        <v>613.35599999999999</v>
      </c>
      <c r="R30" s="376">
        <f>'22'!I40</f>
        <v>37.927999999999997</v>
      </c>
      <c r="S30" s="376">
        <f t="shared" si="9"/>
        <v>578.92800000000011</v>
      </c>
      <c r="T30" s="99">
        <f>+[1]Report1!AZ30</f>
        <v>4602.2885506487219</v>
      </c>
      <c r="U30" s="13">
        <f t="shared" si="10"/>
        <v>56668.561382491265</v>
      </c>
      <c r="V30" s="279">
        <f t="shared" si="11"/>
        <v>112.3633035632882</v>
      </c>
      <c r="W30" s="279">
        <f t="shared" si="11"/>
        <v>92.390979109181728</v>
      </c>
      <c r="X30" s="280">
        <f t="shared" si="12"/>
        <v>121.34276921136684</v>
      </c>
      <c r="Y30" s="279">
        <f t="shared" si="13"/>
        <v>97.885335279156052</v>
      </c>
      <c r="Z30" s="378">
        <v>91.4</v>
      </c>
      <c r="AA30" s="377">
        <f t="shared" si="14"/>
        <v>1333.2</v>
      </c>
      <c r="AB30" s="380">
        <f t="shared" si="1"/>
        <v>2.2314997924754021</v>
      </c>
      <c r="AC30" s="380">
        <f t="shared" si="1"/>
        <v>2.1736153229119792</v>
      </c>
      <c r="AD30" s="375">
        <f t="shared" si="15"/>
        <v>2.4098291499683615</v>
      </c>
      <c r="AE30" s="380">
        <f t="shared" si="15"/>
        <v>2.3028770417046678</v>
      </c>
      <c r="AF30" s="99">
        <v>0</v>
      </c>
      <c r="AG30" s="379">
        <f t="shared" si="27"/>
        <v>0</v>
      </c>
      <c r="AH30" s="380">
        <f t="shared" si="16"/>
        <v>0</v>
      </c>
      <c r="AI30" s="380">
        <f t="shared" si="16"/>
        <v>0</v>
      </c>
      <c r="AJ30" s="375">
        <f t="shared" si="17"/>
        <v>0</v>
      </c>
      <c r="AK30" s="380">
        <f t="shared" si="17"/>
        <v>0</v>
      </c>
      <c r="AL30" s="379">
        <f>'22'!I46</f>
        <v>42396.219999999987</v>
      </c>
      <c r="AM30" s="377">
        <f t="shared" si="18"/>
        <v>577199.88240000012</v>
      </c>
      <c r="AN30" s="380">
        <f t="shared" si="19"/>
        <v>1035.08923557704</v>
      </c>
      <c r="AO30" s="380">
        <f t="shared" si="19"/>
        <v>941.05198677440205</v>
      </c>
      <c r="AP30" s="380">
        <f t="shared" si="20"/>
        <v>1117.8079519088797</v>
      </c>
      <c r="AQ30" s="380">
        <f t="shared" si="20"/>
        <v>997.01496973716939</v>
      </c>
      <c r="AR30" s="379">
        <f>+Listrik!AA29</f>
        <v>0</v>
      </c>
      <c r="AS30" s="377">
        <f t="shared" si="21"/>
        <v>0</v>
      </c>
      <c r="AT30" s="380">
        <f t="shared" si="22"/>
        <v>0</v>
      </c>
      <c r="AU30" s="380">
        <f t="shared" si="22"/>
        <v>0</v>
      </c>
      <c r="AV30" s="380">
        <f t="shared" si="23"/>
        <v>0</v>
      </c>
      <c r="AW30" s="380">
        <f t="shared" si="23"/>
        <v>0</v>
      </c>
      <c r="AX30" s="453"/>
      <c r="AY30" s="375">
        <f>+SUM(Efficiency2!K104:K106)</f>
        <v>45.670162615029582</v>
      </c>
      <c r="AZ30" s="376">
        <f t="shared" si="24"/>
        <v>705.47341917884398</v>
      </c>
      <c r="BA30" s="401">
        <f t="shared" si="25"/>
        <v>0.83047657000280273</v>
      </c>
      <c r="BB30" s="401">
        <f t="shared" si="26"/>
        <v>0.82062340587383142</v>
      </c>
    </row>
    <row r="31" spans="1:54" s="381" customFormat="1" ht="12.75" customHeight="1">
      <c r="A31" s="395">
        <f t="shared" si="2"/>
        <v>45953</v>
      </c>
      <c r="B31" s="404" t="s">
        <v>460</v>
      </c>
      <c r="C31" s="382" t="s">
        <v>674</v>
      </c>
      <c r="D31" s="374">
        <f>+'23'!F42</f>
        <v>1287.7430555555557</v>
      </c>
      <c r="E31" s="374">
        <f>+'23'!G42</f>
        <v>974.140625</v>
      </c>
      <c r="F31" s="48">
        <f t="shared" si="0"/>
        <v>0.24352872974357598</v>
      </c>
      <c r="G31" s="400">
        <f t="shared" si="3"/>
        <v>0.95729036374655596</v>
      </c>
      <c r="H31" s="396">
        <f t="shared" si="4"/>
        <v>0.95254788333899476</v>
      </c>
      <c r="I31" s="396">
        <f t="shared" si="5"/>
        <v>0.87211536475011886</v>
      </c>
      <c r="J31" s="401">
        <f t="shared" si="6"/>
        <v>0.83073164472014116</v>
      </c>
      <c r="K31" s="401">
        <f t="shared" si="6"/>
        <v>0.52187274663598016</v>
      </c>
      <c r="L31" s="375">
        <f>+SUM(Efficiency1!K108:K110)</f>
        <v>50.814243406149309</v>
      </c>
      <c r="M31" s="376">
        <f t="shared" si="28"/>
        <v>1190.2154385411166</v>
      </c>
      <c r="N31" s="375">
        <f>+SUM(Efficiency1!C108:C110)</f>
        <v>50.562506249999991</v>
      </c>
      <c r="O31" s="376">
        <f t="shared" si="28"/>
        <v>1162.6595016319484</v>
      </c>
      <c r="P31" s="376">
        <f>'23'!I38</f>
        <v>48.402999999999999</v>
      </c>
      <c r="Q31" s="376">
        <f t="shared" si="8"/>
        <v>661.75900000000001</v>
      </c>
      <c r="R31" s="376">
        <f>'23'!I40</f>
        <v>42.213000000000001</v>
      </c>
      <c r="S31" s="376">
        <f t="shared" si="9"/>
        <v>621.14100000000008</v>
      </c>
      <c r="T31" s="99">
        <f>+[1]Report1!AZ31</f>
        <v>4680.1040255321714</v>
      </c>
      <c r="U31" s="13">
        <f t="shared" si="10"/>
        <v>61348.665408023437</v>
      </c>
      <c r="V31" s="279">
        <f t="shared" si="11"/>
        <v>96.690370959076333</v>
      </c>
      <c r="W31" s="279">
        <f t="shared" si="11"/>
        <v>92.705449276886952</v>
      </c>
      <c r="X31" s="280">
        <f t="shared" si="12"/>
        <v>110.86878510250803</v>
      </c>
      <c r="Y31" s="279">
        <f t="shared" si="13"/>
        <v>98.767695914491924</v>
      </c>
      <c r="Z31" s="378">
        <v>96.3</v>
      </c>
      <c r="AA31" s="377">
        <f t="shared" si="14"/>
        <v>1429.5</v>
      </c>
      <c r="AB31" s="380">
        <f t="shared" si="1"/>
        <v>1.9895461025143069</v>
      </c>
      <c r="AC31" s="380">
        <f t="shared" si="1"/>
        <v>2.1601519586435547</v>
      </c>
      <c r="AD31" s="375">
        <f t="shared" si="15"/>
        <v>2.2812877549570039</v>
      </c>
      <c r="AE31" s="380">
        <f t="shared" si="15"/>
        <v>2.3014098248223829</v>
      </c>
      <c r="AF31" s="99">
        <v>0</v>
      </c>
      <c r="AG31" s="379">
        <f t="shared" si="27"/>
        <v>0</v>
      </c>
      <c r="AH31" s="380">
        <f t="shared" si="16"/>
        <v>0</v>
      </c>
      <c r="AI31" s="380">
        <f t="shared" si="16"/>
        <v>0</v>
      </c>
      <c r="AJ31" s="375">
        <f t="shared" si="17"/>
        <v>0</v>
      </c>
      <c r="AK31" s="380">
        <f t="shared" si="17"/>
        <v>0</v>
      </c>
      <c r="AL31" s="379">
        <f>'23'!I46</f>
        <v>44425.910000000142</v>
      </c>
      <c r="AM31" s="377">
        <f t="shared" si="18"/>
        <v>621625.79240000027</v>
      </c>
      <c r="AN31" s="380">
        <f t="shared" si="19"/>
        <v>917.83381195380741</v>
      </c>
      <c r="AO31" s="380">
        <f t="shared" si="19"/>
        <v>939.35374116559092</v>
      </c>
      <c r="AP31" s="380">
        <f t="shared" si="20"/>
        <v>1052.422476488289</v>
      </c>
      <c r="AQ31" s="380">
        <f t="shared" si="20"/>
        <v>1000.7804868781809</v>
      </c>
      <c r="AR31" s="379">
        <f>+Listrik!AA30</f>
        <v>0</v>
      </c>
      <c r="AS31" s="377">
        <f t="shared" si="21"/>
        <v>0</v>
      </c>
      <c r="AT31" s="380">
        <f t="shared" si="22"/>
        <v>0</v>
      </c>
      <c r="AU31" s="380">
        <f t="shared" si="22"/>
        <v>0</v>
      </c>
      <c r="AV31" s="380">
        <f t="shared" si="23"/>
        <v>0</v>
      </c>
      <c r="AW31" s="380">
        <f t="shared" si="23"/>
        <v>0</v>
      </c>
      <c r="AX31" s="453"/>
      <c r="AY31" s="375">
        <f>+SUM(Efficiency2!K108:K110)</f>
        <v>50.814243406149309</v>
      </c>
      <c r="AZ31" s="376">
        <f t="shared" si="24"/>
        <v>756.28766258499331</v>
      </c>
      <c r="BA31" s="401">
        <f t="shared" si="25"/>
        <v>0.83073164472014116</v>
      </c>
      <c r="BB31" s="401">
        <f t="shared" si="26"/>
        <v>0.82130256875662688</v>
      </c>
    </row>
    <row r="32" spans="1:54" s="381" customFormat="1" ht="12.75" customHeight="1">
      <c r="A32" s="395">
        <f t="shared" si="2"/>
        <v>45954</v>
      </c>
      <c r="B32" s="404" t="s">
        <v>659</v>
      </c>
      <c r="C32" s="382" t="s">
        <v>690</v>
      </c>
      <c r="D32" s="374">
        <f>+'24'!F42</f>
        <v>1280.5555555555557</v>
      </c>
      <c r="E32" s="374">
        <f>+'24'!G42</f>
        <v>958.20833333333337</v>
      </c>
      <c r="F32" s="48">
        <f t="shared" si="0"/>
        <v>0.25172451193058576</v>
      </c>
      <c r="G32" s="400">
        <f t="shared" si="3"/>
        <v>0.85931236243275566</v>
      </c>
      <c r="H32" s="396">
        <f t="shared" si="4"/>
        <v>0.83552534395765432</v>
      </c>
      <c r="I32" s="396">
        <f t="shared" si="5"/>
        <v>0.96578670540499922</v>
      </c>
      <c r="J32" s="401">
        <f t="shared" si="6"/>
        <v>0.80693926922324177</v>
      </c>
      <c r="K32" s="401">
        <f t="shared" si="6"/>
        <v>0.53287600769733623</v>
      </c>
      <c r="L32" s="375">
        <f>+SUM(Efficiency1!K112:K114)</f>
        <v>47.785504400000001</v>
      </c>
      <c r="M32" s="376">
        <f t="shared" si="28"/>
        <v>1238.0009429411166</v>
      </c>
      <c r="N32" s="375">
        <f>+SUM(Efficiency1!C112:C114)</f>
        <v>46.46273200000001</v>
      </c>
      <c r="O32" s="376">
        <f t="shared" si="28"/>
        <v>1209.1222336319483</v>
      </c>
      <c r="P32" s="376">
        <f>'24'!I38</f>
        <v>39.926000000000002</v>
      </c>
      <c r="Q32" s="376">
        <f t="shared" si="8"/>
        <v>701.68500000000006</v>
      </c>
      <c r="R32" s="376">
        <f>'24'!I40</f>
        <v>38.56</v>
      </c>
      <c r="S32" s="376">
        <f t="shared" si="9"/>
        <v>659.70100000000002</v>
      </c>
      <c r="T32" s="99">
        <f>+[1]Report1!AZ32</f>
        <v>4262.6399609581522</v>
      </c>
      <c r="U32" s="13">
        <f t="shared" si="10"/>
        <v>65611.305368981586</v>
      </c>
      <c r="V32" s="279">
        <f t="shared" si="11"/>
        <v>106.76351152026629</v>
      </c>
      <c r="W32" s="279">
        <f t="shared" si="11"/>
        <v>93.505355492823099</v>
      </c>
      <c r="X32" s="280">
        <f t="shared" si="12"/>
        <v>110.54564214103092</v>
      </c>
      <c r="Y32" s="279">
        <f t="shared" si="13"/>
        <v>99.456125379500079</v>
      </c>
      <c r="Z32" s="378">
        <v>89.9</v>
      </c>
      <c r="AA32" s="377">
        <f t="shared" si="14"/>
        <v>1519.4</v>
      </c>
      <c r="AB32" s="380">
        <f t="shared" si="1"/>
        <v>2.2516655813254522</v>
      </c>
      <c r="AC32" s="380">
        <f t="shared" si="1"/>
        <v>2.1653590998810008</v>
      </c>
      <c r="AD32" s="375">
        <f t="shared" si="15"/>
        <v>2.3314315352697097</v>
      </c>
      <c r="AE32" s="380">
        <f t="shared" si="15"/>
        <v>2.3031646154848939</v>
      </c>
      <c r="AF32" s="99">
        <v>0</v>
      </c>
      <c r="AG32" s="379">
        <f t="shared" si="27"/>
        <v>0</v>
      </c>
      <c r="AH32" s="380">
        <f t="shared" si="16"/>
        <v>0</v>
      </c>
      <c r="AI32" s="380">
        <f t="shared" si="16"/>
        <v>0</v>
      </c>
      <c r="AJ32" s="375">
        <f t="shared" si="17"/>
        <v>0</v>
      </c>
      <c r="AK32" s="380">
        <f t="shared" si="17"/>
        <v>0</v>
      </c>
      <c r="AL32" s="379">
        <f>+'24'!I46</f>
        <v>44988.190000000031</v>
      </c>
      <c r="AM32" s="377">
        <f t="shared" si="18"/>
        <v>666613.98240000033</v>
      </c>
      <c r="AN32" s="380">
        <f t="shared" si="19"/>
        <v>1126.789310223915</v>
      </c>
      <c r="AO32" s="380">
        <f t="shared" si="19"/>
        <v>950.01885803458856</v>
      </c>
      <c r="AP32" s="380">
        <f t="shared" si="20"/>
        <v>1166.7061721991709</v>
      </c>
      <c r="AQ32" s="380">
        <f t="shared" si="20"/>
        <v>1010.4789630453801</v>
      </c>
      <c r="AR32" s="379">
        <f>+Listrik!AA31</f>
        <v>0</v>
      </c>
      <c r="AS32" s="377">
        <f t="shared" si="21"/>
        <v>0</v>
      </c>
      <c r="AT32" s="380">
        <f t="shared" si="22"/>
        <v>0</v>
      </c>
      <c r="AU32" s="380">
        <f t="shared" si="22"/>
        <v>0</v>
      </c>
      <c r="AV32" s="380">
        <f t="shared" si="23"/>
        <v>0</v>
      </c>
      <c r="AW32" s="380">
        <f t="shared" si="23"/>
        <v>0</v>
      </c>
      <c r="AX32" s="453"/>
      <c r="AY32" s="375">
        <f>+SUM(Efficiency2!K112:K114)</f>
        <v>46.280138000000001</v>
      </c>
      <c r="AZ32" s="376">
        <f t="shared" si="24"/>
        <v>802.56780058499328</v>
      </c>
      <c r="BA32" s="401">
        <f t="shared" si="25"/>
        <v>0.83318679818975483</v>
      </c>
      <c r="BB32" s="401">
        <f t="shared" si="26"/>
        <v>0.82198787382093152</v>
      </c>
    </row>
    <row r="33" spans="1:54" s="381" customFormat="1" ht="12.75" customHeight="1">
      <c r="A33" s="395">
        <f t="shared" si="2"/>
        <v>45955</v>
      </c>
      <c r="B33" s="404" t="s">
        <v>718</v>
      </c>
      <c r="C33" s="382" t="s">
        <v>717</v>
      </c>
      <c r="D33" s="374">
        <f>+'25'!F42</f>
        <v>1214.2662037037037</v>
      </c>
      <c r="E33" s="374">
        <f>+'25'!G42</f>
        <v>939.57872685185191</v>
      </c>
      <c r="F33" s="48">
        <f t="shared" si="0"/>
        <v>0.22621685097881472</v>
      </c>
      <c r="G33" s="400">
        <f t="shared" si="3"/>
        <v>0.67063396340304715</v>
      </c>
      <c r="H33" s="396">
        <f t="shared" si="4"/>
        <v>0.60240319398306896</v>
      </c>
      <c r="I33" s="396">
        <f t="shared" si="5"/>
        <v>0.77070424412019456</v>
      </c>
      <c r="J33" s="401">
        <f t="shared" si="6"/>
        <v>0.46427469827431206</v>
      </c>
      <c r="K33" s="401">
        <f t="shared" si="6"/>
        <v>0.53022159835193838</v>
      </c>
      <c r="L33" s="375">
        <f>+SUM(Efficiency1!K117:K118)</f>
        <v>49.830413085166484</v>
      </c>
      <c r="M33" s="376">
        <f t="shared" si="28"/>
        <v>1287.8313560262832</v>
      </c>
      <c r="N33" s="375">
        <f>+SUM(Efficiency1!C117:C118)</f>
        <v>44.760631936499998</v>
      </c>
      <c r="O33" s="376">
        <f t="shared" si="28"/>
        <v>1253.8828655684483</v>
      </c>
      <c r="P33" s="376">
        <f>'25'!I38</f>
        <v>30.018000000000001</v>
      </c>
      <c r="Q33" s="376">
        <f t="shared" si="8"/>
        <v>731.70300000000009</v>
      </c>
      <c r="R33" s="376">
        <f>'25'!I40</f>
        <v>23.135000000000002</v>
      </c>
      <c r="S33" s="376">
        <f t="shared" si="9"/>
        <v>682.83600000000001</v>
      </c>
      <c r="T33" s="99">
        <f>+[1]Report1!AZ33</f>
        <v>3112.4447263271391</v>
      </c>
      <c r="U33" s="13">
        <f t="shared" si="10"/>
        <v>68723.750095308729</v>
      </c>
      <c r="V33" s="279">
        <f t="shared" si="11"/>
        <v>103.68594597665198</v>
      </c>
      <c r="W33" s="279">
        <f t="shared" si="11"/>
        <v>93.923012609362985</v>
      </c>
      <c r="X33" s="280">
        <f t="shared" si="12"/>
        <v>134.53402750495522</v>
      </c>
      <c r="Y33" s="279">
        <f t="shared" si="13"/>
        <v>100.6445912273353</v>
      </c>
      <c r="Z33" s="378">
        <v>87.7</v>
      </c>
      <c r="AA33" s="377">
        <f t="shared" si="14"/>
        <v>1607.1000000000001</v>
      </c>
      <c r="AB33" s="380">
        <f t="shared" si="1"/>
        <v>2.9215803851022719</v>
      </c>
      <c r="AC33" s="380">
        <f t="shared" si="1"/>
        <v>2.1963829586594561</v>
      </c>
      <c r="AD33" s="375">
        <f t="shared" si="15"/>
        <v>3.7907931705208555</v>
      </c>
      <c r="AE33" s="380">
        <f t="shared" si="15"/>
        <v>2.3535665957858112</v>
      </c>
      <c r="AF33" s="99">
        <v>0</v>
      </c>
      <c r="AG33" s="379">
        <f t="shared" si="27"/>
        <v>0</v>
      </c>
      <c r="AH33" s="380">
        <f t="shared" si="16"/>
        <v>0</v>
      </c>
      <c r="AI33" s="380">
        <f t="shared" si="16"/>
        <v>0</v>
      </c>
      <c r="AJ33" s="375">
        <f t="shared" si="17"/>
        <v>0</v>
      </c>
      <c r="AK33" s="380">
        <f t="shared" si="17"/>
        <v>0</v>
      </c>
      <c r="AL33" s="379">
        <f>+'25'!I46</f>
        <v>42685.959999999992</v>
      </c>
      <c r="AM33" s="377">
        <f t="shared" si="18"/>
        <v>709299.94240000029</v>
      </c>
      <c r="AN33" s="380">
        <f t="shared" si="19"/>
        <v>1422.0121260576984</v>
      </c>
      <c r="AO33" s="380">
        <f t="shared" si="19"/>
        <v>969.38230730228008</v>
      </c>
      <c r="AP33" s="380">
        <f t="shared" si="20"/>
        <v>1845.0814782796624</v>
      </c>
      <c r="AQ33" s="380">
        <f t="shared" si="20"/>
        <v>1038.7559273383365</v>
      </c>
      <c r="AR33" s="379">
        <f>+Listrik!AA32</f>
        <v>0</v>
      </c>
      <c r="AS33" s="377">
        <f t="shared" si="21"/>
        <v>0</v>
      </c>
      <c r="AT33" s="380">
        <f t="shared" si="22"/>
        <v>0</v>
      </c>
      <c r="AU33" s="380">
        <f t="shared" si="22"/>
        <v>0</v>
      </c>
      <c r="AV33" s="380">
        <f t="shared" si="23"/>
        <v>0</v>
      </c>
      <c r="AW33" s="380">
        <f t="shared" si="23"/>
        <v>0</v>
      </c>
      <c r="AX33" s="453"/>
      <c r="AY33" s="375">
        <f>+SUM(Efficiency2!K117:K118)</f>
        <v>49.830413085166484</v>
      </c>
      <c r="AZ33" s="376">
        <f t="shared" si="24"/>
        <v>852.39821367015975</v>
      </c>
      <c r="BA33" s="401">
        <f t="shared" si="25"/>
        <v>0.46427469827431206</v>
      </c>
      <c r="BB33" s="401">
        <f t="shared" si="26"/>
        <v>0.80107629163125771</v>
      </c>
    </row>
    <row r="34" spans="1:54" s="381" customFormat="1" ht="12.75" customHeight="1">
      <c r="A34" s="395">
        <f t="shared" si="2"/>
        <v>45956</v>
      </c>
      <c r="B34" s="404" t="s">
        <v>460</v>
      </c>
      <c r="C34" s="382" t="s">
        <v>719</v>
      </c>
      <c r="D34" s="374">
        <f>+'26'!F42</f>
        <v>799.0625</v>
      </c>
      <c r="E34" s="374">
        <f>+'26'!G42</f>
        <v>600.65572916666667</v>
      </c>
      <c r="F34" s="48">
        <f t="shared" si="0"/>
        <v>0.24829943944726895</v>
      </c>
      <c r="G34" s="400">
        <f t="shared" si="3"/>
        <v>1.2361672726062198</v>
      </c>
      <c r="H34" s="396">
        <f t="shared" si="4"/>
        <v>0.73168511945696857</v>
      </c>
      <c r="I34" s="396">
        <f t="shared" si="5"/>
        <v>0.67604409166129087</v>
      </c>
      <c r="J34" s="401">
        <f t="shared" si="6"/>
        <v>0.49465140196536939</v>
      </c>
      <c r="K34" s="401">
        <f t="shared" si="6"/>
        <v>0.5289248069736836</v>
      </c>
      <c r="L34" s="375">
        <f>+Efficiency1!K122</f>
        <v>48.727244892530308</v>
      </c>
      <c r="M34" s="376">
        <f t="shared" si="28"/>
        <v>1336.5586009188135</v>
      </c>
      <c r="N34" s="375">
        <f>+Efficiency1!C122</f>
        <v>28.841566016249999</v>
      </c>
      <c r="O34" s="376">
        <f t="shared" si="28"/>
        <v>1282.7244315846983</v>
      </c>
      <c r="P34" s="376">
        <f>'26'!I38</f>
        <v>35.652999999999999</v>
      </c>
      <c r="Q34" s="376">
        <f t="shared" si="8"/>
        <v>767.35600000000011</v>
      </c>
      <c r="R34" s="376">
        <f>'26'!I40</f>
        <v>24.103000000000002</v>
      </c>
      <c r="S34" s="376">
        <f t="shared" si="9"/>
        <v>706.93899999999996</v>
      </c>
      <c r="T34" s="99">
        <f>+[1]Report1!AZ34</f>
        <v>1235.101321585903</v>
      </c>
      <c r="U34" s="13">
        <f t="shared" si="10"/>
        <v>69958.851416894628</v>
      </c>
      <c r="V34" s="279">
        <f t="shared" si="11"/>
        <v>34.642283162311813</v>
      </c>
      <c r="W34" s="279">
        <f t="shared" si="11"/>
        <v>91.168703205415241</v>
      </c>
      <c r="X34" s="280">
        <f t="shared" si="12"/>
        <v>51.242638741480434</v>
      </c>
      <c r="Y34" s="279">
        <f t="shared" si="13"/>
        <v>98.960237611582656</v>
      </c>
      <c r="Z34" s="378">
        <v>79.2</v>
      </c>
      <c r="AA34" s="377">
        <f t="shared" si="14"/>
        <v>1686.3000000000002</v>
      </c>
      <c r="AB34" s="380">
        <f t="shared" si="1"/>
        <v>2.2214119428940062</v>
      </c>
      <c r="AC34" s="380">
        <f t="shared" si="1"/>
        <v>2.1975458587669867</v>
      </c>
      <c r="AD34" s="375">
        <f t="shared" si="15"/>
        <v>3.2858980209932374</v>
      </c>
      <c r="AE34" s="380">
        <f t="shared" si="15"/>
        <v>2.3853543233574612</v>
      </c>
      <c r="AF34" s="99">
        <v>0</v>
      </c>
      <c r="AG34" s="379">
        <f t="shared" si="27"/>
        <v>0</v>
      </c>
      <c r="AH34" s="380">
        <f t="shared" si="16"/>
        <v>0</v>
      </c>
      <c r="AI34" s="380">
        <f t="shared" si="16"/>
        <v>0</v>
      </c>
      <c r="AJ34" s="375">
        <f t="shared" si="17"/>
        <v>0</v>
      </c>
      <c r="AK34" s="380">
        <f t="shared" si="17"/>
        <v>0</v>
      </c>
      <c r="AL34" s="379">
        <f>'26'!I46</f>
        <v>32910.330000000016</v>
      </c>
      <c r="AM34" s="377">
        <f t="shared" si="18"/>
        <v>742210.27240000037</v>
      </c>
      <c r="AN34" s="380">
        <f t="shared" si="19"/>
        <v>923.0732336689764</v>
      </c>
      <c r="AO34" s="380">
        <f t="shared" si="19"/>
        <v>967.23068875463309</v>
      </c>
      <c r="AP34" s="380">
        <f t="shared" si="20"/>
        <v>1365.4038916317477</v>
      </c>
      <c r="AQ34" s="380">
        <f t="shared" si="20"/>
        <v>1049.8929503111308</v>
      </c>
      <c r="AR34" s="379">
        <f>+Listrik!AA33</f>
        <v>0</v>
      </c>
      <c r="AS34" s="377">
        <f t="shared" si="21"/>
        <v>0</v>
      </c>
      <c r="AT34" s="380">
        <f t="shared" si="22"/>
        <v>0</v>
      </c>
      <c r="AU34" s="380">
        <f t="shared" si="22"/>
        <v>0</v>
      </c>
      <c r="AV34" s="380">
        <f t="shared" si="23"/>
        <v>0</v>
      </c>
      <c r="AW34" s="380">
        <f t="shared" si="23"/>
        <v>0</v>
      </c>
      <c r="AX34" s="453"/>
      <c r="AY34" s="375">
        <f>+Efficiency2!K122</f>
        <v>28.841566016249999</v>
      </c>
      <c r="AZ34" s="376">
        <f t="shared" si="24"/>
        <v>881.23977968640975</v>
      </c>
      <c r="BA34" s="401">
        <f t="shared" si="25"/>
        <v>0.83570358095048725</v>
      </c>
      <c r="BB34" s="401">
        <f t="shared" si="26"/>
        <v>0.80220958732884828</v>
      </c>
    </row>
    <row r="35" spans="1:54" s="381" customFormat="1" ht="12.75" customHeight="1">
      <c r="A35" s="395">
        <f t="shared" si="2"/>
        <v>45957</v>
      </c>
      <c r="B35" s="404" t="s">
        <v>460</v>
      </c>
      <c r="C35" s="382" t="s">
        <v>719</v>
      </c>
      <c r="D35" s="374">
        <f>+'27'!F42</f>
        <v>1310.9075854700855</v>
      </c>
      <c r="E35" s="374">
        <f>+'27'!G42</f>
        <v>1009.3988408119657</v>
      </c>
      <c r="F35" s="48">
        <f t="shared" si="0"/>
        <v>0.23000000000000009</v>
      </c>
      <c r="G35" s="400">
        <f t="shared" si="3"/>
        <v>0.7117191972449356</v>
      </c>
      <c r="H35" s="396">
        <f t="shared" si="4"/>
        <v>0.69110969955041934</v>
      </c>
      <c r="I35" s="396">
        <f t="shared" si="5"/>
        <v>0.81145704345775105</v>
      </c>
      <c r="J35" s="401">
        <f t="shared" si="6"/>
        <v>0.56080583350215796</v>
      </c>
      <c r="K35" s="401">
        <f t="shared" si="6"/>
        <v>0.53005399515933571</v>
      </c>
      <c r="L35" s="375">
        <f>+Efficiency1!K126</f>
        <v>49.077592199999991</v>
      </c>
      <c r="M35" s="376">
        <f t="shared" si="28"/>
        <v>1385.6361931188135</v>
      </c>
      <c r="N35" s="375">
        <f>+Efficiency1!C126</f>
        <v>47.656435475249999</v>
      </c>
      <c r="O35" s="376">
        <f t="shared" si="28"/>
        <v>1330.3808670599483</v>
      </c>
      <c r="P35" s="376">
        <f>'27'!I38</f>
        <v>33.917999999999999</v>
      </c>
      <c r="Q35" s="376">
        <f t="shared" si="8"/>
        <v>801.27400000000011</v>
      </c>
      <c r="R35" s="376">
        <f>'27'!I40</f>
        <v>27.523</v>
      </c>
      <c r="S35" s="376">
        <f t="shared" si="9"/>
        <v>734.46199999999999</v>
      </c>
      <c r="T35" s="99">
        <f>+[1]Report1!AZ35</f>
        <v>3279.5542487503676</v>
      </c>
      <c r="U35" s="13">
        <f t="shared" si="10"/>
        <v>73238.405665644997</v>
      </c>
      <c r="V35" s="279">
        <f t="shared" si="11"/>
        <v>96.690673057089683</v>
      </c>
      <c r="W35" s="279">
        <f t="shared" si="11"/>
        <v>91.402448682529311</v>
      </c>
      <c r="X35" s="280">
        <f t="shared" si="12"/>
        <v>119.15685967192412</v>
      </c>
      <c r="Y35" s="279">
        <f t="shared" si="13"/>
        <v>99.717079529839523</v>
      </c>
      <c r="Z35" s="378">
        <v>78.7</v>
      </c>
      <c r="AA35" s="377">
        <f t="shared" si="14"/>
        <v>1765.0000000000002</v>
      </c>
      <c r="AB35" s="380">
        <f t="shared" si="1"/>
        <v>2.3203019045934314</v>
      </c>
      <c r="AC35" s="380">
        <f t="shared" si="1"/>
        <v>2.2027421331529538</v>
      </c>
      <c r="AD35" s="375">
        <f t="shared" si="15"/>
        <v>2.8594266613377903</v>
      </c>
      <c r="AE35" s="380">
        <f t="shared" si="15"/>
        <v>2.4031195623463164</v>
      </c>
      <c r="AF35" s="99">
        <v>0</v>
      </c>
      <c r="AG35" s="379">
        <f t="shared" si="27"/>
        <v>0</v>
      </c>
      <c r="AH35" s="380">
        <f t="shared" si="16"/>
        <v>0</v>
      </c>
      <c r="AI35" s="380">
        <f t="shared" si="16"/>
        <v>0</v>
      </c>
      <c r="AJ35" s="375">
        <f t="shared" si="17"/>
        <v>0</v>
      </c>
      <c r="AK35" s="380">
        <f t="shared" si="17"/>
        <v>0</v>
      </c>
      <c r="AL35" s="379">
        <f>'27'!I46</f>
        <v>36787.729999999829</v>
      </c>
      <c r="AM35" s="377">
        <f t="shared" si="18"/>
        <v>778998.00240000023</v>
      </c>
      <c r="AN35" s="380">
        <f t="shared" si="19"/>
        <v>1084.6078778229798</v>
      </c>
      <c r="AO35" s="380">
        <f t="shared" si="19"/>
        <v>972.19927565352191</v>
      </c>
      <c r="AP35" s="380">
        <f t="shared" si="20"/>
        <v>1336.6177378919385</v>
      </c>
      <c r="AQ35" s="380">
        <f t="shared" si="20"/>
        <v>1060.6375856068798</v>
      </c>
      <c r="AR35" s="379">
        <f>+Listrik!AA34</f>
        <v>0</v>
      </c>
      <c r="AS35" s="377">
        <f t="shared" si="21"/>
        <v>0</v>
      </c>
      <c r="AT35" s="380">
        <f t="shared" si="22"/>
        <v>0</v>
      </c>
      <c r="AU35" s="380">
        <f t="shared" si="22"/>
        <v>0</v>
      </c>
      <c r="AV35" s="380">
        <f t="shared" si="23"/>
        <v>0</v>
      </c>
      <c r="AW35" s="380">
        <f t="shared" si="23"/>
        <v>0</v>
      </c>
      <c r="AX35" s="453"/>
      <c r="AY35" s="375">
        <f>+Efficiency2!K126</f>
        <v>49.077592199999991</v>
      </c>
      <c r="AZ35" s="376">
        <f t="shared" si="24"/>
        <v>930.31737188640977</v>
      </c>
      <c r="BA35" s="401">
        <f t="shared" si="25"/>
        <v>0.56080583350215796</v>
      </c>
      <c r="BB35" s="401">
        <f t="shared" si="26"/>
        <v>0.78947466982232872</v>
      </c>
    </row>
    <row r="36" spans="1:54" s="381" customFormat="1" ht="12.75" customHeight="1">
      <c r="A36" s="395">
        <f t="shared" si="2"/>
        <v>45958</v>
      </c>
      <c r="B36" s="404" t="s">
        <v>460</v>
      </c>
      <c r="C36" s="382" t="s">
        <v>719</v>
      </c>
      <c r="D36" s="374">
        <f>+'28'!F42</f>
        <v>1306.6666666666667</v>
      </c>
      <c r="E36" s="374">
        <f>+'28'!G42</f>
        <v>1006.1333333333333</v>
      </c>
      <c r="F36" s="48">
        <f t="shared" si="0"/>
        <v>0.23000000000000009</v>
      </c>
      <c r="G36" s="400">
        <f t="shared" si="3"/>
        <v>0.93828257037985385</v>
      </c>
      <c r="H36" s="396">
        <f t="shared" si="4"/>
        <v>0.90816485824420434</v>
      </c>
      <c r="I36" s="396">
        <f t="shared" si="5"/>
        <v>1.140110075255532</v>
      </c>
      <c r="J36" s="401">
        <f t="shared" si="6"/>
        <v>1.0354079048772293</v>
      </c>
      <c r="K36" s="401">
        <f t="shared" si="6"/>
        <v>0.54731994830388797</v>
      </c>
      <c r="L36" s="375">
        <f>+Efficiency1!K132</f>
        <v>49.016430878048766</v>
      </c>
      <c r="M36" s="376">
        <f t="shared" si="28"/>
        <v>1434.6526239968623</v>
      </c>
      <c r="N36" s="375">
        <f>+Efficiency1!C132</f>
        <v>47.443063960975607</v>
      </c>
      <c r="O36" s="376">
        <f t="shared" si="28"/>
        <v>1377.823931020924</v>
      </c>
      <c r="P36" s="376">
        <f>'28'!I38</f>
        <v>44.515000000000001</v>
      </c>
      <c r="Q36" s="376">
        <f t="shared" si="8"/>
        <v>845.7890000000001</v>
      </c>
      <c r="R36" s="376">
        <f>'28'!I40</f>
        <v>50.752000000000002</v>
      </c>
      <c r="S36" s="376">
        <f t="shared" si="9"/>
        <v>785.21399999999994</v>
      </c>
      <c r="T36" s="99">
        <f>+[1]Report1!AZ36</f>
        <v>3987.5154755851522</v>
      </c>
      <c r="U36" s="13">
        <f t="shared" si="10"/>
        <v>77225.921141230152</v>
      </c>
      <c r="V36" s="279">
        <f t="shared" si="11"/>
        <v>89.576894880043852</v>
      </c>
      <c r="W36" s="279">
        <f t="shared" si="11"/>
        <v>91.306367357851826</v>
      </c>
      <c r="X36" s="280">
        <f t="shared" si="12"/>
        <v>78.568637208093321</v>
      </c>
      <c r="Y36" s="279">
        <f t="shared" si="13"/>
        <v>98.350158225948789</v>
      </c>
      <c r="Z36" s="378">
        <v>91.8</v>
      </c>
      <c r="AA36" s="377">
        <f t="shared" si="14"/>
        <v>1856.8000000000002</v>
      </c>
      <c r="AB36" s="380">
        <f t="shared" si="1"/>
        <v>2.0622262158822866</v>
      </c>
      <c r="AC36" s="380">
        <f t="shared" si="1"/>
        <v>2.1953465935357399</v>
      </c>
      <c r="AD36" s="375">
        <f t="shared" si="15"/>
        <v>1.8087957124842369</v>
      </c>
      <c r="AE36" s="380">
        <f t="shared" si="15"/>
        <v>2.3647056725937139</v>
      </c>
      <c r="AF36" s="99">
        <v>0</v>
      </c>
      <c r="AG36" s="379">
        <f t="shared" si="27"/>
        <v>0</v>
      </c>
      <c r="AH36" s="380">
        <f t="shared" si="16"/>
        <v>0</v>
      </c>
      <c r="AI36" s="380">
        <f t="shared" si="16"/>
        <v>0</v>
      </c>
      <c r="AJ36" s="375">
        <f t="shared" si="17"/>
        <v>0</v>
      </c>
      <c r="AK36" s="380">
        <f t="shared" si="17"/>
        <v>0</v>
      </c>
      <c r="AL36" s="379">
        <f>'28'!I46</f>
        <v>41213.169999999991</v>
      </c>
      <c r="AM36" s="377">
        <f t="shared" si="18"/>
        <v>820211.17240000027</v>
      </c>
      <c r="AN36" s="380">
        <f t="shared" si="19"/>
        <v>925.82657531169241</v>
      </c>
      <c r="AO36" s="380">
        <f t="shared" si="19"/>
        <v>969.75861875716066</v>
      </c>
      <c r="AP36" s="380">
        <f t="shared" si="20"/>
        <v>812.05016551071867</v>
      </c>
      <c r="AQ36" s="380">
        <f t="shared" si="20"/>
        <v>1044.5702348659097</v>
      </c>
      <c r="AR36" s="379">
        <f>+Listrik!AA35</f>
        <v>0</v>
      </c>
      <c r="AS36" s="377">
        <f t="shared" si="21"/>
        <v>0</v>
      </c>
      <c r="AT36" s="380">
        <f t="shared" si="22"/>
        <v>0</v>
      </c>
      <c r="AU36" s="380">
        <f t="shared" si="22"/>
        <v>0</v>
      </c>
      <c r="AV36" s="380">
        <f t="shared" si="23"/>
        <v>0</v>
      </c>
      <c r="AW36" s="380">
        <f t="shared" si="23"/>
        <v>0</v>
      </c>
      <c r="AX36" s="453"/>
      <c r="AY36" s="375">
        <f>+Efficiency2!K132</f>
        <v>49.016430878048766</v>
      </c>
      <c r="AZ36" s="376">
        <f t="shared" si="24"/>
        <v>979.3338027644586</v>
      </c>
      <c r="BA36" s="401">
        <f t="shared" si="25"/>
        <v>1.0354079048772293</v>
      </c>
      <c r="BB36" s="401">
        <f t="shared" si="26"/>
        <v>0.80178382261850023</v>
      </c>
    </row>
    <row r="37" spans="1:54" s="381" customFormat="1" ht="12.75" customHeight="1">
      <c r="A37" s="395">
        <f t="shared" si="2"/>
        <v>45959</v>
      </c>
      <c r="B37" s="404" t="s">
        <v>659</v>
      </c>
      <c r="C37" s="382" t="s">
        <v>762</v>
      </c>
      <c r="D37" s="374">
        <f>+'29'!F42</f>
        <v>1320.2430555555557</v>
      </c>
      <c r="E37" s="374">
        <f>+'29'!G42</f>
        <v>1016.5871527777778</v>
      </c>
      <c r="F37" s="48">
        <f t="shared" si="0"/>
        <v>0.23000000000000009</v>
      </c>
      <c r="G37" s="400">
        <f t="shared" si="3"/>
        <v>0.95223448725785409</v>
      </c>
      <c r="H37" s="396">
        <f t="shared" si="4"/>
        <v>0.93125882901273171</v>
      </c>
      <c r="I37" s="396">
        <f t="shared" si="5"/>
        <v>0.89078026440853697</v>
      </c>
      <c r="J37" s="401">
        <f t="shared" si="6"/>
        <v>0.82954698594074572</v>
      </c>
      <c r="K37" s="401">
        <f t="shared" si="6"/>
        <v>0.55677131086856846</v>
      </c>
      <c r="L37" s="375">
        <f>+SUM(Efficiency1!K136:K137)</f>
        <v>49.709058918749989</v>
      </c>
      <c r="M37" s="376">
        <f t="shared" si="28"/>
        <v>1484.3616829156124</v>
      </c>
      <c r="N37" s="375">
        <f>+SUM(Efficiency1!C136:C137)</f>
        <v>48.614076279999992</v>
      </c>
      <c r="O37" s="376">
        <f t="shared" si="28"/>
        <v>1426.438007300924</v>
      </c>
      <c r="P37" s="376">
        <f>'29'!I38</f>
        <v>46.292000000000002</v>
      </c>
      <c r="Q37" s="376">
        <f t="shared" si="8"/>
        <v>892.08100000000013</v>
      </c>
      <c r="R37" s="376">
        <f>'29'!I40</f>
        <v>41.235999999999997</v>
      </c>
      <c r="S37" s="376">
        <f t="shared" si="9"/>
        <v>826.44999999999993</v>
      </c>
      <c r="T37" s="99">
        <f>+[1]Report1!AZ37</f>
        <v>4136.4003828182176</v>
      </c>
      <c r="U37" s="13">
        <f t="shared" si="10"/>
        <v>81362.32152404837</v>
      </c>
      <c r="V37" s="279">
        <f t="shared" si="11"/>
        <v>89.354540370219851</v>
      </c>
      <c r="W37" s="279">
        <f t="shared" si="11"/>
        <v>91.205082861363891</v>
      </c>
      <c r="X37" s="280">
        <f t="shared" si="12"/>
        <v>100.31041766461873</v>
      </c>
      <c r="Y37" s="279">
        <f t="shared" si="13"/>
        <v>98.447966028251415</v>
      </c>
      <c r="Z37" s="378">
        <v>93</v>
      </c>
      <c r="AA37" s="377">
        <f t="shared" si="14"/>
        <v>1949.8000000000002</v>
      </c>
      <c r="AB37" s="380">
        <f t="shared" si="1"/>
        <v>2.0089864339410695</v>
      </c>
      <c r="AC37" s="380">
        <f t="shared" si="1"/>
        <v>2.1856759644023356</v>
      </c>
      <c r="AD37" s="375">
        <f t="shared" si="15"/>
        <v>2.2553108933941219</v>
      </c>
      <c r="AE37" s="380">
        <f t="shared" si="15"/>
        <v>2.3592473833867751</v>
      </c>
      <c r="AF37" s="99">
        <v>0</v>
      </c>
      <c r="AG37" s="379">
        <f t="shared" si="27"/>
        <v>0</v>
      </c>
      <c r="AH37" s="380">
        <f t="shared" si="16"/>
        <v>0</v>
      </c>
      <c r="AI37" s="380">
        <f t="shared" si="16"/>
        <v>0</v>
      </c>
      <c r="AJ37" s="375">
        <f t="shared" si="17"/>
        <v>0</v>
      </c>
      <c r="AK37" s="380">
        <f t="shared" si="17"/>
        <v>0</v>
      </c>
      <c r="AL37" s="379">
        <f>'29'!I46</f>
        <v>44163.740000000049</v>
      </c>
      <c r="AM37" s="377">
        <f t="shared" si="18"/>
        <v>864374.91240000026</v>
      </c>
      <c r="AN37" s="380">
        <f t="shared" si="19"/>
        <v>954.02531754946961</v>
      </c>
      <c r="AO37" s="380">
        <f t="shared" si="19"/>
        <v>968.9421839496639</v>
      </c>
      <c r="AP37" s="380">
        <f t="shared" si="20"/>
        <v>1070.999611989525</v>
      </c>
      <c r="AQ37" s="380">
        <f t="shared" si="20"/>
        <v>1045.8889375037816</v>
      </c>
      <c r="AR37" s="379">
        <f>+Listrik!AA36</f>
        <v>0</v>
      </c>
      <c r="AS37" s="377">
        <f t="shared" si="21"/>
        <v>0</v>
      </c>
      <c r="AT37" s="380">
        <f t="shared" si="22"/>
        <v>0</v>
      </c>
      <c r="AU37" s="380">
        <f t="shared" si="22"/>
        <v>0</v>
      </c>
      <c r="AV37" s="380">
        <f t="shared" si="23"/>
        <v>0</v>
      </c>
      <c r="AW37" s="380">
        <f t="shared" si="23"/>
        <v>0</v>
      </c>
      <c r="AX37" s="453"/>
      <c r="AY37" s="375">
        <f>+SUM(Efficiency2!K136:K137)</f>
        <v>49.709058918749989</v>
      </c>
      <c r="AZ37" s="376">
        <f t="shared" si="24"/>
        <v>1029.0428616832087</v>
      </c>
      <c r="BA37" s="401">
        <f t="shared" si="25"/>
        <v>0.82954698594074572</v>
      </c>
      <c r="BB37" s="401">
        <f t="shared" si="26"/>
        <v>0.80312495307355136</v>
      </c>
    </row>
    <row r="38" spans="1:54" s="381" customFormat="1" ht="12.75" customHeight="1">
      <c r="A38" s="395">
        <f t="shared" si="2"/>
        <v>45960</v>
      </c>
      <c r="B38" s="404" t="s">
        <v>659</v>
      </c>
      <c r="C38" s="382" t="s">
        <v>780</v>
      </c>
      <c r="D38" s="374">
        <f>+'30'!F42</f>
        <v>1332.9861111111111</v>
      </c>
      <c r="E38" s="374">
        <f>+'30'!G42</f>
        <v>1041.182638888889</v>
      </c>
      <c r="F38" s="48">
        <f t="shared" si="0"/>
        <v>0.21890961187809321</v>
      </c>
      <c r="G38" s="400">
        <f t="shared" si="3"/>
        <v>0.90364721385097979</v>
      </c>
      <c r="H38" s="396">
        <f t="shared" si="4"/>
        <v>0.90131915823593989</v>
      </c>
      <c r="I38" s="396">
        <f t="shared" si="5"/>
        <v>0.81646035182110499</v>
      </c>
      <c r="J38" s="401">
        <f t="shared" si="6"/>
        <v>0.73589135703641773</v>
      </c>
      <c r="K38" s="401">
        <f t="shared" si="6"/>
        <v>0.56292282912310532</v>
      </c>
      <c r="L38" s="375">
        <f>+SUM(Efficiency1!K141:K145)</f>
        <v>52.790401230486928</v>
      </c>
      <c r="M38" s="376">
        <f t="shared" si="28"/>
        <v>1537.1520841460992</v>
      </c>
      <c r="N38" s="375">
        <f>+SUM(Efficiency1!C141:C145)</f>
        <v>52.654397944999999</v>
      </c>
      <c r="O38" s="376">
        <f t="shared" si="28"/>
        <v>1479.0924052459241</v>
      </c>
      <c r="P38" s="376">
        <f>'30'!I38</f>
        <v>47.581000000000003</v>
      </c>
      <c r="Q38" s="376">
        <f t="shared" si="8"/>
        <v>939.66200000000015</v>
      </c>
      <c r="R38" s="376">
        <f>'30'!I40</f>
        <v>38.847999999999999</v>
      </c>
      <c r="S38" s="376">
        <f t="shared" si="9"/>
        <v>865.29799999999989</v>
      </c>
      <c r="T38" s="99">
        <f>+[1]Report1!AZ38</f>
        <v>4105.0038781659259</v>
      </c>
      <c r="U38" s="13">
        <f t="shared" si="10"/>
        <v>85467.325402214294</v>
      </c>
      <c r="V38" s="279">
        <f t="shared" si="11"/>
        <v>86.274014378973234</v>
      </c>
      <c r="W38" s="279">
        <f t="shared" si="11"/>
        <v>90.955391834738748</v>
      </c>
      <c r="X38" s="280">
        <f t="shared" si="12"/>
        <v>105.66834529875221</v>
      </c>
      <c r="Y38" s="279">
        <f t="shared" si="13"/>
        <v>98.772128679615932</v>
      </c>
      <c r="Z38" s="378">
        <v>93.2</v>
      </c>
      <c r="AA38" s="377">
        <f t="shared" si="14"/>
        <v>2043.0000000000002</v>
      </c>
      <c r="AB38" s="380">
        <f t="shared" si="1"/>
        <v>1.9587650532775687</v>
      </c>
      <c r="AC38" s="380">
        <f t="shared" si="1"/>
        <v>2.1741860371069595</v>
      </c>
      <c r="AD38" s="375">
        <f t="shared" si="15"/>
        <v>2.3990939044481054</v>
      </c>
      <c r="AE38" s="380">
        <f t="shared" si="15"/>
        <v>2.3610363135012453</v>
      </c>
      <c r="AF38" s="99">
        <v>4.3</v>
      </c>
      <c r="AG38" s="379">
        <f t="shared" si="27"/>
        <v>4.3</v>
      </c>
      <c r="AH38" s="380">
        <f t="shared" si="16"/>
        <v>9.0372207393707563E-2</v>
      </c>
      <c r="AI38" s="380">
        <f t="shared" si="16"/>
        <v>4.5761135386979566E-3</v>
      </c>
      <c r="AJ38" s="375">
        <f t="shared" si="17"/>
        <v>0.11068780889621087</v>
      </c>
      <c r="AK38" s="380">
        <f t="shared" si="17"/>
        <v>4.9693862692390374E-3</v>
      </c>
      <c r="AL38" s="379">
        <f>'30'!I46</f>
        <v>37793.78000000005</v>
      </c>
      <c r="AM38" s="377">
        <f t="shared" si="18"/>
        <v>902168.69240000029</v>
      </c>
      <c r="AN38" s="380">
        <f t="shared" si="19"/>
        <v>794.3040289191074</v>
      </c>
      <c r="AO38" s="380">
        <f t="shared" si="19"/>
        <v>960.09915522815675</v>
      </c>
      <c r="AP38" s="380">
        <f t="shared" si="20"/>
        <v>972.8629530477773</v>
      </c>
      <c r="AQ38" s="380">
        <f t="shared" si="20"/>
        <v>1042.6103982674183</v>
      </c>
      <c r="AR38" s="379">
        <f>+Listrik!AA37</f>
        <v>9973.7999999999884</v>
      </c>
      <c r="AS38" s="377">
        <f t="shared" si="21"/>
        <v>9973.7999999999884</v>
      </c>
      <c r="AT38" s="380">
        <f t="shared" si="22"/>
        <v>209.6172842100836</v>
      </c>
      <c r="AU38" s="380">
        <f t="shared" si="22"/>
        <v>10.614242142387354</v>
      </c>
      <c r="AV38" s="380">
        <f t="shared" si="23"/>
        <v>256.73908566721553</v>
      </c>
      <c r="AW38" s="380">
        <f t="shared" si="23"/>
        <v>11.526433667938663</v>
      </c>
      <c r="AX38" s="453"/>
      <c r="AY38" s="375">
        <f>+SUM(Efficiency2!K141:K145)</f>
        <v>52.113848730486929</v>
      </c>
      <c r="AZ38" s="376">
        <f t="shared" si="24"/>
        <v>1081.1567104136957</v>
      </c>
      <c r="BA38" s="401">
        <f t="shared" si="25"/>
        <v>0.74544484712513037</v>
      </c>
      <c r="BB38" s="401">
        <f t="shared" si="26"/>
        <v>0.800344660182427</v>
      </c>
    </row>
    <row r="39" spans="1:54" s="381" customFormat="1" ht="12.75" customHeight="1">
      <c r="A39" s="395">
        <f>A38+1</f>
        <v>45961</v>
      </c>
      <c r="B39" s="404" t="s">
        <v>460</v>
      </c>
      <c r="C39" s="382" t="s">
        <v>802</v>
      </c>
      <c r="D39" s="374">
        <f>+'31'!F42</f>
        <v>1291.0666666666666</v>
      </c>
      <c r="E39" s="374">
        <f>+'31'!G42</f>
        <v>1053.9186666666667</v>
      </c>
      <c r="F39" s="48">
        <f t="shared" si="0"/>
        <v>0.18368377568935246</v>
      </c>
      <c r="G39" s="400">
        <f t="shared" si="3"/>
        <v>0.75347970119757146</v>
      </c>
      <c r="H39" s="396">
        <f t="shared" si="4"/>
        <v>0.75347970119757146</v>
      </c>
      <c r="I39" s="396">
        <f t="shared" si="5"/>
        <v>0.99350960931383692</v>
      </c>
      <c r="J39" s="401">
        <f t="shared" si="6"/>
        <v>0.74858932356270591</v>
      </c>
      <c r="K39" s="401">
        <f t="shared" si="6"/>
        <v>0.56906056118136883</v>
      </c>
      <c r="L39" s="375">
        <f>+Efficiency1!K147</f>
        <v>52.552178827200002</v>
      </c>
      <c r="M39" s="376">
        <f>M38+L39</f>
        <v>1589.7042629732991</v>
      </c>
      <c r="N39" s="375">
        <f>+Efficiency1!C147</f>
        <v>52.552178827200002</v>
      </c>
      <c r="O39" s="376">
        <f>O38+N39</f>
        <v>1531.644584073124</v>
      </c>
      <c r="P39" s="376">
        <f>'31'!I38</f>
        <v>39.597000000000001</v>
      </c>
      <c r="Q39" s="376">
        <f>Q38+P39</f>
        <v>979.25900000000013</v>
      </c>
      <c r="R39" s="376">
        <f>'31'!I40</f>
        <v>39.340000000000003</v>
      </c>
      <c r="S39" s="376">
        <f>S38+R39</f>
        <v>904.63799999999992</v>
      </c>
      <c r="T39" s="99">
        <f>+[1]Report1!AZ39</f>
        <v>3352.9696691070831</v>
      </c>
      <c r="U39" s="13">
        <f>T39+U38</f>
        <v>88820.29507132138</v>
      </c>
      <c r="V39" s="279">
        <f t="shared" si="11"/>
        <v>84.677366192062095</v>
      </c>
      <c r="W39" s="279">
        <f t="shared" si="11"/>
        <v>90.701535621650009</v>
      </c>
      <c r="X39" s="280">
        <f t="shared" si="12"/>
        <v>85.230545732259358</v>
      </c>
      <c r="Y39" s="279">
        <f t="shared" si="13"/>
        <v>98.183245752799891</v>
      </c>
      <c r="Z39" s="378">
        <v>79</v>
      </c>
      <c r="AA39" s="377">
        <f>Z39+AA38</f>
        <v>2122</v>
      </c>
      <c r="AB39" s="380">
        <f t="shared" si="1"/>
        <v>1.9951006389372932</v>
      </c>
      <c r="AC39" s="380">
        <f t="shared" si="1"/>
        <v>2.1669445979051503</v>
      </c>
      <c r="AD39" s="375">
        <f t="shared" si="15"/>
        <v>2.0081342145399081</v>
      </c>
      <c r="AE39" s="380">
        <f t="shared" si="15"/>
        <v>2.3456896570783012</v>
      </c>
      <c r="AF39" s="99">
        <v>8.1999999999999993</v>
      </c>
      <c r="AG39" s="379">
        <f t="shared" si="27"/>
        <v>12.5</v>
      </c>
      <c r="AH39" s="380">
        <f t="shared" si="16"/>
        <v>0.20708639543399751</v>
      </c>
      <c r="AI39" s="380">
        <f t="shared" si="16"/>
        <v>1.2764753757688209E-2</v>
      </c>
      <c r="AJ39" s="375">
        <f t="shared" si="17"/>
        <v>0.20843924758515503</v>
      </c>
      <c r="AK39" s="380">
        <f t="shared" si="17"/>
        <v>1.3817681768840134E-2</v>
      </c>
      <c r="AL39" s="379">
        <f>'31'!I46</f>
        <v>25439.979999999996</v>
      </c>
      <c r="AM39" s="377">
        <f>AL39+AM38</f>
        <v>927608.67240000027</v>
      </c>
      <c r="AN39" s="380">
        <f t="shared" si="19"/>
        <v>642.47240952597406</v>
      </c>
      <c r="AO39" s="380">
        <f t="shared" si="19"/>
        <v>947.25570293456599</v>
      </c>
      <c r="AP39" s="380">
        <f t="shared" si="20"/>
        <v>646.66954753431617</v>
      </c>
      <c r="AQ39" s="380">
        <f t="shared" si="20"/>
        <v>1025.3921152991588</v>
      </c>
      <c r="AR39" s="379">
        <f>+Listrik!AA38</f>
        <v>19339.2</v>
      </c>
      <c r="AS39" s="377">
        <f>AR39+AS38</f>
        <v>29312.999999999989</v>
      </c>
      <c r="AT39" s="380">
        <f t="shared" si="22"/>
        <v>488.4006364118494</v>
      </c>
      <c r="AU39" s="380">
        <f t="shared" si="22"/>
        <v>29.933858151929147</v>
      </c>
      <c r="AV39" s="380">
        <f t="shared" si="23"/>
        <v>491.5912557193696</v>
      </c>
      <c r="AW39" s="380">
        <f t="shared" si="23"/>
        <v>32.403016455200856</v>
      </c>
      <c r="AX39" s="453"/>
      <c r="AY39" s="375">
        <f>+Efficiency2!K147</f>
        <v>52.552178827200002</v>
      </c>
      <c r="AZ39" s="376">
        <f>AZ38+AY39</f>
        <v>1133.7088892408956</v>
      </c>
      <c r="BA39" s="401">
        <f t="shared" si="25"/>
        <v>0.74858932356270591</v>
      </c>
      <c r="BB39" s="401">
        <f t="shared" si="26"/>
        <v>0.79794558249051384</v>
      </c>
    </row>
    <row r="40" spans="1:54" s="381" customFormat="1" ht="12.75" customHeight="1" thickBot="1">
      <c r="A40" s="395"/>
      <c r="B40" s="383"/>
      <c r="C40" s="383"/>
      <c r="D40" s="383"/>
      <c r="E40" s="383"/>
      <c r="F40" s="397"/>
      <c r="G40" s="400"/>
      <c r="H40" s="396"/>
      <c r="I40" s="396"/>
      <c r="J40" s="401"/>
      <c r="K40" s="406"/>
      <c r="L40" s="384"/>
      <c r="M40" s="385"/>
      <c r="N40" s="385"/>
      <c r="O40" s="385"/>
      <c r="P40" s="385"/>
      <c r="Q40" s="385"/>
      <c r="R40" s="385"/>
      <c r="S40" s="385"/>
      <c r="T40" s="282"/>
      <c r="U40" s="281"/>
      <c r="V40" s="283"/>
      <c r="W40" s="283"/>
      <c r="X40" s="280"/>
      <c r="Y40" s="283"/>
      <c r="Z40" s="386"/>
      <c r="AA40" s="386"/>
      <c r="AB40" s="387"/>
      <c r="AC40" s="387"/>
      <c r="AD40" s="384"/>
      <c r="AE40" s="387"/>
      <c r="AF40" s="386"/>
      <c r="AG40" s="386"/>
      <c r="AH40" s="387"/>
      <c r="AI40" s="387"/>
      <c r="AJ40" s="384"/>
      <c r="AK40" s="387"/>
      <c r="AL40" s="386"/>
      <c r="AM40" s="386"/>
      <c r="AN40" s="387"/>
      <c r="AO40" s="387"/>
      <c r="AP40" s="387"/>
      <c r="AQ40" s="387"/>
      <c r="AR40" s="386"/>
      <c r="AS40" s="386"/>
      <c r="AT40" s="387"/>
      <c r="AU40" s="387"/>
      <c r="AV40" s="387"/>
      <c r="AW40" s="387"/>
      <c r="AX40" s="453"/>
      <c r="AY40" s="384"/>
      <c r="AZ40" s="385"/>
      <c r="BA40" s="401"/>
      <c r="BB40" s="406"/>
    </row>
    <row r="41" spans="1:54" s="381" customFormat="1" ht="12.75" customHeight="1" thickTop="1" thickBot="1">
      <c r="A41" s="388"/>
      <c r="B41" s="389"/>
      <c r="C41" s="389"/>
      <c r="D41" s="389"/>
      <c r="E41" s="389"/>
      <c r="F41" s="398"/>
      <c r="G41" s="400">
        <f t="shared" si="3"/>
        <v>0.63935132875007006</v>
      </c>
      <c r="H41" s="396">
        <f t="shared" si="4"/>
        <v>0.61600073850745396</v>
      </c>
      <c r="I41" s="396">
        <f t="shared" si="5"/>
        <v>0.92379850478780368</v>
      </c>
      <c r="J41" s="401">
        <f t="shared" si="6"/>
        <v>0.56906056118136883</v>
      </c>
      <c r="K41" s="401"/>
      <c r="L41" s="390">
        <f>SUM(L9:L39)</f>
        <v>1589.7042629732991</v>
      </c>
      <c r="M41" s="391"/>
      <c r="N41" s="390">
        <f>SUM(N9:N39)</f>
        <v>1531.644584073124</v>
      </c>
      <c r="O41" s="391"/>
      <c r="P41" s="390">
        <f>SUM(P9:P39)</f>
        <v>979.25900000000013</v>
      </c>
      <c r="Q41" s="391"/>
      <c r="R41" s="390">
        <f>SUM(R9:R39)</f>
        <v>904.63799999999992</v>
      </c>
      <c r="S41" s="391"/>
      <c r="T41" s="284">
        <f>SUM(T9:T39)</f>
        <v>88820.29507132138</v>
      </c>
      <c r="U41" s="284"/>
      <c r="V41" s="285">
        <f>T41/P41</f>
        <v>90.701535621650009</v>
      </c>
      <c r="W41" s="285"/>
      <c r="X41" s="280">
        <f>IF(AND(R41&gt;0,T41&gt;0),(T41/(R41*1000))*1000,0)</f>
        <v>98.183245752799891</v>
      </c>
      <c r="Y41" s="285"/>
      <c r="Z41" s="392">
        <f>SUM(Z9:Z40)</f>
        <v>2122</v>
      </c>
      <c r="AA41" s="392"/>
      <c r="AB41" s="393">
        <f>Z41/P41</f>
        <v>2.1669445979051503</v>
      </c>
      <c r="AC41" s="393"/>
      <c r="AD41" s="394">
        <f>Z41/R41</f>
        <v>2.3456896570783012</v>
      </c>
      <c r="AE41" s="393"/>
      <c r="AF41" s="392">
        <f>SUM(AF9:AF40)</f>
        <v>12.5</v>
      </c>
      <c r="AG41" s="392"/>
      <c r="AH41" s="393">
        <f>AF41/V41</f>
        <v>0.1378146457425172</v>
      </c>
      <c r="AI41" s="393"/>
      <c r="AJ41" s="394">
        <f>AF41/R41</f>
        <v>1.3817681768840134E-2</v>
      </c>
      <c r="AK41" s="393"/>
      <c r="AL41" s="392">
        <f>SUM(AL9:AL39)</f>
        <v>927608.67240000027</v>
      </c>
      <c r="AM41" s="392"/>
      <c r="AN41" s="393">
        <f>AL41/P41</f>
        <v>947.25570293456599</v>
      </c>
      <c r="AO41" s="393"/>
      <c r="AP41" s="393">
        <f>AL41/R41</f>
        <v>1025.3921152991588</v>
      </c>
      <c r="AQ41" s="393"/>
      <c r="AR41" s="392">
        <f>SUM(AR9:AR39)</f>
        <v>29312.999999999989</v>
      </c>
      <c r="AS41" s="392"/>
      <c r="AT41" s="393">
        <f>AR41/V41</f>
        <v>323.18085685203238</v>
      </c>
      <c r="AU41" s="393"/>
      <c r="AV41" s="393">
        <f>AR41/R41</f>
        <v>32.403016455200856</v>
      </c>
      <c r="AW41" s="393"/>
      <c r="AX41" s="453"/>
      <c r="AY41" s="390">
        <f>SUM(AY9:AY39)</f>
        <v>1133.7088892408956</v>
      </c>
      <c r="AZ41" s="391"/>
      <c r="BA41" s="401">
        <f t="shared" si="25"/>
        <v>0.79794558249051384</v>
      </c>
      <c r="BB41" s="401"/>
    </row>
    <row r="42" spans="1:54" ht="12.75" customHeight="1" thickTop="1">
      <c r="S42" s="268"/>
      <c r="T42" s="268"/>
      <c r="U42" s="268"/>
      <c r="V42" s="268"/>
      <c r="W42" s="268"/>
      <c r="X42" s="268"/>
      <c r="Y42" s="268"/>
      <c r="Z42" s="268"/>
      <c r="AA42" s="268"/>
      <c r="AD42" s="268"/>
      <c r="AF42" s="268"/>
      <c r="AG42" s="268"/>
      <c r="AJ42" s="268"/>
      <c r="AL42" s="268"/>
      <c r="AM42" s="268"/>
      <c r="AR42" s="268"/>
      <c r="AS42" s="268"/>
    </row>
    <row r="43" spans="1:54" ht="12.75" customHeight="1">
      <c r="S43" s="268"/>
      <c r="T43" s="268"/>
      <c r="U43" s="268"/>
      <c r="V43" s="268"/>
      <c r="W43" s="268"/>
      <c r="X43" s="268"/>
      <c r="Y43" s="268"/>
      <c r="Z43" s="268"/>
      <c r="AA43" s="268"/>
      <c r="AD43" s="268"/>
      <c r="AF43" s="268"/>
      <c r="AG43" s="268"/>
      <c r="AJ43" s="268"/>
      <c r="AL43" s="268"/>
      <c r="AM43" s="268"/>
      <c r="AR43" s="268"/>
      <c r="AS43" s="268"/>
    </row>
    <row r="44" spans="1:54">
      <c r="S44" s="268"/>
      <c r="T44" s="268"/>
      <c r="U44" s="268"/>
      <c r="V44" s="268"/>
      <c r="W44" s="268"/>
      <c r="X44" s="268"/>
      <c r="Y44" s="268"/>
      <c r="Z44" s="268"/>
      <c r="AA44" s="268"/>
      <c r="AD44" s="268"/>
      <c r="AF44" s="268"/>
      <c r="AG44" s="268"/>
      <c r="AJ44" s="268"/>
      <c r="AL44" s="268"/>
      <c r="AM44" s="268"/>
      <c r="AR44" s="268"/>
      <c r="AS44" s="268"/>
    </row>
    <row r="45" spans="1:54">
      <c r="R45" s="286"/>
      <c r="S45" s="287"/>
      <c r="T45" s="287"/>
      <c r="U45" s="287"/>
      <c r="V45" s="287"/>
      <c r="W45" s="287"/>
      <c r="X45" s="287"/>
      <c r="Y45" s="287"/>
    </row>
    <row r="46" spans="1:54">
      <c r="R46" s="288"/>
    </row>
    <row r="47" spans="1:54">
      <c r="R47" s="288"/>
    </row>
    <row r="48" spans="1:54">
      <c r="R48" s="288"/>
    </row>
    <row r="49" spans="12:52" customFormat="1">
      <c r="L49" s="267"/>
      <c r="M49" s="268"/>
      <c r="N49" s="268"/>
      <c r="O49" s="268"/>
      <c r="P49" s="267"/>
      <c r="Q49" s="268"/>
      <c r="R49" s="288"/>
      <c r="S49" s="269"/>
      <c r="T49" s="269"/>
      <c r="U49" s="269"/>
      <c r="V49" s="269"/>
      <c r="W49" s="269"/>
      <c r="X49" s="269"/>
      <c r="Y49" s="269"/>
      <c r="AY49" s="267"/>
      <c r="AZ49" s="268"/>
    </row>
    <row r="50" spans="12:52" customFormat="1">
      <c r="L50" s="267"/>
      <c r="M50" s="268"/>
      <c r="N50" s="268"/>
      <c r="O50" s="268"/>
      <c r="P50" s="267"/>
      <c r="Q50" s="268"/>
      <c r="R50" s="288"/>
      <c r="S50" s="269"/>
      <c r="T50" s="269"/>
      <c r="U50" s="269"/>
      <c r="V50" s="269"/>
      <c r="W50" s="269"/>
      <c r="X50" s="269"/>
      <c r="Y50" s="269"/>
      <c r="AY50" s="267"/>
      <c r="AZ50" s="268"/>
    </row>
    <row r="51" spans="12:52" customFormat="1">
      <c r="L51" s="267"/>
      <c r="M51" s="268"/>
      <c r="N51" s="268"/>
      <c r="O51" s="268"/>
      <c r="P51" s="267"/>
      <c r="Q51" s="268"/>
      <c r="R51" s="288"/>
      <c r="S51" s="269"/>
      <c r="T51" s="269"/>
      <c r="U51" s="269"/>
      <c r="V51" s="269"/>
      <c r="W51" s="269"/>
      <c r="X51" s="269"/>
      <c r="Y51" s="269"/>
      <c r="AY51" s="267"/>
      <c r="AZ51" s="268"/>
    </row>
    <row r="52" spans="12:52" customFormat="1">
      <c r="L52" s="267"/>
      <c r="M52" s="268"/>
      <c r="N52" s="268"/>
      <c r="O52" s="268"/>
      <c r="P52" s="267"/>
      <c r="Q52" s="268"/>
      <c r="R52" s="288"/>
      <c r="S52" s="269"/>
      <c r="T52" s="269"/>
      <c r="U52" s="269"/>
      <c r="V52" s="269"/>
      <c r="W52" s="269"/>
      <c r="X52" s="269"/>
      <c r="Y52" s="269"/>
      <c r="AY52" s="267"/>
      <c r="AZ52" s="268"/>
    </row>
    <row r="53" spans="12:52" customFormat="1">
      <c r="L53" s="267"/>
      <c r="M53" s="268"/>
      <c r="N53" s="268"/>
      <c r="O53" s="268"/>
      <c r="P53" s="267"/>
      <c r="Q53" s="268"/>
      <c r="R53" s="288"/>
      <c r="S53" s="269"/>
      <c r="T53" s="269"/>
      <c r="U53" s="269"/>
      <c r="V53" s="269"/>
      <c r="W53" s="269"/>
      <c r="X53" s="269"/>
      <c r="Y53" s="269"/>
      <c r="AY53" s="267"/>
      <c r="AZ53" s="268"/>
    </row>
    <row r="54" spans="12:52" customFormat="1">
      <c r="L54" s="267"/>
      <c r="M54" s="268"/>
      <c r="N54" s="268"/>
      <c r="O54" s="268"/>
      <c r="P54" s="267"/>
      <c r="Q54" s="268"/>
      <c r="R54" s="288"/>
      <c r="S54" s="269"/>
      <c r="T54" s="269"/>
      <c r="U54" s="269"/>
      <c r="V54" s="269"/>
      <c r="W54" s="269"/>
      <c r="X54" s="269"/>
      <c r="Y54" s="269"/>
      <c r="AY54" s="267"/>
      <c r="AZ54" s="268"/>
    </row>
    <row r="55" spans="12:52" customFormat="1">
      <c r="L55" s="267"/>
      <c r="M55" s="268"/>
      <c r="N55" s="268"/>
      <c r="O55" s="268"/>
      <c r="P55" s="267"/>
      <c r="Q55" s="268"/>
      <c r="R55" s="288"/>
      <c r="S55" s="269"/>
      <c r="T55" s="269"/>
      <c r="U55" s="269"/>
      <c r="V55" s="269"/>
      <c r="W55" s="269"/>
      <c r="X55" s="269"/>
      <c r="Y55" s="269"/>
      <c r="AY55" s="267"/>
      <c r="AZ55" s="268"/>
    </row>
    <row r="56" spans="12:52" customFormat="1">
      <c r="L56" s="267"/>
      <c r="M56" s="268"/>
      <c r="N56" s="268"/>
      <c r="O56" s="268"/>
      <c r="P56" s="267"/>
      <c r="Q56" s="268"/>
      <c r="R56" s="288"/>
      <c r="S56" s="269"/>
      <c r="T56" s="269"/>
      <c r="U56" s="269"/>
      <c r="V56" s="269"/>
      <c r="W56" s="269"/>
      <c r="X56" s="269"/>
      <c r="Y56" s="269"/>
      <c r="AY56" s="267"/>
      <c r="AZ56" s="268"/>
    </row>
    <row r="57" spans="12:52" customFormat="1">
      <c r="L57" s="267"/>
      <c r="M57" s="268"/>
      <c r="N57" s="268"/>
      <c r="O57" s="268"/>
      <c r="P57" s="267"/>
      <c r="Q57" s="268"/>
      <c r="R57" s="288"/>
      <c r="S57" s="269"/>
      <c r="T57" s="269"/>
      <c r="U57" s="269"/>
      <c r="V57" s="269"/>
      <c r="W57" s="269"/>
      <c r="X57" s="269"/>
      <c r="Y57" s="269"/>
      <c r="AY57" s="267"/>
      <c r="AZ57" s="268"/>
    </row>
    <row r="58" spans="12:52" customFormat="1">
      <c r="L58" s="267"/>
      <c r="M58" s="268"/>
      <c r="N58" s="268"/>
      <c r="O58" s="268"/>
      <c r="P58" s="267"/>
      <c r="Q58" s="268"/>
      <c r="R58" s="288"/>
      <c r="S58" s="269"/>
      <c r="T58" s="269"/>
      <c r="U58" s="269"/>
      <c r="V58" s="269"/>
      <c r="W58" s="269"/>
      <c r="X58" s="269"/>
      <c r="Y58" s="269"/>
      <c r="AY58" s="267"/>
      <c r="AZ58" s="268"/>
    </row>
    <row r="59" spans="12:52" customFormat="1">
      <c r="L59" s="267"/>
      <c r="M59" s="268"/>
      <c r="N59" s="268"/>
      <c r="O59" s="268"/>
      <c r="P59" s="267"/>
      <c r="Q59" s="268"/>
      <c r="R59" s="288"/>
      <c r="S59" s="269"/>
      <c r="T59" s="269"/>
      <c r="U59" s="269"/>
      <c r="V59" s="269"/>
      <c r="W59" s="269"/>
      <c r="X59" s="269"/>
      <c r="Y59" s="269"/>
      <c r="AY59" s="267"/>
      <c r="AZ59" s="268"/>
    </row>
    <row r="60" spans="12:52" customFormat="1">
      <c r="L60" s="267"/>
      <c r="M60" s="268"/>
      <c r="N60" s="268"/>
      <c r="O60" s="268"/>
      <c r="P60" s="267"/>
      <c r="Q60" s="268"/>
      <c r="R60" s="267"/>
      <c r="S60" s="269"/>
      <c r="T60" s="269"/>
      <c r="U60" s="269"/>
      <c r="V60" s="269"/>
      <c r="W60" s="269"/>
      <c r="X60" s="269"/>
      <c r="Y60" s="269"/>
      <c r="AY60" s="267"/>
      <c r="AZ60" s="268"/>
    </row>
    <row r="65536" spans="3:54" customFormat="1">
      <c r="C65536" s="289"/>
      <c r="D65536" s="265"/>
      <c r="E65536" s="265"/>
      <c r="F65536" s="265"/>
      <c r="G65536" s="265"/>
      <c r="H65536" s="265"/>
      <c r="I65536" s="265"/>
      <c r="J65536" s="265"/>
      <c r="K65536" s="265"/>
      <c r="BA65536" s="265"/>
      <c r="BB65536" s="265"/>
    </row>
  </sheetData>
  <mergeCells count="38">
    <mergeCell ref="AY6:AZ7"/>
    <mergeCell ref="BA6:BB7"/>
    <mergeCell ref="Z7:AA7"/>
    <mergeCell ref="AB7:AC7"/>
    <mergeCell ref="J6:K7"/>
    <mergeCell ref="AF6:AK6"/>
    <mergeCell ref="AD7:AE7"/>
    <mergeCell ref="Z6:AE6"/>
    <mergeCell ref="P6:Q7"/>
    <mergeCell ref="R6:S7"/>
    <mergeCell ref="T6:Y6"/>
    <mergeCell ref="T7:U7"/>
    <mergeCell ref="X7:Y7"/>
    <mergeCell ref="C6:C8"/>
    <mergeCell ref="L6:M7"/>
    <mergeCell ref="V7:W7"/>
    <mergeCell ref="H6:H8"/>
    <mergeCell ref="I6:I8"/>
    <mergeCell ref="E6:E8"/>
    <mergeCell ref="F6:F8"/>
    <mergeCell ref="G6:G8"/>
    <mergeCell ref="N6:O7"/>
    <mergeCell ref="A3:AQ4"/>
    <mergeCell ref="AL6:AQ6"/>
    <mergeCell ref="AR6:AW6"/>
    <mergeCell ref="AX6:AX7"/>
    <mergeCell ref="AL7:AM7"/>
    <mergeCell ref="AN7:AO7"/>
    <mergeCell ref="AP7:AQ7"/>
    <mergeCell ref="AR7:AS7"/>
    <mergeCell ref="AT7:AU7"/>
    <mergeCell ref="AV7:AW7"/>
    <mergeCell ref="AF7:AG7"/>
    <mergeCell ref="AH7:AI7"/>
    <mergeCell ref="AJ7:AK7"/>
    <mergeCell ref="D6:D8"/>
    <mergeCell ref="A6:A8"/>
    <mergeCell ref="B6:B8"/>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P44"/>
  <sheetViews>
    <sheetView zoomScaleNormal="100" workbookViewId="0">
      <pane xSplit="3" ySplit="6" topLeftCell="T7" activePane="bottomRight" state="frozen"/>
      <selection pane="topRight" activeCell="D1" sqref="D1"/>
      <selection pane="bottomLeft" activeCell="A7" sqref="A7"/>
      <selection pane="bottomRight" activeCell="V38" sqref="V38"/>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1" max="31" width="10.140625" bestFit="1" customWidth="1"/>
    <col min="32" max="32" width="39" bestFit="1" customWidth="1"/>
  </cols>
  <sheetData>
    <row r="2" spans="1:34" ht="24.75" customHeight="1">
      <c r="A2" s="623" t="s">
        <v>21</v>
      </c>
      <c r="B2" s="623"/>
      <c r="C2" s="623"/>
      <c r="D2" s="623"/>
      <c r="E2" s="623"/>
      <c r="F2" s="623"/>
      <c r="G2" s="623"/>
      <c r="H2" s="623"/>
      <c r="I2" s="623"/>
      <c r="J2" s="623"/>
      <c r="K2" s="623"/>
      <c r="L2" s="623"/>
      <c r="M2" s="623"/>
      <c r="N2" s="623"/>
      <c r="O2" s="623"/>
      <c r="P2" s="623"/>
      <c r="Q2" s="623"/>
      <c r="R2" s="623"/>
      <c r="S2" s="623"/>
      <c r="T2" s="623"/>
      <c r="U2" s="623"/>
      <c r="V2" s="623"/>
      <c r="W2" s="623"/>
      <c r="X2" s="623"/>
      <c r="Y2" s="290"/>
      <c r="Z2" s="290"/>
      <c r="AA2" s="290"/>
      <c r="AB2" s="290"/>
      <c r="AC2" s="290"/>
      <c r="AD2" s="290"/>
      <c r="AE2" s="290"/>
      <c r="AF2" s="290"/>
    </row>
    <row r="3" spans="1:34" ht="12.75" customHeight="1">
      <c r="A3" s="290"/>
      <c r="B3" s="290"/>
      <c r="C3" s="290"/>
      <c r="D3" s="292"/>
      <c r="E3" s="291"/>
      <c r="F3" s="291"/>
      <c r="G3" s="291"/>
      <c r="H3" s="293"/>
      <c r="I3" s="291"/>
      <c r="J3" s="291"/>
      <c r="K3" s="291"/>
      <c r="L3" s="291"/>
      <c r="M3" s="291"/>
      <c r="N3" s="291"/>
      <c r="O3" s="291"/>
      <c r="P3" s="291"/>
      <c r="Q3" s="291"/>
      <c r="R3" s="291"/>
      <c r="S3" s="291"/>
      <c r="T3" s="291"/>
      <c r="U3" s="291"/>
      <c r="V3" s="291"/>
      <c r="W3" s="291"/>
      <c r="X3" s="291"/>
      <c r="Y3" s="6"/>
      <c r="Z3" s="6"/>
      <c r="AA3" s="291"/>
      <c r="AB3" s="6"/>
      <c r="AC3" s="6"/>
      <c r="AD3" s="290"/>
      <c r="AE3" s="290"/>
      <c r="AF3" s="290"/>
    </row>
    <row r="4" spans="1:34" ht="12.75" customHeight="1">
      <c r="A4" s="637" t="s">
        <v>8</v>
      </c>
      <c r="B4" s="640" t="s">
        <v>22</v>
      </c>
      <c r="C4" s="640" t="s">
        <v>23</v>
      </c>
      <c r="D4" s="624"/>
      <c r="E4" s="624"/>
      <c r="F4" s="624"/>
      <c r="G4" s="624"/>
      <c r="H4" s="624"/>
      <c r="I4" s="624"/>
      <c r="J4" s="624"/>
      <c r="K4" s="624"/>
      <c r="L4" s="624"/>
      <c r="M4" s="624"/>
      <c r="N4" s="624"/>
      <c r="O4" s="624"/>
      <c r="P4" s="624"/>
      <c r="Q4" s="624"/>
      <c r="R4" s="624"/>
      <c r="S4" s="624"/>
      <c r="T4" s="624"/>
      <c r="U4" s="624"/>
      <c r="V4" s="624"/>
      <c r="W4" s="624"/>
      <c r="X4" s="625" t="s">
        <v>232</v>
      </c>
      <c r="Y4" s="626"/>
      <c r="Z4" s="627"/>
      <c r="AA4" s="631" t="s">
        <v>293</v>
      </c>
      <c r="AB4" s="632"/>
      <c r="AC4" s="633"/>
    </row>
    <row r="5" spans="1:34" ht="14.25" customHeight="1">
      <c r="A5" s="638"/>
      <c r="B5" s="641"/>
      <c r="C5" s="641"/>
      <c r="D5" s="643" t="s">
        <v>181</v>
      </c>
      <c r="E5" s="644"/>
      <c r="F5" s="644"/>
      <c r="G5" s="645"/>
      <c r="H5" s="646" t="s">
        <v>307</v>
      </c>
      <c r="I5" s="647"/>
      <c r="J5" s="647"/>
      <c r="K5" s="648"/>
      <c r="L5" s="649" t="s">
        <v>185</v>
      </c>
      <c r="M5" s="650"/>
      <c r="N5" s="650"/>
      <c r="O5" s="651"/>
      <c r="P5" s="652" t="s">
        <v>186</v>
      </c>
      <c r="Q5" s="653"/>
      <c r="R5" s="653"/>
      <c r="S5" s="654"/>
      <c r="T5" s="655" t="s">
        <v>308</v>
      </c>
      <c r="U5" s="656"/>
      <c r="V5" s="656"/>
      <c r="W5" s="657"/>
      <c r="X5" s="628"/>
      <c r="Y5" s="629"/>
      <c r="Z5" s="630"/>
      <c r="AA5" s="634"/>
      <c r="AB5" s="635"/>
      <c r="AC5" s="636"/>
    </row>
    <row r="6" spans="1:34" ht="14.25" customHeight="1">
      <c r="A6" s="639"/>
      <c r="B6" s="642"/>
      <c r="C6" s="642"/>
      <c r="D6" s="493" t="s">
        <v>24</v>
      </c>
      <c r="E6" s="355" t="s">
        <v>25</v>
      </c>
      <c r="F6" s="356" t="s">
        <v>26</v>
      </c>
      <c r="G6" s="356" t="s">
        <v>27</v>
      </c>
      <c r="H6" s="494" t="s">
        <v>24</v>
      </c>
      <c r="I6" s="358" t="s">
        <v>25</v>
      </c>
      <c r="J6" s="359" t="s">
        <v>26</v>
      </c>
      <c r="K6" s="359" t="s">
        <v>27</v>
      </c>
      <c r="L6" s="357" t="s">
        <v>24</v>
      </c>
      <c r="M6" s="357" t="s">
        <v>25</v>
      </c>
      <c r="N6" s="357" t="s">
        <v>26</v>
      </c>
      <c r="O6" s="357" t="s">
        <v>27</v>
      </c>
      <c r="P6" s="360" t="s">
        <v>24</v>
      </c>
      <c r="Q6" s="360" t="s">
        <v>25</v>
      </c>
      <c r="R6" s="360" t="s">
        <v>26</v>
      </c>
      <c r="S6" s="360" t="s">
        <v>27</v>
      </c>
      <c r="T6" s="361" t="s">
        <v>24</v>
      </c>
      <c r="U6" s="361" t="s">
        <v>25</v>
      </c>
      <c r="V6" s="361" t="s">
        <v>26</v>
      </c>
      <c r="W6" s="361" t="s">
        <v>27</v>
      </c>
      <c r="X6" s="362" t="s">
        <v>25</v>
      </c>
      <c r="Y6" s="363" t="s">
        <v>26</v>
      </c>
      <c r="Z6" s="363" t="s">
        <v>27</v>
      </c>
      <c r="AA6" s="463" t="s">
        <v>25</v>
      </c>
      <c r="AB6" s="464" t="s">
        <v>26</v>
      </c>
      <c r="AC6" s="464" t="s">
        <v>27</v>
      </c>
      <c r="AE6" s="365"/>
    </row>
    <row r="7" spans="1:34">
      <c r="A7" s="294"/>
      <c r="B7" s="295"/>
      <c r="C7" s="295"/>
      <c r="D7" s="102"/>
      <c r="E7" s="102"/>
      <c r="F7" s="102"/>
      <c r="G7" s="102"/>
      <c r="H7" s="102"/>
      <c r="I7" s="102"/>
      <c r="J7" s="102"/>
      <c r="K7" s="102"/>
      <c r="L7" s="102"/>
      <c r="M7" s="102"/>
      <c r="N7" s="102"/>
      <c r="O7" s="102"/>
      <c r="P7" s="102"/>
      <c r="Q7" s="102"/>
      <c r="R7" s="102"/>
      <c r="S7" s="102"/>
      <c r="T7" s="102"/>
      <c r="U7" s="102"/>
      <c r="V7" s="102"/>
      <c r="W7" s="102"/>
      <c r="X7" s="298"/>
      <c r="Y7" s="102"/>
      <c r="Z7" s="102"/>
      <c r="AA7" s="298"/>
      <c r="AB7" s="102"/>
      <c r="AC7" s="102"/>
    </row>
    <row r="8" spans="1:34" ht="15">
      <c r="A8" s="294">
        <f>+Report1!A9</f>
        <v>45931</v>
      </c>
      <c r="B8" s="301">
        <f>+Report1!P9</f>
        <v>0</v>
      </c>
      <c r="C8" s="301">
        <f>+Report1!R9</f>
        <v>3.3639999999999999</v>
      </c>
      <c r="D8" s="302">
        <f>+D7+E8</f>
        <v>3118.6499999999774</v>
      </c>
      <c r="E8" s="302">
        <f>+[2]DailyOct!AZ7</f>
        <v>3118.6499999999774</v>
      </c>
      <c r="F8" s="302" t="e">
        <f t="shared" ref="F8:F38" si="0">E8/B8</f>
        <v>#DIV/0!</v>
      </c>
      <c r="G8" s="302">
        <f t="shared" ref="G8:G38" si="1">E8/C8</f>
        <v>927.06599286562948</v>
      </c>
      <c r="H8" s="302">
        <f>+H7+I8</f>
        <v>2068.6500000003639</v>
      </c>
      <c r="I8" s="302">
        <f>+[2]DailyOct!BA7</f>
        <v>2068.6500000003639</v>
      </c>
      <c r="J8" s="302" t="e">
        <f t="shared" ref="J8:J38" si="2">I8/B8</f>
        <v>#DIV/0!</v>
      </c>
      <c r="K8" s="302">
        <f t="shared" ref="K8:K38" si="3">I8/C8</f>
        <v>614.93757431639835</v>
      </c>
      <c r="L8" s="302">
        <f>+L7+M8</f>
        <v>0</v>
      </c>
      <c r="M8" s="302">
        <f>+[2]DailyOct!BB7</f>
        <v>0</v>
      </c>
      <c r="N8" s="302" t="e">
        <f t="shared" ref="N8:N38" si="4">M8/B8</f>
        <v>#DIV/0!</v>
      </c>
      <c r="O8" s="497">
        <f t="shared" ref="O8:O38" si="5">M8/C8</f>
        <v>0</v>
      </c>
      <c r="P8" s="302">
        <f>+P7+Q8</f>
        <v>0</v>
      </c>
      <c r="Q8" s="302"/>
      <c r="R8" s="302" t="e">
        <f t="shared" ref="R8:R38" si="6">Q8/B8</f>
        <v>#DIV/0!</v>
      </c>
      <c r="S8" s="399">
        <f t="shared" ref="S8:S38" si="7">Q8/C8</f>
        <v>0</v>
      </c>
      <c r="T8" s="302">
        <f>+T7+U8</f>
        <v>0</v>
      </c>
      <c r="U8" s="302">
        <f>+[2]DailyOct!BC7</f>
        <v>0</v>
      </c>
      <c r="V8" s="302" t="e">
        <f t="shared" ref="V8:V38" si="8">U8/B8</f>
        <v>#DIV/0!</v>
      </c>
      <c r="W8" s="399">
        <f t="shared" ref="W8:W38" si="9">U8/C8</f>
        <v>0</v>
      </c>
      <c r="X8" s="302">
        <f>+E8+I8+M8+U8</f>
        <v>5187.3000000003412</v>
      </c>
      <c r="Y8" s="7" t="e">
        <f t="shared" ref="Y8:Y38" si="10">X8/B8</f>
        <v>#DIV/0!</v>
      </c>
      <c r="Z8" s="300">
        <f t="shared" ref="Z8:Z38" si="11">X8/C8</f>
        <v>1542.0035671820278</v>
      </c>
      <c r="AA8" s="302">
        <f>+[2]DailyOct!BO7</f>
        <v>0</v>
      </c>
      <c r="AB8" s="7" t="e">
        <f>AA8/B8</f>
        <v>#DIV/0!</v>
      </c>
      <c r="AC8" s="6">
        <f>AA8/C8</f>
        <v>0</v>
      </c>
      <c r="AG8" s="366" t="s">
        <v>189</v>
      </c>
      <c r="AH8" s="366" t="s">
        <v>190</v>
      </c>
    </row>
    <row r="9" spans="1:34" ht="15">
      <c r="A9" s="294">
        <f t="shared" ref="A9:A38" si="12">A8+1</f>
        <v>45932</v>
      </c>
      <c r="B9" s="301">
        <f>+Report1!P10</f>
        <v>0</v>
      </c>
      <c r="C9" s="301">
        <f>+Report1!R10</f>
        <v>0</v>
      </c>
      <c r="D9" s="302">
        <f t="shared" ref="D9:D38" si="13">+D8+E9</f>
        <v>5995.7400000000107</v>
      </c>
      <c r="E9" s="302">
        <f>+[2]DailyOct!AZ8</f>
        <v>2877.0900000000338</v>
      </c>
      <c r="F9" s="302" t="e">
        <f t="shared" si="0"/>
        <v>#DIV/0!</v>
      </c>
      <c r="G9" s="302" t="e">
        <f t="shared" si="1"/>
        <v>#DIV/0!</v>
      </c>
      <c r="H9" s="302">
        <f t="shared" ref="H9:H38" si="14">+H8+I9</f>
        <v>3445.74</v>
      </c>
      <c r="I9" s="302">
        <f>+[2]DailyOct!BA8</f>
        <v>1377.0899999996361</v>
      </c>
      <c r="J9" s="302" t="e">
        <f t="shared" si="2"/>
        <v>#DIV/0!</v>
      </c>
      <c r="K9" s="302" t="e">
        <f t="shared" si="3"/>
        <v>#DIV/0!</v>
      </c>
      <c r="L9" s="302">
        <f t="shared" ref="L9:L38" si="15">+L8+M9</f>
        <v>0</v>
      </c>
      <c r="M9" s="302">
        <f>+[2]DailyOct!BB8</f>
        <v>0</v>
      </c>
      <c r="N9" s="302" t="e">
        <f t="shared" si="4"/>
        <v>#DIV/0!</v>
      </c>
      <c r="O9" s="497" t="e">
        <f t="shared" si="5"/>
        <v>#DIV/0!</v>
      </c>
      <c r="P9" s="302">
        <f t="shared" ref="P9:P38" si="16">+P8+Q9</f>
        <v>0</v>
      </c>
      <c r="Q9" s="302"/>
      <c r="R9" s="302" t="e">
        <f t="shared" si="6"/>
        <v>#DIV/0!</v>
      </c>
      <c r="S9" s="399" t="e">
        <f t="shared" si="7"/>
        <v>#DIV/0!</v>
      </c>
      <c r="T9" s="302">
        <f t="shared" ref="T9:T38" si="17">+T8+U9</f>
        <v>0</v>
      </c>
      <c r="U9" s="302">
        <f>+[2]DailyOct!BC8</f>
        <v>0</v>
      </c>
      <c r="V9" s="302" t="e">
        <f t="shared" si="8"/>
        <v>#DIV/0!</v>
      </c>
      <c r="W9" s="399" t="e">
        <f t="shared" si="9"/>
        <v>#DIV/0!</v>
      </c>
      <c r="X9" s="302">
        <f t="shared" ref="X9:X38" si="18">+E9+I9+M9+U9</f>
        <v>4254.1799999996701</v>
      </c>
      <c r="Y9" s="299" t="e">
        <f t="shared" si="10"/>
        <v>#DIV/0!</v>
      </c>
      <c r="Z9" s="300" t="e">
        <f t="shared" si="11"/>
        <v>#DIV/0!</v>
      </c>
      <c r="AA9" s="302">
        <f>+[2]DailyOct!BO8</f>
        <v>0</v>
      </c>
      <c r="AB9" s="7" t="e">
        <f t="shared" ref="AB9:AB38" si="19">AA9/B9</f>
        <v>#DIV/0!</v>
      </c>
      <c r="AC9" s="6" t="e">
        <f t="shared" ref="AC9:AC38" si="20">AA9/C9</f>
        <v>#DIV/0!</v>
      </c>
      <c r="AG9" s="366" t="s">
        <v>191</v>
      </c>
      <c r="AH9" s="366" t="s">
        <v>191</v>
      </c>
    </row>
    <row r="10" spans="1:34">
      <c r="A10" s="294">
        <f t="shared" si="12"/>
        <v>45933</v>
      </c>
      <c r="B10" s="301">
        <f>+Report1!P11</f>
        <v>0</v>
      </c>
      <c r="C10" s="301">
        <f>+Report1!R11</f>
        <v>0</v>
      </c>
      <c r="D10" s="302">
        <f t="shared" si="13"/>
        <v>7531.8499999999767</v>
      </c>
      <c r="E10" s="302">
        <f>+[2]DailyOct!AZ9</f>
        <v>1536.109999999966</v>
      </c>
      <c r="F10" s="302" t="e">
        <f t="shared" si="0"/>
        <v>#DIV/0!</v>
      </c>
      <c r="G10" s="302" t="e">
        <f t="shared" si="1"/>
        <v>#DIV/0!</v>
      </c>
      <c r="H10" s="302">
        <f t="shared" si="14"/>
        <v>3631.85</v>
      </c>
      <c r="I10" s="302">
        <f>+[2]DailyOct!BA9</f>
        <v>186.11</v>
      </c>
      <c r="J10" s="302" t="e">
        <f t="shared" si="2"/>
        <v>#DIV/0!</v>
      </c>
      <c r="K10" s="302" t="e">
        <f t="shared" si="3"/>
        <v>#DIV/0!</v>
      </c>
      <c r="L10" s="302">
        <f t="shared" si="15"/>
        <v>0</v>
      </c>
      <c r="M10" s="302">
        <f>+[2]DailyOct!BB9</f>
        <v>0</v>
      </c>
      <c r="N10" s="302" t="e">
        <f t="shared" si="4"/>
        <v>#DIV/0!</v>
      </c>
      <c r="O10" s="497" t="e">
        <f t="shared" si="5"/>
        <v>#DIV/0!</v>
      </c>
      <c r="P10" s="302">
        <f t="shared" si="16"/>
        <v>0</v>
      </c>
      <c r="Q10" s="302"/>
      <c r="R10" s="302" t="e">
        <f t="shared" si="6"/>
        <v>#DIV/0!</v>
      </c>
      <c r="S10" s="399" t="e">
        <f t="shared" si="7"/>
        <v>#DIV/0!</v>
      </c>
      <c r="T10" s="302">
        <f t="shared" si="17"/>
        <v>0</v>
      </c>
      <c r="U10" s="302">
        <f>+[2]DailyOct!BC9</f>
        <v>0</v>
      </c>
      <c r="V10" s="302" t="e">
        <f t="shared" si="8"/>
        <v>#DIV/0!</v>
      </c>
      <c r="W10" s="399" t="e">
        <f t="shared" si="9"/>
        <v>#DIV/0!</v>
      </c>
      <c r="X10" s="302">
        <f t="shared" si="18"/>
        <v>1722.2199999999661</v>
      </c>
      <c r="Y10" s="299" t="e">
        <f t="shared" si="10"/>
        <v>#DIV/0!</v>
      </c>
      <c r="Z10" s="300" t="e">
        <f t="shared" si="11"/>
        <v>#DIV/0!</v>
      </c>
      <c r="AA10" s="302">
        <f>+[2]DailyOct!BO9</f>
        <v>0</v>
      </c>
      <c r="AB10" s="7" t="e">
        <f t="shared" si="19"/>
        <v>#DIV/0!</v>
      </c>
      <c r="AC10" s="6" t="e">
        <f t="shared" si="20"/>
        <v>#DIV/0!</v>
      </c>
      <c r="AE10" s="20" t="s">
        <v>29</v>
      </c>
      <c r="AF10" t="s">
        <v>179</v>
      </c>
      <c r="AG10" s="14" t="e">
        <f>+#REF!</f>
        <v>#REF!</v>
      </c>
      <c r="AH10" s="14" t="e">
        <f>+#REF!</f>
        <v>#REF!</v>
      </c>
    </row>
    <row r="11" spans="1:34">
      <c r="A11" s="294">
        <f t="shared" si="12"/>
        <v>45934</v>
      </c>
      <c r="B11" s="301">
        <f>+Report1!P12</f>
        <v>0</v>
      </c>
      <c r="C11" s="301">
        <f>+Report1!R12</f>
        <v>0</v>
      </c>
      <c r="D11" s="302">
        <f t="shared" si="13"/>
        <v>11495.07</v>
      </c>
      <c r="E11" s="302">
        <f>+[2]DailyOct!AZ10</f>
        <v>3963.220000000023</v>
      </c>
      <c r="F11" s="302" t="e">
        <f t="shared" si="0"/>
        <v>#DIV/0!</v>
      </c>
      <c r="G11" s="302" t="e">
        <f t="shared" si="1"/>
        <v>#DIV/0!</v>
      </c>
      <c r="H11" s="302">
        <f t="shared" si="14"/>
        <v>3645.0699999996359</v>
      </c>
      <c r="I11" s="302">
        <f>+[2]DailyOct!BA10</f>
        <v>13.219999999636229</v>
      </c>
      <c r="J11" s="302" t="e">
        <f t="shared" si="2"/>
        <v>#DIV/0!</v>
      </c>
      <c r="K11" s="302" t="e">
        <f t="shared" si="3"/>
        <v>#DIV/0!</v>
      </c>
      <c r="L11" s="302">
        <f t="shared" si="15"/>
        <v>0</v>
      </c>
      <c r="M11" s="302">
        <f>+[2]DailyOct!BB10</f>
        <v>0</v>
      </c>
      <c r="N11" s="302" t="e">
        <f t="shared" si="4"/>
        <v>#DIV/0!</v>
      </c>
      <c r="O11" s="497" t="e">
        <f t="shared" si="5"/>
        <v>#DIV/0!</v>
      </c>
      <c r="P11" s="302">
        <f t="shared" si="16"/>
        <v>0</v>
      </c>
      <c r="Q11" s="302"/>
      <c r="R11" s="302" t="e">
        <f t="shared" si="6"/>
        <v>#DIV/0!</v>
      </c>
      <c r="S11" s="399" t="e">
        <f t="shared" si="7"/>
        <v>#DIV/0!</v>
      </c>
      <c r="T11" s="302">
        <f t="shared" si="17"/>
        <v>0</v>
      </c>
      <c r="U11" s="302">
        <f>+[2]DailyOct!BC10</f>
        <v>0</v>
      </c>
      <c r="V11" s="302" t="e">
        <f t="shared" si="8"/>
        <v>#DIV/0!</v>
      </c>
      <c r="W11" s="399" t="e">
        <f t="shared" si="9"/>
        <v>#DIV/0!</v>
      </c>
      <c r="X11" s="302">
        <f t="shared" si="18"/>
        <v>3976.4399999996594</v>
      </c>
      <c r="Y11" s="299" t="e">
        <f t="shared" si="10"/>
        <v>#DIV/0!</v>
      </c>
      <c r="Z11" s="300" t="e">
        <f t="shared" si="11"/>
        <v>#DIV/0!</v>
      </c>
      <c r="AA11" s="302">
        <f>+[2]DailyOct!BO10</f>
        <v>0</v>
      </c>
      <c r="AB11" s="7" t="e">
        <f t="shared" si="19"/>
        <v>#DIV/0!</v>
      </c>
      <c r="AC11" s="6" t="e">
        <f t="shared" si="20"/>
        <v>#DIV/0!</v>
      </c>
      <c r="AE11" s="20"/>
      <c r="AF11" t="s">
        <v>180</v>
      </c>
      <c r="AG11" s="14" t="e">
        <f>+#REF!</f>
        <v>#REF!</v>
      </c>
      <c r="AH11" s="14" t="e">
        <f>+#REF!</f>
        <v>#REF!</v>
      </c>
    </row>
    <row r="12" spans="1:34">
      <c r="A12" s="294">
        <f t="shared" si="12"/>
        <v>45935</v>
      </c>
      <c r="B12" s="301">
        <f>+Report1!P13</f>
        <v>0</v>
      </c>
      <c r="C12" s="301">
        <f>+Report1!R13</f>
        <v>0</v>
      </c>
      <c r="D12" s="302">
        <f t="shared" si="13"/>
        <v>14155.310000000012</v>
      </c>
      <c r="E12" s="302">
        <f>+[2]DailyOct!AZ11</f>
        <v>2660.2400000000116</v>
      </c>
      <c r="F12" s="302" t="e">
        <f t="shared" si="0"/>
        <v>#DIV/0!</v>
      </c>
      <c r="G12" s="302" t="e">
        <f t="shared" si="1"/>
        <v>#DIV/0!</v>
      </c>
      <c r="H12" s="302">
        <f t="shared" si="14"/>
        <v>4005.3099999996357</v>
      </c>
      <c r="I12" s="302">
        <f>+[2]DailyOct!BA11</f>
        <v>360.24</v>
      </c>
      <c r="J12" s="302" t="e">
        <f t="shared" si="2"/>
        <v>#DIV/0!</v>
      </c>
      <c r="K12" s="302" t="e">
        <f t="shared" si="3"/>
        <v>#DIV/0!</v>
      </c>
      <c r="L12" s="302">
        <f t="shared" si="15"/>
        <v>0</v>
      </c>
      <c r="M12" s="302">
        <f>+[2]DailyOct!BB11</f>
        <v>0</v>
      </c>
      <c r="N12" s="302" t="e">
        <f t="shared" si="4"/>
        <v>#DIV/0!</v>
      </c>
      <c r="O12" s="497" t="e">
        <f t="shared" si="5"/>
        <v>#DIV/0!</v>
      </c>
      <c r="P12" s="302">
        <f t="shared" si="16"/>
        <v>0</v>
      </c>
      <c r="Q12" s="302"/>
      <c r="R12" s="302" t="e">
        <f t="shared" si="6"/>
        <v>#DIV/0!</v>
      </c>
      <c r="S12" s="399" t="e">
        <f t="shared" si="7"/>
        <v>#DIV/0!</v>
      </c>
      <c r="T12" s="302">
        <f t="shared" si="17"/>
        <v>0</v>
      </c>
      <c r="U12" s="302">
        <f>+[2]DailyOct!BC11</f>
        <v>0</v>
      </c>
      <c r="V12" s="302" t="e">
        <f t="shared" si="8"/>
        <v>#DIV/0!</v>
      </c>
      <c r="W12" s="399" t="e">
        <f t="shared" si="9"/>
        <v>#DIV/0!</v>
      </c>
      <c r="X12" s="302">
        <f t="shared" si="18"/>
        <v>3020.4800000000114</v>
      </c>
      <c r="Y12" s="299" t="e">
        <f t="shared" si="10"/>
        <v>#DIV/0!</v>
      </c>
      <c r="Z12" s="300" t="e">
        <f t="shared" si="11"/>
        <v>#DIV/0!</v>
      </c>
      <c r="AA12" s="302">
        <f>+[2]DailyOct!BO11</f>
        <v>0</v>
      </c>
      <c r="AB12" s="7" t="e">
        <f t="shared" si="19"/>
        <v>#DIV/0!</v>
      </c>
      <c r="AC12" s="6" t="e">
        <f t="shared" si="20"/>
        <v>#DIV/0!</v>
      </c>
      <c r="AE12" s="20"/>
      <c r="AF12" t="s">
        <v>181</v>
      </c>
      <c r="AG12" s="14">
        <f>+F39</f>
        <v>0</v>
      </c>
      <c r="AH12" s="14">
        <f>+G39</f>
        <v>0</v>
      </c>
    </row>
    <row r="13" spans="1:34">
      <c r="A13" s="294">
        <f t="shared" si="12"/>
        <v>45936</v>
      </c>
      <c r="B13" s="301">
        <f>+Report1!P14</f>
        <v>0</v>
      </c>
      <c r="C13" s="301">
        <f>+Report1!R14</f>
        <v>0</v>
      </c>
      <c r="D13" s="302">
        <f t="shared" si="13"/>
        <v>16307.679999999993</v>
      </c>
      <c r="E13" s="302">
        <f>+[2]DailyOct!AZ12</f>
        <v>2152.3699999999817</v>
      </c>
      <c r="F13" s="302" t="e">
        <f t="shared" si="0"/>
        <v>#DIV/0!</v>
      </c>
      <c r="G13" s="302" t="e">
        <f t="shared" si="1"/>
        <v>#DIV/0!</v>
      </c>
      <c r="H13" s="302">
        <f t="shared" si="14"/>
        <v>4087.6800000003632</v>
      </c>
      <c r="I13" s="302">
        <f>+[2]DailyOct!BA12</f>
        <v>82.3700000007276</v>
      </c>
      <c r="J13" s="302" t="e">
        <f t="shared" si="2"/>
        <v>#DIV/0!</v>
      </c>
      <c r="K13" s="302" t="e">
        <f t="shared" si="3"/>
        <v>#DIV/0!</v>
      </c>
      <c r="L13" s="302">
        <f t="shared" si="15"/>
        <v>0</v>
      </c>
      <c r="M13" s="302">
        <f>+[2]DailyOct!BB12</f>
        <v>0</v>
      </c>
      <c r="N13" s="302" t="e">
        <f t="shared" si="4"/>
        <v>#DIV/0!</v>
      </c>
      <c r="O13" s="497" t="e">
        <f t="shared" si="5"/>
        <v>#DIV/0!</v>
      </c>
      <c r="P13" s="302">
        <f t="shared" si="16"/>
        <v>0</v>
      </c>
      <c r="Q13" s="302"/>
      <c r="R13" s="302" t="e">
        <f t="shared" si="6"/>
        <v>#DIV/0!</v>
      </c>
      <c r="S13" s="399" t="e">
        <f t="shared" si="7"/>
        <v>#DIV/0!</v>
      </c>
      <c r="T13" s="302">
        <f t="shared" si="17"/>
        <v>0</v>
      </c>
      <c r="U13" s="302">
        <f>+[2]DailyOct!BC12</f>
        <v>0</v>
      </c>
      <c r="V13" s="302" t="e">
        <f t="shared" si="8"/>
        <v>#DIV/0!</v>
      </c>
      <c r="W13" s="399" t="e">
        <f t="shared" si="9"/>
        <v>#DIV/0!</v>
      </c>
      <c r="X13" s="302">
        <f t="shared" si="18"/>
        <v>2234.7400000007092</v>
      </c>
      <c r="Y13" s="299" t="e">
        <f t="shared" si="10"/>
        <v>#DIV/0!</v>
      </c>
      <c r="Z13" s="300" t="e">
        <f t="shared" si="11"/>
        <v>#DIV/0!</v>
      </c>
      <c r="AA13" s="302">
        <f>+[2]DailyOct!BO12</f>
        <v>0</v>
      </c>
      <c r="AB13" s="7" t="e">
        <f t="shared" si="19"/>
        <v>#DIV/0!</v>
      </c>
      <c r="AC13" s="6" t="e">
        <f t="shared" si="20"/>
        <v>#DIV/0!</v>
      </c>
      <c r="AE13" s="20"/>
      <c r="AF13" t="s">
        <v>182</v>
      </c>
      <c r="AG13" s="14">
        <f>+J39</f>
        <v>0</v>
      </c>
      <c r="AH13" s="14">
        <f>+K39</f>
        <v>0</v>
      </c>
    </row>
    <row r="14" spans="1:34">
      <c r="A14" s="294">
        <f t="shared" si="12"/>
        <v>45937</v>
      </c>
      <c r="B14" s="301">
        <f>+Report1!P15</f>
        <v>0</v>
      </c>
      <c r="C14" s="301">
        <f>+Report1!R15</f>
        <v>0</v>
      </c>
      <c r="D14" s="302">
        <f t="shared" si="13"/>
        <v>18349.330000000024</v>
      </c>
      <c r="E14" s="302">
        <f>+[2]DailyOct!AZ13</f>
        <v>2041.6500000000296</v>
      </c>
      <c r="F14" s="302" t="e">
        <f t="shared" si="0"/>
        <v>#DIV/0!</v>
      </c>
      <c r="G14" s="302" t="e">
        <f t="shared" si="1"/>
        <v>#DIV/0!</v>
      </c>
      <c r="H14" s="302">
        <f t="shared" si="14"/>
        <v>4974.3300000003628</v>
      </c>
      <c r="I14" s="302">
        <f>+[2]DailyOct!BA13</f>
        <v>886.65</v>
      </c>
      <c r="J14" s="302" t="e">
        <f t="shared" si="2"/>
        <v>#DIV/0!</v>
      </c>
      <c r="K14" s="302" t="e">
        <f t="shared" si="3"/>
        <v>#DIV/0!</v>
      </c>
      <c r="L14" s="302">
        <f t="shared" si="15"/>
        <v>0</v>
      </c>
      <c r="M14" s="302">
        <f>+[2]DailyOct!BB13</f>
        <v>0</v>
      </c>
      <c r="N14" s="302" t="e">
        <f t="shared" si="4"/>
        <v>#DIV/0!</v>
      </c>
      <c r="O14" s="497" t="e">
        <f t="shared" si="5"/>
        <v>#DIV/0!</v>
      </c>
      <c r="P14" s="302">
        <f t="shared" si="16"/>
        <v>0</v>
      </c>
      <c r="Q14" s="302"/>
      <c r="R14" s="302" t="e">
        <f t="shared" si="6"/>
        <v>#DIV/0!</v>
      </c>
      <c r="S14" s="399" t="e">
        <f t="shared" si="7"/>
        <v>#DIV/0!</v>
      </c>
      <c r="T14" s="302">
        <f t="shared" si="17"/>
        <v>0</v>
      </c>
      <c r="U14" s="302">
        <f>+[2]DailyOct!BC13</f>
        <v>0</v>
      </c>
      <c r="V14" s="302" t="e">
        <f t="shared" si="8"/>
        <v>#DIV/0!</v>
      </c>
      <c r="W14" s="399" t="e">
        <f t="shared" si="9"/>
        <v>#DIV/0!</v>
      </c>
      <c r="X14" s="302">
        <f t="shared" si="18"/>
        <v>2928.3000000000297</v>
      </c>
      <c r="Y14" s="299" t="e">
        <f t="shared" si="10"/>
        <v>#DIV/0!</v>
      </c>
      <c r="Z14" s="300" t="e">
        <f t="shared" si="11"/>
        <v>#DIV/0!</v>
      </c>
      <c r="AA14" s="302">
        <f>+[2]DailyOct!BO13</f>
        <v>0</v>
      </c>
      <c r="AB14" s="7" t="e">
        <f t="shared" si="19"/>
        <v>#DIV/0!</v>
      </c>
      <c r="AC14" s="6" t="e">
        <f t="shared" si="20"/>
        <v>#DIV/0!</v>
      </c>
      <c r="AE14" s="20"/>
      <c r="AF14" t="s">
        <v>183</v>
      </c>
      <c r="AG14" s="14" t="e">
        <f>+#REF!</f>
        <v>#REF!</v>
      </c>
      <c r="AH14" s="14" t="e">
        <f>+#REF!</f>
        <v>#REF!</v>
      </c>
    </row>
    <row r="15" spans="1:34">
      <c r="A15" s="294">
        <f t="shared" si="12"/>
        <v>45938</v>
      </c>
      <c r="B15" s="301">
        <f>+Report1!P16</f>
        <v>0</v>
      </c>
      <c r="C15" s="301">
        <f>+Report1!R16</f>
        <v>0</v>
      </c>
      <c r="D15" s="302">
        <f t="shared" si="13"/>
        <v>20616.459999999985</v>
      </c>
      <c r="E15" s="302">
        <f>+[2]DailyOct!AZ14</f>
        <v>2267.1299999999592</v>
      </c>
      <c r="F15" s="302" t="e">
        <f t="shared" si="0"/>
        <v>#DIV/0!</v>
      </c>
      <c r="G15" s="302" t="e">
        <f t="shared" si="1"/>
        <v>#DIV/0!</v>
      </c>
      <c r="H15" s="302">
        <f t="shared" si="14"/>
        <v>5046.4600000007267</v>
      </c>
      <c r="I15" s="302">
        <f>+[2]DailyOct!BA14</f>
        <v>72.130000000363793</v>
      </c>
      <c r="J15" s="302" t="e">
        <f t="shared" si="2"/>
        <v>#DIV/0!</v>
      </c>
      <c r="K15" s="302" t="e">
        <f t="shared" si="3"/>
        <v>#DIV/0!</v>
      </c>
      <c r="L15" s="302">
        <f t="shared" si="15"/>
        <v>0</v>
      </c>
      <c r="M15" s="302">
        <f>+[2]DailyOct!BB14</f>
        <v>0</v>
      </c>
      <c r="N15" s="302" t="e">
        <f t="shared" si="4"/>
        <v>#DIV/0!</v>
      </c>
      <c r="O15" s="497" t="e">
        <f t="shared" si="5"/>
        <v>#DIV/0!</v>
      </c>
      <c r="P15" s="302">
        <f t="shared" si="16"/>
        <v>0</v>
      </c>
      <c r="Q15" s="302"/>
      <c r="R15" s="302" t="e">
        <f t="shared" si="6"/>
        <v>#DIV/0!</v>
      </c>
      <c r="S15" s="399" t="e">
        <f t="shared" si="7"/>
        <v>#DIV/0!</v>
      </c>
      <c r="T15" s="302">
        <f t="shared" si="17"/>
        <v>99.999999999909051</v>
      </c>
      <c r="U15" s="302">
        <f>+[2]DailyOct!BC14</f>
        <v>99.999999999909051</v>
      </c>
      <c r="V15" s="302" t="e">
        <f t="shared" si="8"/>
        <v>#DIV/0!</v>
      </c>
      <c r="W15" s="399" t="e">
        <f t="shared" si="9"/>
        <v>#DIV/0!</v>
      </c>
      <c r="X15" s="302">
        <f t="shared" si="18"/>
        <v>2439.2600000002321</v>
      </c>
      <c r="Y15" s="299" t="e">
        <f t="shared" si="10"/>
        <v>#DIV/0!</v>
      </c>
      <c r="Z15" s="300" t="e">
        <f t="shared" si="11"/>
        <v>#DIV/0!</v>
      </c>
      <c r="AA15" s="302">
        <f>+[2]DailyOct!BO14</f>
        <v>0</v>
      </c>
      <c r="AB15" s="7" t="e">
        <f t="shared" si="19"/>
        <v>#DIV/0!</v>
      </c>
      <c r="AC15" s="6" t="e">
        <f t="shared" si="20"/>
        <v>#DIV/0!</v>
      </c>
      <c r="AE15" s="20"/>
      <c r="AF15" t="s">
        <v>184</v>
      </c>
      <c r="AG15" s="14" t="e">
        <f>+#REF!</f>
        <v>#REF!</v>
      </c>
      <c r="AH15" s="14" t="e">
        <f>+#REF!</f>
        <v>#REF!</v>
      </c>
    </row>
    <row r="16" spans="1:34">
      <c r="A16" s="294">
        <f t="shared" si="12"/>
        <v>45939</v>
      </c>
      <c r="B16" s="301">
        <f>+Report1!P17</f>
        <v>22.434999999999999</v>
      </c>
      <c r="C16" s="301">
        <f>+Report1!R17</f>
        <v>17.867000000000001</v>
      </c>
      <c r="D16" s="302">
        <f t="shared" si="13"/>
        <v>29056.39000000001</v>
      </c>
      <c r="E16" s="302">
        <f>+[2]DailyOct!AZ15</f>
        <v>8439.9300000000258</v>
      </c>
      <c r="F16" s="302">
        <f t="shared" si="0"/>
        <v>376.19478493425567</v>
      </c>
      <c r="G16" s="302">
        <f t="shared" si="1"/>
        <v>472.37532881849359</v>
      </c>
      <c r="H16" s="302">
        <f t="shared" si="14"/>
        <v>12376.39</v>
      </c>
      <c r="I16" s="302">
        <f>+[2]DailyOct!BA15</f>
        <v>7329.9299999992727</v>
      </c>
      <c r="J16" s="302">
        <f t="shared" si="2"/>
        <v>326.71852016934582</v>
      </c>
      <c r="K16" s="302">
        <f t="shared" si="3"/>
        <v>410.24962220850017</v>
      </c>
      <c r="L16" s="302">
        <f t="shared" si="15"/>
        <v>0</v>
      </c>
      <c r="M16" s="302">
        <f>+[2]DailyOct!BB15</f>
        <v>0</v>
      </c>
      <c r="N16" s="302">
        <f t="shared" si="4"/>
        <v>0</v>
      </c>
      <c r="O16" s="497">
        <f t="shared" si="5"/>
        <v>0</v>
      </c>
      <c r="P16" s="302">
        <f t="shared" si="16"/>
        <v>0</v>
      </c>
      <c r="Q16" s="302"/>
      <c r="R16" s="302">
        <f t="shared" si="6"/>
        <v>0</v>
      </c>
      <c r="S16" s="399">
        <f t="shared" si="7"/>
        <v>0</v>
      </c>
      <c r="T16" s="302">
        <f t="shared" si="17"/>
        <v>1000</v>
      </c>
      <c r="U16" s="302">
        <f>+[2]DailyOct!BC15</f>
        <v>900.00000000009095</v>
      </c>
      <c r="V16" s="302">
        <f t="shared" si="8"/>
        <v>40.115890349903765</v>
      </c>
      <c r="W16" s="399">
        <f t="shared" si="9"/>
        <v>50.372194548614253</v>
      </c>
      <c r="X16" s="302">
        <f t="shared" si="18"/>
        <v>16669.859999999389</v>
      </c>
      <c r="Y16" s="299">
        <f t="shared" si="10"/>
        <v>743.02919545350528</v>
      </c>
      <c r="Z16" s="300">
        <f t="shared" si="11"/>
        <v>932.99714557560799</v>
      </c>
      <c r="AA16" s="302">
        <f>+[2]DailyOct!BO15</f>
        <v>0</v>
      </c>
      <c r="AB16" s="7">
        <f t="shared" si="19"/>
        <v>0</v>
      </c>
      <c r="AC16" s="6">
        <f t="shared" si="20"/>
        <v>0</v>
      </c>
      <c r="AE16" s="20"/>
      <c r="AG16" s="18" t="e">
        <f>SUM(AG10:AG15)</f>
        <v>#REF!</v>
      </c>
      <c r="AH16" s="18" t="e">
        <f>SUM(AH10:AH15)</f>
        <v>#REF!</v>
      </c>
    </row>
    <row r="17" spans="1:42">
      <c r="A17" s="294">
        <f t="shared" si="12"/>
        <v>45940</v>
      </c>
      <c r="B17" s="301">
        <f>+Report1!P18</f>
        <v>42.66</v>
      </c>
      <c r="C17" s="301">
        <f>+Report1!R18</f>
        <v>38.145000000000003</v>
      </c>
      <c r="D17" s="302">
        <f t="shared" si="13"/>
        <v>40685.059999998557</v>
      </c>
      <c r="E17" s="302">
        <f>+[2]DailyOct!AZ16</f>
        <v>11628.66999999855</v>
      </c>
      <c r="F17" s="302">
        <f t="shared" si="0"/>
        <v>272.58954524141001</v>
      </c>
      <c r="G17" s="302">
        <f t="shared" si="1"/>
        <v>304.85437147721979</v>
      </c>
      <c r="H17" s="302">
        <f t="shared" si="14"/>
        <v>27635.060000000361</v>
      </c>
      <c r="I17" s="302">
        <f>+[2]DailyOct!BA16</f>
        <v>15258.670000000364</v>
      </c>
      <c r="J17" s="302">
        <f t="shared" si="2"/>
        <v>357.68096577591103</v>
      </c>
      <c r="K17" s="302">
        <f t="shared" si="3"/>
        <v>400.01756455630783</v>
      </c>
      <c r="L17" s="302">
        <f t="shared" si="15"/>
        <v>8628.2423999992134</v>
      </c>
      <c r="M17" s="302">
        <f>+[2]DailyOct!BB16</f>
        <v>8628.2423999992134</v>
      </c>
      <c r="N17" s="302">
        <f t="shared" si="4"/>
        <v>202.25603375525583</v>
      </c>
      <c r="O17" s="497">
        <f t="shared" si="5"/>
        <v>226.19589461264158</v>
      </c>
      <c r="P17" s="302">
        <f t="shared" si="16"/>
        <v>0</v>
      </c>
      <c r="Q17" s="302"/>
      <c r="R17" s="302">
        <f t="shared" si="6"/>
        <v>0</v>
      </c>
      <c r="S17" s="399">
        <f t="shared" si="7"/>
        <v>0</v>
      </c>
      <c r="T17" s="302">
        <f t="shared" si="17"/>
        <v>1299.9999999999545</v>
      </c>
      <c r="U17" s="302">
        <f>+[2]DailyOct!BC16</f>
        <v>299.99999999995453</v>
      </c>
      <c r="V17" s="302">
        <f t="shared" si="8"/>
        <v>7.0323488044996374</v>
      </c>
      <c r="W17" s="399">
        <f t="shared" si="9"/>
        <v>7.8647267007459565</v>
      </c>
      <c r="X17" s="302">
        <f t="shared" si="18"/>
        <v>35815.582399998078</v>
      </c>
      <c r="Y17" s="299">
        <f t="shared" si="10"/>
        <v>839.55889357707645</v>
      </c>
      <c r="Z17" s="300">
        <f t="shared" si="11"/>
        <v>938.93255734691502</v>
      </c>
      <c r="AA17" s="302">
        <f>+[2]DailyOct!BO16</f>
        <v>0</v>
      </c>
      <c r="AB17" s="7">
        <f t="shared" si="19"/>
        <v>0</v>
      </c>
      <c r="AC17" s="6">
        <f t="shared" si="20"/>
        <v>0</v>
      </c>
      <c r="AE17" s="20" t="s">
        <v>192</v>
      </c>
      <c r="AF17" t="s">
        <v>185</v>
      </c>
      <c r="AG17" s="14">
        <f>+N39</f>
        <v>0</v>
      </c>
      <c r="AH17" s="14">
        <f>+O39</f>
        <v>0</v>
      </c>
      <c r="AI17" t="s">
        <v>0</v>
      </c>
      <c r="AP17" t="s">
        <v>0</v>
      </c>
    </row>
    <row r="18" spans="1:42">
      <c r="A18" s="294">
        <f t="shared" si="12"/>
        <v>45941</v>
      </c>
      <c r="B18" s="301">
        <f>+Report1!P19</f>
        <v>45.096000000000004</v>
      </c>
      <c r="C18" s="301">
        <f>+Report1!R19</f>
        <v>35.463999999999999</v>
      </c>
      <c r="D18" s="302">
        <f t="shared" si="13"/>
        <v>52306.450000000725</v>
      </c>
      <c r="E18" s="302">
        <f>+[2]DailyOct!AZ17</f>
        <v>11621.390000002171</v>
      </c>
      <c r="F18" s="296">
        <f t="shared" si="0"/>
        <v>257.70334397734104</v>
      </c>
      <c r="G18" s="296">
        <f t="shared" si="1"/>
        <v>327.69540942934162</v>
      </c>
      <c r="H18" s="302">
        <f t="shared" si="14"/>
        <v>43906.449999999269</v>
      </c>
      <c r="I18" s="302">
        <f>+[2]DailyOct!BA17</f>
        <v>16271.389999998908</v>
      </c>
      <c r="J18" s="296">
        <f t="shared" si="2"/>
        <v>360.81670214650762</v>
      </c>
      <c r="K18" s="296">
        <f t="shared" si="3"/>
        <v>458.81429054813077</v>
      </c>
      <c r="L18" s="302">
        <f t="shared" si="15"/>
        <v>20804.632400000595</v>
      </c>
      <c r="M18" s="302">
        <f>+[2]DailyOct!BB17</f>
        <v>12176.390000001382</v>
      </c>
      <c r="N18" s="302">
        <f t="shared" si="4"/>
        <v>270.01042221042621</v>
      </c>
      <c r="O18" s="497">
        <f t="shared" si="5"/>
        <v>343.34508233705679</v>
      </c>
      <c r="P18" s="302">
        <f t="shared" si="16"/>
        <v>0</v>
      </c>
      <c r="Q18" s="302"/>
      <c r="R18" s="302">
        <f t="shared" si="6"/>
        <v>0</v>
      </c>
      <c r="S18" s="399">
        <f t="shared" si="7"/>
        <v>0</v>
      </c>
      <c r="T18" s="302">
        <f t="shared" si="17"/>
        <v>1299.9999999999545</v>
      </c>
      <c r="U18" s="302">
        <f>+[2]DailyOct!BC17</f>
        <v>0</v>
      </c>
      <c r="V18" s="302">
        <f t="shared" si="8"/>
        <v>0</v>
      </c>
      <c r="W18" s="399">
        <f t="shared" si="9"/>
        <v>0</v>
      </c>
      <c r="X18" s="302">
        <f t="shared" si="18"/>
        <v>40069.170000002458</v>
      </c>
      <c r="Y18" s="299">
        <f t="shared" si="10"/>
        <v>888.5304683342747</v>
      </c>
      <c r="Z18" s="300">
        <f t="shared" si="11"/>
        <v>1129.8547823145291</v>
      </c>
      <c r="AA18" s="302">
        <f>+[2]DailyOct!BO17</f>
        <v>0</v>
      </c>
      <c r="AB18" s="7">
        <f t="shared" si="19"/>
        <v>0</v>
      </c>
      <c r="AC18" s="6">
        <f t="shared" si="20"/>
        <v>0</v>
      </c>
      <c r="AE18" s="20"/>
      <c r="AF18" t="s">
        <v>186</v>
      </c>
      <c r="AG18" s="14">
        <f>+R39</f>
        <v>0</v>
      </c>
      <c r="AH18" s="14">
        <f>+S39</f>
        <v>0</v>
      </c>
    </row>
    <row r="19" spans="1:42">
      <c r="A19" s="294">
        <f t="shared" si="12"/>
        <v>45942</v>
      </c>
      <c r="B19" s="301">
        <f>+Report1!P20</f>
        <v>42.670999999999999</v>
      </c>
      <c r="C19" s="301">
        <f>+Report1!R20</f>
        <v>44.765000000000001</v>
      </c>
      <c r="D19" s="302">
        <f t="shared" si="13"/>
        <v>61891.990000000005</v>
      </c>
      <c r="E19" s="302">
        <f>+[2]DailyOct!AZ18</f>
        <v>9585.5399999992769</v>
      </c>
      <c r="F19" s="296">
        <f t="shared" si="0"/>
        <v>224.63827892477977</v>
      </c>
      <c r="G19" s="296">
        <f t="shared" si="1"/>
        <v>214.13023567517652</v>
      </c>
      <c r="H19" s="302">
        <f t="shared" si="14"/>
        <v>59271.99</v>
      </c>
      <c r="I19" s="302">
        <f>+[2]DailyOct!BA18</f>
        <v>15365.540000000728</v>
      </c>
      <c r="J19" s="296">
        <f t="shared" si="2"/>
        <v>360.09327177710219</v>
      </c>
      <c r="K19" s="296">
        <f t="shared" si="3"/>
        <v>343.24896682677826</v>
      </c>
      <c r="L19" s="302">
        <f t="shared" si="15"/>
        <v>33040.172400000301</v>
      </c>
      <c r="M19" s="302">
        <f>+[2]DailyOct!BB18</f>
        <v>12235.53999999971</v>
      </c>
      <c r="N19" s="302">
        <f t="shared" si="4"/>
        <v>286.74134658198096</v>
      </c>
      <c r="O19" s="497">
        <f t="shared" si="5"/>
        <v>273.32826985367387</v>
      </c>
      <c r="P19" s="302">
        <f t="shared" si="16"/>
        <v>0</v>
      </c>
      <c r="Q19" s="302"/>
      <c r="R19" s="302">
        <f t="shared" si="6"/>
        <v>0</v>
      </c>
      <c r="S19" s="399">
        <f t="shared" si="7"/>
        <v>0</v>
      </c>
      <c r="T19" s="302">
        <f t="shared" si="17"/>
        <v>1299.9999999999545</v>
      </c>
      <c r="U19" s="302">
        <f>+[2]DailyOct!BC18</f>
        <v>0</v>
      </c>
      <c r="V19" s="302">
        <f t="shared" si="8"/>
        <v>0</v>
      </c>
      <c r="W19" s="399">
        <f t="shared" si="9"/>
        <v>0</v>
      </c>
      <c r="X19" s="302">
        <f t="shared" si="18"/>
        <v>37186.619999999719</v>
      </c>
      <c r="Y19" s="299">
        <f t="shared" si="10"/>
        <v>871.47289728386306</v>
      </c>
      <c r="Z19" s="300">
        <f t="shared" si="11"/>
        <v>830.70747235562874</v>
      </c>
      <c r="AA19" s="302">
        <f>+[2]DailyOct!BO18</f>
        <v>0</v>
      </c>
      <c r="AB19" s="7">
        <f t="shared" si="19"/>
        <v>0</v>
      </c>
      <c r="AC19" s="6">
        <f t="shared" si="20"/>
        <v>0</v>
      </c>
      <c r="AE19" s="20"/>
      <c r="AG19" s="18">
        <f>SUM(AG17:AG18)</f>
        <v>0</v>
      </c>
      <c r="AH19" s="18">
        <f>SUM(AH17:AH18)</f>
        <v>0</v>
      </c>
    </row>
    <row r="20" spans="1:42">
      <c r="A20" s="294">
        <f t="shared" si="12"/>
        <v>45943</v>
      </c>
      <c r="B20" s="301">
        <f>+Report1!P21</f>
        <v>43.638999999999996</v>
      </c>
      <c r="C20" s="301">
        <f>+Report1!R21</f>
        <v>42.232999999999997</v>
      </c>
      <c r="D20" s="302">
        <f t="shared" si="13"/>
        <v>74153.460000000021</v>
      </c>
      <c r="E20" s="302">
        <f>+[2]DailyOct!AZ19</f>
        <v>12261.47000000001</v>
      </c>
      <c r="F20" s="296">
        <f t="shared" si="0"/>
        <v>280.97504525768261</v>
      </c>
      <c r="G20" s="296">
        <f t="shared" si="1"/>
        <v>290.32912651244317</v>
      </c>
      <c r="H20" s="302">
        <f t="shared" si="14"/>
        <v>74733.459999999992</v>
      </c>
      <c r="I20" s="302">
        <f>+[2]DailyOct!BA19</f>
        <v>15461.47</v>
      </c>
      <c r="J20" s="296">
        <f t="shared" si="2"/>
        <v>354.30394830312338</v>
      </c>
      <c r="K20" s="296">
        <f t="shared" si="3"/>
        <v>366.09925887339284</v>
      </c>
      <c r="L20" s="302">
        <f t="shared" si="15"/>
        <v>44501.642400000303</v>
      </c>
      <c r="M20" s="302">
        <f>+[2]DailyOct!BB19</f>
        <v>11461.469999999998</v>
      </c>
      <c r="N20" s="302">
        <f t="shared" si="4"/>
        <v>262.64281949632209</v>
      </c>
      <c r="O20" s="497">
        <f t="shared" si="5"/>
        <v>271.38659342220535</v>
      </c>
      <c r="P20" s="302">
        <f t="shared" si="16"/>
        <v>0</v>
      </c>
      <c r="Q20" s="302"/>
      <c r="R20" s="302">
        <f t="shared" si="6"/>
        <v>0</v>
      </c>
      <c r="S20" s="399">
        <f t="shared" si="7"/>
        <v>0</v>
      </c>
      <c r="T20" s="302">
        <f t="shared" si="17"/>
        <v>2299.9999999999545</v>
      </c>
      <c r="U20" s="302">
        <f>+[2]DailyOct!BC19</f>
        <v>1000</v>
      </c>
      <c r="V20" s="302">
        <f t="shared" si="8"/>
        <v>22.915282201700315</v>
      </c>
      <c r="W20" s="399">
        <f t="shared" si="9"/>
        <v>23.678166362796865</v>
      </c>
      <c r="X20" s="302">
        <f t="shared" si="18"/>
        <v>40184.410000000003</v>
      </c>
      <c r="Y20" s="299">
        <f t="shared" si="10"/>
        <v>920.8370952588283</v>
      </c>
      <c r="Z20" s="300">
        <f t="shared" si="11"/>
        <v>951.49314517083815</v>
      </c>
      <c r="AA20" s="302">
        <f>+[2]DailyOct!BO19</f>
        <v>0</v>
      </c>
      <c r="AB20" s="7">
        <f t="shared" si="19"/>
        <v>0</v>
      </c>
      <c r="AC20" s="6">
        <f t="shared" si="20"/>
        <v>0</v>
      </c>
      <c r="AE20" s="20" t="s">
        <v>193</v>
      </c>
      <c r="AF20" t="s">
        <v>187</v>
      </c>
      <c r="AG20" s="14">
        <f>+V39</f>
        <v>0</v>
      </c>
      <c r="AH20" s="14">
        <f>+W39</f>
        <v>0</v>
      </c>
    </row>
    <row r="21" spans="1:42">
      <c r="A21" s="294">
        <f t="shared" si="12"/>
        <v>45944</v>
      </c>
      <c r="B21" s="301">
        <f>+Report1!P22</f>
        <v>45.567000000000007</v>
      </c>
      <c r="C21" s="301">
        <f>+Report1!R22</f>
        <v>39.456000000000003</v>
      </c>
      <c r="D21" s="302">
        <f t="shared" si="13"/>
        <v>85969.660000000018</v>
      </c>
      <c r="E21" s="302">
        <f>+[2]DailyOct!AZ20</f>
        <v>11816.199999999992</v>
      </c>
      <c r="F21" s="296">
        <f t="shared" si="0"/>
        <v>259.3148550486095</v>
      </c>
      <c r="G21" s="296">
        <f t="shared" si="1"/>
        <v>299.47789943227878</v>
      </c>
      <c r="H21" s="302">
        <f t="shared" si="14"/>
        <v>92039.659999999989</v>
      </c>
      <c r="I21" s="302">
        <f>+[2]DailyOct!BA20</f>
        <v>17306.2</v>
      </c>
      <c r="J21" s="296">
        <f t="shared" si="2"/>
        <v>379.79678275945309</v>
      </c>
      <c r="K21" s="296">
        <f t="shared" si="3"/>
        <v>438.62023519870235</v>
      </c>
      <c r="L21" s="302">
        <f t="shared" si="15"/>
        <v>56307.8424000003</v>
      </c>
      <c r="M21" s="302">
        <f>+[2]DailyOct!BB20</f>
        <v>11806.2</v>
      </c>
      <c r="N21" s="302">
        <f t="shared" si="4"/>
        <v>259.09539798538412</v>
      </c>
      <c r="O21" s="497">
        <f t="shared" si="5"/>
        <v>299.22445255474452</v>
      </c>
      <c r="P21" s="302">
        <f t="shared" si="16"/>
        <v>0</v>
      </c>
      <c r="Q21" s="302"/>
      <c r="R21" s="302">
        <f t="shared" si="6"/>
        <v>0</v>
      </c>
      <c r="S21" s="399">
        <f t="shared" si="7"/>
        <v>0</v>
      </c>
      <c r="T21" s="302">
        <f t="shared" si="17"/>
        <v>3500</v>
      </c>
      <c r="U21" s="302">
        <f>+[2]DailyOct!BC20</f>
        <v>1200.0000000000455</v>
      </c>
      <c r="V21" s="302">
        <f t="shared" si="8"/>
        <v>26.334847587070584</v>
      </c>
      <c r="W21" s="399">
        <f t="shared" si="9"/>
        <v>30.413625304137405</v>
      </c>
      <c r="X21" s="302">
        <f t="shared" si="18"/>
        <v>42128.600000000035</v>
      </c>
      <c r="Y21" s="299">
        <f t="shared" si="10"/>
        <v>924.54188338051722</v>
      </c>
      <c r="Z21" s="300">
        <f t="shared" si="11"/>
        <v>1067.736212489863</v>
      </c>
      <c r="AA21" s="302">
        <f>+[2]DailyOct!BO20</f>
        <v>0</v>
      </c>
      <c r="AB21" s="7">
        <f t="shared" si="19"/>
        <v>0</v>
      </c>
      <c r="AC21" s="6">
        <f t="shared" si="20"/>
        <v>0</v>
      </c>
      <c r="AF21" t="s">
        <v>188</v>
      </c>
      <c r="AG21" s="14" t="e">
        <f>+#REF!</f>
        <v>#REF!</v>
      </c>
      <c r="AH21" s="14" t="e">
        <f>+#REF!</f>
        <v>#REF!</v>
      </c>
    </row>
    <row r="22" spans="1:42">
      <c r="A22" s="294">
        <f t="shared" si="12"/>
        <v>45945</v>
      </c>
      <c r="B22" s="301">
        <f>+Report1!P23</f>
        <v>46.075000000000003</v>
      </c>
      <c r="C22" s="301">
        <f>+Report1!R23</f>
        <v>39.707000000000001</v>
      </c>
      <c r="D22" s="302">
        <f t="shared" si="13"/>
        <v>97053.25999999998</v>
      </c>
      <c r="E22" s="302">
        <f>+[2]DailyOct!AZ21</f>
        <v>11083.599999999966</v>
      </c>
      <c r="F22" s="296">
        <f t="shared" si="0"/>
        <v>240.55561584373228</v>
      </c>
      <c r="G22" s="296">
        <f t="shared" si="1"/>
        <v>279.13466139471541</v>
      </c>
      <c r="H22" s="302">
        <f t="shared" si="14"/>
        <v>109773.25999999998</v>
      </c>
      <c r="I22" s="302">
        <f>+[2]DailyOct!BA21</f>
        <v>17733.599999999999</v>
      </c>
      <c r="J22" s="296">
        <f t="shared" si="2"/>
        <v>384.88551275094949</v>
      </c>
      <c r="K22" s="296">
        <f t="shared" si="3"/>
        <v>446.6114287153398</v>
      </c>
      <c r="L22" s="302">
        <f t="shared" si="15"/>
        <v>68041.442400000291</v>
      </c>
      <c r="M22" s="302">
        <f>+[2]DailyOct!BB21</f>
        <v>11733.599999999999</v>
      </c>
      <c r="N22" s="302">
        <f t="shared" si="4"/>
        <v>254.66304937601731</v>
      </c>
      <c r="O22" s="497">
        <f t="shared" si="5"/>
        <v>295.50457098244635</v>
      </c>
      <c r="P22" s="302">
        <f t="shared" si="16"/>
        <v>0</v>
      </c>
      <c r="Q22" s="302"/>
      <c r="R22" s="302">
        <f t="shared" si="6"/>
        <v>0</v>
      </c>
      <c r="S22" s="399">
        <f t="shared" si="7"/>
        <v>0</v>
      </c>
      <c r="T22" s="302">
        <f t="shared" si="17"/>
        <v>4699.9999999998181</v>
      </c>
      <c r="U22" s="302">
        <f>+[2]DailyOct!BC21</f>
        <v>1199.9999999998181</v>
      </c>
      <c r="V22" s="302">
        <f t="shared" si="8"/>
        <v>26.044492674982486</v>
      </c>
      <c r="W22" s="399">
        <f t="shared" si="9"/>
        <v>30.221371546574108</v>
      </c>
      <c r="X22" s="302">
        <f t="shared" si="18"/>
        <v>41750.799999999777</v>
      </c>
      <c r="Y22" s="299">
        <f t="shared" si="10"/>
        <v>906.14867064568148</v>
      </c>
      <c r="Z22" s="300">
        <f t="shared" si="11"/>
        <v>1051.4720326390757</v>
      </c>
      <c r="AA22" s="302">
        <f>+[2]DailyOct!BO21</f>
        <v>0</v>
      </c>
      <c r="AB22" s="7">
        <f t="shared" si="19"/>
        <v>0</v>
      </c>
      <c r="AC22" s="6">
        <f t="shared" si="20"/>
        <v>0</v>
      </c>
      <c r="AG22" s="18" t="e">
        <f>SUM(AG20:AG21)</f>
        <v>#REF!</v>
      </c>
      <c r="AH22" s="18" t="e">
        <f>SUM(AH20:AH21)</f>
        <v>#REF!</v>
      </c>
    </row>
    <row r="23" spans="1:42">
      <c r="A23" s="294">
        <f t="shared" si="12"/>
        <v>45946</v>
      </c>
      <c r="B23" s="301">
        <f>+Report1!P24</f>
        <v>48.201999999999998</v>
      </c>
      <c r="C23" s="301">
        <f>+Report1!R24</f>
        <v>43.972000000000001</v>
      </c>
      <c r="D23" s="302">
        <f t="shared" si="13"/>
        <v>109183.46</v>
      </c>
      <c r="E23" s="302">
        <f>+[2]DailyOct!AZ22</f>
        <v>12130.200000000021</v>
      </c>
      <c r="F23" s="296">
        <f t="shared" si="0"/>
        <v>251.65345836272397</v>
      </c>
      <c r="G23" s="296">
        <f t="shared" si="1"/>
        <v>275.86191212589875</v>
      </c>
      <c r="H23" s="302">
        <f t="shared" si="14"/>
        <v>124488.45999999998</v>
      </c>
      <c r="I23" s="302">
        <f>+[2]DailyOct!BA22</f>
        <v>14715.2</v>
      </c>
      <c r="J23" s="296">
        <f t="shared" si="2"/>
        <v>305.28193850877557</v>
      </c>
      <c r="K23" s="296">
        <f t="shared" si="3"/>
        <v>334.64932229600657</v>
      </c>
      <c r="L23" s="302">
        <f t="shared" si="15"/>
        <v>81756.642400000288</v>
      </c>
      <c r="M23" s="302">
        <f>+[2]DailyOct!BB22</f>
        <v>13715.2</v>
      </c>
      <c r="N23" s="302">
        <f t="shared" si="4"/>
        <v>284.53591137297212</v>
      </c>
      <c r="O23" s="497">
        <f t="shared" si="5"/>
        <v>311.90757754934958</v>
      </c>
      <c r="P23" s="302">
        <f t="shared" si="16"/>
        <v>0</v>
      </c>
      <c r="Q23" s="302"/>
      <c r="R23" s="302">
        <f t="shared" si="6"/>
        <v>0</v>
      </c>
      <c r="S23" s="399">
        <f t="shared" si="7"/>
        <v>0</v>
      </c>
      <c r="T23" s="302">
        <f t="shared" si="17"/>
        <v>6199.9999999998181</v>
      </c>
      <c r="U23" s="302">
        <f>+[2]DailyOct!BC22</f>
        <v>1500</v>
      </c>
      <c r="V23" s="302">
        <f t="shared" si="8"/>
        <v>31.119040703705242</v>
      </c>
      <c r="W23" s="399">
        <f t="shared" si="9"/>
        <v>34.112617119985444</v>
      </c>
      <c r="X23" s="302">
        <f t="shared" si="18"/>
        <v>42060.60000000002</v>
      </c>
      <c r="Y23" s="299">
        <f t="shared" si="10"/>
        <v>872.59034894817682</v>
      </c>
      <c r="Z23" s="300">
        <f t="shared" si="11"/>
        <v>956.53142909124028</v>
      </c>
      <c r="AA23" s="302">
        <f>+[2]DailyOct!BO22</f>
        <v>0</v>
      </c>
      <c r="AB23" s="7">
        <f t="shared" si="19"/>
        <v>0</v>
      </c>
      <c r="AC23" s="6">
        <f t="shared" si="20"/>
        <v>0</v>
      </c>
    </row>
    <row r="24" spans="1:42">
      <c r="A24" s="294">
        <f t="shared" si="12"/>
        <v>45947</v>
      </c>
      <c r="B24" s="301">
        <f>+Report1!P25</f>
        <v>50.909000000000006</v>
      </c>
      <c r="C24" s="301">
        <f>+Report1!R25</f>
        <v>55.052999999999997</v>
      </c>
      <c r="D24" s="302">
        <f t="shared" si="13"/>
        <v>122152.84</v>
      </c>
      <c r="E24" s="302">
        <f>+[2]DailyOct!AZ23</f>
        <v>12969.379999999997</v>
      </c>
      <c r="F24" s="296">
        <f t="shared" si="0"/>
        <v>254.75613349309543</v>
      </c>
      <c r="G24" s="296">
        <f t="shared" si="1"/>
        <v>235.57989573683537</v>
      </c>
      <c r="H24" s="302">
        <f t="shared" si="14"/>
        <v>139017.83999999997</v>
      </c>
      <c r="I24" s="302">
        <f>+[2]DailyOct!BA23</f>
        <v>14529.38</v>
      </c>
      <c r="J24" s="296">
        <f t="shared" si="2"/>
        <v>285.39904535543809</v>
      </c>
      <c r="K24" s="296">
        <f t="shared" si="3"/>
        <v>263.91622618204275</v>
      </c>
      <c r="L24" s="302">
        <f t="shared" si="15"/>
        <v>97286.022400000293</v>
      </c>
      <c r="M24" s="302">
        <f>+[2]DailyOct!BB23</f>
        <v>15529.380000000001</v>
      </c>
      <c r="N24" s="302">
        <f t="shared" si="4"/>
        <v>305.04193757488849</v>
      </c>
      <c r="O24" s="497">
        <f t="shared" si="5"/>
        <v>282.08054056999623</v>
      </c>
      <c r="P24" s="302">
        <f t="shared" si="16"/>
        <v>0</v>
      </c>
      <c r="Q24" s="302"/>
      <c r="R24" s="302">
        <f t="shared" si="6"/>
        <v>0</v>
      </c>
      <c r="S24" s="399">
        <f t="shared" si="7"/>
        <v>0</v>
      </c>
      <c r="T24" s="302">
        <f t="shared" si="17"/>
        <v>7699.9999999998181</v>
      </c>
      <c r="U24" s="302">
        <f>+[2]DailyOct!BC23</f>
        <v>1500</v>
      </c>
      <c r="V24" s="302">
        <f t="shared" si="8"/>
        <v>29.464338329175586</v>
      </c>
      <c r="W24" s="399">
        <f t="shared" si="9"/>
        <v>27.246471581930141</v>
      </c>
      <c r="X24" s="302">
        <f t="shared" si="18"/>
        <v>44528.14</v>
      </c>
      <c r="Y24" s="299">
        <f t="shared" si="10"/>
        <v>874.66145475259771</v>
      </c>
      <c r="Z24" s="300">
        <f t="shared" si="11"/>
        <v>808.82313407080449</v>
      </c>
      <c r="AA24" s="302">
        <f>+[2]DailyOct!BO23</f>
        <v>0</v>
      </c>
      <c r="AB24" s="7">
        <f t="shared" si="19"/>
        <v>0</v>
      </c>
      <c r="AC24" s="6">
        <f t="shared" si="20"/>
        <v>0</v>
      </c>
      <c r="AF24" s="20" t="s">
        <v>3</v>
      </c>
      <c r="AG24" s="18" t="e">
        <f>+AG16+AG19+AG22</f>
        <v>#REF!</v>
      </c>
      <c r="AH24" s="18" t="e">
        <f>+AH16+AH19+AH22</f>
        <v>#REF!</v>
      </c>
    </row>
    <row r="25" spans="1:42">
      <c r="A25" s="294">
        <f t="shared" si="12"/>
        <v>45948</v>
      </c>
      <c r="B25" s="301">
        <f>+Report1!P26</f>
        <v>46.412999999999997</v>
      </c>
      <c r="C25" s="301">
        <f>+Report1!R26</f>
        <v>48.03</v>
      </c>
      <c r="D25" s="302">
        <f t="shared" si="13"/>
        <v>133506.83000000002</v>
      </c>
      <c r="E25" s="302">
        <f>+[2]DailyOct!AZ24</f>
        <v>11353.990000000013</v>
      </c>
      <c r="F25" s="296">
        <f t="shared" si="0"/>
        <v>244.62952190119177</v>
      </c>
      <c r="G25" s="296">
        <f t="shared" si="1"/>
        <v>236.39371226316911</v>
      </c>
      <c r="H25" s="302">
        <f t="shared" si="14"/>
        <v>157886.82999999996</v>
      </c>
      <c r="I25" s="302">
        <f>+[2]DailyOct!BA24</f>
        <v>18868.990000000002</v>
      </c>
      <c r="J25" s="296">
        <f t="shared" si="2"/>
        <v>406.54536444530635</v>
      </c>
      <c r="K25" s="296">
        <f t="shared" si="3"/>
        <v>392.85842181969605</v>
      </c>
      <c r="L25" s="302">
        <f t="shared" si="15"/>
        <v>112155.0124000003</v>
      </c>
      <c r="M25" s="302">
        <f>+[2]DailyOct!BB24</f>
        <v>14868.990000000002</v>
      </c>
      <c r="N25" s="302">
        <f t="shared" si="4"/>
        <v>320.36261392282341</v>
      </c>
      <c r="O25" s="497">
        <f t="shared" si="5"/>
        <v>309.57713928794504</v>
      </c>
      <c r="P25" s="302">
        <f t="shared" si="16"/>
        <v>0</v>
      </c>
      <c r="Q25" s="302"/>
      <c r="R25" s="302">
        <f t="shared" si="6"/>
        <v>0</v>
      </c>
      <c r="S25" s="399">
        <f t="shared" si="7"/>
        <v>0</v>
      </c>
      <c r="T25" s="302">
        <f t="shared" si="17"/>
        <v>9299.9999999999545</v>
      </c>
      <c r="U25" s="302">
        <f>+[2]DailyOct!BC24</f>
        <v>1600.0000000001364</v>
      </c>
      <c r="V25" s="302">
        <f t="shared" si="8"/>
        <v>34.473100208996115</v>
      </c>
      <c r="W25" s="399">
        <f t="shared" si="9"/>
        <v>33.312513012703235</v>
      </c>
      <c r="X25" s="302">
        <f t="shared" si="18"/>
        <v>46691.970000000154</v>
      </c>
      <c r="Y25" s="299">
        <f t="shared" si="10"/>
        <v>1006.0106004783177</v>
      </c>
      <c r="Z25" s="300">
        <f t="shared" si="11"/>
        <v>972.14178638351348</v>
      </c>
      <c r="AA25" s="302">
        <f>+[2]DailyOct!BO24</f>
        <v>0</v>
      </c>
      <c r="AB25" s="7">
        <f t="shared" si="19"/>
        <v>0</v>
      </c>
      <c r="AC25" s="6">
        <f t="shared" si="20"/>
        <v>0</v>
      </c>
    </row>
    <row r="26" spans="1:42">
      <c r="A26" s="294">
        <f t="shared" si="12"/>
        <v>45949</v>
      </c>
      <c r="B26" s="301">
        <f>+Report1!P27</f>
        <v>48.748999999999995</v>
      </c>
      <c r="C26" s="301">
        <f>+Report1!R27</f>
        <v>45.658000000000001</v>
      </c>
      <c r="D26" s="302">
        <f t="shared" si="13"/>
        <v>145525.12000000002</v>
      </c>
      <c r="E26" s="302">
        <f>+[2]DailyOct!AZ25</f>
        <v>12018.29000000001</v>
      </c>
      <c r="F26" s="296">
        <f t="shared" si="0"/>
        <v>246.53408275041562</v>
      </c>
      <c r="G26" s="296">
        <f t="shared" si="1"/>
        <v>263.22418853213037</v>
      </c>
      <c r="H26" s="302">
        <f t="shared" si="14"/>
        <v>167540.11999999997</v>
      </c>
      <c r="I26" s="302">
        <f>+[2]DailyOct!BA25</f>
        <v>9653.2900000000009</v>
      </c>
      <c r="J26" s="296">
        <f t="shared" si="2"/>
        <v>198.02026708240172</v>
      </c>
      <c r="K26" s="296">
        <f t="shared" si="3"/>
        <v>211.42603705812783</v>
      </c>
      <c r="L26" s="302">
        <f t="shared" si="15"/>
        <v>128308.30240000031</v>
      </c>
      <c r="M26" s="302">
        <f>+[2]DailyOct!BB25</f>
        <v>16153.29</v>
      </c>
      <c r="N26" s="302">
        <f t="shared" si="4"/>
        <v>331.35633551457471</v>
      </c>
      <c r="O26" s="497">
        <f t="shared" si="5"/>
        <v>353.78882123614704</v>
      </c>
      <c r="P26" s="302">
        <f t="shared" si="16"/>
        <v>0</v>
      </c>
      <c r="Q26" s="302"/>
      <c r="R26" s="302">
        <f t="shared" si="6"/>
        <v>0</v>
      </c>
      <c r="S26" s="399">
        <f t="shared" si="7"/>
        <v>0</v>
      </c>
      <c r="T26" s="302">
        <f t="shared" si="17"/>
        <v>10899.999999999864</v>
      </c>
      <c r="U26" s="302">
        <f>+[2]DailyOct!BC25</f>
        <v>1599.9999999999091</v>
      </c>
      <c r="V26" s="302">
        <f t="shared" si="8"/>
        <v>32.821186075609944</v>
      </c>
      <c r="W26" s="399">
        <f t="shared" si="9"/>
        <v>35.043146874587343</v>
      </c>
      <c r="X26" s="302">
        <f t="shared" si="18"/>
        <v>39424.869999999923</v>
      </c>
      <c r="Y26" s="299">
        <f t="shared" si="10"/>
        <v>808.73187142300208</v>
      </c>
      <c r="Z26" s="300">
        <f t="shared" si="11"/>
        <v>863.48219370099264</v>
      </c>
      <c r="AA26" s="302">
        <f>+[2]DailyOct!BO25</f>
        <v>0</v>
      </c>
      <c r="AB26" s="7">
        <f t="shared" si="19"/>
        <v>0</v>
      </c>
      <c r="AC26" s="6">
        <f t="shared" si="20"/>
        <v>0</v>
      </c>
      <c r="AF26" s="20" t="s">
        <v>194</v>
      </c>
      <c r="AH26" s="367" t="e">
        <f>+AH24/AG24-1</f>
        <v>#REF!</v>
      </c>
    </row>
    <row r="27" spans="1:42">
      <c r="A27" s="294">
        <f t="shared" si="12"/>
        <v>45950</v>
      </c>
      <c r="B27" s="301">
        <f>+Report1!P28</f>
        <v>49.451000000000008</v>
      </c>
      <c r="C27" s="301">
        <f>+Report1!R28</f>
        <v>48.939</v>
      </c>
      <c r="D27" s="302">
        <f t="shared" si="13"/>
        <v>156517.72999999998</v>
      </c>
      <c r="E27" s="302">
        <f>+[2]DailyOct!AZ26</f>
        <v>10992.609999999961</v>
      </c>
      <c r="F27" s="296">
        <f t="shared" si="0"/>
        <v>222.29297688620977</v>
      </c>
      <c r="G27" s="296">
        <f t="shared" si="1"/>
        <v>224.6186068370821</v>
      </c>
      <c r="H27" s="302">
        <f t="shared" si="14"/>
        <v>181112.72999999998</v>
      </c>
      <c r="I27" s="302">
        <f>+[2]DailyOct!BA26</f>
        <v>13572.61</v>
      </c>
      <c r="J27" s="296">
        <f t="shared" si="2"/>
        <v>274.46583486683784</v>
      </c>
      <c r="K27" s="296">
        <f t="shared" si="3"/>
        <v>277.33729745192994</v>
      </c>
      <c r="L27" s="302">
        <f t="shared" si="15"/>
        <v>142880.91240000032</v>
      </c>
      <c r="M27" s="302">
        <f>+[2]DailyOct!BB26</f>
        <v>14572.61</v>
      </c>
      <c r="N27" s="302">
        <f t="shared" si="4"/>
        <v>294.68787284382518</v>
      </c>
      <c r="O27" s="497">
        <f t="shared" si="5"/>
        <v>297.77089846543657</v>
      </c>
      <c r="P27" s="302">
        <f t="shared" si="16"/>
        <v>0</v>
      </c>
      <c r="Q27" s="302"/>
      <c r="R27" s="302">
        <f t="shared" si="6"/>
        <v>0</v>
      </c>
      <c r="S27" s="399">
        <f t="shared" si="7"/>
        <v>0</v>
      </c>
      <c r="T27" s="302">
        <f t="shared" si="17"/>
        <v>12299.999999999955</v>
      </c>
      <c r="U27" s="302">
        <f>+[2]DailyOct!BC26</f>
        <v>1400.0000000000909</v>
      </c>
      <c r="V27" s="302">
        <f t="shared" si="8"/>
        <v>28.310853167784085</v>
      </c>
      <c r="W27" s="399">
        <f t="shared" si="9"/>
        <v>28.607041418911113</v>
      </c>
      <c r="X27" s="302">
        <f t="shared" si="18"/>
        <v>40537.830000000045</v>
      </c>
      <c r="Y27" s="299">
        <f t="shared" si="10"/>
        <v>819.75753776465672</v>
      </c>
      <c r="Z27" s="300">
        <f t="shared" si="11"/>
        <v>828.33384417335958</v>
      </c>
      <c r="AA27" s="302">
        <f>+[2]DailyOct!BO26</f>
        <v>0</v>
      </c>
      <c r="AB27" s="7">
        <f t="shared" si="19"/>
        <v>0</v>
      </c>
      <c r="AC27" s="6">
        <f t="shared" si="20"/>
        <v>0</v>
      </c>
    </row>
    <row r="28" spans="1:42">
      <c r="A28" s="294">
        <f t="shared" si="12"/>
        <v>45951</v>
      </c>
      <c r="B28" s="301">
        <f>+Report1!P29</f>
        <v>40.53</v>
      </c>
      <c r="C28" s="301">
        <f>+Report1!R29</f>
        <v>38.347000000000001</v>
      </c>
      <c r="D28" s="302">
        <f t="shared" si="13"/>
        <v>167265.16</v>
      </c>
      <c r="E28" s="302">
        <f>+[2]DailyOct!AZ27</f>
        <v>10747.430000000011</v>
      </c>
      <c r="F28" s="296">
        <f t="shared" si="0"/>
        <v>265.17221811004219</v>
      </c>
      <c r="G28" s="296">
        <f t="shared" si="1"/>
        <v>280.26781756069602</v>
      </c>
      <c r="H28" s="302">
        <f t="shared" si="14"/>
        <v>198435.15999999997</v>
      </c>
      <c r="I28" s="302">
        <f>+[2]DailyOct!BA27</f>
        <v>17322.43</v>
      </c>
      <c r="J28" s="296">
        <f t="shared" si="2"/>
        <v>427.39773007648654</v>
      </c>
      <c r="K28" s="296">
        <f t="shared" si="3"/>
        <v>451.72842725636946</v>
      </c>
      <c r="L28" s="302">
        <f t="shared" si="15"/>
        <v>155203.34240000031</v>
      </c>
      <c r="M28" s="302">
        <f>+[2]DailyOct!BB27</f>
        <v>12322.43</v>
      </c>
      <c r="N28" s="302">
        <f t="shared" si="4"/>
        <v>304.03232173698495</v>
      </c>
      <c r="O28" s="497">
        <f t="shared" si="5"/>
        <v>321.34013090984951</v>
      </c>
      <c r="P28" s="302">
        <f t="shared" si="16"/>
        <v>0</v>
      </c>
      <c r="Q28" s="302"/>
      <c r="R28" s="302">
        <f t="shared" si="6"/>
        <v>0</v>
      </c>
      <c r="S28" s="399">
        <f t="shared" si="7"/>
        <v>0</v>
      </c>
      <c r="T28" s="302">
        <f t="shared" si="17"/>
        <v>13899.999999999864</v>
      </c>
      <c r="U28" s="302">
        <f>+[2]DailyOct!BC27</f>
        <v>1599.9999999999091</v>
      </c>
      <c r="V28" s="302">
        <f t="shared" si="8"/>
        <v>39.476930668638268</v>
      </c>
      <c r="W28" s="399">
        <f t="shared" si="9"/>
        <v>41.724254830884007</v>
      </c>
      <c r="X28" s="302">
        <f t="shared" si="18"/>
        <v>41992.289999999921</v>
      </c>
      <c r="Y28" s="299">
        <f t="shared" si="10"/>
        <v>1036.0792005921519</v>
      </c>
      <c r="Z28" s="300">
        <f t="shared" si="11"/>
        <v>1095.060630557799</v>
      </c>
      <c r="AA28" s="302">
        <f>+[2]DailyOct!BO27</f>
        <v>0</v>
      </c>
      <c r="AB28" s="7">
        <f t="shared" si="19"/>
        <v>0</v>
      </c>
      <c r="AC28" s="6">
        <f t="shared" si="20"/>
        <v>0</v>
      </c>
    </row>
    <row r="29" spans="1:42">
      <c r="A29" s="294">
        <f t="shared" si="12"/>
        <v>45952</v>
      </c>
      <c r="B29" s="301">
        <f>+Report1!P30</f>
        <v>40.959000000000003</v>
      </c>
      <c r="C29" s="301">
        <f>+Report1!R30</f>
        <v>37.927999999999997</v>
      </c>
      <c r="D29" s="302">
        <f t="shared" si="13"/>
        <v>178943.90000000002</v>
      </c>
      <c r="E29" s="302">
        <f>+[2]DailyOct!AZ28</f>
        <v>11678.740000000027</v>
      </c>
      <c r="F29" s="296">
        <f t="shared" si="0"/>
        <v>285.13244952269406</v>
      </c>
      <c r="G29" s="296">
        <f t="shared" si="1"/>
        <v>307.91868804049852</v>
      </c>
      <c r="H29" s="302">
        <f t="shared" si="14"/>
        <v>217643.89999999997</v>
      </c>
      <c r="I29" s="302">
        <f>+[2]DailyOct!BA28</f>
        <v>19208.740000000002</v>
      </c>
      <c r="J29" s="296">
        <f t="shared" si="2"/>
        <v>468.97482848702361</v>
      </c>
      <c r="K29" s="296">
        <f t="shared" si="3"/>
        <v>506.45275258384316</v>
      </c>
      <c r="L29" s="302">
        <f t="shared" si="15"/>
        <v>165912.0824000003</v>
      </c>
      <c r="M29" s="302">
        <f>+[2]DailyOct!BB28</f>
        <v>10708.739999999998</v>
      </c>
      <c r="N29" s="302">
        <f t="shared" si="4"/>
        <v>261.45023071852336</v>
      </c>
      <c r="O29" s="497">
        <f t="shared" si="5"/>
        <v>282.3439147859101</v>
      </c>
      <c r="P29" s="302">
        <f t="shared" si="16"/>
        <v>0</v>
      </c>
      <c r="Q29" s="302"/>
      <c r="R29" s="302">
        <f t="shared" si="6"/>
        <v>0</v>
      </c>
      <c r="S29" s="399">
        <f t="shared" si="7"/>
        <v>0</v>
      </c>
      <c r="T29" s="302">
        <f t="shared" si="17"/>
        <v>14699.999999999818</v>
      </c>
      <c r="U29" s="302">
        <f>+[2]DailyOct!BC28</f>
        <v>799.99999999995453</v>
      </c>
      <c r="V29" s="302">
        <f t="shared" si="8"/>
        <v>19.531726848798908</v>
      </c>
      <c r="W29" s="399">
        <f t="shared" si="9"/>
        <v>21.092596498627785</v>
      </c>
      <c r="X29" s="302">
        <f t="shared" si="18"/>
        <v>42396.219999999987</v>
      </c>
      <c r="Y29" s="299">
        <f t="shared" si="10"/>
        <v>1035.08923557704</v>
      </c>
      <c r="Z29" s="300">
        <f t="shared" si="11"/>
        <v>1117.8079519088797</v>
      </c>
      <c r="AA29" s="302">
        <f>+[2]DailyOct!BO28</f>
        <v>0</v>
      </c>
      <c r="AB29" s="7">
        <f t="shared" si="19"/>
        <v>0</v>
      </c>
      <c r="AC29" s="6">
        <f t="shared" si="20"/>
        <v>0</v>
      </c>
    </row>
    <row r="30" spans="1:42">
      <c r="A30" s="294">
        <f t="shared" si="12"/>
        <v>45953</v>
      </c>
      <c r="B30" s="301">
        <f>+Report1!P31</f>
        <v>48.402999999999999</v>
      </c>
      <c r="C30" s="301">
        <f>+Report1!R31</f>
        <v>42.213000000000001</v>
      </c>
      <c r="D30" s="302">
        <f t="shared" si="13"/>
        <v>191885.87</v>
      </c>
      <c r="E30" s="302">
        <f>+[2]DailyOct!AZ29</f>
        <v>12941.969999999965</v>
      </c>
      <c r="F30" s="296">
        <f t="shared" si="0"/>
        <v>267.37950127058167</v>
      </c>
      <c r="G30" s="296">
        <f t="shared" si="1"/>
        <v>306.58730722763045</v>
      </c>
      <c r="H30" s="302">
        <f t="shared" si="14"/>
        <v>237235.86999999997</v>
      </c>
      <c r="I30" s="302">
        <f>+[2]DailyOct!BA29</f>
        <v>19591.97</v>
      </c>
      <c r="J30" s="296">
        <f t="shared" si="2"/>
        <v>404.7676796892755</v>
      </c>
      <c r="K30" s="296">
        <f t="shared" si="3"/>
        <v>464.12171605903399</v>
      </c>
      <c r="L30" s="302">
        <f t="shared" si="15"/>
        <v>176504.05240000031</v>
      </c>
      <c r="M30" s="302">
        <f>+[2]DailyOct!BB29</f>
        <v>10591.969999999998</v>
      </c>
      <c r="N30" s="302">
        <f t="shared" si="4"/>
        <v>218.82879160382618</v>
      </c>
      <c r="O30" s="497">
        <f t="shared" si="5"/>
        <v>250.91725297894007</v>
      </c>
      <c r="P30" s="302">
        <f t="shared" si="16"/>
        <v>0</v>
      </c>
      <c r="Q30" s="302"/>
      <c r="R30" s="302">
        <f t="shared" si="6"/>
        <v>0</v>
      </c>
      <c r="S30" s="399">
        <f t="shared" si="7"/>
        <v>0</v>
      </c>
      <c r="T30" s="302">
        <f t="shared" si="17"/>
        <v>16000</v>
      </c>
      <c r="U30" s="302">
        <f>+[2]DailyOct!BC29</f>
        <v>1300.0000000001819</v>
      </c>
      <c r="V30" s="302">
        <f t="shared" si="8"/>
        <v>26.857839390124205</v>
      </c>
      <c r="W30" s="399">
        <f t="shared" si="9"/>
        <v>30.796200222684526</v>
      </c>
      <c r="X30" s="302">
        <f t="shared" si="18"/>
        <v>44425.910000000142</v>
      </c>
      <c r="Y30" s="299">
        <f t="shared" si="10"/>
        <v>917.83381195380741</v>
      </c>
      <c r="Z30" s="300">
        <f t="shared" si="11"/>
        <v>1052.422476488289</v>
      </c>
      <c r="AA30" s="302">
        <f>+[2]DailyOct!BO29</f>
        <v>0</v>
      </c>
      <c r="AB30" s="7">
        <f t="shared" si="19"/>
        <v>0</v>
      </c>
      <c r="AC30" s="6">
        <f t="shared" si="20"/>
        <v>0</v>
      </c>
    </row>
    <row r="31" spans="1:42">
      <c r="A31" s="294">
        <f t="shared" si="12"/>
        <v>45954</v>
      </c>
      <c r="B31" s="301">
        <f>+Report1!P32</f>
        <v>39.926000000000002</v>
      </c>
      <c r="C31" s="301">
        <f>+Report1!R32</f>
        <v>38.56</v>
      </c>
      <c r="D31" s="302">
        <f t="shared" si="13"/>
        <v>204148.60000000003</v>
      </c>
      <c r="E31" s="302">
        <f>+[2]DailyOct!AZ30</f>
        <v>12262.730000000034</v>
      </c>
      <c r="F31" s="296">
        <f t="shared" si="0"/>
        <v>307.13645243700932</v>
      </c>
      <c r="G31" s="296">
        <f t="shared" si="1"/>
        <v>318.0168568464739</v>
      </c>
      <c r="H31" s="302">
        <f t="shared" si="14"/>
        <v>256098.59999999998</v>
      </c>
      <c r="I31" s="302">
        <f>+[2]DailyOct!BA30</f>
        <v>18862.73</v>
      </c>
      <c r="J31" s="296">
        <f t="shared" si="2"/>
        <v>472.44226819616284</v>
      </c>
      <c r="K31" s="296">
        <f t="shared" si="3"/>
        <v>489.17868257261409</v>
      </c>
      <c r="L31" s="302">
        <f t="shared" si="15"/>
        <v>188366.78240000032</v>
      </c>
      <c r="M31" s="302">
        <f>+[2]DailyOct!BB30</f>
        <v>11862.73</v>
      </c>
      <c r="N31" s="302">
        <f t="shared" si="4"/>
        <v>297.11791814857486</v>
      </c>
      <c r="O31" s="497">
        <f t="shared" si="5"/>
        <v>307.64341286307052</v>
      </c>
      <c r="P31" s="302">
        <f t="shared" si="16"/>
        <v>0</v>
      </c>
      <c r="Q31" s="302"/>
      <c r="R31" s="302">
        <f t="shared" si="6"/>
        <v>0</v>
      </c>
      <c r="S31" s="399">
        <f t="shared" si="7"/>
        <v>0</v>
      </c>
      <c r="T31" s="302">
        <f t="shared" si="17"/>
        <v>18000</v>
      </c>
      <c r="U31" s="302">
        <f>+[2]DailyOct!BC30</f>
        <v>2000</v>
      </c>
      <c r="V31" s="302">
        <f t="shared" si="8"/>
        <v>50.092671442168012</v>
      </c>
      <c r="W31" s="399">
        <f t="shared" si="9"/>
        <v>51.867219917012449</v>
      </c>
      <c r="X31" s="302">
        <f t="shared" si="18"/>
        <v>44988.190000000031</v>
      </c>
      <c r="Y31" s="299">
        <f t="shared" si="10"/>
        <v>1126.789310223915</v>
      </c>
      <c r="Z31" s="300">
        <f t="shared" si="11"/>
        <v>1166.7061721991709</v>
      </c>
      <c r="AA31" s="302">
        <f>+[2]DailyOct!BO30</f>
        <v>0</v>
      </c>
      <c r="AB31" s="7">
        <f t="shared" si="19"/>
        <v>0</v>
      </c>
      <c r="AC31" s="6">
        <f t="shared" si="20"/>
        <v>0</v>
      </c>
    </row>
    <row r="32" spans="1:42">
      <c r="A32" s="294">
        <f t="shared" si="12"/>
        <v>45955</v>
      </c>
      <c r="B32" s="301">
        <f>+Report1!P33</f>
        <v>30.018000000000001</v>
      </c>
      <c r="C32" s="301">
        <f>+Report1!R33</f>
        <v>23.135000000000002</v>
      </c>
      <c r="D32" s="302">
        <f t="shared" si="13"/>
        <v>215843.92</v>
      </c>
      <c r="E32" s="302">
        <f>+[2]DailyOct!AZ31</f>
        <v>11695.319999999989</v>
      </c>
      <c r="F32" s="296">
        <f t="shared" si="0"/>
        <v>389.61023385968383</v>
      </c>
      <c r="G32" s="296">
        <f t="shared" si="1"/>
        <v>505.52496217851689</v>
      </c>
      <c r="H32" s="302">
        <f t="shared" si="14"/>
        <v>274343.92</v>
      </c>
      <c r="I32" s="302">
        <f>+[2]DailyOct!BA31</f>
        <v>18245.32</v>
      </c>
      <c r="J32" s="296">
        <f t="shared" si="2"/>
        <v>607.81264574588579</v>
      </c>
      <c r="K32" s="296">
        <f t="shared" si="3"/>
        <v>788.64577480008643</v>
      </c>
      <c r="L32" s="302">
        <f t="shared" si="15"/>
        <v>199112.10240000032</v>
      </c>
      <c r="M32" s="302">
        <f>+[2]DailyOct!BB31</f>
        <v>10745.32</v>
      </c>
      <c r="N32" s="302">
        <f t="shared" si="4"/>
        <v>357.96255579985342</v>
      </c>
      <c r="O32" s="497">
        <f t="shared" si="5"/>
        <v>464.46163821050351</v>
      </c>
      <c r="P32" s="302">
        <f t="shared" si="16"/>
        <v>0</v>
      </c>
      <c r="Q32" s="302"/>
      <c r="R32" s="302">
        <f t="shared" si="6"/>
        <v>0</v>
      </c>
      <c r="S32" s="399">
        <f t="shared" si="7"/>
        <v>0</v>
      </c>
      <c r="T32" s="302">
        <f t="shared" si="17"/>
        <v>20000</v>
      </c>
      <c r="U32" s="302">
        <f>+[2]DailyOct!BC31</f>
        <v>2000</v>
      </c>
      <c r="V32" s="302">
        <f t="shared" si="8"/>
        <v>66.6266906522753</v>
      </c>
      <c r="W32" s="399">
        <f t="shared" si="9"/>
        <v>86.449103090555425</v>
      </c>
      <c r="X32" s="302">
        <f t="shared" si="18"/>
        <v>42685.959999999992</v>
      </c>
      <c r="Y32" s="299">
        <f t="shared" si="10"/>
        <v>1422.0121260576984</v>
      </c>
      <c r="Z32" s="300">
        <f t="shared" si="11"/>
        <v>1845.0814782796624</v>
      </c>
      <c r="AA32" s="302">
        <f>+[2]DailyOct!BO31</f>
        <v>0</v>
      </c>
      <c r="AB32" s="7">
        <f t="shared" si="19"/>
        <v>0</v>
      </c>
      <c r="AC32" s="6">
        <f t="shared" si="20"/>
        <v>0</v>
      </c>
    </row>
    <row r="33" spans="1:29">
      <c r="A33" s="294">
        <f t="shared" si="12"/>
        <v>45956</v>
      </c>
      <c r="B33" s="301">
        <f>+Report1!P34</f>
        <v>35.652999999999999</v>
      </c>
      <c r="C33" s="301">
        <f>+Report1!R34</f>
        <v>24.103000000000002</v>
      </c>
      <c r="D33" s="302">
        <f t="shared" si="13"/>
        <v>226014.03000000003</v>
      </c>
      <c r="E33" s="302">
        <f>+[2]DailyOct!AZ32</f>
        <v>10170.110000000011</v>
      </c>
      <c r="F33" s="296">
        <f t="shared" si="0"/>
        <v>285.25257341598217</v>
      </c>
      <c r="G33" s="296">
        <f t="shared" si="1"/>
        <v>421.94374144297433</v>
      </c>
      <c r="H33" s="302">
        <f t="shared" si="14"/>
        <v>285464.02999999997</v>
      </c>
      <c r="I33" s="302">
        <f>+[2]DailyOct!BA32</f>
        <v>11120.11</v>
      </c>
      <c r="J33" s="296">
        <f t="shared" si="2"/>
        <v>311.89829747847307</v>
      </c>
      <c r="K33" s="296">
        <f t="shared" si="3"/>
        <v>461.35792225034226</v>
      </c>
      <c r="L33" s="302">
        <f t="shared" si="15"/>
        <v>208732.21240000031</v>
      </c>
      <c r="M33" s="302">
        <f>+[2]DailyOct!BB32</f>
        <v>9620.11</v>
      </c>
      <c r="N33" s="302">
        <f t="shared" si="4"/>
        <v>269.82610159032902</v>
      </c>
      <c r="O33" s="497">
        <f t="shared" si="5"/>
        <v>399.12500518607641</v>
      </c>
      <c r="P33" s="302">
        <f t="shared" si="16"/>
        <v>0</v>
      </c>
      <c r="Q33" s="302"/>
      <c r="R33" s="302">
        <f t="shared" si="6"/>
        <v>0</v>
      </c>
      <c r="S33" s="399">
        <f t="shared" si="7"/>
        <v>0</v>
      </c>
      <c r="T33" s="302">
        <f t="shared" si="17"/>
        <v>22000</v>
      </c>
      <c r="U33" s="302">
        <f>+[2]DailyOct!BC32</f>
        <v>2000</v>
      </c>
      <c r="V33" s="302">
        <f t="shared" si="8"/>
        <v>56.096261184192073</v>
      </c>
      <c r="W33" s="399">
        <f t="shared" si="9"/>
        <v>82.977222752354479</v>
      </c>
      <c r="X33" s="302">
        <f t="shared" si="18"/>
        <v>32910.330000000016</v>
      </c>
      <c r="Y33" s="299">
        <f t="shared" si="10"/>
        <v>923.0732336689764</v>
      </c>
      <c r="Z33" s="300">
        <f t="shared" si="11"/>
        <v>1365.4038916317477</v>
      </c>
      <c r="AA33" s="302">
        <f>+[2]DailyOct!BO32</f>
        <v>0</v>
      </c>
      <c r="AB33" s="7">
        <f t="shared" si="19"/>
        <v>0</v>
      </c>
      <c r="AC33" s="6">
        <f t="shared" si="20"/>
        <v>0</v>
      </c>
    </row>
    <row r="34" spans="1:29">
      <c r="A34" s="294">
        <f t="shared" si="12"/>
        <v>45957</v>
      </c>
      <c r="B34" s="301">
        <f>+Report1!P35</f>
        <v>33.917999999999999</v>
      </c>
      <c r="C34" s="301">
        <f>+Report1!R35</f>
        <v>27.523</v>
      </c>
      <c r="D34" s="302">
        <f t="shared" si="13"/>
        <v>235019.94</v>
      </c>
      <c r="E34" s="302">
        <f>+[2]DailyOct!AZ33</f>
        <v>9005.9099999999653</v>
      </c>
      <c r="F34" s="296">
        <f t="shared" si="0"/>
        <v>265.520077834777</v>
      </c>
      <c r="G34" s="296">
        <f t="shared" si="1"/>
        <v>327.2139665007436</v>
      </c>
      <c r="H34" s="302">
        <f t="shared" si="14"/>
        <v>301119.93999999994</v>
      </c>
      <c r="I34" s="302">
        <f>+[2]DailyOct!BA33</f>
        <v>15655.91</v>
      </c>
      <c r="J34" s="296">
        <f t="shared" si="2"/>
        <v>461.58116634235512</v>
      </c>
      <c r="K34" s="296">
        <f t="shared" si="3"/>
        <v>568.83006939650477</v>
      </c>
      <c r="L34" s="302">
        <f t="shared" si="15"/>
        <v>218888.12240000031</v>
      </c>
      <c r="M34" s="302">
        <f>+[2]DailyOct!BB33</f>
        <v>10155.91</v>
      </c>
      <c r="N34" s="302">
        <f t="shared" si="4"/>
        <v>299.42537885488531</v>
      </c>
      <c r="O34" s="497">
        <f t="shared" si="5"/>
        <v>368.99720233986119</v>
      </c>
      <c r="P34" s="302">
        <f t="shared" si="16"/>
        <v>0</v>
      </c>
      <c r="Q34" s="302"/>
      <c r="R34" s="302">
        <f t="shared" si="6"/>
        <v>0</v>
      </c>
      <c r="S34" s="399">
        <f t="shared" si="7"/>
        <v>0</v>
      </c>
      <c r="T34" s="302">
        <f t="shared" si="17"/>
        <v>23969.999999999862</v>
      </c>
      <c r="U34" s="302">
        <f>+[2]DailyOct!BC33</f>
        <v>1969.9999999998636</v>
      </c>
      <c r="V34" s="302">
        <f t="shared" si="8"/>
        <v>58.081254790962426</v>
      </c>
      <c r="W34" s="399">
        <f t="shared" si="9"/>
        <v>71.576499654829178</v>
      </c>
      <c r="X34" s="302">
        <f t="shared" si="18"/>
        <v>36787.729999999829</v>
      </c>
      <c r="Y34" s="299">
        <f t="shared" si="10"/>
        <v>1084.6078778229798</v>
      </c>
      <c r="Z34" s="300">
        <f t="shared" si="11"/>
        <v>1336.6177378919388</v>
      </c>
      <c r="AA34" s="302">
        <f>+[2]DailyOct!BO33</f>
        <v>0</v>
      </c>
      <c r="AB34" s="7">
        <f t="shared" si="19"/>
        <v>0</v>
      </c>
      <c r="AC34" s="6">
        <f t="shared" si="20"/>
        <v>0</v>
      </c>
    </row>
    <row r="35" spans="1:29">
      <c r="A35" s="294">
        <f t="shared" si="12"/>
        <v>45958</v>
      </c>
      <c r="B35" s="301">
        <f>+Report1!P36</f>
        <v>44.515000000000001</v>
      </c>
      <c r="C35" s="301">
        <f>+Report1!R36</f>
        <v>50.752000000000002</v>
      </c>
      <c r="D35" s="302">
        <f t="shared" si="13"/>
        <v>246314.33000000005</v>
      </c>
      <c r="E35" s="302">
        <f>+[2]DailyOct!AZ34</f>
        <v>11294.390000000038</v>
      </c>
      <c r="F35" s="296">
        <f t="shared" si="0"/>
        <v>253.72099292373443</v>
      </c>
      <c r="G35" s="296">
        <f t="shared" si="1"/>
        <v>222.54078656998811</v>
      </c>
      <c r="H35" s="302">
        <f t="shared" si="14"/>
        <v>318894.32999999996</v>
      </c>
      <c r="I35" s="302">
        <f>+[2]DailyOct!BA34</f>
        <v>17774.39</v>
      </c>
      <c r="J35" s="296">
        <f t="shared" si="2"/>
        <v>399.28990228013026</v>
      </c>
      <c r="K35" s="296">
        <f t="shared" si="3"/>
        <v>350.22048392181586</v>
      </c>
      <c r="L35" s="302">
        <f t="shared" si="15"/>
        <v>229162.5124000003</v>
      </c>
      <c r="M35" s="302">
        <f>+[2]DailyOct!BB34</f>
        <v>10274.39</v>
      </c>
      <c r="N35" s="302">
        <f t="shared" si="4"/>
        <v>230.80736830281927</v>
      </c>
      <c r="O35" s="497">
        <f t="shared" si="5"/>
        <v>202.44305643127362</v>
      </c>
      <c r="P35" s="302">
        <f t="shared" si="16"/>
        <v>0</v>
      </c>
      <c r="Q35" s="302"/>
      <c r="R35" s="302">
        <f t="shared" si="6"/>
        <v>0</v>
      </c>
      <c r="S35" s="399">
        <f t="shared" si="7"/>
        <v>0</v>
      </c>
      <c r="T35" s="302">
        <f t="shared" si="17"/>
        <v>25839.999999999818</v>
      </c>
      <c r="U35" s="302">
        <f>+[2]DailyOct!BC34</f>
        <v>1869.9999999999545</v>
      </c>
      <c r="V35" s="302">
        <f t="shared" si="8"/>
        <v>42.008311805008525</v>
      </c>
      <c r="W35" s="399">
        <f t="shared" si="9"/>
        <v>36.845838587640969</v>
      </c>
      <c r="X35" s="302">
        <f t="shared" si="18"/>
        <v>41213.169999999991</v>
      </c>
      <c r="Y35" s="299">
        <f t="shared" si="10"/>
        <v>925.82657531169252</v>
      </c>
      <c r="Z35" s="300">
        <f t="shared" si="11"/>
        <v>812.05016551071856</v>
      </c>
      <c r="AA35" s="302">
        <f>+[2]DailyOct!BO34</f>
        <v>0</v>
      </c>
      <c r="AB35" s="7">
        <f t="shared" si="19"/>
        <v>0</v>
      </c>
      <c r="AC35" s="6">
        <f t="shared" si="20"/>
        <v>0</v>
      </c>
    </row>
    <row r="36" spans="1:29">
      <c r="A36" s="294">
        <f t="shared" si="12"/>
        <v>45959</v>
      </c>
      <c r="B36" s="301">
        <f>+Report1!P37</f>
        <v>46.292000000000002</v>
      </c>
      <c r="C36" s="301">
        <f>+Report1!R37</f>
        <v>41.235999999999997</v>
      </c>
      <c r="D36" s="302">
        <f t="shared" si="13"/>
        <v>257153.91000000003</v>
      </c>
      <c r="E36" s="302">
        <f>+[2]DailyOct!AZ35</f>
        <v>10839.580000000002</v>
      </c>
      <c r="F36" s="296">
        <f t="shared" si="0"/>
        <v>234.15665773783809</v>
      </c>
      <c r="G36" s="296">
        <f t="shared" si="1"/>
        <v>262.86691240663504</v>
      </c>
      <c r="H36" s="302">
        <f t="shared" si="14"/>
        <v>338423.91</v>
      </c>
      <c r="I36" s="302">
        <f>+[2]DailyOct!BA35</f>
        <v>19529.580000000002</v>
      </c>
      <c r="J36" s="296">
        <f t="shared" si="2"/>
        <v>421.87807828566491</v>
      </c>
      <c r="K36" s="296">
        <f t="shared" si="3"/>
        <v>473.60510233776319</v>
      </c>
      <c r="L36" s="302">
        <f t="shared" si="15"/>
        <v>241192.09240000029</v>
      </c>
      <c r="M36" s="302">
        <f>+[2]DailyOct!BB35</f>
        <v>12029.579999999998</v>
      </c>
      <c r="N36" s="302">
        <f t="shared" si="4"/>
        <v>259.86304329041729</v>
      </c>
      <c r="O36" s="497">
        <f t="shared" si="5"/>
        <v>291.72519158017263</v>
      </c>
      <c r="P36" s="302">
        <f t="shared" si="16"/>
        <v>0</v>
      </c>
      <c r="Q36" s="302"/>
      <c r="R36" s="302">
        <f t="shared" si="6"/>
        <v>0</v>
      </c>
      <c r="S36" s="399">
        <f t="shared" si="7"/>
        <v>0</v>
      </c>
      <c r="T36" s="302">
        <f t="shared" si="17"/>
        <v>27604.999999999862</v>
      </c>
      <c r="U36" s="302">
        <f>+[2]DailyOct!BC35</f>
        <v>1765.0000000000455</v>
      </c>
      <c r="V36" s="302">
        <f t="shared" si="8"/>
        <v>38.127538235549238</v>
      </c>
      <c r="W36" s="399">
        <f t="shared" si="9"/>
        <v>42.802405664954058</v>
      </c>
      <c r="X36" s="302">
        <f t="shared" si="18"/>
        <v>44163.740000000049</v>
      </c>
      <c r="Y36" s="299">
        <f t="shared" si="10"/>
        <v>954.02531754946961</v>
      </c>
      <c r="Z36" s="300">
        <f t="shared" si="11"/>
        <v>1070.999611989525</v>
      </c>
      <c r="AA36" s="302">
        <f>+[2]DailyOct!BO35</f>
        <v>0</v>
      </c>
      <c r="AB36" s="7">
        <f t="shared" si="19"/>
        <v>0</v>
      </c>
      <c r="AC36" s="6">
        <f t="shared" si="20"/>
        <v>0</v>
      </c>
    </row>
    <row r="37" spans="1:29">
      <c r="A37" s="294">
        <f t="shared" si="12"/>
        <v>45960</v>
      </c>
      <c r="B37" s="301">
        <f>+Report1!P38</f>
        <v>47.581000000000003</v>
      </c>
      <c r="C37" s="301">
        <f>+Report1!R38</f>
        <v>38.847999999999999</v>
      </c>
      <c r="D37" s="302">
        <f t="shared" si="13"/>
        <v>268604.21000000002</v>
      </c>
      <c r="E37" s="302">
        <f>+[2]DailyOct!AZ36</f>
        <v>11450.300000000003</v>
      </c>
      <c r="F37" s="296">
        <f t="shared" si="0"/>
        <v>240.64857821399303</v>
      </c>
      <c r="G37" s="296">
        <f t="shared" si="1"/>
        <v>294.746190280066</v>
      </c>
      <c r="H37" s="302">
        <f t="shared" si="14"/>
        <v>356629.20999999996</v>
      </c>
      <c r="I37" s="302">
        <f>+[2]DailyOct!BA36</f>
        <v>18205.3</v>
      </c>
      <c r="J37" s="296">
        <f t="shared" si="2"/>
        <v>382.61701099178242</v>
      </c>
      <c r="K37" s="296">
        <f t="shared" si="3"/>
        <v>468.62901565074134</v>
      </c>
      <c r="L37" s="302">
        <f t="shared" si="15"/>
        <v>248515.27240000028</v>
      </c>
      <c r="M37" s="302">
        <f>+[2]DailyOct!BB36</f>
        <v>7323.1800000000012</v>
      </c>
      <c r="N37" s="302">
        <f t="shared" si="4"/>
        <v>153.9097538933608</v>
      </c>
      <c r="O37" s="497">
        <f t="shared" si="5"/>
        <v>188.50854612850085</v>
      </c>
      <c r="P37" s="302">
        <f t="shared" si="16"/>
        <v>0</v>
      </c>
      <c r="Q37" s="302"/>
      <c r="R37" s="302">
        <f t="shared" si="6"/>
        <v>0</v>
      </c>
      <c r="S37" s="399">
        <f t="shared" si="7"/>
        <v>0</v>
      </c>
      <c r="T37" s="302">
        <f t="shared" si="17"/>
        <v>28419.999999999905</v>
      </c>
      <c r="U37" s="302">
        <f>+[2]DailyOct!BC36</f>
        <v>815.00000000004547</v>
      </c>
      <c r="V37" s="302">
        <f t="shared" si="8"/>
        <v>17.128685819971111</v>
      </c>
      <c r="W37" s="399">
        <f t="shared" si="9"/>
        <v>20.979200988469046</v>
      </c>
      <c r="X37" s="302">
        <f t="shared" si="18"/>
        <v>37793.78000000005</v>
      </c>
      <c r="Y37" s="299">
        <f t="shared" si="10"/>
        <v>794.3040289191074</v>
      </c>
      <c r="Z37" s="300">
        <f t="shared" si="11"/>
        <v>972.8629530477773</v>
      </c>
      <c r="AA37" s="302">
        <f>+[2]DailyOct!BO36</f>
        <v>9973.7999999999884</v>
      </c>
      <c r="AB37" s="7">
        <f t="shared" si="19"/>
        <v>209.6172842100836</v>
      </c>
      <c r="AC37" s="6">
        <f t="shared" si="20"/>
        <v>256.73908566721553</v>
      </c>
    </row>
    <row r="38" spans="1:29">
      <c r="A38" s="294">
        <f t="shared" si="12"/>
        <v>45961</v>
      </c>
      <c r="B38" s="301">
        <f>+Report1!P39</f>
        <v>39.597000000000001</v>
      </c>
      <c r="C38" s="301">
        <f>+Report1!R39</f>
        <v>39.340000000000003</v>
      </c>
      <c r="D38" s="302">
        <f t="shared" si="13"/>
        <v>278394.2</v>
      </c>
      <c r="E38" s="302">
        <f>+[2]DailyOct!AZ37</f>
        <v>9789.9899999999943</v>
      </c>
      <c r="F38" s="296">
        <f t="shared" si="0"/>
        <v>247.24070005303417</v>
      </c>
      <c r="G38" s="296">
        <f t="shared" si="1"/>
        <v>248.85587188612084</v>
      </c>
      <c r="H38" s="302">
        <f t="shared" si="14"/>
        <v>372164.19999999995</v>
      </c>
      <c r="I38" s="302">
        <f>+[2]DailyOct!BA37</f>
        <v>15534.99</v>
      </c>
      <c r="J38" s="297">
        <f t="shared" si="2"/>
        <v>392.32744904917035</v>
      </c>
      <c r="K38" s="297">
        <f t="shared" si="3"/>
        <v>394.89044229791557</v>
      </c>
      <c r="L38" s="302">
        <f t="shared" si="15"/>
        <v>248515.27240000028</v>
      </c>
      <c r="M38" s="302">
        <f>+[2]DailyOct!BB37</f>
        <v>0</v>
      </c>
      <c r="N38" s="302">
        <f t="shared" si="4"/>
        <v>0</v>
      </c>
      <c r="O38" s="497">
        <f t="shared" si="5"/>
        <v>0</v>
      </c>
      <c r="P38" s="302">
        <f t="shared" si="16"/>
        <v>0</v>
      </c>
      <c r="Q38" s="302"/>
      <c r="R38" s="302">
        <f t="shared" si="6"/>
        <v>0</v>
      </c>
      <c r="S38" s="399">
        <f t="shared" si="7"/>
        <v>0</v>
      </c>
      <c r="T38" s="302">
        <f t="shared" si="17"/>
        <v>28534.999999999905</v>
      </c>
      <c r="U38" s="302">
        <f>+[2]DailyOct!BC37</f>
        <v>115</v>
      </c>
      <c r="V38" s="302">
        <f t="shared" si="8"/>
        <v>2.9042604237694776</v>
      </c>
      <c r="W38" s="399">
        <f t="shared" si="9"/>
        <v>2.9232333502796135</v>
      </c>
      <c r="X38" s="302">
        <f t="shared" si="18"/>
        <v>25439.979999999996</v>
      </c>
      <c r="Y38" s="299">
        <f t="shared" si="10"/>
        <v>642.47240952597406</v>
      </c>
      <c r="Z38" s="300">
        <f t="shared" si="11"/>
        <v>646.66954753431605</v>
      </c>
      <c r="AA38" s="302">
        <f>+[2]DailyOct!BO37</f>
        <v>19339.2</v>
      </c>
      <c r="AB38" s="7">
        <f t="shared" si="19"/>
        <v>488.4006364118494</v>
      </c>
      <c r="AC38" s="6">
        <f t="shared" si="20"/>
        <v>491.5912557193696</v>
      </c>
    </row>
    <row r="39" spans="1:29">
      <c r="A39" s="294"/>
      <c r="B39" s="301"/>
      <c r="C39" s="301"/>
      <c r="D39" s="292"/>
      <c r="E39" s="302"/>
      <c r="F39" s="296"/>
      <c r="G39" s="296"/>
      <c r="H39" s="293"/>
      <c r="I39" s="302"/>
      <c r="J39" s="297"/>
      <c r="K39" s="297"/>
      <c r="L39" s="302"/>
      <c r="M39" s="302"/>
      <c r="N39" s="302"/>
      <c r="O39" s="302"/>
      <c r="P39" s="302"/>
      <c r="Q39" s="302"/>
      <c r="R39" s="302"/>
      <c r="S39" s="302"/>
      <c r="T39" s="302"/>
      <c r="U39" s="302"/>
      <c r="V39" s="302"/>
      <c r="W39" s="302"/>
      <c r="X39" s="302"/>
      <c r="Y39" s="299"/>
      <c r="Z39" s="300"/>
      <c r="AA39" s="298"/>
      <c r="AB39" s="299"/>
      <c r="AC39" s="300"/>
    </row>
    <row r="40" spans="1:29">
      <c r="A40" s="303" t="s">
        <v>28</v>
      </c>
      <c r="B40" s="304">
        <f>SUM(B8:B38)</f>
        <v>979.25900000000013</v>
      </c>
      <c r="C40" s="304">
        <f>SUM(C8:C38)</f>
        <v>904.63799999999992</v>
      </c>
      <c r="D40" s="306"/>
      <c r="E40" s="302">
        <f>SUM(E8:E39)</f>
        <v>278394.2</v>
      </c>
      <c r="F40" s="305">
        <f>E40/B40</f>
        <v>284.29067284548825</v>
      </c>
      <c r="G40" s="549">
        <f>E40/C40</f>
        <v>307.74099695126671</v>
      </c>
      <c r="H40" s="307"/>
      <c r="I40" s="302">
        <f>SUM(I8:I39)</f>
        <v>372164.19999999995</v>
      </c>
      <c r="J40" s="305">
        <f>I40/B40</f>
        <v>380.04674963416204</v>
      </c>
      <c r="K40" s="549">
        <f>I40/C40</f>
        <v>411.39571850839781</v>
      </c>
      <c r="L40" s="309"/>
      <c r="M40" s="302">
        <f>SUM(M8:M39)</f>
        <v>248515.27240000028</v>
      </c>
      <c r="N40" s="498">
        <f>M40/B40</f>
        <v>253.778900576865</v>
      </c>
      <c r="O40" s="549">
        <f>M40/C40</f>
        <v>274.71239589758591</v>
      </c>
      <c r="P40" s="309"/>
      <c r="Q40" s="308">
        <f>SUM(Q8:Q38)</f>
        <v>0</v>
      </c>
      <c r="R40" s="305">
        <f>Q40/B40</f>
        <v>0</v>
      </c>
      <c r="S40" s="305">
        <f>Q40/C40</f>
        <v>0</v>
      </c>
      <c r="T40" s="309"/>
      <c r="U40" s="302">
        <f>SUM(U8:U39)</f>
        <v>28534.999999999905</v>
      </c>
      <c r="V40" s="305">
        <f>U40/B40</f>
        <v>29.139379878050548</v>
      </c>
      <c r="W40" s="549">
        <f>U40/C40</f>
        <v>31.543003941908154</v>
      </c>
      <c r="X40" s="302">
        <f>+E40+I40+M40+U40</f>
        <v>927608.67240000004</v>
      </c>
      <c r="Y40" s="498">
        <f>X40/B40</f>
        <v>947.25570293456576</v>
      </c>
      <c r="Z40" s="550">
        <f>X40/C40</f>
        <v>1025.3921152991584</v>
      </c>
      <c r="AA40" s="298">
        <f>SUM(AA8:AA38)</f>
        <v>29312.999999999989</v>
      </c>
      <c r="AB40" s="7">
        <f>AA40/B40</f>
        <v>29.933858151929147</v>
      </c>
      <c r="AC40" s="7">
        <f>AA40/C40</f>
        <v>32.403016455200856</v>
      </c>
    </row>
    <row r="42" spans="1:29">
      <c r="X42" s="5">
        <v>0</v>
      </c>
      <c r="AA42" s="5">
        <v>0</v>
      </c>
    </row>
    <row r="44" spans="1:29">
      <c r="D44" s="310"/>
    </row>
  </sheetData>
  <mergeCells count="12">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topLeftCell="A57" workbookViewId="0">
      <selection activeCell="G88" sqref="G88"/>
    </sheetView>
  </sheetViews>
  <sheetFormatPr defaultRowHeight="12.75"/>
  <cols>
    <col min="1" max="1" width="10.140625" bestFit="1" customWidth="1"/>
    <col min="2" max="2" width="12.85546875" customWidth="1"/>
    <col min="4" max="4" width="22.28515625" customWidth="1"/>
  </cols>
  <sheetData>
    <row r="1" spans="1:9">
      <c r="A1" s="551" t="s">
        <v>233</v>
      </c>
      <c r="B1" s="552">
        <f>+Report1!A9</f>
        <v>45931</v>
      </c>
      <c r="C1" s="96"/>
      <c r="G1" s="97"/>
      <c r="H1" s="98"/>
    </row>
    <row r="2" spans="1:9" ht="13.5" thickBot="1">
      <c r="A2" s="95"/>
      <c r="B2" s="96"/>
      <c r="C2" s="96"/>
      <c r="G2" s="97"/>
      <c r="H2" s="98"/>
    </row>
    <row r="3" spans="1:9" ht="26.25" thickBot="1">
      <c r="A3" s="364" t="s">
        <v>131</v>
      </c>
      <c r="B3" s="539" t="s">
        <v>9</v>
      </c>
      <c r="C3" s="539" t="s">
        <v>104</v>
      </c>
      <c r="D3" s="539" t="s">
        <v>132</v>
      </c>
      <c r="E3" s="539" t="s">
        <v>133</v>
      </c>
      <c r="F3" s="539" t="s">
        <v>134</v>
      </c>
      <c r="G3" s="540" t="s">
        <v>135</v>
      </c>
      <c r="H3" s="541" t="s">
        <v>136</v>
      </c>
      <c r="I3" s="595" t="s">
        <v>405</v>
      </c>
    </row>
    <row r="4" spans="1:9">
      <c r="A4" s="318">
        <f>+B1</f>
        <v>45931</v>
      </c>
      <c r="B4" s="495" t="s">
        <v>424</v>
      </c>
      <c r="C4" s="535">
        <v>2</v>
      </c>
      <c r="D4" s="536" t="s">
        <v>425</v>
      </c>
      <c r="E4" s="536">
        <f>256.5*1</f>
        <v>256.5</v>
      </c>
      <c r="F4" s="537">
        <v>4</v>
      </c>
      <c r="G4" s="538">
        <f>+E4*F4</f>
        <v>1026</v>
      </c>
      <c r="H4" s="496">
        <f>+E4</f>
        <v>256.5</v>
      </c>
      <c r="I4" s="496">
        <f>+'1'!I38</f>
        <v>0</v>
      </c>
    </row>
    <row r="5" spans="1:9" ht="13.5" thickBot="1">
      <c r="A5" s="352"/>
      <c r="B5" s="368"/>
      <c r="C5" s="353"/>
      <c r="D5" s="354"/>
      <c r="E5" s="353"/>
      <c r="F5" s="353"/>
      <c r="G5" s="353"/>
      <c r="H5" s="369"/>
      <c r="I5" s="369"/>
    </row>
    <row r="6" spans="1:9">
      <c r="A6" s="318">
        <v>45932</v>
      </c>
      <c r="B6" s="495" t="s">
        <v>424</v>
      </c>
      <c r="C6" s="535">
        <v>2</v>
      </c>
      <c r="D6" s="536" t="s">
        <v>425</v>
      </c>
      <c r="E6" s="536">
        <f>256.5*1</f>
        <v>256.5</v>
      </c>
      <c r="F6" s="537">
        <v>0</v>
      </c>
      <c r="G6" s="538">
        <f>+E6*F6</f>
        <v>0</v>
      </c>
      <c r="H6" s="496">
        <f>+E6</f>
        <v>256.5</v>
      </c>
      <c r="I6" s="496">
        <f>+'2'!I38</f>
        <v>0</v>
      </c>
    </row>
    <row r="7" spans="1:9" ht="13.5" thickBot="1">
      <c r="A7" s="352"/>
      <c r="B7" s="368"/>
      <c r="C7" s="353"/>
      <c r="D7" s="354"/>
      <c r="E7" s="353"/>
      <c r="F7" s="353"/>
      <c r="G7" s="353"/>
      <c r="H7" s="369"/>
      <c r="I7" s="369"/>
    </row>
    <row r="8" spans="1:9">
      <c r="A8" s="318">
        <v>45933</v>
      </c>
      <c r="B8" s="495" t="s">
        <v>424</v>
      </c>
      <c r="C8" s="535">
        <v>2</v>
      </c>
      <c r="D8" s="536" t="s">
        <v>425</v>
      </c>
      <c r="E8" s="536">
        <f>256.5*1</f>
        <v>256.5</v>
      </c>
      <c r="F8" s="537">
        <v>0</v>
      </c>
      <c r="G8" s="538">
        <f>+E8*F8</f>
        <v>0</v>
      </c>
      <c r="H8" s="496">
        <f>+E8</f>
        <v>256.5</v>
      </c>
      <c r="I8" s="496">
        <f>+'3'!I38</f>
        <v>0</v>
      </c>
    </row>
    <row r="9" spans="1:9" ht="13.5" thickBot="1">
      <c r="A9" s="352"/>
      <c r="B9" s="368"/>
      <c r="C9" s="353"/>
      <c r="D9" s="354"/>
      <c r="E9" s="353"/>
      <c r="F9" s="353"/>
      <c r="G9" s="353"/>
      <c r="H9" s="369"/>
      <c r="I9" s="369"/>
    </row>
    <row r="10" spans="1:9">
      <c r="A10" s="318">
        <v>45934</v>
      </c>
      <c r="B10" s="495" t="s">
        <v>424</v>
      </c>
      <c r="C10" s="535">
        <v>2</v>
      </c>
      <c r="D10" s="536" t="s">
        <v>425</v>
      </c>
      <c r="E10" s="536">
        <f>256.5*1</f>
        <v>256.5</v>
      </c>
      <c r="F10" s="537">
        <v>0</v>
      </c>
      <c r="G10" s="538">
        <f>+E10*F10</f>
        <v>0</v>
      </c>
      <c r="H10" s="496">
        <f>+E10</f>
        <v>256.5</v>
      </c>
      <c r="I10" s="496">
        <f>+'4'!I38</f>
        <v>0</v>
      </c>
    </row>
    <row r="11" spans="1:9" ht="13.5" thickBot="1">
      <c r="A11" s="352"/>
      <c r="B11" s="368"/>
      <c r="C11" s="353"/>
      <c r="D11" s="354"/>
      <c r="E11" s="353"/>
      <c r="F11" s="353"/>
      <c r="G11" s="353"/>
      <c r="H11" s="369"/>
      <c r="I11" s="369"/>
    </row>
    <row r="12" spans="1:9">
      <c r="A12" s="318">
        <v>45935</v>
      </c>
      <c r="B12" s="495" t="s">
        <v>424</v>
      </c>
      <c r="C12" s="535">
        <v>2</v>
      </c>
      <c r="D12" s="536" t="s">
        <v>425</v>
      </c>
      <c r="E12" s="536">
        <f>256.5*1</f>
        <v>256.5</v>
      </c>
      <c r="F12" s="537">
        <v>0</v>
      </c>
      <c r="G12" s="538">
        <f>+E12*F12</f>
        <v>0</v>
      </c>
      <c r="H12" s="496">
        <f>+E12</f>
        <v>256.5</v>
      </c>
      <c r="I12" s="496">
        <f>+'5'!I38</f>
        <v>0</v>
      </c>
    </row>
    <row r="13" spans="1:9" ht="13.5" thickBot="1">
      <c r="A13" s="352"/>
      <c r="B13" s="368"/>
      <c r="C13" s="353"/>
      <c r="D13" s="354"/>
      <c r="E13" s="353"/>
      <c r="F13" s="353"/>
      <c r="G13" s="353"/>
      <c r="H13" s="369"/>
      <c r="I13" s="369"/>
    </row>
    <row r="14" spans="1:9">
      <c r="A14" s="318">
        <v>45936</v>
      </c>
      <c r="B14" s="495" t="s">
        <v>424</v>
      </c>
      <c r="C14" s="535">
        <v>2</v>
      </c>
      <c r="D14" s="536" t="s">
        <v>425</v>
      </c>
      <c r="E14" s="536">
        <f>256.5*1</f>
        <v>256.5</v>
      </c>
      <c r="F14" s="537">
        <v>0</v>
      </c>
      <c r="G14" s="538">
        <f>+E14*F14</f>
        <v>0</v>
      </c>
      <c r="H14" s="496">
        <f>+E14</f>
        <v>256.5</v>
      </c>
      <c r="I14" s="496">
        <f>+'6'!I38</f>
        <v>0</v>
      </c>
    </row>
    <row r="15" spans="1:9" ht="13.5" thickBot="1">
      <c r="A15" s="352"/>
      <c r="B15" s="368"/>
      <c r="C15" s="353"/>
      <c r="D15" s="354"/>
      <c r="E15" s="353"/>
      <c r="F15" s="353"/>
      <c r="G15" s="353"/>
      <c r="H15" s="369"/>
      <c r="I15" s="369"/>
    </row>
    <row r="16" spans="1:9">
      <c r="A16" s="318">
        <v>45937</v>
      </c>
      <c r="B16" s="495" t="s">
        <v>424</v>
      </c>
      <c r="C16" s="535">
        <v>2</v>
      </c>
      <c r="D16" s="536" t="s">
        <v>425</v>
      </c>
      <c r="E16" s="536">
        <f>256.5*1</f>
        <v>256.5</v>
      </c>
      <c r="F16" s="537">
        <v>0</v>
      </c>
      <c r="G16" s="538">
        <f>+E16*F16</f>
        <v>0</v>
      </c>
      <c r="H16" s="496">
        <f>+E16</f>
        <v>256.5</v>
      </c>
      <c r="I16" s="496">
        <f>+'7'!I38</f>
        <v>0</v>
      </c>
    </row>
    <row r="17" spans="1:9" ht="13.5" thickBot="1">
      <c r="A17" s="352"/>
      <c r="B17" s="368"/>
      <c r="C17" s="353"/>
      <c r="D17" s="354"/>
      <c r="E17" s="353"/>
      <c r="F17" s="353"/>
      <c r="G17" s="353"/>
      <c r="H17" s="369"/>
      <c r="I17" s="369"/>
    </row>
    <row r="18" spans="1:9">
      <c r="A18" s="318">
        <v>45938</v>
      </c>
      <c r="B18" s="495" t="s">
        <v>424</v>
      </c>
      <c r="C18" s="535">
        <v>2</v>
      </c>
      <c r="D18" s="536" t="s">
        <v>425</v>
      </c>
      <c r="E18" s="536">
        <f>256.5*1</f>
        <v>256.5</v>
      </c>
      <c r="F18" s="537">
        <v>0</v>
      </c>
      <c r="G18" s="538">
        <f>+E18*F18</f>
        <v>0</v>
      </c>
      <c r="H18" s="496">
        <f>+E18</f>
        <v>256.5</v>
      </c>
      <c r="I18" s="496">
        <f>+'8'!I38</f>
        <v>0</v>
      </c>
    </row>
    <row r="19" spans="1:9" ht="13.5" thickBot="1">
      <c r="A19" s="352"/>
      <c r="B19" s="368"/>
      <c r="C19" s="353"/>
      <c r="D19" s="354"/>
      <c r="E19" s="353"/>
      <c r="F19" s="353"/>
      <c r="G19" s="353"/>
      <c r="H19" s="369"/>
      <c r="I19" s="369"/>
    </row>
    <row r="20" spans="1:9">
      <c r="A20" s="318">
        <v>45939</v>
      </c>
      <c r="B20" s="495" t="s">
        <v>467</v>
      </c>
      <c r="C20" s="535">
        <v>2</v>
      </c>
      <c r="D20" s="536" t="s">
        <v>468</v>
      </c>
      <c r="E20" s="536">
        <f>132*2</f>
        <v>264</v>
      </c>
      <c r="F20" s="537">
        <v>28</v>
      </c>
      <c r="G20" s="538">
        <f>+E20*F20</f>
        <v>7392</v>
      </c>
      <c r="H20" s="601">
        <f>+(F20*E20)/SUM(F20:F20)</f>
        <v>264</v>
      </c>
      <c r="I20" s="496">
        <f>+'9'!I38</f>
        <v>22.434999999999999</v>
      </c>
    </row>
    <row r="21" spans="1:9">
      <c r="A21" s="596"/>
      <c r="B21" s="495" t="s">
        <v>453</v>
      </c>
      <c r="C21" s="535">
        <v>2</v>
      </c>
      <c r="D21" s="536" t="s">
        <v>425</v>
      </c>
      <c r="E21" s="536">
        <f>256.5*1</f>
        <v>256.5</v>
      </c>
      <c r="F21" s="537">
        <v>0</v>
      </c>
      <c r="G21" s="538">
        <f>+F21</f>
        <v>0</v>
      </c>
      <c r="H21" s="496">
        <f>+E21</f>
        <v>256.5</v>
      </c>
      <c r="I21" s="496"/>
    </row>
    <row r="22" spans="1:9" ht="13.5" thickBot="1">
      <c r="A22" s="352"/>
      <c r="B22" s="368"/>
      <c r="C22" s="353"/>
      <c r="D22" s="354"/>
      <c r="E22" s="353"/>
      <c r="F22" s="353"/>
      <c r="G22" s="353"/>
      <c r="H22" s="369"/>
      <c r="I22" s="369"/>
    </row>
    <row r="23" spans="1:9">
      <c r="A23" s="318">
        <v>45940</v>
      </c>
      <c r="B23" s="495" t="s">
        <v>467</v>
      </c>
      <c r="C23" s="535">
        <v>2</v>
      </c>
      <c r="D23" s="536" t="s">
        <v>468</v>
      </c>
      <c r="E23" s="536">
        <f>132*2</f>
        <v>264</v>
      </c>
      <c r="F23" s="537">
        <v>9</v>
      </c>
      <c r="G23" s="538">
        <f>+E23*F23</f>
        <v>2376</v>
      </c>
      <c r="H23" s="601">
        <f>+(F23*E23)/SUM(F23:F23)</f>
        <v>264</v>
      </c>
      <c r="I23" s="496">
        <f>+'10'!I38</f>
        <v>42.66</v>
      </c>
    </row>
    <row r="24" spans="1:9">
      <c r="A24" s="596"/>
      <c r="B24" s="495" t="s">
        <v>453</v>
      </c>
      <c r="C24" s="535">
        <v>2</v>
      </c>
      <c r="D24" s="536" t="s">
        <v>425</v>
      </c>
      <c r="E24" s="536">
        <f>256.5*1</f>
        <v>256.5</v>
      </c>
      <c r="F24" s="537">
        <v>45</v>
      </c>
      <c r="G24" s="538">
        <f>+E24*F24</f>
        <v>11542.5</v>
      </c>
      <c r="H24" s="496">
        <f>+(F24*E24)/SUM(F24:F24)</f>
        <v>256.5</v>
      </c>
      <c r="I24" s="496"/>
    </row>
    <row r="25" spans="1:9" ht="13.5" thickBot="1">
      <c r="A25" s="352"/>
      <c r="B25" s="368"/>
      <c r="C25" s="353"/>
      <c r="D25" s="354"/>
      <c r="E25" s="353"/>
      <c r="F25" s="353"/>
      <c r="G25" s="353"/>
      <c r="H25" s="369"/>
      <c r="I25" s="369"/>
    </row>
    <row r="26" spans="1:9">
      <c r="A26" s="318">
        <v>45941</v>
      </c>
      <c r="B26" s="495" t="s">
        <v>453</v>
      </c>
      <c r="C26" s="535">
        <v>2</v>
      </c>
      <c r="D26" s="536" t="s">
        <v>425</v>
      </c>
      <c r="E26" s="536">
        <f>256.5*1</f>
        <v>256.5</v>
      </c>
      <c r="F26" s="537">
        <v>65</v>
      </c>
      <c r="G26" s="538">
        <f>+E26*F26</f>
        <v>16672.5</v>
      </c>
      <c r="H26" s="496">
        <f>+(F26*E26)/SUM(F26:F26)</f>
        <v>256.5</v>
      </c>
      <c r="I26" s="496">
        <f>+'11'!I38</f>
        <v>45.096000000000004</v>
      </c>
    </row>
    <row r="27" spans="1:9" ht="13.5" thickBot="1">
      <c r="A27" s="352"/>
      <c r="B27" s="368"/>
      <c r="C27" s="353"/>
      <c r="D27" s="354"/>
      <c r="E27" s="353"/>
      <c r="F27" s="353"/>
      <c r="G27" s="353"/>
      <c r="H27" s="369"/>
      <c r="I27" s="369"/>
    </row>
    <row r="28" spans="1:9">
      <c r="A28" s="318">
        <v>45942</v>
      </c>
      <c r="B28" s="495" t="s">
        <v>453</v>
      </c>
      <c r="C28" s="535">
        <v>2</v>
      </c>
      <c r="D28" s="536" t="s">
        <v>425</v>
      </c>
      <c r="E28" s="536">
        <f>256.5*1</f>
        <v>256.5</v>
      </c>
      <c r="F28" s="537">
        <v>51</v>
      </c>
      <c r="G28" s="538">
        <f>+E28*F28</f>
        <v>13081.5</v>
      </c>
      <c r="H28" s="496">
        <f>+(F28*E28)/SUM(F28:F28)</f>
        <v>256.5</v>
      </c>
      <c r="I28" s="496">
        <f>+'12'!I38</f>
        <v>42.670999999999999</v>
      </c>
    </row>
    <row r="29" spans="1:9" ht="13.5" thickBot="1">
      <c r="A29" s="352"/>
      <c r="B29" s="368"/>
      <c r="C29" s="353"/>
      <c r="D29" s="354"/>
      <c r="E29" s="353"/>
      <c r="F29" s="353"/>
      <c r="G29" s="353"/>
      <c r="H29" s="369"/>
      <c r="I29" s="369"/>
    </row>
    <row r="30" spans="1:9">
      <c r="A30" s="318">
        <v>45943</v>
      </c>
      <c r="B30" s="495" t="s">
        <v>453</v>
      </c>
      <c r="C30" s="535">
        <v>2</v>
      </c>
      <c r="D30" s="536" t="s">
        <v>425</v>
      </c>
      <c r="E30" s="536">
        <f>256.5*1</f>
        <v>256.5</v>
      </c>
      <c r="F30" s="537">
        <v>62</v>
      </c>
      <c r="G30" s="538">
        <f>+E30*F30</f>
        <v>15903</v>
      </c>
      <c r="H30" s="496">
        <f>+(F30*E30)/SUM(F30:F30)</f>
        <v>256.5</v>
      </c>
      <c r="I30" s="496">
        <f>+'13'!I38</f>
        <v>43.638999999999996</v>
      </c>
    </row>
    <row r="31" spans="1:9" ht="13.5" thickBot="1">
      <c r="A31" s="352"/>
      <c r="B31" s="368"/>
      <c r="C31" s="353"/>
      <c r="D31" s="354"/>
      <c r="E31" s="353"/>
      <c r="F31" s="353"/>
      <c r="G31" s="353"/>
      <c r="H31" s="369"/>
      <c r="I31" s="369"/>
    </row>
    <row r="32" spans="1:9">
      <c r="A32" s="600">
        <v>45944</v>
      </c>
      <c r="B32" s="495" t="s">
        <v>453</v>
      </c>
      <c r="C32" s="535">
        <v>2</v>
      </c>
      <c r="D32" s="536" t="s">
        <v>425</v>
      </c>
      <c r="E32" s="536">
        <f>256.5*1</f>
        <v>256.5</v>
      </c>
      <c r="F32" s="537">
        <f>22+19+6</f>
        <v>47</v>
      </c>
      <c r="G32" s="538">
        <f>+E32*F32</f>
        <v>12055.5</v>
      </c>
      <c r="H32" s="601">
        <f>+(F32*E32)/SUM(F32:F32)</f>
        <v>256.5</v>
      </c>
      <c r="I32" s="496">
        <f>+'14'!I38</f>
        <v>45.567000000000007</v>
      </c>
    </row>
    <row r="33" spans="1:9">
      <c r="A33" s="596"/>
      <c r="B33" s="495" t="s">
        <v>534</v>
      </c>
      <c r="C33" s="535">
        <v>2</v>
      </c>
      <c r="D33" s="536" t="s">
        <v>543</v>
      </c>
      <c r="E33" s="536">
        <f>263.5*1</f>
        <v>263.5</v>
      </c>
      <c r="F33" s="537">
        <v>9</v>
      </c>
      <c r="G33" s="538">
        <f>+E33*F33</f>
        <v>2371.5</v>
      </c>
      <c r="H33" s="496">
        <f>+(F33*E33)/SUM(F33:F33)</f>
        <v>263.5</v>
      </c>
      <c r="I33" s="496"/>
    </row>
    <row r="34" spans="1:9" ht="13.5" thickBot="1">
      <c r="A34" s="352"/>
      <c r="B34" s="368"/>
      <c r="C34" s="353"/>
      <c r="D34" s="354"/>
      <c r="E34" s="353"/>
      <c r="F34" s="353"/>
      <c r="G34" s="353"/>
      <c r="H34" s="369"/>
      <c r="I34" s="369"/>
    </row>
    <row r="35" spans="1:9">
      <c r="A35" s="600">
        <v>45945</v>
      </c>
      <c r="B35" s="495" t="s">
        <v>534</v>
      </c>
      <c r="C35" s="535">
        <v>2</v>
      </c>
      <c r="D35" s="536" t="s">
        <v>543</v>
      </c>
      <c r="E35" s="536">
        <f>263.5*1</f>
        <v>263.5</v>
      </c>
      <c r="F35" s="537">
        <v>17</v>
      </c>
      <c r="G35" s="538">
        <f>+E35*F35</f>
        <v>4479.5</v>
      </c>
      <c r="H35" s="601">
        <f>+(F35*E35+F36*E36)/SUM(F35:F36)</f>
        <v>255.98979591836735</v>
      </c>
      <c r="I35" s="496">
        <f>+'15'!I38</f>
        <v>46.075000000000003</v>
      </c>
    </row>
    <row r="36" spans="1:9">
      <c r="A36" s="596"/>
      <c r="B36" s="495" t="s">
        <v>534</v>
      </c>
      <c r="C36" s="535">
        <v>2</v>
      </c>
      <c r="D36" s="536" t="s">
        <v>559</v>
      </c>
      <c r="E36" s="536">
        <f>126*2</f>
        <v>252</v>
      </c>
      <c r="F36" s="537">
        <v>32</v>
      </c>
      <c r="G36" s="538">
        <f>+E36*F36</f>
        <v>8064</v>
      </c>
      <c r="H36" s="496"/>
      <c r="I36" s="496"/>
    </row>
    <row r="37" spans="1:9">
      <c r="A37" s="596"/>
      <c r="B37" s="495" t="s">
        <v>550</v>
      </c>
      <c r="C37" s="535">
        <v>2</v>
      </c>
      <c r="D37" s="536" t="s">
        <v>560</v>
      </c>
      <c r="E37" s="536">
        <f>259*1</f>
        <v>259</v>
      </c>
      <c r="F37" s="536">
        <v>12</v>
      </c>
      <c r="G37" s="535">
        <f>+E37*F37</f>
        <v>3108</v>
      </c>
      <c r="H37" s="496">
        <f>+(F37*E37)/SUM(F37:F37)</f>
        <v>259</v>
      </c>
      <c r="I37" s="496"/>
    </row>
    <row r="38" spans="1:9">
      <c r="A38" s="596"/>
      <c r="B38" s="495" t="s">
        <v>551</v>
      </c>
      <c r="C38" s="535">
        <v>2</v>
      </c>
      <c r="D38" s="536" t="s">
        <v>561</v>
      </c>
      <c r="E38" s="536">
        <f>258*1</f>
        <v>258</v>
      </c>
      <c r="F38" s="536">
        <v>0</v>
      </c>
      <c r="G38" s="535">
        <f>+E38*F38</f>
        <v>0</v>
      </c>
      <c r="H38" s="496">
        <f>+E38</f>
        <v>258</v>
      </c>
      <c r="I38" s="496"/>
    </row>
    <row r="39" spans="1:9" ht="13.5" thickBot="1">
      <c r="A39" s="352"/>
      <c r="B39" s="368"/>
      <c r="C39" s="353"/>
      <c r="D39" s="354"/>
      <c r="E39" s="353"/>
      <c r="F39" s="353"/>
      <c r="G39" s="353"/>
      <c r="H39" s="369"/>
      <c r="I39" s="369"/>
    </row>
    <row r="40" spans="1:9">
      <c r="A40" s="600">
        <v>45946</v>
      </c>
      <c r="B40" s="495" t="s">
        <v>551</v>
      </c>
      <c r="C40" s="535">
        <v>2</v>
      </c>
      <c r="D40" s="536" t="s">
        <v>561</v>
      </c>
      <c r="E40" s="536">
        <f>258*1</f>
        <v>258</v>
      </c>
      <c r="F40" s="537">
        <v>16</v>
      </c>
      <c r="G40" s="538">
        <f>+E40*F40</f>
        <v>4128</v>
      </c>
      <c r="H40" s="601">
        <f>+(F40*E40)/SUM(F40:F40)</f>
        <v>258</v>
      </c>
      <c r="I40" s="496">
        <f>+'16'!I38</f>
        <v>48.201999999999998</v>
      </c>
    </row>
    <row r="41" spans="1:9">
      <c r="A41" s="596"/>
      <c r="B41" s="495" t="s">
        <v>534</v>
      </c>
      <c r="C41" s="535">
        <v>2</v>
      </c>
      <c r="D41" s="536" t="s">
        <v>559</v>
      </c>
      <c r="E41" s="536">
        <f>126*2</f>
        <v>252</v>
      </c>
      <c r="F41" s="537">
        <v>16</v>
      </c>
      <c r="G41" s="538">
        <f>+E41*F41</f>
        <v>4032</v>
      </c>
      <c r="H41" s="496">
        <f>+(F41*E41)/SUM(F41:F41)</f>
        <v>252</v>
      </c>
      <c r="I41" s="496"/>
    </row>
    <row r="42" spans="1:9">
      <c r="A42" s="596"/>
      <c r="B42" s="495" t="s">
        <v>550</v>
      </c>
      <c r="C42" s="535">
        <v>2</v>
      </c>
      <c r="D42" s="536" t="s">
        <v>560</v>
      </c>
      <c r="E42" s="536">
        <f>259*1</f>
        <v>259</v>
      </c>
      <c r="F42" s="536">
        <v>3</v>
      </c>
      <c r="G42" s="535">
        <f>+E42*F42</f>
        <v>777</v>
      </c>
      <c r="H42" s="496">
        <f>+(F42*E42)/SUM(F42:F42)</f>
        <v>259</v>
      </c>
      <c r="I42" s="496"/>
    </row>
    <row r="43" spans="1:9">
      <c r="A43" s="596"/>
      <c r="B43" s="495" t="s">
        <v>567</v>
      </c>
      <c r="C43" s="535">
        <v>2</v>
      </c>
      <c r="D43" s="536" t="s">
        <v>578</v>
      </c>
      <c r="E43" s="536">
        <f>257*1</f>
        <v>257</v>
      </c>
      <c r="F43" s="537">
        <f>8+18</f>
        <v>26</v>
      </c>
      <c r="G43" s="535">
        <f>+E43*F43</f>
        <v>6682</v>
      </c>
      <c r="H43" s="496">
        <f>+(F43*E43)/SUM(F43:F43)</f>
        <v>257</v>
      </c>
      <c r="I43" s="496"/>
    </row>
    <row r="44" spans="1:9" ht="13.5" thickBot="1">
      <c r="A44" s="352"/>
      <c r="B44" s="368"/>
      <c r="C44" s="353"/>
      <c r="D44" s="354"/>
      <c r="E44" s="353"/>
      <c r="F44" s="353"/>
      <c r="G44" s="353"/>
      <c r="H44" s="369"/>
      <c r="I44" s="369"/>
    </row>
    <row r="45" spans="1:9">
      <c r="A45" s="596">
        <v>45947</v>
      </c>
      <c r="B45" s="495" t="s">
        <v>567</v>
      </c>
      <c r="C45" s="535">
        <v>2</v>
      </c>
      <c r="D45" s="536" t="s">
        <v>578</v>
      </c>
      <c r="E45" s="536">
        <f>257*1</f>
        <v>257</v>
      </c>
      <c r="F45" s="537">
        <v>58</v>
      </c>
      <c r="G45" s="535">
        <f>+E45*F45</f>
        <v>14906</v>
      </c>
      <c r="H45" s="496">
        <f>+(F45*E45)/SUM(F45:F45)</f>
        <v>257</v>
      </c>
      <c r="I45" s="496">
        <f>+'17'!I38</f>
        <v>50.909000000000006</v>
      </c>
    </row>
    <row r="46" spans="1:9" ht="13.5" thickBot="1">
      <c r="A46" s="352"/>
      <c r="B46" s="368"/>
      <c r="C46" s="353"/>
      <c r="D46" s="354"/>
      <c r="E46" s="353"/>
      <c r="F46" s="353"/>
      <c r="G46" s="353"/>
      <c r="H46" s="369"/>
      <c r="I46" s="369"/>
    </row>
    <row r="47" spans="1:9">
      <c r="A47" s="596">
        <v>45948</v>
      </c>
      <c r="B47" s="495" t="s">
        <v>567</v>
      </c>
      <c r="C47" s="535">
        <v>2</v>
      </c>
      <c r="D47" s="536" t="s">
        <v>578</v>
      </c>
      <c r="E47" s="536">
        <f>257*1</f>
        <v>257</v>
      </c>
      <c r="F47" s="537">
        <f>15+5+15+17</f>
        <v>52</v>
      </c>
      <c r="G47" s="535">
        <f>+E47*F47</f>
        <v>13364</v>
      </c>
      <c r="H47" s="496">
        <f>+(F47*E47)/SUM(F47:F47)</f>
        <v>257</v>
      </c>
      <c r="I47" s="496">
        <f>+'18'!I38</f>
        <v>46.412999999999997</v>
      </c>
    </row>
    <row r="48" spans="1:9" ht="13.5" thickBot="1">
      <c r="A48" s="352"/>
      <c r="B48" s="368"/>
      <c r="C48" s="353"/>
      <c r="D48" s="354"/>
      <c r="E48" s="353"/>
      <c r="F48" s="353"/>
      <c r="G48" s="353"/>
      <c r="H48" s="369"/>
      <c r="I48" s="369"/>
    </row>
    <row r="49" spans="1:9">
      <c r="A49" s="596">
        <v>45949</v>
      </c>
      <c r="B49" s="495" t="s">
        <v>567</v>
      </c>
      <c r="C49" s="535">
        <v>2</v>
      </c>
      <c r="D49" s="536" t="s">
        <v>578</v>
      </c>
      <c r="E49" s="536">
        <f>257*1</f>
        <v>257</v>
      </c>
      <c r="F49" s="537">
        <f>17+15+18</f>
        <v>50</v>
      </c>
      <c r="G49" s="535">
        <f>+E49*F49</f>
        <v>12850</v>
      </c>
      <c r="H49" s="496">
        <f>+(F49*E49)/SUM(F49:F49)</f>
        <v>257</v>
      </c>
      <c r="I49" s="496">
        <f>+'19'!I38</f>
        <v>48.748999999999995</v>
      </c>
    </row>
    <row r="50" spans="1:9" ht="13.5" thickBot="1">
      <c r="A50" s="352"/>
      <c r="B50" s="368"/>
      <c r="C50" s="353"/>
      <c r="D50" s="354"/>
      <c r="E50" s="353"/>
      <c r="F50" s="353"/>
      <c r="G50" s="353"/>
      <c r="H50" s="369"/>
      <c r="I50" s="369"/>
    </row>
    <row r="51" spans="1:9" ht="13.5" customHeight="1">
      <c r="A51" s="596">
        <v>45950</v>
      </c>
      <c r="B51" s="495" t="s">
        <v>567</v>
      </c>
      <c r="C51" s="535">
        <v>2</v>
      </c>
      <c r="D51" s="536" t="s">
        <v>578</v>
      </c>
      <c r="E51" s="536">
        <f>257*1</f>
        <v>257</v>
      </c>
      <c r="F51" s="537">
        <v>53</v>
      </c>
      <c r="G51" s="535">
        <f>+E51*F51</f>
        <v>13621</v>
      </c>
      <c r="H51" s="496">
        <f>+(F51*E51)/SUM(F51:F51)</f>
        <v>257</v>
      </c>
      <c r="I51" s="496">
        <f>+'19'!I40</f>
        <v>45.658000000000001</v>
      </c>
    </row>
    <row r="52" spans="1:9" ht="13.5" thickBot="1">
      <c r="A52" s="352"/>
      <c r="B52" s="368"/>
      <c r="C52" s="353"/>
      <c r="D52" s="354"/>
      <c r="E52" s="353"/>
      <c r="F52" s="353"/>
      <c r="G52" s="353"/>
      <c r="H52" s="369"/>
      <c r="I52" s="369"/>
    </row>
    <row r="53" spans="1:9">
      <c r="A53" s="596">
        <v>45951</v>
      </c>
      <c r="B53" s="495" t="s">
        <v>567</v>
      </c>
      <c r="C53" s="535">
        <v>2</v>
      </c>
      <c r="D53" s="536" t="s">
        <v>578</v>
      </c>
      <c r="E53" s="536">
        <f>257*1</f>
        <v>257</v>
      </c>
      <c r="F53" s="537">
        <v>13</v>
      </c>
      <c r="G53" s="535">
        <f>+E53*F53</f>
        <v>3341</v>
      </c>
      <c r="H53" s="496">
        <f t="shared" ref="H53:H55" si="0">+(F53*E53)/SUM(F53:F53)</f>
        <v>257</v>
      </c>
      <c r="I53" s="496">
        <f>+'21'!I38</f>
        <v>40.53</v>
      </c>
    </row>
    <row r="54" spans="1:9">
      <c r="A54" s="596"/>
      <c r="B54" s="495" t="s">
        <v>629</v>
      </c>
      <c r="C54" s="535">
        <v>2</v>
      </c>
      <c r="D54" s="536" t="s">
        <v>560</v>
      </c>
      <c r="E54" s="536">
        <f>259*1</f>
        <v>259</v>
      </c>
      <c r="F54" s="537">
        <f>23+8</f>
        <v>31</v>
      </c>
      <c r="G54" s="535">
        <f t="shared" ref="G54:G55" si="1">+E54*F54</f>
        <v>8029</v>
      </c>
      <c r="H54" s="496">
        <f t="shared" si="0"/>
        <v>259</v>
      </c>
      <c r="I54" s="496"/>
    </row>
    <row r="55" spans="1:9">
      <c r="A55" s="596"/>
      <c r="B55" s="495" t="s">
        <v>628</v>
      </c>
      <c r="C55" s="535">
        <v>2</v>
      </c>
      <c r="D55" s="536" t="s">
        <v>468</v>
      </c>
      <c r="E55" s="536">
        <f>132*2</f>
        <v>264</v>
      </c>
      <c r="F55" s="536">
        <v>8</v>
      </c>
      <c r="G55" s="535">
        <f t="shared" si="1"/>
        <v>2112</v>
      </c>
      <c r="H55" s="496">
        <f t="shared" si="0"/>
        <v>264</v>
      </c>
      <c r="I55" s="496"/>
    </row>
    <row r="56" spans="1:9" ht="13.5" thickBot="1">
      <c r="A56" s="352"/>
      <c r="B56" s="368"/>
      <c r="C56" s="353"/>
      <c r="D56" s="354"/>
      <c r="E56" s="353"/>
      <c r="F56" s="353"/>
      <c r="G56" s="353"/>
      <c r="H56" s="369"/>
      <c r="I56" s="369"/>
    </row>
    <row r="57" spans="1:9">
      <c r="A57" s="596">
        <v>45952</v>
      </c>
      <c r="B57" s="495" t="s">
        <v>629</v>
      </c>
      <c r="C57" s="535">
        <v>2</v>
      </c>
      <c r="D57" s="536" t="s">
        <v>560</v>
      </c>
      <c r="E57" s="536">
        <f>259*1</f>
        <v>259</v>
      </c>
      <c r="F57" s="537">
        <v>19</v>
      </c>
      <c r="G57" s="535">
        <f t="shared" ref="G57" si="2">+E57*F57</f>
        <v>4921</v>
      </c>
      <c r="H57" s="601">
        <f>+(F57*E57+F58*E58)/SUM(F57:F58)</f>
        <v>259.13636363636363</v>
      </c>
      <c r="I57" s="496">
        <f>+'22'!I38</f>
        <v>40.959000000000003</v>
      </c>
    </row>
    <row r="58" spans="1:9">
      <c r="A58" s="596"/>
      <c r="B58" s="495" t="s">
        <v>629</v>
      </c>
      <c r="C58" s="535">
        <v>2</v>
      </c>
      <c r="D58" s="536" t="s">
        <v>662</v>
      </c>
      <c r="E58" s="536">
        <f>260*1</f>
        <v>260</v>
      </c>
      <c r="F58" s="537">
        <v>3</v>
      </c>
      <c r="G58" s="535">
        <f t="shared" ref="G58" si="3">+E58*F58</f>
        <v>780</v>
      </c>
      <c r="H58" s="496"/>
      <c r="I58" s="496"/>
    </row>
    <row r="59" spans="1:9">
      <c r="A59" s="596"/>
      <c r="B59" s="495" t="s">
        <v>653</v>
      </c>
      <c r="C59" s="535">
        <v>2</v>
      </c>
      <c r="D59" s="536" t="s">
        <v>578</v>
      </c>
      <c r="E59" s="536">
        <f>257*1</f>
        <v>257</v>
      </c>
      <c r="F59" s="537">
        <f>23+8</f>
        <v>31</v>
      </c>
      <c r="G59" s="535">
        <f t="shared" ref="G59:G61" si="4">+E59*F59</f>
        <v>7967</v>
      </c>
      <c r="H59" s="496">
        <f>+(F59*E59)/SUM(F59:F59)</f>
        <v>257</v>
      </c>
      <c r="I59" s="496"/>
    </row>
    <row r="60" spans="1:9">
      <c r="A60" s="596"/>
      <c r="B60" s="495" t="s">
        <v>551</v>
      </c>
      <c r="C60" s="535">
        <v>2</v>
      </c>
      <c r="D60" s="536" t="s">
        <v>560</v>
      </c>
      <c r="E60" s="536">
        <f>259*1</f>
        <v>259</v>
      </c>
      <c r="F60" s="536">
        <f>18+14</f>
        <v>32</v>
      </c>
      <c r="G60" s="535">
        <f t="shared" si="4"/>
        <v>8288</v>
      </c>
      <c r="H60" s="496">
        <f>+(F60*E60+F61*E61)/SUM(F60:F61)</f>
        <v>259.08571428571429</v>
      </c>
      <c r="I60" s="496"/>
    </row>
    <row r="61" spans="1:9">
      <c r="A61" s="596"/>
      <c r="B61" s="495" t="s">
        <v>551</v>
      </c>
      <c r="C61" s="535">
        <v>2</v>
      </c>
      <c r="D61" s="536" t="s">
        <v>662</v>
      </c>
      <c r="E61" s="536">
        <f>260*1</f>
        <v>260</v>
      </c>
      <c r="F61" s="536">
        <v>3</v>
      </c>
      <c r="G61" s="535">
        <f t="shared" si="4"/>
        <v>780</v>
      </c>
      <c r="H61" s="496"/>
      <c r="I61" s="496"/>
    </row>
    <row r="62" spans="1:9" ht="13.5" thickBot="1">
      <c r="A62" s="352"/>
      <c r="B62" s="368"/>
      <c r="C62" s="353"/>
      <c r="D62" s="354"/>
      <c r="E62" s="353"/>
      <c r="F62" s="353"/>
      <c r="G62" s="353"/>
      <c r="H62" s="369"/>
      <c r="I62" s="369"/>
    </row>
    <row r="63" spans="1:9">
      <c r="A63" s="596">
        <v>45953</v>
      </c>
      <c r="B63" s="495" t="s">
        <v>669</v>
      </c>
      <c r="C63" s="535">
        <v>2</v>
      </c>
      <c r="D63" s="536" t="s">
        <v>662</v>
      </c>
      <c r="E63" s="536">
        <f>260*1</f>
        <v>260</v>
      </c>
      <c r="F63" s="537">
        <f>9+5+3</f>
        <v>17</v>
      </c>
      <c r="G63" s="535">
        <f>+E63*F63</f>
        <v>4420</v>
      </c>
      <c r="H63" s="496">
        <f t="shared" ref="H63" si="5">+(F63*E63)/SUM(F63:F63)</f>
        <v>260</v>
      </c>
      <c r="I63" s="496">
        <f>+'23'!I38</f>
        <v>48.402999999999999</v>
      </c>
    </row>
    <row r="64" spans="1:9">
      <c r="A64" s="596"/>
      <c r="B64" s="495" t="s">
        <v>629</v>
      </c>
      <c r="C64" s="535">
        <v>2</v>
      </c>
      <c r="D64" s="536" t="s">
        <v>662</v>
      </c>
      <c r="E64" s="536">
        <f>260*1</f>
        <v>260</v>
      </c>
      <c r="F64" s="537">
        <f>5+6</f>
        <v>11</v>
      </c>
      <c r="G64" s="535">
        <f t="shared" ref="G64:G66" si="6">+E64*F64</f>
        <v>2860</v>
      </c>
      <c r="H64" s="496">
        <f>+(F64*E64)/SUM(F64:F64)</f>
        <v>260</v>
      </c>
      <c r="I64" s="496"/>
    </row>
    <row r="65" spans="1:9">
      <c r="A65" s="596"/>
      <c r="B65" s="495" t="s">
        <v>453</v>
      </c>
      <c r="C65" s="535">
        <v>2</v>
      </c>
      <c r="D65" s="536" t="s">
        <v>676</v>
      </c>
      <c r="E65" s="536">
        <f>128*2</f>
        <v>256</v>
      </c>
      <c r="F65" s="536">
        <f>5+13+13+9</f>
        <v>40</v>
      </c>
      <c r="G65" s="535">
        <f t="shared" si="6"/>
        <v>10240</v>
      </c>
      <c r="H65" s="496">
        <f>+(F65*E65+F66*E66)/SUM(F65:F66)</f>
        <v>256</v>
      </c>
      <c r="I65" s="496"/>
    </row>
    <row r="66" spans="1:9">
      <c r="A66" s="596"/>
      <c r="B66" s="495" t="s">
        <v>453</v>
      </c>
      <c r="C66" s="535">
        <v>2</v>
      </c>
      <c r="D66" s="536" t="s">
        <v>677</v>
      </c>
      <c r="E66" s="536">
        <f>256*1</f>
        <v>256</v>
      </c>
      <c r="F66" s="536">
        <v>3</v>
      </c>
      <c r="G66" s="535">
        <f t="shared" si="6"/>
        <v>768</v>
      </c>
      <c r="H66" s="496"/>
      <c r="I66" s="496"/>
    </row>
    <row r="67" spans="1:9" ht="13.5" thickBot="1">
      <c r="A67" s="352"/>
      <c r="B67" s="368"/>
      <c r="C67" s="353"/>
      <c r="D67" s="354"/>
      <c r="E67" s="353"/>
      <c r="F67" s="353"/>
      <c r="G67" s="353"/>
      <c r="H67" s="369"/>
      <c r="I67" s="369"/>
    </row>
    <row r="68" spans="1:9">
      <c r="A68" s="596">
        <v>45954</v>
      </c>
      <c r="B68" s="495" t="s">
        <v>453</v>
      </c>
      <c r="C68" s="535">
        <v>2</v>
      </c>
      <c r="D68" s="536" t="s">
        <v>677</v>
      </c>
      <c r="E68" s="536">
        <f>256*1</f>
        <v>256</v>
      </c>
      <c r="F68" s="536">
        <f>14+1</f>
        <v>15</v>
      </c>
      <c r="G68" s="535">
        <f t="shared" ref="G68" si="7">+E68*F68</f>
        <v>3840</v>
      </c>
      <c r="H68" s="496">
        <f t="shared" ref="H68" si="8">+(F68*E68)/SUM(F68:F68)</f>
        <v>256</v>
      </c>
      <c r="I68" s="496">
        <f>+'23'!I43</f>
        <v>96.3</v>
      </c>
    </row>
    <row r="69" spans="1:9">
      <c r="A69" s="596"/>
      <c r="B69" s="495" t="s">
        <v>653</v>
      </c>
      <c r="C69" s="535">
        <v>2</v>
      </c>
      <c r="D69" s="536" t="s">
        <v>692</v>
      </c>
      <c r="E69" s="536">
        <f>140+122.5</f>
        <v>262.5</v>
      </c>
      <c r="F69" s="537">
        <f>12+13+8</f>
        <v>33</v>
      </c>
      <c r="G69" s="535">
        <f t="shared" ref="G69:G70" si="9">+E69*F69</f>
        <v>8662.5</v>
      </c>
      <c r="H69" s="496">
        <f>+(F69*E69)/SUM(F69:F69)</f>
        <v>262.5</v>
      </c>
      <c r="I69" s="496"/>
    </row>
    <row r="70" spans="1:9">
      <c r="A70" s="596"/>
      <c r="B70" s="495" t="s">
        <v>685</v>
      </c>
      <c r="C70" s="535">
        <v>2</v>
      </c>
      <c r="D70" s="536" t="s">
        <v>693</v>
      </c>
      <c r="E70" s="536">
        <f>270*1</f>
        <v>270</v>
      </c>
      <c r="F70" s="536">
        <v>6</v>
      </c>
      <c r="G70" s="535">
        <f t="shared" si="9"/>
        <v>1620</v>
      </c>
      <c r="H70" s="496">
        <f>+(F70*E70)/SUM(F70:F70)</f>
        <v>270</v>
      </c>
      <c r="I70" s="496"/>
    </row>
    <row r="71" spans="1:9" ht="13.5" thickBot="1">
      <c r="A71" s="352"/>
      <c r="B71" s="368"/>
      <c r="C71" s="353"/>
      <c r="D71" s="354"/>
      <c r="E71" s="353"/>
      <c r="F71" s="353"/>
      <c r="G71" s="353"/>
      <c r="H71" s="369"/>
      <c r="I71" s="369"/>
    </row>
    <row r="72" spans="1:9">
      <c r="A72" s="596">
        <v>45955</v>
      </c>
      <c r="B72" s="495" t="s">
        <v>669</v>
      </c>
      <c r="C72" s="535">
        <v>2</v>
      </c>
      <c r="D72" s="536" t="s">
        <v>425</v>
      </c>
      <c r="E72" s="536">
        <f>256.5*1</f>
        <v>256.5</v>
      </c>
      <c r="F72" s="537">
        <f>2+4+3</f>
        <v>9</v>
      </c>
      <c r="G72" s="535">
        <f t="shared" ref="G72" si="10">+E72*F72</f>
        <v>2308.5</v>
      </c>
      <c r="H72" s="496">
        <f>+(F72*E72)/SUM(F72:F72)</f>
        <v>256.5</v>
      </c>
      <c r="I72" s="496">
        <f>+'25'!I38</f>
        <v>30.018000000000001</v>
      </c>
    </row>
    <row r="73" spans="1:9">
      <c r="A73" s="596"/>
      <c r="B73" s="495" t="s">
        <v>653</v>
      </c>
      <c r="C73" s="535">
        <v>2</v>
      </c>
      <c r="D73" s="536" t="s">
        <v>692</v>
      </c>
      <c r="E73" s="536">
        <f>140+122.5</f>
        <v>262.5</v>
      </c>
      <c r="F73" s="537">
        <f>13+2</f>
        <v>15</v>
      </c>
      <c r="G73" s="535">
        <f t="shared" ref="G73" si="11">+E73*F73</f>
        <v>3937.5</v>
      </c>
      <c r="H73" s="496">
        <f>+(F73*E73)/SUM(F73:F73)</f>
        <v>262.5</v>
      </c>
      <c r="I73" s="496"/>
    </row>
    <row r="74" spans="1:9" ht="13.5" thickBot="1">
      <c r="A74" s="352"/>
      <c r="B74" s="368"/>
      <c r="C74" s="353"/>
      <c r="D74" s="354"/>
      <c r="E74" s="353"/>
      <c r="F74" s="353"/>
      <c r="G74" s="353"/>
      <c r="H74" s="369"/>
      <c r="I74" s="369"/>
    </row>
    <row r="75" spans="1:9">
      <c r="A75" s="596">
        <v>45956</v>
      </c>
      <c r="B75" s="495" t="s">
        <v>669</v>
      </c>
      <c r="C75" s="535">
        <v>2</v>
      </c>
      <c r="D75" s="536" t="s">
        <v>425</v>
      </c>
      <c r="E75" s="536">
        <f>256.5*1</f>
        <v>256.5</v>
      </c>
      <c r="F75" s="537">
        <f>4+5+5</f>
        <v>14</v>
      </c>
      <c r="G75" s="535">
        <f t="shared" ref="G75" si="12">+E75*F75</f>
        <v>3591</v>
      </c>
      <c r="H75" s="496">
        <f>+(F75*E75)/SUM(F75:F75)</f>
        <v>256.5</v>
      </c>
      <c r="I75" s="496">
        <f>+'26'!I38</f>
        <v>35.652999999999999</v>
      </c>
    </row>
    <row r="76" spans="1:9" ht="13.5" thickBot="1">
      <c r="A76" s="352"/>
      <c r="B76" s="368"/>
      <c r="C76" s="353"/>
      <c r="D76" s="354"/>
      <c r="E76" s="353"/>
      <c r="F76" s="353"/>
      <c r="G76" s="353"/>
      <c r="H76" s="369"/>
      <c r="I76" s="369"/>
    </row>
    <row r="77" spans="1:9">
      <c r="A77" s="596">
        <v>45957</v>
      </c>
      <c r="B77" s="495" t="s">
        <v>669</v>
      </c>
      <c r="C77" s="535">
        <v>2</v>
      </c>
      <c r="D77" s="536" t="s">
        <v>425</v>
      </c>
      <c r="E77" s="536">
        <f>256.5*1</f>
        <v>256.5</v>
      </c>
      <c r="F77" s="537">
        <f>1+6+8</f>
        <v>15</v>
      </c>
      <c r="G77" s="535">
        <f t="shared" ref="G77" si="13">+E77*F77</f>
        <v>3847.5</v>
      </c>
      <c r="H77" s="496">
        <f>+(F77*E77+F78*E78)/SUM(F77:F78)</f>
        <v>252.20454545454547</v>
      </c>
      <c r="I77" s="496">
        <f>+'27'!I38</f>
        <v>33.917999999999999</v>
      </c>
    </row>
    <row r="78" spans="1:9">
      <c r="A78" s="596"/>
      <c r="B78" s="495" t="s">
        <v>669</v>
      </c>
      <c r="C78" s="535">
        <v>2</v>
      </c>
      <c r="D78" s="536" t="s">
        <v>745</v>
      </c>
      <c r="E78" s="536">
        <f>243*1</f>
        <v>243</v>
      </c>
      <c r="F78" s="537">
        <v>7</v>
      </c>
      <c r="G78" s="535">
        <f t="shared" ref="G78" si="14">+E78*F78</f>
        <v>1701</v>
      </c>
      <c r="H78" s="496"/>
      <c r="I78" s="496"/>
    </row>
    <row r="79" spans="1:9" ht="13.5" thickBot="1">
      <c r="A79" s="352"/>
      <c r="B79" s="368"/>
      <c r="C79" s="353"/>
      <c r="D79" s="354"/>
      <c r="E79" s="353"/>
      <c r="F79" s="353"/>
      <c r="G79" s="353"/>
      <c r="H79" s="369"/>
      <c r="I79" s="369"/>
    </row>
    <row r="80" spans="1:9">
      <c r="A80" s="596">
        <v>45958</v>
      </c>
      <c r="B80" s="495" t="s">
        <v>669</v>
      </c>
      <c r="C80" s="535">
        <v>2</v>
      </c>
      <c r="D80" s="536" t="s">
        <v>425</v>
      </c>
      <c r="E80" s="536">
        <f>256.5*1</f>
        <v>256.5</v>
      </c>
      <c r="F80" s="537">
        <f>8+9+10</f>
        <v>27</v>
      </c>
      <c r="G80" s="535">
        <f t="shared" ref="G80:G81" si="15">+E80*F80</f>
        <v>6925.5</v>
      </c>
      <c r="H80" s="496">
        <f>+(F80*E80+F81*E81)/SUM(F80:F81)</f>
        <v>251.89024390243901</v>
      </c>
      <c r="I80" s="496">
        <f>+'28'!I38</f>
        <v>44.515000000000001</v>
      </c>
    </row>
    <row r="81" spans="1:9">
      <c r="A81" s="596"/>
      <c r="B81" s="495" t="s">
        <v>669</v>
      </c>
      <c r="C81" s="535">
        <v>2</v>
      </c>
      <c r="D81" s="536" t="s">
        <v>745</v>
      </c>
      <c r="E81" s="536">
        <f>243*1</f>
        <v>243</v>
      </c>
      <c r="F81" s="537">
        <f>5+2+7</f>
        <v>14</v>
      </c>
      <c r="G81" s="535">
        <f t="shared" si="15"/>
        <v>3402</v>
      </c>
      <c r="H81" s="496"/>
      <c r="I81" s="496"/>
    </row>
    <row r="82" spans="1:9" ht="13.5" thickBot="1">
      <c r="A82" s="352"/>
      <c r="B82" s="368"/>
      <c r="C82" s="353"/>
      <c r="D82" s="354"/>
      <c r="E82" s="353"/>
      <c r="F82" s="353"/>
      <c r="G82" s="353"/>
      <c r="H82" s="369"/>
      <c r="I82" s="369"/>
    </row>
    <row r="83" spans="1:9">
      <c r="A83" s="596">
        <v>45959</v>
      </c>
      <c r="B83" s="495" t="s">
        <v>669</v>
      </c>
      <c r="C83" s="535">
        <v>2</v>
      </c>
      <c r="D83" s="536" t="s">
        <v>425</v>
      </c>
      <c r="E83" s="536">
        <f>256.5*1</f>
        <v>256.5</v>
      </c>
      <c r="F83" s="537">
        <f>9+10+4</f>
        <v>23</v>
      </c>
      <c r="G83" s="535">
        <f t="shared" ref="G83:G84" si="16">+E83*F83</f>
        <v>5899.5</v>
      </c>
      <c r="H83" s="496">
        <f>+(F83*E83+F84*E84)/SUM(F83:F84)</f>
        <v>254.94230769230768</v>
      </c>
      <c r="I83" s="496">
        <f>+'29'!I38</f>
        <v>46.292000000000002</v>
      </c>
    </row>
    <row r="84" spans="1:9">
      <c r="A84" s="596"/>
      <c r="B84" s="495" t="s">
        <v>669</v>
      </c>
      <c r="C84" s="535">
        <v>2</v>
      </c>
      <c r="D84" s="536" t="s">
        <v>745</v>
      </c>
      <c r="E84" s="536">
        <f>243*1</f>
        <v>243</v>
      </c>
      <c r="F84" s="537">
        <v>3</v>
      </c>
      <c r="G84" s="535">
        <f t="shared" si="16"/>
        <v>729</v>
      </c>
      <c r="H84" s="496"/>
      <c r="I84" s="496"/>
    </row>
    <row r="85" spans="1:9">
      <c r="A85" s="596"/>
      <c r="B85" s="495" t="s">
        <v>761</v>
      </c>
      <c r="C85" s="535">
        <v>2</v>
      </c>
      <c r="D85" s="536" t="s">
        <v>770</v>
      </c>
      <c r="E85" s="536">
        <f>140+117</f>
        <v>257</v>
      </c>
      <c r="F85" s="537">
        <v>8</v>
      </c>
      <c r="G85" s="535">
        <f t="shared" ref="G85" si="17">+E85*F85</f>
        <v>2056</v>
      </c>
      <c r="H85" s="496">
        <f>+(F85*E85)/SUM(F85:F85)</f>
        <v>257</v>
      </c>
      <c r="I85" s="496"/>
    </row>
    <row r="86" spans="1:9" ht="13.5" thickBot="1">
      <c r="A86" s="352"/>
      <c r="B86" s="368"/>
      <c r="C86" s="353"/>
      <c r="D86" s="354"/>
      <c r="E86" s="353"/>
      <c r="F86" s="353"/>
      <c r="G86" s="353"/>
      <c r="H86" s="369"/>
      <c r="I86" s="369"/>
    </row>
    <row r="87" spans="1:9">
      <c r="A87" s="596">
        <v>45960</v>
      </c>
      <c r="B87" s="495" t="s">
        <v>685</v>
      </c>
      <c r="C87" s="535">
        <v>2</v>
      </c>
      <c r="D87" s="536" t="s">
        <v>693</v>
      </c>
      <c r="E87" s="536">
        <f>270*1</f>
        <v>270</v>
      </c>
      <c r="F87" s="537">
        <v>9</v>
      </c>
      <c r="G87" s="535">
        <f t="shared" ref="G87:G88" si="18">+E87*F87</f>
        <v>2430</v>
      </c>
      <c r="H87" s="496">
        <f>+(F87*E87)/SUM(F87:F87)</f>
        <v>270</v>
      </c>
      <c r="I87" s="496">
        <f>+'30'!I38</f>
        <v>47.581000000000003</v>
      </c>
    </row>
    <row r="88" spans="1:9">
      <c r="A88" s="596"/>
      <c r="B88" s="495" t="s">
        <v>761</v>
      </c>
      <c r="C88" s="535">
        <v>2</v>
      </c>
      <c r="D88" s="536" t="s">
        <v>770</v>
      </c>
      <c r="E88" s="536">
        <f>140+117</f>
        <v>257</v>
      </c>
      <c r="F88" s="537">
        <v>15</v>
      </c>
      <c r="G88" s="535">
        <f t="shared" si="18"/>
        <v>3855</v>
      </c>
      <c r="H88" s="496">
        <f>+(F88*E88)/SUM(F88:F88)</f>
        <v>257</v>
      </c>
      <c r="I88" s="496"/>
    </row>
    <row r="89" spans="1:9">
      <c r="A89" s="596"/>
      <c r="B89" s="495" t="s">
        <v>653</v>
      </c>
      <c r="C89" s="535">
        <v>2</v>
      </c>
      <c r="D89" s="536" t="s">
        <v>692</v>
      </c>
      <c r="E89" s="536">
        <f>140+122.5</f>
        <v>262.5</v>
      </c>
      <c r="F89" s="537">
        <v>18</v>
      </c>
      <c r="G89" s="535">
        <f t="shared" ref="G89:G91" si="19">+E89*F89</f>
        <v>4725</v>
      </c>
      <c r="H89" s="496">
        <f t="shared" ref="H89:H91" si="20">+(F89*E89)/SUM(F89:F89)</f>
        <v>262.5</v>
      </c>
      <c r="I89" s="496"/>
    </row>
    <row r="90" spans="1:9">
      <c r="A90" s="596"/>
      <c r="B90" s="495" t="s">
        <v>452</v>
      </c>
      <c r="C90" s="535">
        <v>2</v>
      </c>
      <c r="D90" s="536" t="s">
        <v>783</v>
      </c>
      <c r="E90" s="536">
        <f>130*2</f>
        <v>260</v>
      </c>
      <c r="F90" s="537">
        <v>17</v>
      </c>
      <c r="G90" s="535">
        <f t="shared" si="19"/>
        <v>4420</v>
      </c>
      <c r="H90" s="496">
        <f t="shared" si="20"/>
        <v>260</v>
      </c>
      <c r="I90" s="496"/>
    </row>
    <row r="91" spans="1:9">
      <c r="A91" s="596"/>
      <c r="B91" s="495" t="s">
        <v>534</v>
      </c>
      <c r="C91" s="535">
        <v>2</v>
      </c>
      <c r="D91" s="536" t="s">
        <v>425</v>
      </c>
      <c r="E91" s="536">
        <f>256.5*1</f>
        <v>256.5</v>
      </c>
      <c r="F91" s="537">
        <v>2</v>
      </c>
      <c r="G91" s="535">
        <f t="shared" si="19"/>
        <v>513</v>
      </c>
      <c r="H91" s="496">
        <f t="shared" si="20"/>
        <v>256.5</v>
      </c>
      <c r="I91" s="496"/>
    </row>
    <row r="92" spans="1:9" ht="13.5" thickBot="1">
      <c r="A92" s="352"/>
      <c r="B92" s="368"/>
      <c r="C92" s="353"/>
      <c r="D92" s="354"/>
      <c r="E92" s="353"/>
      <c r="F92" s="353"/>
      <c r="G92" s="353"/>
      <c r="H92" s="369"/>
      <c r="I92" s="369"/>
    </row>
    <row r="93" spans="1:9">
      <c r="A93" s="596">
        <v>45961</v>
      </c>
      <c r="B93" s="495" t="s">
        <v>534</v>
      </c>
      <c r="C93" s="535">
        <v>2</v>
      </c>
      <c r="D93" s="536" t="s">
        <v>425</v>
      </c>
      <c r="E93" s="536">
        <f>256.5*1</f>
        <v>256.5</v>
      </c>
      <c r="F93" s="537">
        <v>50</v>
      </c>
      <c r="G93" s="535">
        <f t="shared" ref="G93" si="21">+E93*F93</f>
        <v>12825</v>
      </c>
      <c r="H93" s="496">
        <f t="shared" ref="H93" si="22">+(F93*E93)/SUM(F93:F93)</f>
        <v>256.5</v>
      </c>
      <c r="I93" s="496">
        <f>+'31'!I38</f>
        <v>39.597000000000001</v>
      </c>
    </row>
    <row r="94" spans="1:9" ht="13.5" thickBot="1">
      <c r="A94" s="352"/>
      <c r="B94" s="368"/>
      <c r="C94" s="353"/>
      <c r="D94" s="354"/>
      <c r="E94" s="353"/>
      <c r="F94" s="353"/>
      <c r="G94" s="353"/>
      <c r="H94" s="369"/>
      <c r="I94" s="369"/>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23"/>
  <sheetViews>
    <sheetView zoomScale="90" zoomScaleNormal="90" workbookViewId="0">
      <pane xSplit="6" ySplit="6" topLeftCell="G175" activePane="bottomRight" state="frozen"/>
      <selection pane="topRight" activeCell="F1" sqref="F1"/>
      <selection pane="bottomLeft" activeCell="A7" sqref="A7"/>
      <selection pane="bottomRight" activeCell="K180" sqref="K180"/>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8" customWidth="1"/>
    <col min="7" max="9" width="10.28515625" style="31" customWidth="1"/>
    <col min="10" max="11" width="10.28515625" style="87" customWidth="1"/>
    <col min="12" max="13" width="12.7109375" style="59" customWidth="1"/>
    <col min="14" max="15" width="10.28515625" style="31" customWidth="1"/>
    <col min="16" max="16" width="16.85546875" style="31" bestFit="1" customWidth="1"/>
    <col min="17" max="17" width="12.7109375" style="320"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2.5703125" style="31" customWidth="1"/>
    <col min="32" max="36" width="10.28515625" style="31" customWidth="1"/>
    <col min="37" max="37" width="11.85546875" style="31" customWidth="1"/>
    <col min="38" max="39" width="11.7109375" style="31" customWidth="1"/>
    <col min="40" max="41" width="10.28515625" style="31" customWidth="1"/>
    <col min="42" max="42" width="12.42578125" style="31" customWidth="1"/>
    <col min="43" max="43" width="12.5703125" style="31" customWidth="1"/>
    <col min="44" max="44" width="29.7109375" style="31" customWidth="1"/>
    <col min="45" max="45" width="10.28515625" style="31" customWidth="1"/>
    <col min="46" max="46" width="10.7109375" style="31" customWidth="1"/>
    <col min="47" max="51" width="10.28515625" style="31" customWidth="1"/>
    <col min="52" max="52" width="13.85546875" style="31" customWidth="1"/>
    <col min="53" max="53" width="10.28515625" style="31" customWidth="1"/>
    <col min="54" max="16384" width="10.28515625" style="31"/>
  </cols>
  <sheetData>
    <row r="1" spans="1:58" s="24" customFormat="1" ht="15.75">
      <c r="A1" s="23" t="s">
        <v>234</v>
      </c>
      <c r="G1" s="25"/>
      <c r="H1" s="25"/>
      <c r="I1" s="25"/>
      <c r="J1" s="84"/>
      <c r="K1" s="84"/>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4"/>
      <c r="G2" s="25"/>
      <c r="H2" s="25"/>
      <c r="I2" s="25"/>
      <c r="J2" s="84"/>
      <c r="K2" s="84"/>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59" t="s">
        <v>8</v>
      </c>
      <c r="B3" s="659" t="s">
        <v>9</v>
      </c>
      <c r="C3" s="659" t="s">
        <v>205</v>
      </c>
      <c r="D3" s="659" t="s">
        <v>102</v>
      </c>
      <c r="E3" s="659" t="s">
        <v>103</v>
      </c>
      <c r="F3" s="659" t="s">
        <v>104</v>
      </c>
      <c r="G3" s="682" t="s">
        <v>105</v>
      </c>
      <c r="H3" s="683"/>
      <c r="I3" s="683"/>
      <c r="J3" s="683"/>
      <c r="K3" s="684"/>
      <c r="L3" s="708" t="s">
        <v>106</v>
      </c>
      <c r="M3" s="709"/>
      <c r="N3" s="710"/>
      <c r="O3" s="714" t="s">
        <v>107</v>
      </c>
      <c r="P3" s="661" t="s">
        <v>119</v>
      </c>
      <c r="Q3" s="714" t="s">
        <v>108</v>
      </c>
      <c r="R3" s="663" t="s">
        <v>109</v>
      </c>
      <c r="S3" s="663" t="s">
        <v>110</v>
      </c>
      <c r="T3" s="659" t="s">
        <v>163</v>
      </c>
      <c r="U3" s="659" t="s">
        <v>162</v>
      </c>
      <c r="V3" s="659" t="s">
        <v>164</v>
      </c>
      <c r="W3" s="663" t="s">
        <v>154</v>
      </c>
      <c r="X3" s="705" t="s">
        <v>112</v>
      </c>
      <c r="Y3" s="705" t="s">
        <v>303</v>
      </c>
      <c r="Z3" s="663" t="s">
        <v>113</v>
      </c>
      <c r="AA3" s="659" t="s">
        <v>165</v>
      </c>
      <c r="AB3" s="659" t="s">
        <v>176</v>
      </c>
      <c r="AC3" s="659" t="s">
        <v>174</v>
      </c>
      <c r="AD3" s="659" t="s">
        <v>137</v>
      </c>
      <c r="AE3" s="659" t="s">
        <v>138</v>
      </c>
      <c r="AF3" s="694" t="s">
        <v>139</v>
      </c>
      <c r="AG3" s="694"/>
      <c r="AH3" s="694"/>
      <c r="AI3" s="694"/>
      <c r="AJ3" s="694"/>
      <c r="AK3" s="694"/>
      <c r="AL3" s="694"/>
      <c r="AM3" s="674" t="s">
        <v>140</v>
      </c>
      <c r="AN3" s="664" t="s">
        <v>114</v>
      </c>
      <c r="AO3" s="664"/>
      <c r="AP3" s="664"/>
      <c r="AQ3" s="664"/>
      <c r="AR3" s="664"/>
      <c r="AS3" s="665" t="s">
        <v>115</v>
      </c>
      <c r="AT3" s="688" t="s">
        <v>238</v>
      </c>
      <c r="AU3" s="689"/>
      <c r="AV3" s="667" t="s">
        <v>141</v>
      </c>
      <c r="AW3" s="668"/>
      <c r="AX3" s="669" t="s">
        <v>141</v>
      </c>
      <c r="AY3" s="670"/>
      <c r="AZ3" s="671" t="s">
        <v>312</v>
      </c>
      <c r="BA3" s="662" t="s">
        <v>116</v>
      </c>
      <c r="BB3" s="658" t="s">
        <v>117</v>
      </c>
      <c r="BC3" s="658" t="s">
        <v>118</v>
      </c>
      <c r="BD3" s="696" t="s">
        <v>407</v>
      </c>
      <c r="BE3" s="699" t="s">
        <v>408</v>
      </c>
      <c r="BF3" s="658" t="s">
        <v>409</v>
      </c>
    </row>
    <row r="4" spans="1:58" ht="12" customHeight="1">
      <c r="A4" s="692"/>
      <c r="B4" s="692"/>
      <c r="C4" s="692"/>
      <c r="D4" s="692"/>
      <c r="E4" s="692"/>
      <c r="F4" s="692"/>
      <c r="G4" s="685"/>
      <c r="H4" s="686"/>
      <c r="I4" s="686"/>
      <c r="J4" s="686"/>
      <c r="K4" s="687"/>
      <c r="L4" s="711"/>
      <c r="M4" s="712"/>
      <c r="N4" s="713"/>
      <c r="O4" s="715"/>
      <c r="P4" s="680"/>
      <c r="Q4" s="715"/>
      <c r="R4" s="695"/>
      <c r="S4" s="695"/>
      <c r="T4" s="692"/>
      <c r="U4" s="692"/>
      <c r="V4" s="692"/>
      <c r="W4" s="695"/>
      <c r="X4" s="706"/>
      <c r="Y4" s="706"/>
      <c r="Z4" s="695"/>
      <c r="AA4" s="692"/>
      <c r="AB4" s="692"/>
      <c r="AC4" s="692"/>
      <c r="AD4" s="692"/>
      <c r="AE4" s="692"/>
      <c r="AF4" s="677" t="s">
        <v>142</v>
      </c>
      <c r="AG4" s="678"/>
      <c r="AH4" s="679"/>
      <c r="AI4" s="680" t="s">
        <v>803</v>
      </c>
      <c r="AJ4" s="680" t="s">
        <v>15</v>
      </c>
      <c r="AK4" s="680" t="s">
        <v>143</v>
      </c>
      <c r="AL4" s="680" t="s">
        <v>18</v>
      </c>
      <c r="AM4" s="675"/>
      <c r="AN4" s="660" t="s">
        <v>120</v>
      </c>
      <c r="AO4" s="660" t="s">
        <v>15</v>
      </c>
      <c r="AP4" s="660" t="s">
        <v>121</v>
      </c>
      <c r="AQ4" s="660" t="s">
        <v>18</v>
      </c>
      <c r="AR4" s="662" t="s">
        <v>122</v>
      </c>
      <c r="AS4" s="665"/>
      <c r="AT4" s="690"/>
      <c r="AU4" s="691"/>
      <c r="AV4" s="500" t="s">
        <v>7</v>
      </c>
      <c r="AW4" s="500" t="s">
        <v>144</v>
      </c>
      <c r="AX4" s="501" t="s">
        <v>7</v>
      </c>
      <c r="AY4" s="502" t="s">
        <v>144</v>
      </c>
      <c r="AZ4" s="672"/>
      <c r="BA4" s="662"/>
      <c r="BB4" s="658"/>
      <c r="BC4" s="658"/>
      <c r="BD4" s="697"/>
      <c r="BE4" s="700"/>
      <c r="BF4" s="658"/>
    </row>
    <row r="5" spans="1:58" s="34" customFormat="1" ht="48">
      <c r="A5" s="692"/>
      <c r="B5" s="692"/>
      <c r="C5" s="693"/>
      <c r="D5" s="692"/>
      <c r="E5" s="692"/>
      <c r="F5" s="692"/>
      <c r="G5" s="484" t="s">
        <v>123</v>
      </c>
      <c r="H5" s="483" t="s">
        <v>124</v>
      </c>
      <c r="I5" s="32" t="s">
        <v>125</v>
      </c>
      <c r="J5" s="85" t="s">
        <v>126</v>
      </c>
      <c r="K5" s="85" t="s">
        <v>111</v>
      </c>
      <c r="L5" s="33" t="s">
        <v>127</v>
      </c>
      <c r="M5" s="33" t="s">
        <v>128</v>
      </c>
      <c r="N5" s="483" t="s">
        <v>129</v>
      </c>
      <c r="O5" s="715"/>
      <c r="P5" s="681"/>
      <c r="Q5" s="715"/>
      <c r="R5" s="695"/>
      <c r="S5" s="695"/>
      <c r="T5" s="692"/>
      <c r="U5" s="692"/>
      <c r="V5" s="692"/>
      <c r="W5" s="695"/>
      <c r="X5" s="706"/>
      <c r="Y5" s="707"/>
      <c r="Z5" s="695"/>
      <c r="AA5" s="692"/>
      <c r="AB5" s="693"/>
      <c r="AC5" s="692"/>
      <c r="AD5" s="693"/>
      <c r="AE5" s="692"/>
      <c r="AF5" s="414" t="s">
        <v>222</v>
      </c>
      <c r="AG5" s="504" t="s">
        <v>223</v>
      </c>
      <c r="AH5" s="504" t="s">
        <v>224</v>
      </c>
      <c r="AI5" s="681"/>
      <c r="AJ5" s="681"/>
      <c r="AK5" s="681"/>
      <c r="AL5" s="681"/>
      <c r="AM5" s="676"/>
      <c r="AN5" s="661"/>
      <c r="AO5" s="661"/>
      <c r="AP5" s="661"/>
      <c r="AQ5" s="661"/>
      <c r="AR5" s="663"/>
      <c r="AS5" s="666"/>
      <c r="AT5" s="505" t="s">
        <v>300</v>
      </c>
      <c r="AU5" s="505" t="s">
        <v>301</v>
      </c>
      <c r="AV5" s="503" t="s">
        <v>302</v>
      </c>
      <c r="AW5" s="503" t="s">
        <v>302</v>
      </c>
      <c r="AX5" s="501" t="s">
        <v>17</v>
      </c>
      <c r="AY5" s="501" t="s">
        <v>17</v>
      </c>
      <c r="AZ5" s="673"/>
      <c r="BA5" s="663"/>
      <c r="BB5" s="659"/>
      <c r="BC5" s="659"/>
      <c r="BD5" s="698"/>
      <c r="BE5" s="701"/>
      <c r="BF5" s="702"/>
    </row>
    <row r="6" spans="1:58" ht="12.95" customHeight="1">
      <c r="A6" s="42">
        <f>+Report1!A9</f>
        <v>45931</v>
      </c>
      <c r="B6" s="43" t="s">
        <v>421</v>
      </c>
      <c r="C6" s="402">
        <f>(M6*E6*O6*Q6)/100000000</f>
        <v>52.744607999999999</v>
      </c>
      <c r="D6" s="43" t="s">
        <v>413</v>
      </c>
      <c r="E6" s="44">
        <v>17</v>
      </c>
      <c r="F6" s="44">
        <v>1</v>
      </c>
      <c r="G6" s="415">
        <v>1025</v>
      </c>
      <c r="H6" s="557">
        <f>+N6</f>
        <v>0.19999999999999996</v>
      </c>
      <c r="I6" s="47">
        <v>0.88</v>
      </c>
      <c r="J6" s="86">
        <f>E6*G6*(1-H6)*1440/1000000*2.74</f>
        <v>55.001663999999998</v>
      </c>
      <c r="K6" s="86">
        <f>(IF(G6&lt;L6,L6,G6)*(1-IF(H6&lt;N6,H6,N6))*E6*O6*Q6)/100000000</f>
        <v>52.744607999999999</v>
      </c>
      <c r="L6" s="37">
        <v>1050</v>
      </c>
      <c r="M6" s="37">
        <v>840</v>
      </c>
      <c r="N6" s="48">
        <f>1-(M6/L6)</f>
        <v>0.19999999999999996</v>
      </c>
      <c r="O6" s="49">
        <f>+'Trim Rwd'!H4</f>
        <v>256.5</v>
      </c>
      <c r="P6" s="50">
        <f>O6*(Q6-R6-S6)</f>
        <v>0</v>
      </c>
      <c r="Q6" s="49">
        <v>1440</v>
      </c>
      <c r="R6" s="371">
        <v>1440</v>
      </c>
      <c r="S6" s="371">
        <v>0</v>
      </c>
      <c r="T6" s="39">
        <f>E6*M6*O6*Q6/100000000</f>
        <v>52.744607999999999</v>
      </c>
      <c r="U6" s="39">
        <f>E6*M6*O6*(Q6-R6-S6)/100000000</f>
        <v>0</v>
      </c>
      <c r="V6" s="39">
        <f>E6*G6*(1-N6)*O6/100*(R6+S6)/1000000</f>
        <v>51.488784000000003</v>
      </c>
      <c r="W6" s="39">
        <f>+'1'!K7/1000</f>
        <v>3.3639999999999999</v>
      </c>
      <c r="X6" s="370">
        <f>SUM(W6:W9)/SUM(K6:K9)</f>
        <v>6.3779031213958406E-2</v>
      </c>
      <c r="Y6" s="39">
        <v>0</v>
      </c>
      <c r="Z6" s="39">
        <f>+'1'!D34/1000</f>
        <v>0</v>
      </c>
      <c r="AA6" s="51">
        <f>SUM(U6:U9)-SUM(W6:W9)-SUM(Z6:Z9)-SUM(Y6:Y9)</f>
        <v>-3.3639999999999999</v>
      </c>
      <c r="AB6" s="51">
        <f>(SUM(K6:K9)-SUM(W6:W9)-SUM(Y6:Y9)-SUM(Z6:Z9)-SUM(AC6:AC9)-SUM(V6:V9))-AA6</f>
        <v>1.2558239999999996</v>
      </c>
      <c r="AC6" s="39">
        <f>K6-T6</f>
        <v>0</v>
      </c>
      <c r="AD6" s="39">
        <f>+AM6+BA6</f>
        <v>0</v>
      </c>
      <c r="AE6" s="230" t="s">
        <v>418</v>
      </c>
      <c r="AF6" s="39">
        <v>0</v>
      </c>
      <c r="AG6" s="39"/>
      <c r="AH6" s="39"/>
      <c r="AI6" s="485"/>
      <c r="AJ6" s="39"/>
      <c r="AK6" s="39"/>
      <c r="AL6" s="39"/>
      <c r="AM6" s="39">
        <f>SUM(AF6:AL6)+AT6+AV6+AX6</f>
        <v>0</v>
      </c>
      <c r="AN6" s="39"/>
      <c r="AO6" s="39"/>
      <c r="AP6" s="39"/>
      <c r="AQ6" s="39"/>
      <c r="AR6" s="39">
        <f>SUM(AN6:AQ6)</f>
        <v>0</v>
      </c>
      <c r="AS6" s="39"/>
      <c r="AT6" s="39"/>
      <c r="AU6" s="39"/>
      <c r="AV6" s="39"/>
      <c r="AW6" s="39"/>
      <c r="AX6" s="39"/>
      <c r="AY6" s="39"/>
      <c r="AZ6" s="39"/>
      <c r="BA6" s="39">
        <f>+AR6+AS6+AU6+AW6+AY6+AZ6</f>
        <v>0</v>
      </c>
      <c r="BB6" s="35">
        <v>0</v>
      </c>
      <c r="BC6" s="53"/>
      <c r="BD6" s="53"/>
      <c r="BE6" s="35"/>
      <c r="BF6" s="53"/>
    </row>
    <row r="7" spans="1:58" ht="12.95" customHeight="1">
      <c r="A7" s="42"/>
      <c r="B7" s="43"/>
      <c r="C7" s="402"/>
      <c r="D7" s="43"/>
      <c r="E7" s="44"/>
      <c r="F7" s="44"/>
      <c r="G7" s="415"/>
      <c r="H7" s="557"/>
      <c r="I7" s="47"/>
      <c r="J7" s="86"/>
      <c r="K7" s="86"/>
      <c r="L7" s="37"/>
      <c r="M7" s="37"/>
      <c r="N7" s="48"/>
      <c r="O7" s="49"/>
      <c r="P7" s="50"/>
      <c r="Q7" s="49"/>
      <c r="R7" s="371"/>
      <c r="S7" s="371"/>
      <c r="T7" s="39"/>
      <c r="U7" s="39"/>
      <c r="V7" s="39"/>
      <c r="W7" s="39"/>
      <c r="X7" s="40"/>
      <c r="Y7" s="213"/>
      <c r="Z7" s="39"/>
      <c r="AA7" s="39"/>
      <c r="AB7" s="39"/>
      <c r="AC7" s="39"/>
      <c r="AD7" s="39">
        <f t="shared" ref="AD7:AD8" si="0">+AM7+BA7</f>
        <v>0</v>
      </c>
      <c r="AE7" s="230" t="s">
        <v>419</v>
      </c>
      <c r="AF7" s="39"/>
      <c r="AG7" s="39">
        <v>0</v>
      </c>
      <c r="AH7" s="39"/>
      <c r="AI7" s="485"/>
      <c r="AJ7" s="39"/>
      <c r="AK7" s="39"/>
      <c r="AL7" s="39"/>
      <c r="AM7" s="39">
        <f t="shared" ref="AM7:AM8" si="1">SUM(AF7:AL7)+AT7+AV7+AX7</f>
        <v>0</v>
      </c>
      <c r="AN7" s="87"/>
      <c r="AO7" s="39"/>
      <c r="AP7" s="39"/>
      <c r="AQ7" s="39"/>
      <c r="AR7" s="39">
        <f t="shared" ref="AR7:AR8" si="2">SUM(AN7:AQ7)</f>
        <v>0</v>
      </c>
      <c r="AS7" s="39"/>
      <c r="AT7" s="39"/>
      <c r="AU7" s="39"/>
      <c r="AV7" s="39"/>
      <c r="AW7" s="39"/>
      <c r="AX7" s="39"/>
      <c r="AY7" s="39"/>
      <c r="AZ7" s="39"/>
      <c r="BA7" s="39">
        <f t="shared" ref="BA7:BA8" si="3">+AR7+AS7+AU7+AW7+AY7+AZ7</f>
        <v>0</v>
      </c>
      <c r="BB7" s="52"/>
      <c r="BC7" s="53">
        <v>0</v>
      </c>
      <c r="BD7" s="53"/>
      <c r="BE7" s="52"/>
      <c r="BF7" s="53"/>
    </row>
    <row r="8" spans="1:58" ht="12.95" customHeight="1">
      <c r="A8" s="42"/>
      <c r="B8" s="43"/>
      <c r="C8" s="402"/>
      <c r="D8" s="43"/>
      <c r="E8" s="44"/>
      <c r="F8" s="44"/>
      <c r="G8" s="45"/>
      <c r="H8" s="46"/>
      <c r="I8" s="47"/>
      <c r="J8" s="86"/>
      <c r="K8" s="86"/>
      <c r="L8" s="37"/>
      <c r="M8" s="37"/>
      <c r="N8" s="48"/>
      <c r="O8" s="49"/>
      <c r="P8" s="50"/>
      <c r="Q8" s="49"/>
      <c r="R8" s="371"/>
      <c r="S8" s="371"/>
      <c r="T8" s="39"/>
      <c r="U8" s="39"/>
      <c r="V8" s="39"/>
      <c r="W8" s="39"/>
      <c r="X8" s="40"/>
      <c r="Y8" s="213"/>
      <c r="Z8" s="39"/>
      <c r="AA8" s="39"/>
      <c r="AB8" s="39"/>
      <c r="AC8" s="39"/>
      <c r="AD8" s="39">
        <f t="shared" si="0"/>
        <v>0</v>
      </c>
      <c r="AE8" s="230" t="s">
        <v>420</v>
      </c>
      <c r="AF8" s="35"/>
      <c r="AG8" s="35"/>
      <c r="AH8" s="35">
        <v>0</v>
      </c>
      <c r="AJ8" s="39"/>
      <c r="AK8" s="39"/>
      <c r="AL8" s="39"/>
      <c r="AM8" s="39">
        <f t="shared" si="1"/>
        <v>0</v>
      </c>
      <c r="AN8" s="39"/>
      <c r="AO8" s="39"/>
      <c r="AP8" s="39"/>
      <c r="AQ8" s="39"/>
      <c r="AR8" s="39">
        <f t="shared" si="2"/>
        <v>0</v>
      </c>
      <c r="AS8" s="39"/>
      <c r="AT8" s="39"/>
      <c r="AU8" s="39"/>
      <c r="AV8" s="39"/>
      <c r="AW8" s="39"/>
      <c r="AX8" s="39"/>
      <c r="AY8" s="39"/>
      <c r="AZ8" s="39"/>
      <c r="BA8" s="39">
        <f t="shared" si="3"/>
        <v>0</v>
      </c>
      <c r="BB8" s="35"/>
      <c r="BC8" s="486"/>
      <c r="BD8" s="486"/>
      <c r="BE8" s="35"/>
      <c r="BF8" s="486"/>
    </row>
    <row r="9" spans="1:58" ht="12.95" customHeight="1">
      <c r="A9" s="42"/>
      <c r="B9" s="43"/>
      <c r="C9" s="402"/>
      <c r="D9" s="43"/>
      <c r="E9" s="44"/>
      <c r="F9" s="44"/>
      <c r="G9" s="45"/>
      <c r="H9" s="46"/>
      <c r="I9" s="47"/>
      <c r="J9" s="86"/>
      <c r="K9" s="86"/>
      <c r="L9" s="37"/>
      <c r="M9" s="37"/>
      <c r="N9" s="48"/>
      <c r="O9" s="49"/>
      <c r="P9" s="50"/>
      <c r="Q9" s="49"/>
      <c r="R9" s="371"/>
      <c r="S9" s="371"/>
      <c r="T9" s="39"/>
      <c r="U9" s="39"/>
      <c r="V9" s="39"/>
      <c r="W9" s="39"/>
      <c r="X9" s="40"/>
      <c r="Y9" s="213"/>
      <c r="Z9" s="39"/>
      <c r="AA9" s="39"/>
      <c r="AB9" s="39"/>
      <c r="AC9" s="39"/>
      <c r="AD9" s="39">
        <f t="shared" ref="AD9" si="4">+AM9+BA9</f>
        <v>1440</v>
      </c>
      <c r="AE9" s="230" t="s">
        <v>422</v>
      </c>
      <c r="AF9" s="35"/>
      <c r="AG9" s="35"/>
      <c r="AH9" s="35"/>
      <c r="AJ9" s="39"/>
      <c r="AK9" s="39"/>
      <c r="AL9" s="39"/>
      <c r="AM9" s="39">
        <f t="shared" ref="AM9" si="5">SUM(AF9:AL9)+AT9+AV9+AX9</f>
        <v>0</v>
      </c>
      <c r="AN9" s="39"/>
      <c r="AO9" s="39"/>
      <c r="AP9" s="39"/>
      <c r="AQ9" s="39"/>
      <c r="AR9" s="39">
        <f t="shared" ref="AR9" si="6">SUM(AN9:AQ9)</f>
        <v>0</v>
      </c>
      <c r="AS9" s="39"/>
      <c r="AT9" s="39"/>
      <c r="AU9" s="39">
        <v>1440</v>
      </c>
      <c r="AV9" s="39"/>
      <c r="AW9" s="39"/>
      <c r="AX9" s="39"/>
      <c r="AY9" s="39"/>
      <c r="AZ9" s="39"/>
      <c r="BA9" s="39">
        <f t="shared" ref="BA9" si="7">+AR9+AS9+AU9+AW9+AY9+AZ9</f>
        <v>1440</v>
      </c>
      <c r="BB9" s="35"/>
      <c r="BC9" s="486"/>
      <c r="BD9" s="486"/>
      <c r="BE9" s="35"/>
      <c r="BF9" s="486"/>
    </row>
    <row r="10" spans="1:58" ht="12.95" customHeight="1">
      <c r="A10" s="42"/>
      <c r="B10" s="43"/>
      <c r="C10" s="402"/>
      <c r="D10" s="43"/>
      <c r="E10" s="44"/>
      <c r="F10" s="44"/>
      <c r="G10" s="415"/>
      <c r="H10" s="46"/>
      <c r="I10" s="47"/>
      <c r="J10" s="86"/>
      <c r="K10" s="86"/>
      <c r="L10" s="37"/>
      <c r="M10" s="37"/>
      <c r="N10" s="48"/>
      <c r="O10" s="49"/>
      <c r="P10" s="50"/>
      <c r="Q10" s="49"/>
      <c r="R10" s="371"/>
      <c r="S10" s="371"/>
      <c r="T10" s="39"/>
      <c r="U10" s="39"/>
      <c r="V10" s="39"/>
      <c r="W10" s="39"/>
      <c r="X10" s="370"/>
      <c r="Y10" s="39"/>
      <c r="Z10" s="39"/>
      <c r="AA10" s="51"/>
      <c r="AB10" s="51"/>
      <c r="AC10" s="39"/>
      <c r="AD10" s="39"/>
      <c r="AE10" s="230"/>
      <c r="AF10" s="39"/>
      <c r="AG10" s="39"/>
      <c r="AH10" s="39"/>
      <c r="AI10" s="485"/>
      <c r="AJ10" s="39"/>
      <c r="AK10" s="39"/>
      <c r="AL10" s="39"/>
      <c r="AM10" s="39"/>
      <c r="AN10" s="39"/>
      <c r="AO10" s="39"/>
      <c r="AP10" s="39"/>
      <c r="AQ10" s="39"/>
      <c r="AR10" s="39"/>
      <c r="AS10" s="39"/>
      <c r="AT10" s="39"/>
      <c r="AU10" s="39"/>
      <c r="AV10" s="39"/>
      <c r="AW10" s="39"/>
      <c r="AX10" s="39"/>
      <c r="AY10" s="39"/>
      <c r="AZ10" s="39"/>
      <c r="BA10" s="39"/>
      <c r="BB10" s="35"/>
      <c r="BC10" s="53"/>
      <c r="BD10" s="53"/>
      <c r="BE10" s="35"/>
      <c r="BF10" s="53"/>
    </row>
    <row r="11" spans="1:58" ht="12.95" customHeight="1">
      <c r="A11" s="42">
        <v>45932</v>
      </c>
      <c r="B11" s="43" t="s">
        <v>421</v>
      </c>
      <c r="C11" s="402">
        <f>(M11*E11*O11*Q11)/100000000</f>
        <v>52.744607999999999</v>
      </c>
      <c r="D11" s="43" t="s">
        <v>413</v>
      </c>
      <c r="E11" s="44">
        <v>17</v>
      </c>
      <c r="F11" s="44">
        <v>1</v>
      </c>
      <c r="G11" s="415">
        <v>1025</v>
      </c>
      <c r="H11" s="557">
        <f>+N11</f>
        <v>0.19999999999999996</v>
      </c>
      <c r="I11" s="47">
        <v>0.88</v>
      </c>
      <c r="J11" s="86">
        <f>E11*G11*(1-H11)*1440/1000000*2.74</f>
        <v>55.001663999999998</v>
      </c>
      <c r="K11" s="86">
        <f>(IF(G11&lt;L11,L11,G11)*(1-IF(H11&lt;N11,H11,N11))*E11*O11*Q11)/100000000</f>
        <v>52.744607999999999</v>
      </c>
      <c r="L11" s="37">
        <v>1050</v>
      </c>
      <c r="M11" s="37">
        <v>840</v>
      </c>
      <c r="N11" s="48">
        <f>1-(M11/L11)</f>
        <v>0.19999999999999996</v>
      </c>
      <c r="O11" s="49">
        <f>+'Trim Rwd'!H6</f>
        <v>256.5</v>
      </c>
      <c r="P11" s="50">
        <f>O11*(Q11-R11-S11)</f>
        <v>0</v>
      </c>
      <c r="Q11" s="49">
        <v>1440</v>
      </c>
      <c r="R11" s="371">
        <v>1440</v>
      </c>
      <c r="S11" s="371">
        <v>0</v>
      </c>
      <c r="T11" s="39">
        <f>E11*M11*O11*Q11/100000000</f>
        <v>52.744607999999999</v>
      </c>
      <c r="U11" s="39">
        <f>E11*M11*O11*(Q11-R11-S11)/100000000</f>
        <v>0</v>
      </c>
      <c r="V11" s="39">
        <f>E11*G11*(1-N11)*O11/100*(R11+S11)/1000000</f>
        <v>51.488784000000003</v>
      </c>
      <c r="W11" s="39">
        <f>+'1'!K12/1000</f>
        <v>0</v>
      </c>
      <c r="X11" s="370">
        <f>SUM(W11:W14)/SUM(K11:K14)</f>
        <v>0</v>
      </c>
      <c r="Y11" s="39">
        <v>0</v>
      </c>
      <c r="Z11" s="39">
        <f>+'1'!D39/1000</f>
        <v>0</v>
      </c>
      <c r="AA11" s="51">
        <f>SUM(U11:U14)-SUM(W11:W14)-SUM(Z11:Z14)-SUM(Y11:Y14)</f>
        <v>0</v>
      </c>
      <c r="AB11" s="51">
        <f>(SUM(K11:K14)-SUM(W11:W14)-SUM(Y11:Y14)-SUM(Z11:Z14)-SUM(AC11:AC14)-SUM(V11:V14))-AA11</f>
        <v>1.2558239999999969</v>
      </c>
      <c r="AC11" s="39">
        <f>K11-T11</f>
        <v>0</v>
      </c>
      <c r="AD11" s="39">
        <f>+AM11+BA11</f>
        <v>0</v>
      </c>
      <c r="AE11" s="230" t="s">
        <v>418</v>
      </c>
      <c r="AF11" s="39">
        <v>0</v>
      </c>
      <c r="AG11" s="39"/>
      <c r="AH11" s="39"/>
      <c r="AI11" s="485"/>
      <c r="AJ11" s="39"/>
      <c r="AK11" s="39"/>
      <c r="AL11" s="39"/>
      <c r="AM11" s="39">
        <f>SUM(AF11:AL11)+AT11+AV11+AX11</f>
        <v>0</v>
      </c>
      <c r="AN11" s="39"/>
      <c r="AO11" s="39"/>
      <c r="AP11" s="39"/>
      <c r="AQ11" s="39"/>
      <c r="AR11" s="39">
        <f>SUM(AN11:AQ11)</f>
        <v>0</v>
      </c>
      <c r="AS11" s="39"/>
      <c r="AT11" s="39"/>
      <c r="AU11" s="39"/>
      <c r="AV11" s="39"/>
      <c r="AW11" s="39"/>
      <c r="AX11" s="39"/>
      <c r="AY11" s="39"/>
      <c r="AZ11" s="39"/>
      <c r="BA11" s="39">
        <f>+AR11+AS11+AU11+AW11+AY11+AZ11</f>
        <v>0</v>
      </c>
      <c r="BB11" s="35">
        <v>0</v>
      </c>
      <c r="BC11" s="53"/>
      <c r="BD11" s="53"/>
      <c r="BE11" s="35"/>
      <c r="BF11" s="53"/>
    </row>
    <row r="12" spans="1:58" ht="12.95" customHeight="1">
      <c r="A12" s="42"/>
      <c r="B12" s="43"/>
      <c r="C12" s="402"/>
      <c r="D12" s="43"/>
      <c r="E12" s="44"/>
      <c r="F12" s="44"/>
      <c r="G12" s="415"/>
      <c r="H12" s="557"/>
      <c r="I12" s="47"/>
      <c r="J12" s="86"/>
      <c r="K12" s="86"/>
      <c r="L12" s="37"/>
      <c r="M12" s="37"/>
      <c r="N12" s="48"/>
      <c r="O12" s="49"/>
      <c r="P12" s="50"/>
      <c r="Q12" s="49"/>
      <c r="R12" s="371"/>
      <c r="S12" s="371"/>
      <c r="T12" s="39"/>
      <c r="U12" s="39"/>
      <c r="V12" s="39"/>
      <c r="W12" s="39"/>
      <c r="X12" s="40"/>
      <c r="Y12" s="213"/>
      <c r="Z12" s="39"/>
      <c r="AA12" s="39"/>
      <c r="AB12" s="39"/>
      <c r="AC12" s="39"/>
      <c r="AD12" s="39">
        <f t="shared" ref="AD12:AD14" si="8">+AM12+BA12</f>
        <v>0</v>
      </c>
      <c r="AE12" s="230" t="s">
        <v>419</v>
      </c>
      <c r="AF12" s="39"/>
      <c r="AG12" s="39">
        <v>0</v>
      </c>
      <c r="AH12" s="39"/>
      <c r="AI12" s="485"/>
      <c r="AJ12" s="39"/>
      <c r="AK12" s="39"/>
      <c r="AL12" s="39"/>
      <c r="AM12" s="39">
        <f t="shared" ref="AM12:AM13" si="9">SUM(AF12:AL12)+AT12+AV12+AX12</f>
        <v>0</v>
      </c>
      <c r="AN12" s="87"/>
      <c r="AO12" s="39"/>
      <c r="AP12" s="39"/>
      <c r="AQ12" s="39"/>
      <c r="AR12" s="39">
        <f t="shared" ref="AR12:AR13" si="10">SUM(AN12:AQ12)</f>
        <v>0</v>
      </c>
      <c r="AS12" s="39"/>
      <c r="AT12" s="39"/>
      <c r="AU12" s="39"/>
      <c r="AV12" s="39"/>
      <c r="AW12" s="39"/>
      <c r="AX12" s="39"/>
      <c r="AY12" s="39"/>
      <c r="AZ12" s="39"/>
      <c r="BA12" s="39">
        <f t="shared" ref="BA12:BA14" si="11">+AR12+AS12+AU12+AW12+AY12+AZ12</f>
        <v>0</v>
      </c>
      <c r="BB12" s="52"/>
      <c r="BC12" s="53">
        <v>0</v>
      </c>
      <c r="BD12" s="53"/>
      <c r="BE12" s="52"/>
      <c r="BF12" s="53"/>
    </row>
    <row r="13" spans="1:58" ht="12.95" customHeight="1">
      <c r="A13" s="42"/>
      <c r="B13" s="43"/>
      <c r="C13" s="402"/>
      <c r="D13" s="43"/>
      <c r="E13" s="44"/>
      <c r="F13" s="44"/>
      <c r="G13" s="45"/>
      <c r="H13" s="46"/>
      <c r="I13" s="47"/>
      <c r="J13" s="86"/>
      <c r="K13" s="86"/>
      <c r="L13" s="37"/>
      <c r="M13" s="37"/>
      <c r="N13" s="48"/>
      <c r="O13" s="49"/>
      <c r="P13" s="50"/>
      <c r="Q13" s="49"/>
      <c r="R13" s="371"/>
      <c r="S13" s="371"/>
      <c r="T13" s="39"/>
      <c r="U13" s="39"/>
      <c r="V13" s="39"/>
      <c r="W13" s="39"/>
      <c r="X13" s="40"/>
      <c r="Y13" s="213"/>
      <c r="Z13" s="39"/>
      <c r="AA13" s="39"/>
      <c r="AB13" s="39"/>
      <c r="AC13" s="39"/>
      <c r="AD13" s="39">
        <f t="shared" si="8"/>
        <v>0</v>
      </c>
      <c r="AE13" s="230" t="s">
        <v>420</v>
      </c>
      <c r="AF13" s="35"/>
      <c r="AG13" s="35"/>
      <c r="AH13" s="35">
        <v>0</v>
      </c>
      <c r="AJ13" s="39"/>
      <c r="AK13" s="39"/>
      <c r="AL13" s="39"/>
      <c r="AM13" s="39">
        <f t="shared" si="9"/>
        <v>0</v>
      </c>
      <c r="AN13" s="39"/>
      <c r="AO13" s="39"/>
      <c r="AP13" s="39"/>
      <c r="AQ13" s="39"/>
      <c r="AR13" s="39">
        <f t="shared" si="10"/>
        <v>0</v>
      </c>
      <c r="AS13" s="39"/>
      <c r="AT13" s="39"/>
      <c r="AU13" s="39"/>
      <c r="AV13" s="39"/>
      <c r="AW13" s="39"/>
      <c r="AX13" s="39"/>
      <c r="AY13" s="39"/>
      <c r="AZ13" s="39"/>
      <c r="BA13" s="39">
        <f t="shared" si="11"/>
        <v>0</v>
      </c>
      <c r="BB13" s="35"/>
      <c r="BC13" s="486"/>
      <c r="BD13" s="486"/>
      <c r="BE13" s="35"/>
      <c r="BF13" s="486"/>
    </row>
    <row r="14" spans="1:58" ht="12.95" customHeight="1">
      <c r="A14" s="42"/>
      <c r="B14" s="43"/>
      <c r="C14" s="402"/>
      <c r="D14" s="43"/>
      <c r="E14" s="44"/>
      <c r="F14" s="44"/>
      <c r="G14" s="45"/>
      <c r="H14" s="46"/>
      <c r="I14" s="47"/>
      <c r="J14" s="86"/>
      <c r="K14" s="86"/>
      <c r="L14" s="37"/>
      <c r="M14" s="37"/>
      <c r="N14" s="48"/>
      <c r="O14" s="49"/>
      <c r="P14" s="50"/>
      <c r="Q14" s="49"/>
      <c r="R14" s="371"/>
      <c r="S14" s="371"/>
      <c r="T14" s="39"/>
      <c r="U14" s="39"/>
      <c r="V14" s="39"/>
      <c r="W14" s="39"/>
      <c r="X14" s="40"/>
      <c r="Y14" s="213"/>
      <c r="Z14" s="39"/>
      <c r="AA14" s="39"/>
      <c r="AB14" s="39"/>
      <c r="AC14" s="39"/>
      <c r="AD14" s="39">
        <f t="shared" si="8"/>
        <v>1440</v>
      </c>
      <c r="AE14" s="230" t="s">
        <v>422</v>
      </c>
      <c r="AF14" s="35"/>
      <c r="AG14" s="35"/>
      <c r="AH14" s="35"/>
      <c r="AJ14" s="39"/>
      <c r="AK14" s="39"/>
      <c r="AL14" s="39"/>
      <c r="AM14" s="39">
        <f t="shared" ref="AM14" si="12">SUM(AF14:AL14)+AT14+AV14+AX14</f>
        <v>0</v>
      </c>
      <c r="AN14" s="39"/>
      <c r="AO14" s="39"/>
      <c r="AP14" s="39"/>
      <c r="AQ14" s="39"/>
      <c r="AR14" s="39">
        <f t="shared" ref="AR14" si="13">SUM(AN14:AQ14)</f>
        <v>0</v>
      </c>
      <c r="AS14" s="39"/>
      <c r="AT14" s="39"/>
      <c r="AU14" s="39">
        <v>1440</v>
      </c>
      <c r="AV14" s="39"/>
      <c r="AW14" s="39"/>
      <c r="AX14" s="39"/>
      <c r="AY14" s="39"/>
      <c r="AZ14" s="39"/>
      <c r="BA14" s="39">
        <f t="shared" si="11"/>
        <v>1440</v>
      </c>
      <c r="BB14" s="35"/>
      <c r="BC14" s="486"/>
      <c r="BD14" s="486"/>
      <c r="BE14" s="35"/>
      <c r="BF14" s="486"/>
    </row>
    <row r="15" spans="1:58" ht="12.95" customHeight="1">
      <c r="A15" s="42"/>
      <c r="B15" s="43"/>
      <c r="C15" s="402"/>
      <c r="D15" s="43"/>
      <c r="E15" s="44"/>
      <c r="F15" s="44"/>
      <c r="G15" s="415"/>
      <c r="H15" s="46"/>
      <c r="I15" s="47"/>
      <c r="J15" s="86"/>
      <c r="K15" s="86"/>
      <c r="L15" s="37"/>
      <c r="M15" s="37"/>
      <c r="N15" s="48"/>
      <c r="O15" s="49"/>
      <c r="P15" s="50"/>
      <c r="Q15" s="49"/>
      <c r="R15" s="371"/>
      <c r="S15" s="371"/>
      <c r="T15" s="39"/>
      <c r="U15" s="39"/>
      <c r="V15" s="39"/>
      <c r="W15" s="39"/>
      <c r="X15" s="370"/>
      <c r="Y15" s="39"/>
      <c r="Z15" s="39"/>
      <c r="AA15" s="51"/>
      <c r="AB15" s="51"/>
      <c r="AC15" s="39"/>
      <c r="AD15" s="39"/>
      <c r="AE15" s="230"/>
      <c r="AF15" s="39"/>
      <c r="AG15" s="39"/>
      <c r="AH15" s="39"/>
      <c r="AI15" s="485"/>
      <c r="AJ15" s="39"/>
      <c r="AK15" s="39"/>
      <c r="AL15" s="39"/>
      <c r="AM15" s="39"/>
      <c r="AN15" s="39"/>
      <c r="AO15" s="39"/>
      <c r="AP15" s="39"/>
      <c r="AQ15" s="39"/>
      <c r="AR15" s="39"/>
      <c r="AS15" s="39"/>
      <c r="AT15" s="39"/>
      <c r="AU15" s="39"/>
      <c r="AV15" s="39"/>
      <c r="AW15" s="39"/>
      <c r="AX15" s="39"/>
      <c r="AY15" s="39"/>
      <c r="AZ15" s="39"/>
      <c r="BA15" s="39"/>
      <c r="BB15" s="35"/>
      <c r="BC15" s="53"/>
      <c r="BD15" s="53"/>
      <c r="BE15" s="52"/>
      <c r="BF15" s="53"/>
    </row>
    <row r="16" spans="1:58" ht="12.95" customHeight="1">
      <c r="A16" s="42">
        <v>45933</v>
      </c>
      <c r="B16" s="43" t="s">
        <v>421</v>
      </c>
      <c r="C16" s="402">
        <f>(M16*E16*O16*Q16)/100000000</f>
        <v>52.744607999999999</v>
      </c>
      <c r="D16" s="43" t="s">
        <v>413</v>
      </c>
      <c r="E16" s="44">
        <v>17</v>
      </c>
      <c r="F16" s="44">
        <v>1</v>
      </c>
      <c r="G16" s="415">
        <v>1025</v>
      </c>
      <c r="H16" s="557">
        <f>+N16</f>
        <v>0.19999999999999996</v>
      </c>
      <c r="I16" s="47">
        <v>0.88</v>
      </c>
      <c r="J16" s="86">
        <f>E16*G16*(1-H16)*1440/1000000*2.74</f>
        <v>55.001663999999998</v>
      </c>
      <c r="K16" s="86">
        <f>(IF(G16&lt;L16,L16,G16)*(1-IF(H16&lt;N16,H16,N16))*E16*O16*Q16)/100000000</f>
        <v>52.744607999999999</v>
      </c>
      <c r="L16" s="37">
        <v>1050</v>
      </c>
      <c r="M16" s="37">
        <v>840</v>
      </c>
      <c r="N16" s="48">
        <f>1-(M16/L16)</f>
        <v>0.19999999999999996</v>
      </c>
      <c r="O16" s="49">
        <f>+'Trim Rwd'!H8</f>
        <v>256.5</v>
      </c>
      <c r="P16" s="50">
        <f>O16*(Q16-R16-S16)</f>
        <v>0</v>
      </c>
      <c r="Q16" s="49">
        <v>1440</v>
      </c>
      <c r="R16" s="371">
        <v>1440</v>
      </c>
      <c r="S16" s="371">
        <v>0</v>
      </c>
      <c r="T16" s="39">
        <f>E16*M16*O16*Q16/100000000</f>
        <v>52.744607999999999</v>
      </c>
      <c r="U16" s="39">
        <f>E16*M16*O16*(Q16-R16-S16)/100000000</f>
        <v>0</v>
      </c>
      <c r="V16" s="39">
        <f>E16*G16*(1-N16)*O16/100*(R16+S16)/1000000</f>
        <v>51.488784000000003</v>
      </c>
      <c r="W16" s="39">
        <f>+'1'!K17/1000</f>
        <v>0</v>
      </c>
      <c r="X16" s="370">
        <f>SUM(W16:W19)/SUM(K16:K19)</f>
        <v>0</v>
      </c>
      <c r="Y16" s="39">
        <v>0</v>
      </c>
      <c r="Z16" s="39">
        <f>+'1'!D44/1000</f>
        <v>0</v>
      </c>
      <c r="AA16" s="51">
        <f>SUM(U16:U19)-SUM(W16:W19)-SUM(Z16:Z19)-SUM(Y16:Y19)</f>
        <v>0</v>
      </c>
      <c r="AB16" s="51">
        <f>(SUM(K16:K19)-SUM(W16:W19)-SUM(Y16:Y19)-SUM(Z16:Z19)-SUM(AC16:AC19)-SUM(V16:V19))-AA16</f>
        <v>1.2558239999999969</v>
      </c>
      <c r="AC16" s="39">
        <f>K16-T16</f>
        <v>0</v>
      </c>
      <c r="AD16" s="39">
        <f>+AM16+BA16</f>
        <v>0</v>
      </c>
      <c r="AE16" s="230" t="s">
        <v>418</v>
      </c>
      <c r="AF16" s="39">
        <v>0</v>
      </c>
      <c r="AG16" s="39"/>
      <c r="AH16" s="39"/>
      <c r="AI16" s="485"/>
      <c r="AJ16" s="39"/>
      <c r="AK16" s="39"/>
      <c r="AL16" s="39"/>
      <c r="AM16" s="39">
        <f>SUM(AF16:AL16)+AT16+AV16+AX16</f>
        <v>0</v>
      </c>
      <c r="AN16" s="39"/>
      <c r="AO16" s="39"/>
      <c r="AP16" s="39"/>
      <c r="AQ16" s="39"/>
      <c r="AR16" s="39">
        <f>SUM(AN16:AQ16)</f>
        <v>0</v>
      </c>
      <c r="AS16" s="39"/>
      <c r="AT16" s="39"/>
      <c r="AU16" s="39"/>
      <c r="AV16" s="39"/>
      <c r="AW16" s="39"/>
      <c r="AX16" s="39"/>
      <c r="AY16" s="39"/>
      <c r="AZ16" s="39"/>
      <c r="BA16" s="39">
        <f>+AR16+AS16+AU16+AW16+AY16+AZ16</f>
        <v>0</v>
      </c>
      <c r="BB16" s="35">
        <v>0</v>
      </c>
      <c r="BC16" s="53"/>
      <c r="BD16" s="53"/>
      <c r="BE16" s="35"/>
      <c r="BF16" s="53"/>
    </row>
    <row r="17" spans="1:58" ht="12.95" customHeight="1">
      <c r="A17" s="42"/>
      <c r="B17" s="43"/>
      <c r="C17" s="402"/>
      <c r="D17" s="43"/>
      <c r="E17" s="44"/>
      <c r="F17" s="44"/>
      <c r="G17" s="415"/>
      <c r="H17" s="557"/>
      <c r="I17" s="47"/>
      <c r="J17" s="86"/>
      <c r="K17" s="86"/>
      <c r="L17" s="37"/>
      <c r="M17" s="37"/>
      <c r="N17" s="48"/>
      <c r="O17" s="49"/>
      <c r="P17" s="50"/>
      <c r="Q17" s="49"/>
      <c r="R17" s="371"/>
      <c r="S17" s="371"/>
      <c r="T17" s="39"/>
      <c r="U17" s="39"/>
      <c r="V17" s="39"/>
      <c r="W17" s="39"/>
      <c r="X17" s="40"/>
      <c r="Y17" s="213"/>
      <c r="Z17" s="39"/>
      <c r="AA17" s="39"/>
      <c r="AB17" s="39"/>
      <c r="AC17" s="39"/>
      <c r="AD17" s="39">
        <f t="shared" ref="AD17:AD19" si="14">+AM17+BA17</f>
        <v>0</v>
      </c>
      <c r="AE17" s="230" t="s">
        <v>419</v>
      </c>
      <c r="AF17" s="39"/>
      <c r="AG17" s="39">
        <v>0</v>
      </c>
      <c r="AH17" s="39"/>
      <c r="AI17" s="485"/>
      <c r="AJ17" s="39"/>
      <c r="AK17" s="39"/>
      <c r="AL17" s="39"/>
      <c r="AM17" s="39">
        <f t="shared" ref="AM17:AM18" si="15">SUM(AF17:AL17)+AT17+AV17+AX17</f>
        <v>0</v>
      </c>
      <c r="AN17" s="87"/>
      <c r="AO17" s="39"/>
      <c r="AP17" s="39"/>
      <c r="AQ17" s="39"/>
      <c r="AR17" s="39">
        <f t="shared" ref="AR17:AR18" si="16">SUM(AN17:AQ17)</f>
        <v>0</v>
      </c>
      <c r="AS17" s="39"/>
      <c r="AT17" s="39"/>
      <c r="AU17" s="39"/>
      <c r="AV17" s="39"/>
      <c r="AW17" s="39"/>
      <c r="AX17" s="39"/>
      <c r="AY17" s="39"/>
      <c r="AZ17" s="39"/>
      <c r="BA17" s="39">
        <f t="shared" ref="BA17:BA19" si="17">+AR17+AS17+AU17+AW17+AY17+AZ17</f>
        <v>0</v>
      </c>
      <c r="BB17" s="52"/>
      <c r="BC17" s="53">
        <v>0</v>
      </c>
      <c r="BD17" s="53"/>
      <c r="BE17" s="52"/>
      <c r="BF17" s="53"/>
    </row>
    <row r="18" spans="1:58" ht="12.95" customHeight="1">
      <c r="A18" s="42"/>
      <c r="B18" s="43"/>
      <c r="C18" s="402"/>
      <c r="D18" s="43"/>
      <c r="E18" s="44"/>
      <c r="F18" s="44"/>
      <c r="G18" s="45"/>
      <c r="H18" s="46"/>
      <c r="I18" s="47"/>
      <c r="J18" s="86"/>
      <c r="K18" s="86"/>
      <c r="L18" s="37"/>
      <c r="M18" s="37"/>
      <c r="N18" s="48"/>
      <c r="O18" s="49"/>
      <c r="P18" s="50"/>
      <c r="Q18" s="49"/>
      <c r="R18" s="371"/>
      <c r="S18" s="371"/>
      <c r="T18" s="39"/>
      <c r="U18" s="39"/>
      <c r="V18" s="39"/>
      <c r="W18" s="39"/>
      <c r="X18" s="40"/>
      <c r="Y18" s="213"/>
      <c r="Z18" s="39"/>
      <c r="AA18" s="39"/>
      <c r="AB18" s="39"/>
      <c r="AC18" s="39"/>
      <c r="AD18" s="39">
        <f t="shared" si="14"/>
        <v>0</v>
      </c>
      <c r="AE18" s="230" t="s">
        <v>420</v>
      </c>
      <c r="AF18" s="35"/>
      <c r="AG18" s="35"/>
      <c r="AH18" s="35">
        <v>0</v>
      </c>
      <c r="AJ18" s="39"/>
      <c r="AK18" s="39"/>
      <c r="AL18" s="39"/>
      <c r="AM18" s="39">
        <f t="shared" si="15"/>
        <v>0</v>
      </c>
      <c r="AN18" s="39"/>
      <c r="AO18" s="39"/>
      <c r="AP18" s="39"/>
      <c r="AQ18" s="39"/>
      <c r="AR18" s="39">
        <f t="shared" si="16"/>
        <v>0</v>
      </c>
      <c r="AS18" s="39"/>
      <c r="AT18" s="39"/>
      <c r="AU18" s="39"/>
      <c r="AV18" s="39"/>
      <c r="AW18" s="39"/>
      <c r="AX18" s="39"/>
      <c r="AY18" s="39"/>
      <c r="AZ18" s="39"/>
      <c r="BA18" s="39">
        <f t="shared" si="17"/>
        <v>0</v>
      </c>
      <c r="BB18" s="35"/>
      <c r="BC18" s="486"/>
      <c r="BD18" s="486"/>
      <c r="BE18" s="35"/>
      <c r="BF18" s="486"/>
    </row>
    <row r="19" spans="1:58" ht="12.95" customHeight="1">
      <c r="A19" s="42"/>
      <c r="B19" s="43"/>
      <c r="C19" s="402"/>
      <c r="D19" s="43"/>
      <c r="E19" s="44"/>
      <c r="F19" s="44"/>
      <c r="G19" s="45"/>
      <c r="H19" s="46"/>
      <c r="I19" s="47"/>
      <c r="J19" s="86"/>
      <c r="K19" s="86"/>
      <c r="L19" s="37"/>
      <c r="M19" s="37"/>
      <c r="N19" s="48"/>
      <c r="O19" s="49"/>
      <c r="P19" s="50"/>
      <c r="Q19" s="49"/>
      <c r="R19" s="371"/>
      <c r="S19" s="371"/>
      <c r="T19" s="39"/>
      <c r="U19" s="39"/>
      <c r="V19" s="39"/>
      <c r="W19" s="39"/>
      <c r="X19" s="40"/>
      <c r="Y19" s="213"/>
      <c r="Z19" s="39"/>
      <c r="AA19" s="39"/>
      <c r="AB19" s="39"/>
      <c r="AC19" s="39"/>
      <c r="AD19" s="39">
        <f t="shared" si="14"/>
        <v>1440</v>
      </c>
      <c r="AE19" s="230" t="s">
        <v>422</v>
      </c>
      <c r="AF19" s="35"/>
      <c r="AG19" s="35"/>
      <c r="AH19" s="35"/>
      <c r="AJ19" s="39"/>
      <c r="AK19" s="39"/>
      <c r="AL19" s="39"/>
      <c r="AM19" s="39">
        <f t="shared" ref="AM19" si="18">SUM(AF19:AL19)+AT19+AV19+AX19</f>
        <v>0</v>
      </c>
      <c r="AN19" s="39"/>
      <c r="AO19" s="39"/>
      <c r="AP19" s="39"/>
      <c r="AQ19" s="39"/>
      <c r="AR19" s="39">
        <f t="shared" ref="AR19" si="19">SUM(AN19:AQ19)</f>
        <v>0</v>
      </c>
      <c r="AS19" s="39"/>
      <c r="AT19" s="39"/>
      <c r="AU19" s="39">
        <v>1440</v>
      </c>
      <c r="AV19" s="39"/>
      <c r="AW19" s="39"/>
      <c r="AX19" s="39"/>
      <c r="AY19" s="39"/>
      <c r="AZ19" s="39"/>
      <c r="BA19" s="39">
        <f t="shared" si="17"/>
        <v>1440</v>
      </c>
      <c r="BB19" s="35"/>
      <c r="BC19" s="486"/>
      <c r="BD19" s="486"/>
      <c r="BE19" s="35"/>
      <c r="BF19" s="486"/>
    </row>
    <row r="20" spans="1:58" ht="12.95" customHeight="1">
      <c r="A20" s="42"/>
      <c r="B20" s="43"/>
      <c r="C20" s="402"/>
      <c r="D20" s="43"/>
      <c r="E20" s="44"/>
      <c r="F20" s="44"/>
      <c r="G20" s="415"/>
      <c r="H20" s="46"/>
      <c r="I20" s="47"/>
      <c r="J20" s="86"/>
      <c r="K20" s="86"/>
      <c r="L20" s="37"/>
      <c r="M20" s="37"/>
      <c r="N20" s="48"/>
      <c r="O20" s="49"/>
      <c r="P20" s="50"/>
      <c r="Q20" s="49"/>
      <c r="R20" s="371"/>
      <c r="S20" s="371"/>
      <c r="T20" s="39"/>
      <c r="U20" s="39"/>
      <c r="V20" s="39"/>
      <c r="W20" s="39"/>
      <c r="X20" s="40"/>
      <c r="Y20" s="213"/>
      <c r="Z20" s="39"/>
      <c r="AA20" s="39"/>
      <c r="AB20" s="39"/>
      <c r="AC20" s="39"/>
      <c r="AD20" s="39"/>
      <c r="AE20" s="230"/>
      <c r="AF20" s="39"/>
      <c r="AG20" s="39"/>
      <c r="AH20" s="39"/>
      <c r="AI20" s="485"/>
      <c r="AJ20" s="39"/>
      <c r="AK20" s="39"/>
      <c r="AL20" s="39"/>
      <c r="AM20" s="39"/>
      <c r="AN20" s="87"/>
      <c r="AO20" s="39"/>
      <c r="AP20" s="39"/>
      <c r="AQ20" s="39"/>
      <c r="AR20" s="39"/>
      <c r="AS20" s="39"/>
      <c r="AT20" s="39"/>
      <c r="AU20" s="39"/>
      <c r="AV20" s="39"/>
      <c r="AW20" s="39"/>
      <c r="AX20" s="39"/>
      <c r="AY20" s="39"/>
      <c r="AZ20" s="39"/>
      <c r="BA20" s="39"/>
      <c r="BB20" s="52"/>
      <c r="BC20" s="53"/>
      <c r="BD20" s="486"/>
      <c r="BE20" s="35"/>
      <c r="BF20" s="486"/>
    </row>
    <row r="21" spans="1:58" ht="12.95" customHeight="1">
      <c r="A21" s="42">
        <v>45934</v>
      </c>
      <c r="B21" s="43" t="s">
        <v>421</v>
      </c>
      <c r="C21" s="402">
        <f>(M21*E21*O21*Q21)/100000000</f>
        <v>52.744607999999999</v>
      </c>
      <c r="D21" s="43" t="s">
        <v>413</v>
      </c>
      <c r="E21" s="44">
        <v>17</v>
      </c>
      <c r="F21" s="44">
        <v>1</v>
      </c>
      <c r="G21" s="415">
        <v>1025</v>
      </c>
      <c r="H21" s="557">
        <f>+N21</f>
        <v>0.19999999999999996</v>
      </c>
      <c r="I21" s="47">
        <v>0.88</v>
      </c>
      <c r="J21" s="86">
        <f>E21*G21*(1-H21)*1440/1000000*2.74</f>
        <v>55.001663999999998</v>
      </c>
      <c r="K21" s="86">
        <f>(IF(G21&lt;L21,L21,G21)*(1-IF(H21&lt;N21,H21,N21))*E21*O21*Q21)/100000000</f>
        <v>52.744607999999999</v>
      </c>
      <c r="L21" s="37">
        <v>1050</v>
      </c>
      <c r="M21" s="37">
        <v>840</v>
      </c>
      <c r="N21" s="48">
        <f>1-(M21/L21)</f>
        <v>0.19999999999999996</v>
      </c>
      <c r="O21" s="49">
        <f>+'Trim Rwd'!H10</f>
        <v>256.5</v>
      </c>
      <c r="P21" s="50">
        <f>O21*(Q21-R21-S21)</f>
        <v>0</v>
      </c>
      <c r="Q21" s="49">
        <v>1440</v>
      </c>
      <c r="R21" s="371">
        <v>1440</v>
      </c>
      <c r="S21" s="371">
        <v>0</v>
      </c>
      <c r="T21" s="39">
        <f>E21*M21*O21*Q21/100000000</f>
        <v>52.744607999999999</v>
      </c>
      <c r="U21" s="39">
        <f>E21*M21*O21*(Q21-R21-S21)/100000000</f>
        <v>0</v>
      </c>
      <c r="V21" s="39">
        <f>E21*G21*(1-N21)*O21/100*(R21+S21)/1000000</f>
        <v>51.488784000000003</v>
      </c>
      <c r="W21" s="39">
        <f>+'1'!K22/1000</f>
        <v>0</v>
      </c>
      <c r="X21" s="370">
        <f>SUM(W21:W24)/SUM(K21:K24)</f>
        <v>0</v>
      </c>
      <c r="Y21" s="39">
        <v>0</v>
      </c>
      <c r="Z21" s="39">
        <v>0</v>
      </c>
      <c r="AA21" s="51">
        <f>SUM(U21:U24)-SUM(W21:W24)-SUM(Z21:Z24)-SUM(Y21:Y24)</f>
        <v>0</v>
      </c>
      <c r="AB21" s="51">
        <f>(SUM(K21:K24)-SUM(W21:W24)-SUM(Y21:Y24)-SUM(Z21:Z24)-SUM(AC21:AC24)-SUM(V21:V24))-AA21</f>
        <v>1.2558239999999969</v>
      </c>
      <c r="AC21" s="39">
        <f>K21-T21</f>
        <v>0</v>
      </c>
      <c r="AD21" s="39">
        <f>+AM21+BA21</f>
        <v>0</v>
      </c>
      <c r="AE21" s="230" t="s">
        <v>418</v>
      </c>
      <c r="AF21" s="39">
        <v>0</v>
      </c>
      <c r="AG21" s="39"/>
      <c r="AH21" s="39"/>
      <c r="AI21" s="485"/>
      <c r="AJ21" s="39"/>
      <c r="AK21" s="39"/>
      <c r="AL21" s="39"/>
      <c r="AM21" s="39">
        <f>SUM(AF21:AL21)+AT21+AV21+AX21</f>
        <v>0</v>
      </c>
      <c r="AN21" s="39"/>
      <c r="AO21" s="39"/>
      <c r="AP21" s="39"/>
      <c r="AQ21" s="39"/>
      <c r="AR21" s="39">
        <f>SUM(AN21:AQ21)</f>
        <v>0</v>
      </c>
      <c r="AS21" s="39"/>
      <c r="AT21" s="39"/>
      <c r="AU21" s="39"/>
      <c r="AV21" s="39"/>
      <c r="AW21" s="39"/>
      <c r="AX21" s="39"/>
      <c r="AY21" s="39"/>
      <c r="AZ21" s="39"/>
      <c r="BA21" s="39">
        <f>+AR21+AS21+AU21+AW21+AY21+AZ21</f>
        <v>0</v>
      </c>
      <c r="BB21" s="35">
        <v>0</v>
      </c>
      <c r="BC21" s="53"/>
      <c r="BD21" s="53"/>
      <c r="BE21" s="35"/>
      <c r="BF21" s="53"/>
    </row>
    <row r="22" spans="1:58" ht="12.95" customHeight="1">
      <c r="A22" s="42"/>
      <c r="B22" s="43"/>
      <c r="C22" s="402"/>
      <c r="D22" s="43"/>
      <c r="E22" s="44"/>
      <c r="F22" s="44"/>
      <c r="G22" s="415"/>
      <c r="H22" s="557"/>
      <c r="I22" s="47"/>
      <c r="J22" s="86"/>
      <c r="K22" s="86"/>
      <c r="L22" s="37"/>
      <c r="M22" s="37"/>
      <c r="N22" s="48"/>
      <c r="O22" s="49"/>
      <c r="P22" s="50"/>
      <c r="Q22" s="49"/>
      <c r="R22" s="371"/>
      <c r="S22" s="371"/>
      <c r="T22" s="39"/>
      <c r="U22" s="39"/>
      <c r="V22" s="39"/>
      <c r="W22" s="39"/>
      <c r="X22" s="40"/>
      <c r="Y22" s="213"/>
      <c r="Z22" s="39"/>
      <c r="AA22" s="39"/>
      <c r="AB22" s="39"/>
      <c r="AC22" s="39"/>
      <c r="AD22" s="39">
        <f t="shared" ref="AD22:AD24" si="20">+AM22+BA22</f>
        <v>0</v>
      </c>
      <c r="AE22" s="230" t="s">
        <v>419</v>
      </c>
      <c r="AF22" s="39"/>
      <c r="AG22" s="39">
        <v>0</v>
      </c>
      <c r="AH22" s="39"/>
      <c r="AI22" s="485"/>
      <c r="AJ22" s="39"/>
      <c r="AK22" s="39"/>
      <c r="AL22" s="39"/>
      <c r="AM22" s="39">
        <f t="shared" ref="AM22:AM23" si="21">SUM(AF22:AL22)+AT22+AV22+AX22</f>
        <v>0</v>
      </c>
      <c r="AN22" s="87"/>
      <c r="AO22" s="39"/>
      <c r="AP22" s="39"/>
      <c r="AQ22" s="39"/>
      <c r="AR22" s="39">
        <f t="shared" ref="AR22:AR23" si="22">SUM(AN22:AQ22)</f>
        <v>0</v>
      </c>
      <c r="AS22" s="39"/>
      <c r="AT22" s="39"/>
      <c r="AU22" s="39"/>
      <c r="AV22" s="39"/>
      <c r="AW22" s="39"/>
      <c r="AX22" s="39"/>
      <c r="AY22" s="39"/>
      <c r="AZ22" s="39"/>
      <c r="BA22" s="39">
        <f t="shared" ref="BA22:BA24" si="23">+AR22+AS22+AU22+AW22+AY22+AZ22</f>
        <v>0</v>
      </c>
      <c r="BB22" s="52"/>
      <c r="BC22" s="53">
        <v>0</v>
      </c>
      <c r="BD22" s="53"/>
      <c r="BE22" s="52"/>
      <c r="BF22" s="53"/>
    </row>
    <row r="23" spans="1:58" ht="12.95" customHeight="1">
      <c r="A23" s="42"/>
      <c r="B23" s="43"/>
      <c r="C23" s="402"/>
      <c r="D23" s="43"/>
      <c r="E23" s="44"/>
      <c r="F23" s="44"/>
      <c r="G23" s="45"/>
      <c r="H23" s="46"/>
      <c r="I23" s="47"/>
      <c r="J23" s="86"/>
      <c r="K23" s="86"/>
      <c r="L23" s="37"/>
      <c r="M23" s="37"/>
      <c r="N23" s="48"/>
      <c r="O23" s="49"/>
      <c r="P23" s="50"/>
      <c r="Q23" s="49"/>
      <c r="R23" s="371"/>
      <c r="S23" s="371"/>
      <c r="T23" s="39"/>
      <c r="U23" s="39"/>
      <c r="V23" s="39"/>
      <c r="W23" s="39"/>
      <c r="X23" s="40"/>
      <c r="Y23" s="213"/>
      <c r="Z23" s="39"/>
      <c r="AA23" s="39"/>
      <c r="AB23" s="39"/>
      <c r="AC23" s="39"/>
      <c r="AD23" s="39">
        <f t="shared" si="20"/>
        <v>0</v>
      </c>
      <c r="AE23" s="230" t="s">
        <v>420</v>
      </c>
      <c r="AF23" s="35"/>
      <c r="AG23" s="35"/>
      <c r="AH23" s="35">
        <v>0</v>
      </c>
      <c r="AJ23" s="39"/>
      <c r="AK23" s="39"/>
      <c r="AL23" s="39"/>
      <c r="AM23" s="39">
        <f t="shared" si="21"/>
        <v>0</v>
      </c>
      <c r="AN23" s="39"/>
      <c r="AO23" s="39"/>
      <c r="AP23" s="39"/>
      <c r="AQ23" s="39"/>
      <c r="AR23" s="39">
        <f t="shared" si="22"/>
        <v>0</v>
      </c>
      <c r="AS23" s="39"/>
      <c r="AT23" s="39"/>
      <c r="AU23" s="39"/>
      <c r="AV23" s="39"/>
      <c r="AW23" s="39"/>
      <c r="AX23" s="39"/>
      <c r="AY23" s="39"/>
      <c r="AZ23" s="39"/>
      <c r="BA23" s="39">
        <f t="shared" si="23"/>
        <v>0</v>
      </c>
      <c r="BB23" s="35"/>
      <c r="BC23" s="486"/>
      <c r="BD23" s="486"/>
      <c r="BE23" s="35"/>
      <c r="BF23" s="486"/>
    </row>
    <row r="24" spans="1:58" ht="12.95" customHeight="1">
      <c r="A24" s="42"/>
      <c r="B24" s="43"/>
      <c r="C24" s="402"/>
      <c r="D24" s="43"/>
      <c r="E24" s="44"/>
      <c r="F24" s="44"/>
      <c r="G24" s="45"/>
      <c r="H24" s="46"/>
      <c r="I24" s="47"/>
      <c r="J24" s="86"/>
      <c r="K24" s="86"/>
      <c r="L24" s="37"/>
      <c r="M24" s="37"/>
      <c r="N24" s="48"/>
      <c r="O24" s="49"/>
      <c r="P24" s="50"/>
      <c r="Q24" s="49"/>
      <c r="R24" s="371"/>
      <c r="S24" s="371"/>
      <c r="T24" s="39"/>
      <c r="U24" s="39"/>
      <c r="V24" s="39"/>
      <c r="W24" s="39"/>
      <c r="X24" s="40"/>
      <c r="Y24" s="213"/>
      <c r="Z24" s="39"/>
      <c r="AA24" s="39"/>
      <c r="AB24" s="39"/>
      <c r="AC24" s="39"/>
      <c r="AD24" s="39">
        <f t="shared" si="20"/>
        <v>1440</v>
      </c>
      <c r="AE24" s="230" t="s">
        <v>422</v>
      </c>
      <c r="AF24" s="35"/>
      <c r="AG24" s="35"/>
      <c r="AH24" s="35"/>
      <c r="AJ24" s="39"/>
      <c r="AK24" s="39"/>
      <c r="AL24" s="39"/>
      <c r="AM24" s="39">
        <f t="shared" ref="AM24" si="24">SUM(AF24:AL24)+AT24+AV24+AX24</f>
        <v>0</v>
      </c>
      <c r="AN24" s="39"/>
      <c r="AO24" s="39"/>
      <c r="AP24" s="39"/>
      <c r="AQ24" s="39"/>
      <c r="AR24" s="39">
        <f t="shared" ref="AR24" si="25">SUM(AN24:AQ24)</f>
        <v>0</v>
      </c>
      <c r="AS24" s="39"/>
      <c r="AT24" s="39"/>
      <c r="AU24" s="39">
        <v>1440</v>
      </c>
      <c r="AV24" s="39"/>
      <c r="AW24" s="39"/>
      <c r="AX24" s="39"/>
      <c r="AY24" s="39"/>
      <c r="AZ24" s="39"/>
      <c r="BA24" s="39">
        <f t="shared" si="23"/>
        <v>1440</v>
      </c>
      <c r="BB24" s="35"/>
      <c r="BC24" s="486"/>
      <c r="BD24" s="486"/>
      <c r="BE24" s="35"/>
      <c r="BF24" s="486"/>
    </row>
    <row r="25" spans="1:58" ht="12.95" customHeight="1">
      <c r="A25" s="42"/>
      <c r="B25" s="43"/>
      <c r="C25" s="402"/>
      <c r="D25" s="43"/>
      <c r="E25" s="44"/>
      <c r="F25" s="44"/>
      <c r="G25" s="415"/>
      <c r="H25" s="46"/>
      <c r="I25" s="47"/>
      <c r="J25" s="86"/>
      <c r="K25" s="86"/>
      <c r="L25" s="37"/>
      <c r="M25" s="37"/>
      <c r="N25" s="48"/>
      <c r="O25" s="49"/>
      <c r="P25" s="50"/>
      <c r="Q25" s="49"/>
      <c r="R25" s="371"/>
      <c r="S25" s="371"/>
      <c r="T25" s="39"/>
      <c r="U25" s="39"/>
      <c r="V25" s="39"/>
      <c r="W25" s="39"/>
      <c r="X25" s="40"/>
      <c r="Y25" s="213"/>
      <c r="Z25" s="39"/>
      <c r="AA25" s="39"/>
      <c r="AB25" s="39"/>
      <c r="AC25" s="39"/>
      <c r="AD25" s="39"/>
      <c r="AE25" s="230"/>
      <c r="AF25" s="35"/>
      <c r="AG25" s="35"/>
      <c r="AH25" s="35"/>
      <c r="AJ25" s="39"/>
      <c r="AK25" s="39"/>
      <c r="AL25" s="39"/>
      <c r="AM25" s="39"/>
      <c r="AN25" s="39"/>
      <c r="AO25" s="39"/>
      <c r="AP25" s="39"/>
      <c r="AQ25" s="39"/>
      <c r="AR25" s="39"/>
      <c r="AS25" s="39"/>
      <c r="AT25" s="39"/>
      <c r="AU25" s="39"/>
      <c r="AV25" s="39"/>
      <c r="AW25" s="39"/>
      <c r="AX25" s="39"/>
      <c r="AY25" s="39"/>
      <c r="AZ25" s="39"/>
      <c r="BA25" s="39"/>
      <c r="BB25" s="35"/>
      <c r="BC25" s="486"/>
      <c r="BD25" s="53"/>
      <c r="BE25" s="53"/>
      <c r="BF25" s="53"/>
    </row>
    <row r="26" spans="1:58" ht="12.95" customHeight="1">
      <c r="A26" s="42">
        <v>45935</v>
      </c>
      <c r="B26" s="43" t="s">
        <v>421</v>
      </c>
      <c r="C26" s="402">
        <f>(M26*E26*O26*Q26)/100000000</f>
        <v>52.744607999999999</v>
      </c>
      <c r="D26" s="43" t="s">
        <v>413</v>
      </c>
      <c r="E26" s="44">
        <v>17</v>
      </c>
      <c r="F26" s="44">
        <v>1</v>
      </c>
      <c r="G26" s="415">
        <v>1025</v>
      </c>
      <c r="H26" s="557">
        <f>+N26</f>
        <v>0.19999999999999996</v>
      </c>
      <c r="I26" s="47">
        <v>0.88</v>
      </c>
      <c r="J26" s="86">
        <f>E26*G26*(1-H26)*1440/1000000*2.74</f>
        <v>55.001663999999998</v>
      </c>
      <c r="K26" s="86">
        <f>(IF(G26&lt;L26,L26,G26)*(1-IF(H26&lt;N26,H26,N26))*E26*O26*Q26)/100000000</f>
        <v>52.744607999999999</v>
      </c>
      <c r="L26" s="37">
        <v>1050</v>
      </c>
      <c r="M26" s="37">
        <v>840</v>
      </c>
      <c r="N26" s="48">
        <f>1-(M26/L26)</f>
        <v>0.19999999999999996</v>
      </c>
      <c r="O26" s="49">
        <f>+'Trim Rwd'!H12</f>
        <v>256.5</v>
      </c>
      <c r="P26" s="50">
        <f>O26*(Q26-R26-S26)</f>
        <v>0</v>
      </c>
      <c r="Q26" s="49">
        <v>1440</v>
      </c>
      <c r="R26" s="371">
        <v>1440</v>
      </c>
      <c r="S26" s="371">
        <v>0</v>
      </c>
      <c r="T26" s="39">
        <f>E26*M26*O26*Q26/100000000</f>
        <v>52.744607999999999</v>
      </c>
      <c r="U26" s="39">
        <f>E26*M26*O26*(Q26-R26-S26)/100000000</f>
        <v>0</v>
      </c>
      <c r="V26" s="39">
        <f>E26*G26*(1-N26)*O26/100*(R26+S26)/1000000</f>
        <v>51.488784000000003</v>
      </c>
      <c r="W26" s="39">
        <f>+'1'!K27/1000</f>
        <v>0</v>
      </c>
      <c r="X26" s="370">
        <f>SUM(W26:W29)/SUM(K26:K29)</f>
        <v>0</v>
      </c>
      <c r="Y26" s="39">
        <v>0</v>
      </c>
      <c r="Z26" s="39">
        <v>0</v>
      </c>
      <c r="AA26" s="51">
        <f>SUM(U26:U29)-SUM(W26:W29)-SUM(Z26:Z29)-SUM(Y26:Y29)</f>
        <v>0</v>
      </c>
      <c r="AB26" s="51">
        <f>(SUM(K26:K29)-SUM(W26:W29)-SUM(Y26:Y29)-SUM(Z26:Z29)-SUM(AC26:AC29)-SUM(V26:V29))-AA26</f>
        <v>1.2558239999999969</v>
      </c>
      <c r="AC26" s="39">
        <f>K26-T26</f>
        <v>0</v>
      </c>
      <c r="AD26" s="39">
        <f>+AM26+BA26</f>
        <v>0</v>
      </c>
      <c r="AE26" s="230" t="s">
        <v>418</v>
      </c>
      <c r="AF26" s="39">
        <v>0</v>
      </c>
      <c r="AG26" s="39"/>
      <c r="AH26" s="39"/>
      <c r="AI26" s="485"/>
      <c r="AJ26" s="39"/>
      <c r="AK26" s="39"/>
      <c r="AL26" s="39"/>
      <c r="AM26" s="39">
        <f>SUM(AF26:AL26)+AT26+AV26+AX26</f>
        <v>0</v>
      </c>
      <c r="AN26" s="39"/>
      <c r="AO26" s="39"/>
      <c r="AP26" s="39"/>
      <c r="AQ26" s="39"/>
      <c r="AR26" s="39">
        <f>SUM(AN26:AQ26)</f>
        <v>0</v>
      </c>
      <c r="AS26" s="39"/>
      <c r="AT26" s="39"/>
      <c r="AU26" s="39"/>
      <c r="AV26" s="39"/>
      <c r="AW26" s="39"/>
      <c r="AX26" s="39"/>
      <c r="AY26" s="39"/>
      <c r="AZ26" s="39"/>
      <c r="BA26" s="39">
        <f>+AR26+AS26+AU26+AW26+AY26+AZ26</f>
        <v>0</v>
      </c>
      <c r="BB26" s="35">
        <v>0</v>
      </c>
      <c r="BC26" s="53"/>
      <c r="BD26" s="53"/>
      <c r="BE26" s="35"/>
      <c r="BF26" s="53"/>
    </row>
    <row r="27" spans="1:58" ht="12.95" customHeight="1">
      <c r="A27" s="42"/>
      <c r="B27" s="43"/>
      <c r="C27" s="402"/>
      <c r="D27" s="43"/>
      <c r="E27" s="44"/>
      <c r="F27" s="44"/>
      <c r="G27" s="415"/>
      <c r="H27" s="557"/>
      <c r="I27" s="47"/>
      <c r="J27" s="86"/>
      <c r="K27" s="86"/>
      <c r="L27" s="37"/>
      <c r="M27" s="37"/>
      <c r="N27" s="48"/>
      <c r="O27" s="49"/>
      <c r="P27" s="50"/>
      <c r="Q27" s="49"/>
      <c r="R27" s="371"/>
      <c r="S27" s="371"/>
      <c r="T27" s="39"/>
      <c r="U27" s="39"/>
      <c r="V27" s="39"/>
      <c r="W27" s="39"/>
      <c r="X27" s="40"/>
      <c r="Y27" s="213"/>
      <c r="Z27" s="39"/>
      <c r="AA27" s="39"/>
      <c r="AB27" s="39"/>
      <c r="AC27" s="39"/>
      <c r="AD27" s="39">
        <f t="shared" ref="AD27:AD29" si="26">+AM27+BA27</f>
        <v>0</v>
      </c>
      <c r="AE27" s="230" t="s">
        <v>419</v>
      </c>
      <c r="AF27" s="39"/>
      <c r="AG27" s="39">
        <v>0</v>
      </c>
      <c r="AH27" s="39"/>
      <c r="AI27" s="485"/>
      <c r="AJ27" s="39"/>
      <c r="AK27" s="39"/>
      <c r="AL27" s="39"/>
      <c r="AM27" s="39">
        <f t="shared" ref="AM27:AM28" si="27">SUM(AF27:AL27)+AT27+AV27+AX27</f>
        <v>0</v>
      </c>
      <c r="AN27" s="87"/>
      <c r="AO27" s="39"/>
      <c r="AP27" s="39"/>
      <c r="AQ27" s="39"/>
      <c r="AR27" s="39">
        <f t="shared" ref="AR27:AR28" si="28">SUM(AN27:AQ27)</f>
        <v>0</v>
      </c>
      <c r="AS27" s="39"/>
      <c r="AT27" s="39"/>
      <c r="AU27" s="39"/>
      <c r="AV27" s="39"/>
      <c r="AW27" s="39"/>
      <c r="AX27" s="39"/>
      <c r="AY27" s="39"/>
      <c r="AZ27" s="39"/>
      <c r="BA27" s="39">
        <f t="shared" ref="BA27:BA29" si="29">+AR27+AS27+AU27+AW27+AY27+AZ27</f>
        <v>0</v>
      </c>
      <c r="BB27" s="52"/>
      <c r="BC27" s="53">
        <v>0</v>
      </c>
      <c r="BD27" s="53"/>
      <c r="BE27" s="52"/>
      <c r="BF27" s="53"/>
    </row>
    <row r="28" spans="1:58" ht="12.95" customHeight="1">
      <c r="A28" s="42"/>
      <c r="B28" s="43"/>
      <c r="C28" s="402"/>
      <c r="D28" s="43"/>
      <c r="E28" s="44"/>
      <c r="F28" s="44"/>
      <c r="G28" s="45"/>
      <c r="H28" s="46"/>
      <c r="I28" s="47"/>
      <c r="J28" s="86"/>
      <c r="K28" s="86"/>
      <c r="L28" s="37"/>
      <c r="M28" s="37"/>
      <c r="N28" s="48"/>
      <c r="O28" s="49"/>
      <c r="P28" s="50"/>
      <c r="Q28" s="49"/>
      <c r="R28" s="371"/>
      <c r="S28" s="371"/>
      <c r="T28" s="39"/>
      <c r="U28" s="39"/>
      <c r="V28" s="39"/>
      <c r="W28" s="39"/>
      <c r="X28" s="40"/>
      <c r="Y28" s="213"/>
      <c r="Z28" s="39"/>
      <c r="AA28" s="39"/>
      <c r="AB28" s="39"/>
      <c r="AC28" s="39"/>
      <c r="AD28" s="39">
        <f t="shared" si="26"/>
        <v>0</v>
      </c>
      <c r="AE28" s="230" t="s">
        <v>420</v>
      </c>
      <c r="AF28" s="35"/>
      <c r="AG28" s="35"/>
      <c r="AH28" s="35">
        <v>0</v>
      </c>
      <c r="AJ28" s="39"/>
      <c r="AK28" s="39"/>
      <c r="AL28" s="39"/>
      <c r="AM28" s="39">
        <f t="shared" si="27"/>
        <v>0</v>
      </c>
      <c r="AN28" s="39"/>
      <c r="AO28" s="39"/>
      <c r="AP28" s="39"/>
      <c r="AQ28" s="39"/>
      <c r="AR28" s="39">
        <f t="shared" si="28"/>
        <v>0</v>
      </c>
      <c r="AS28" s="39"/>
      <c r="AT28" s="39"/>
      <c r="AU28" s="39"/>
      <c r="AV28" s="39"/>
      <c r="AW28" s="39"/>
      <c r="AX28" s="39"/>
      <c r="AY28" s="39"/>
      <c r="AZ28" s="39"/>
      <c r="BA28" s="39">
        <f t="shared" si="29"/>
        <v>0</v>
      </c>
      <c r="BB28" s="35"/>
      <c r="BC28" s="486"/>
      <c r="BD28" s="486"/>
      <c r="BE28" s="35"/>
      <c r="BF28" s="486"/>
    </row>
    <row r="29" spans="1:58" ht="12.95" customHeight="1">
      <c r="A29" s="42"/>
      <c r="B29" s="43"/>
      <c r="C29" s="402"/>
      <c r="D29" s="43"/>
      <c r="E29" s="44"/>
      <c r="F29" s="44"/>
      <c r="G29" s="45"/>
      <c r="H29" s="46"/>
      <c r="I29" s="47"/>
      <c r="J29" s="86"/>
      <c r="K29" s="86"/>
      <c r="L29" s="37"/>
      <c r="M29" s="37"/>
      <c r="N29" s="48"/>
      <c r="O29" s="49"/>
      <c r="P29" s="50"/>
      <c r="Q29" s="49"/>
      <c r="R29" s="371"/>
      <c r="S29" s="371"/>
      <c r="T29" s="39"/>
      <c r="U29" s="39"/>
      <c r="V29" s="39"/>
      <c r="W29" s="39"/>
      <c r="X29" s="40"/>
      <c r="Y29" s="213"/>
      <c r="Z29" s="39"/>
      <c r="AA29" s="39"/>
      <c r="AB29" s="39"/>
      <c r="AC29" s="39"/>
      <c r="AD29" s="39">
        <f t="shared" si="26"/>
        <v>1440</v>
      </c>
      <c r="AE29" s="230" t="s">
        <v>422</v>
      </c>
      <c r="AF29" s="35"/>
      <c r="AG29" s="35"/>
      <c r="AH29" s="35"/>
      <c r="AJ29" s="39"/>
      <c r="AK29" s="39"/>
      <c r="AL29" s="39"/>
      <c r="AM29" s="39">
        <f t="shared" ref="AM29" si="30">SUM(AF29:AL29)+AT29+AV29+AX29</f>
        <v>0</v>
      </c>
      <c r="AN29" s="39"/>
      <c r="AO29" s="39"/>
      <c r="AP29" s="39"/>
      <c r="AQ29" s="39"/>
      <c r="AR29" s="39">
        <f t="shared" ref="AR29" si="31">SUM(AN29:AQ29)</f>
        <v>0</v>
      </c>
      <c r="AS29" s="39"/>
      <c r="AT29" s="39"/>
      <c r="AU29" s="39">
        <v>1440</v>
      </c>
      <c r="AV29" s="39"/>
      <c r="AW29" s="39"/>
      <c r="AX29" s="39"/>
      <c r="AY29" s="39"/>
      <c r="AZ29" s="39"/>
      <c r="BA29" s="39">
        <f t="shared" si="29"/>
        <v>1440</v>
      </c>
      <c r="BB29" s="35"/>
      <c r="BC29" s="486"/>
      <c r="BD29" s="486"/>
      <c r="BE29" s="35"/>
      <c r="BF29" s="486"/>
    </row>
    <row r="30" spans="1:58" ht="12.95" customHeight="1">
      <c r="A30" s="42"/>
      <c r="B30" s="554"/>
      <c r="C30" s="555"/>
      <c r="D30" s="554"/>
      <c r="E30" s="44"/>
      <c r="F30" s="44"/>
      <c r="G30" s="556"/>
      <c r="H30" s="46"/>
      <c r="I30" s="47"/>
      <c r="J30" s="86"/>
      <c r="K30" s="86"/>
      <c r="L30" s="558"/>
      <c r="M30" s="558"/>
      <c r="N30" s="48"/>
      <c r="O30" s="49"/>
      <c r="P30" s="50"/>
      <c r="Q30" s="49"/>
      <c r="R30" s="559"/>
      <c r="S30" s="559"/>
      <c r="T30" s="39"/>
      <c r="U30" s="39"/>
      <c r="V30" s="39"/>
      <c r="W30" s="39"/>
      <c r="X30" s="370"/>
      <c r="Y30" s="213"/>
      <c r="Z30" s="39"/>
      <c r="AA30" s="39"/>
      <c r="AB30" s="39"/>
      <c r="AC30" s="39"/>
      <c r="AD30" s="39"/>
      <c r="AE30" s="230"/>
      <c r="AF30" s="39"/>
      <c r="AG30" s="39"/>
      <c r="AH30" s="39"/>
      <c r="AI30" s="485"/>
      <c r="AJ30" s="39"/>
      <c r="AK30" s="39"/>
      <c r="AL30" s="39"/>
      <c r="AM30" s="39"/>
      <c r="AN30" s="87"/>
      <c r="AO30" s="39"/>
      <c r="AP30" s="39"/>
      <c r="AQ30" s="39"/>
      <c r="AR30" s="39"/>
      <c r="AS30" s="39"/>
      <c r="AT30" s="39"/>
      <c r="AU30" s="39"/>
      <c r="AV30" s="39"/>
      <c r="AW30" s="39"/>
      <c r="AX30" s="39"/>
      <c r="AY30" s="39"/>
      <c r="AZ30" s="39"/>
      <c r="BA30" s="39"/>
      <c r="BB30" s="52"/>
      <c r="BC30" s="53"/>
      <c r="BD30" s="53"/>
      <c r="BE30" s="52"/>
      <c r="BF30" s="53"/>
    </row>
    <row r="31" spans="1:58" ht="12.95" customHeight="1">
      <c r="A31" s="42">
        <v>45936</v>
      </c>
      <c r="B31" s="43" t="s">
        <v>421</v>
      </c>
      <c r="C31" s="402">
        <f>(M31*E31*O31*Q31)/100000000</f>
        <v>52.744607999999999</v>
      </c>
      <c r="D31" s="43" t="s">
        <v>413</v>
      </c>
      <c r="E31" s="44">
        <v>17</v>
      </c>
      <c r="F31" s="44">
        <v>1</v>
      </c>
      <c r="G31" s="415">
        <v>1025</v>
      </c>
      <c r="H31" s="557">
        <f>+N31</f>
        <v>0.19999999999999996</v>
      </c>
      <c r="I31" s="47">
        <v>0.88</v>
      </c>
      <c r="J31" s="86">
        <f>E31*G31*(1-H31)*1440/1000000*2.74</f>
        <v>55.001663999999998</v>
      </c>
      <c r="K31" s="86">
        <f>(IF(G31&lt;L31,L31,G31)*(1-IF(H31&lt;N31,H31,N31))*E31*O31*Q31)/100000000</f>
        <v>52.744607999999999</v>
      </c>
      <c r="L31" s="37">
        <v>1050</v>
      </c>
      <c r="M31" s="37">
        <v>840</v>
      </c>
      <c r="N31" s="48">
        <f>1-(M31/L31)</f>
        <v>0.19999999999999996</v>
      </c>
      <c r="O31" s="49">
        <f>+'Trim Rwd'!H14</f>
        <v>256.5</v>
      </c>
      <c r="P31" s="50">
        <f>O31*(Q31-R31-S31)</f>
        <v>0</v>
      </c>
      <c r="Q31" s="49">
        <v>1440</v>
      </c>
      <c r="R31" s="371">
        <v>1440</v>
      </c>
      <c r="S31" s="371">
        <v>0</v>
      </c>
      <c r="T31" s="39">
        <f>E31*M31*O31*Q31/100000000</f>
        <v>52.744607999999999</v>
      </c>
      <c r="U31" s="39">
        <f>E31*M31*O31*(Q31-R31-S31)/100000000</f>
        <v>0</v>
      </c>
      <c r="V31" s="39">
        <f>E31*G31*(1-N31)*O31/100*(R31+S31)/1000000</f>
        <v>51.488784000000003</v>
      </c>
      <c r="W31" s="39">
        <f>+'1'!K32/1000</f>
        <v>0</v>
      </c>
      <c r="X31" s="370">
        <f>SUM(W31:W34)/SUM(K31:K34)</f>
        <v>0</v>
      </c>
      <c r="Y31" s="39">
        <v>0</v>
      </c>
      <c r="Z31" s="39">
        <f>+'1'!D59/1000</f>
        <v>0</v>
      </c>
      <c r="AA31" s="51">
        <f>SUM(U31:U34)-SUM(W31:W34)-SUM(Z31:Z34)-SUM(Y31:Y34)</f>
        <v>0</v>
      </c>
      <c r="AB31" s="51">
        <f>(SUM(K31:K34)-SUM(W31:W34)-SUM(Y31:Y34)-SUM(Z31:Z34)-SUM(AC31:AC34)-SUM(V31:V34))-AA31</f>
        <v>1.2558239999999969</v>
      </c>
      <c r="AC31" s="39">
        <f>K31-T31</f>
        <v>0</v>
      </c>
      <c r="AD31" s="39">
        <f>+AM31+BA31</f>
        <v>0</v>
      </c>
      <c r="AE31" s="230" t="s">
        <v>418</v>
      </c>
      <c r="AF31" s="39">
        <v>0</v>
      </c>
      <c r="AG31" s="39"/>
      <c r="AH31" s="39"/>
      <c r="AI31" s="485"/>
      <c r="AJ31" s="39"/>
      <c r="AK31" s="39"/>
      <c r="AL31" s="39"/>
      <c r="AM31" s="39">
        <f>SUM(AF31:AL31)+AT31+AV31+AX31</f>
        <v>0</v>
      </c>
      <c r="AN31" s="39"/>
      <c r="AO31" s="39"/>
      <c r="AP31" s="39"/>
      <c r="AQ31" s="39"/>
      <c r="AR31" s="39">
        <f>SUM(AN31:AQ31)</f>
        <v>0</v>
      </c>
      <c r="AS31" s="39"/>
      <c r="AT31" s="39"/>
      <c r="AU31" s="39"/>
      <c r="AV31" s="39"/>
      <c r="AW31" s="39"/>
      <c r="AX31" s="39"/>
      <c r="AY31" s="39"/>
      <c r="AZ31" s="39"/>
      <c r="BA31" s="39">
        <f>+AR31+AS31+AU31+AW31+AY31+AZ31</f>
        <v>0</v>
      </c>
      <c r="BB31" s="35">
        <v>0</v>
      </c>
      <c r="BC31" s="53"/>
      <c r="BD31" s="53"/>
      <c r="BE31" s="35"/>
      <c r="BF31" s="53"/>
    </row>
    <row r="32" spans="1:58" ht="12.95" customHeight="1">
      <c r="A32" s="42"/>
      <c r="B32" s="43"/>
      <c r="C32" s="402"/>
      <c r="D32" s="43"/>
      <c r="E32" s="44"/>
      <c r="F32" s="44"/>
      <c r="G32" s="415"/>
      <c r="H32" s="557"/>
      <c r="I32" s="47"/>
      <c r="J32" s="86"/>
      <c r="K32" s="86"/>
      <c r="L32" s="37"/>
      <c r="M32" s="37"/>
      <c r="N32" s="48"/>
      <c r="O32" s="49"/>
      <c r="P32" s="50"/>
      <c r="Q32" s="49"/>
      <c r="R32" s="371"/>
      <c r="S32" s="371"/>
      <c r="T32" s="39"/>
      <c r="U32" s="39"/>
      <c r="V32" s="39"/>
      <c r="W32" s="39"/>
      <c r="X32" s="40"/>
      <c r="Y32" s="213"/>
      <c r="Z32" s="39"/>
      <c r="AA32" s="39"/>
      <c r="AB32" s="39"/>
      <c r="AC32" s="39"/>
      <c r="AD32" s="39">
        <f t="shared" ref="AD32:AD34" si="32">+AM32+BA32</f>
        <v>0</v>
      </c>
      <c r="AE32" s="230" t="s">
        <v>419</v>
      </c>
      <c r="AF32" s="39"/>
      <c r="AG32" s="39">
        <v>0</v>
      </c>
      <c r="AH32" s="39"/>
      <c r="AI32" s="485"/>
      <c r="AJ32" s="39"/>
      <c r="AK32" s="39"/>
      <c r="AL32" s="39"/>
      <c r="AM32" s="39">
        <f t="shared" ref="AM32:AM33" si="33">SUM(AF32:AL32)+AT32+AV32+AX32</f>
        <v>0</v>
      </c>
      <c r="AN32" s="87"/>
      <c r="AO32" s="39"/>
      <c r="AP32" s="39"/>
      <c r="AQ32" s="39"/>
      <c r="AR32" s="39">
        <f t="shared" ref="AR32:AR33" si="34">SUM(AN32:AQ32)</f>
        <v>0</v>
      </c>
      <c r="AS32" s="39"/>
      <c r="AT32" s="39"/>
      <c r="AU32" s="39"/>
      <c r="AV32" s="39"/>
      <c r="AW32" s="39"/>
      <c r="AX32" s="39"/>
      <c r="AY32" s="39"/>
      <c r="AZ32" s="39"/>
      <c r="BA32" s="39">
        <f t="shared" ref="BA32:BA34" si="35">+AR32+AS32+AU32+AW32+AY32+AZ32</f>
        <v>0</v>
      </c>
      <c r="BB32" s="52"/>
      <c r="BC32" s="53">
        <v>0</v>
      </c>
      <c r="BD32" s="53"/>
      <c r="BE32" s="52"/>
      <c r="BF32" s="53"/>
    </row>
    <row r="33" spans="1:58" ht="12.95" customHeight="1">
      <c r="A33" s="42"/>
      <c r="B33" s="43"/>
      <c r="C33" s="402"/>
      <c r="D33" s="43"/>
      <c r="E33" s="44"/>
      <c r="F33" s="44"/>
      <c r="G33" s="45"/>
      <c r="H33" s="46"/>
      <c r="I33" s="47"/>
      <c r="J33" s="86"/>
      <c r="K33" s="86"/>
      <c r="L33" s="37"/>
      <c r="M33" s="37"/>
      <c r="N33" s="48"/>
      <c r="O33" s="49"/>
      <c r="P33" s="50"/>
      <c r="Q33" s="49"/>
      <c r="R33" s="371"/>
      <c r="S33" s="371"/>
      <c r="T33" s="39"/>
      <c r="U33" s="39"/>
      <c r="V33" s="39"/>
      <c r="W33" s="39"/>
      <c r="X33" s="40"/>
      <c r="Y33" s="213"/>
      <c r="Z33" s="39"/>
      <c r="AA33" s="39"/>
      <c r="AB33" s="39"/>
      <c r="AC33" s="39"/>
      <c r="AD33" s="39">
        <f t="shared" si="32"/>
        <v>0</v>
      </c>
      <c r="AE33" s="230" t="s">
        <v>420</v>
      </c>
      <c r="AF33" s="35"/>
      <c r="AG33" s="35"/>
      <c r="AH33" s="35">
        <v>0</v>
      </c>
      <c r="AJ33" s="39"/>
      <c r="AK33" s="39"/>
      <c r="AL33" s="39"/>
      <c r="AM33" s="39">
        <f t="shared" si="33"/>
        <v>0</v>
      </c>
      <c r="AN33" s="39"/>
      <c r="AO33" s="39"/>
      <c r="AP33" s="39"/>
      <c r="AQ33" s="39"/>
      <c r="AR33" s="39">
        <f t="shared" si="34"/>
        <v>0</v>
      </c>
      <c r="AS33" s="39"/>
      <c r="AT33" s="39"/>
      <c r="AU33" s="39"/>
      <c r="AV33" s="39"/>
      <c r="AW33" s="39"/>
      <c r="AX33" s="39"/>
      <c r="AY33" s="39"/>
      <c r="AZ33" s="39"/>
      <c r="BA33" s="39">
        <f t="shared" si="35"/>
        <v>0</v>
      </c>
      <c r="BB33" s="35"/>
      <c r="BC33" s="486"/>
      <c r="BD33" s="486"/>
      <c r="BE33" s="35"/>
      <c r="BF33" s="486"/>
    </row>
    <row r="34" spans="1:58" ht="12.95" customHeight="1">
      <c r="A34" s="42"/>
      <c r="B34" s="43"/>
      <c r="C34" s="402"/>
      <c r="D34" s="43"/>
      <c r="E34" s="44"/>
      <c r="F34" s="44"/>
      <c r="G34" s="45"/>
      <c r="H34" s="46"/>
      <c r="I34" s="47"/>
      <c r="J34" s="86"/>
      <c r="K34" s="86"/>
      <c r="L34" s="37"/>
      <c r="M34" s="37"/>
      <c r="N34" s="48"/>
      <c r="O34" s="49"/>
      <c r="P34" s="50"/>
      <c r="Q34" s="49"/>
      <c r="R34" s="371"/>
      <c r="S34" s="371"/>
      <c r="T34" s="39"/>
      <c r="U34" s="39"/>
      <c r="V34" s="39"/>
      <c r="W34" s="39"/>
      <c r="X34" s="40"/>
      <c r="Y34" s="213"/>
      <c r="Z34" s="39"/>
      <c r="AA34" s="39"/>
      <c r="AB34" s="39"/>
      <c r="AC34" s="39"/>
      <c r="AD34" s="39">
        <f t="shared" si="32"/>
        <v>1440</v>
      </c>
      <c r="AE34" s="230" t="s">
        <v>422</v>
      </c>
      <c r="AF34" s="35"/>
      <c r="AG34" s="35"/>
      <c r="AH34" s="35"/>
      <c r="AJ34" s="39"/>
      <c r="AK34" s="39"/>
      <c r="AL34" s="39"/>
      <c r="AM34" s="39">
        <f t="shared" ref="AM34" si="36">SUM(AF34:AL34)+AT34+AV34+AX34</f>
        <v>0</v>
      </c>
      <c r="AN34" s="39"/>
      <c r="AO34" s="39"/>
      <c r="AP34" s="39"/>
      <c r="AQ34" s="39"/>
      <c r="AR34" s="39">
        <f t="shared" ref="AR34" si="37">SUM(AN34:AQ34)</f>
        <v>0</v>
      </c>
      <c r="AS34" s="39"/>
      <c r="AT34" s="39"/>
      <c r="AU34" s="39">
        <v>1440</v>
      </c>
      <c r="AV34" s="39"/>
      <c r="AW34" s="39"/>
      <c r="AX34" s="39"/>
      <c r="AY34" s="39"/>
      <c r="AZ34" s="39"/>
      <c r="BA34" s="39">
        <f t="shared" si="35"/>
        <v>1440</v>
      </c>
      <c r="BB34" s="35"/>
      <c r="BC34" s="486"/>
      <c r="BD34" s="486"/>
      <c r="BE34" s="35"/>
      <c r="BF34" s="486"/>
    </row>
    <row r="35" spans="1:58" ht="12.95" customHeight="1">
      <c r="A35" s="42"/>
      <c r="B35" s="554"/>
      <c r="C35" s="555"/>
      <c r="D35" s="554"/>
      <c r="E35" s="44"/>
      <c r="F35" s="44"/>
      <c r="G35" s="556"/>
      <c r="H35" s="46"/>
      <c r="I35" s="47"/>
      <c r="J35" s="86"/>
      <c r="K35" s="86"/>
      <c r="L35" s="558"/>
      <c r="M35" s="558"/>
      <c r="N35" s="48"/>
      <c r="O35" s="49"/>
      <c r="P35" s="50"/>
      <c r="Q35" s="49"/>
      <c r="R35" s="559"/>
      <c r="S35" s="559"/>
      <c r="T35" s="39"/>
      <c r="U35" s="39"/>
      <c r="V35" s="39"/>
      <c r="W35" s="39"/>
      <c r="X35" s="370"/>
      <c r="Y35" s="213"/>
      <c r="Z35" s="39"/>
      <c r="AA35" s="39"/>
      <c r="AB35" s="39"/>
      <c r="AC35" s="39"/>
      <c r="AD35" s="39"/>
      <c r="AE35" s="230"/>
      <c r="AF35" s="35"/>
      <c r="AG35" s="35"/>
      <c r="AH35" s="35"/>
      <c r="AJ35" s="39"/>
      <c r="AK35" s="39"/>
      <c r="AL35" s="39"/>
      <c r="AM35" s="39"/>
      <c r="AN35" s="39"/>
      <c r="AO35" s="39"/>
      <c r="AP35" s="39"/>
      <c r="AQ35" s="39"/>
      <c r="AR35" s="39"/>
      <c r="AS35" s="39"/>
      <c r="AT35" s="39"/>
      <c r="AU35" s="39"/>
      <c r="AV35" s="39"/>
      <c r="AW35" s="39"/>
      <c r="AX35" s="39"/>
      <c r="AY35" s="39"/>
      <c r="AZ35" s="39"/>
      <c r="BA35" s="39"/>
      <c r="BB35" s="35"/>
      <c r="BC35" s="486"/>
      <c r="BD35" s="53"/>
      <c r="BE35" s="52"/>
      <c r="BF35" s="53"/>
    </row>
    <row r="36" spans="1:58" ht="12.95" customHeight="1">
      <c r="A36" s="42">
        <v>45937</v>
      </c>
      <c r="B36" s="43" t="s">
        <v>421</v>
      </c>
      <c r="C36" s="402">
        <f>(M36*E36*O36*Q36)/100000000</f>
        <v>52.744607999999999</v>
      </c>
      <c r="D36" s="43" t="s">
        <v>413</v>
      </c>
      <c r="E36" s="44">
        <v>17</v>
      </c>
      <c r="F36" s="44">
        <v>1</v>
      </c>
      <c r="G36" s="415">
        <v>1025</v>
      </c>
      <c r="H36" s="557">
        <f>+N36</f>
        <v>0.19999999999999996</v>
      </c>
      <c r="I36" s="47">
        <v>0.88</v>
      </c>
      <c r="J36" s="86">
        <f>E36*G36*(1-H36)*1440/1000000*2.74</f>
        <v>55.001663999999998</v>
      </c>
      <c r="K36" s="86">
        <f>(IF(G36&lt;L36,L36,G36)*(1-IF(H36&lt;N36,H36,N36))*E36*O36*Q36)/100000000</f>
        <v>52.744607999999999</v>
      </c>
      <c r="L36" s="37">
        <v>1050</v>
      </c>
      <c r="M36" s="37">
        <v>840</v>
      </c>
      <c r="N36" s="48">
        <f>1-(M36/L36)</f>
        <v>0.19999999999999996</v>
      </c>
      <c r="O36" s="49">
        <f>+'Trim Rwd'!H16</f>
        <v>256.5</v>
      </c>
      <c r="P36" s="50">
        <f>O36*(Q36-R36-S36)</f>
        <v>0</v>
      </c>
      <c r="Q36" s="49">
        <v>1440</v>
      </c>
      <c r="R36" s="371">
        <v>1440</v>
      </c>
      <c r="S36" s="371">
        <v>0</v>
      </c>
      <c r="T36" s="39">
        <f>E36*M36*O36*Q36/100000000</f>
        <v>52.744607999999999</v>
      </c>
      <c r="U36" s="39">
        <f>E36*M36*O36*(Q36-R36-S36)/100000000</f>
        <v>0</v>
      </c>
      <c r="V36" s="39">
        <f>E36*G36*(1-N36)*O36/100*(R36+S36)/1000000</f>
        <v>51.488784000000003</v>
      </c>
      <c r="W36" s="39">
        <v>0</v>
      </c>
      <c r="X36" s="370">
        <f>SUM(W36:W39)/SUM(K36:K39)</f>
        <v>0</v>
      </c>
      <c r="Y36" s="39">
        <v>0</v>
      </c>
      <c r="Z36" s="39">
        <f>+'1'!D64/1000</f>
        <v>0</v>
      </c>
      <c r="AA36" s="51">
        <f>SUM(U36:U39)-SUM(W36:W39)-SUM(Z36:Z39)-SUM(Y36:Y39)</f>
        <v>0</v>
      </c>
      <c r="AB36" s="51">
        <f>(SUM(K36:K39)-SUM(W36:W39)-SUM(Y36:Y39)-SUM(Z36:Z39)-SUM(AC36:AC39)-SUM(V36:V39))-AA36</f>
        <v>1.2558239999999969</v>
      </c>
      <c r="AC36" s="39">
        <f>K36-T36</f>
        <v>0</v>
      </c>
      <c r="AD36" s="39">
        <f>+AM36+BA36</f>
        <v>0</v>
      </c>
      <c r="AE36" s="230" t="s">
        <v>418</v>
      </c>
      <c r="AF36" s="39">
        <v>0</v>
      </c>
      <c r="AG36" s="39"/>
      <c r="AH36" s="39"/>
      <c r="AI36" s="485"/>
      <c r="AJ36" s="39"/>
      <c r="AK36" s="39"/>
      <c r="AL36" s="39"/>
      <c r="AM36" s="39">
        <f>SUM(AF36:AL36)+AT36+AV36+AX36</f>
        <v>0</v>
      </c>
      <c r="AN36" s="39"/>
      <c r="AO36" s="39"/>
      <c r="AP36" s="39"/>
      <c r="AQ36" s="39"/>
      <c r="AR36" s="39">
        <f>SUM(AN36:AQ36)</f>
        <v>0</v>
      </c>
      <c r="AS36" s="39"/>
      <c r="AT36" s="39"/>
      <c r="AU36" s="39"/>
      <c r="AV36" s="39"/>
      <c r="AW36" s="39"/>
      <c r="AX36" s="39"/>
      <c r="AY36" s="39"/>
      <c r="AZ36" s="39"/>
      <c r="BA36" s="39">
        <f>+AR36+AS36+AU36+AW36+AY36+AZ36</f>
        <v>0</v>
      </c>
      <c r="BB36" s="35">
        <v>0</v>
      </c>
      <c r="BC36" s="53"/>
      <c r="BD36" s="53"/>
      <c r="BE36" s="35"/>
      <c r="BF36" s="53"/>
    </row>
    <row r="37" spans="1:58" ht="12.95" customHeight="1">
      <c r="A37" s="42"/>
      <c r="B37" s="43"/>
      <c r="C37" s="402"/>
      <c r="D37" s="43"/>
      <c r="E37" s="44"/>
      <c r="F37" s="44"/>
      <c r="G37" s="415"/>
      <c r="H37" s="557"/>
      <c r="I37" s="47"/>
      <c r="J37" s="86"/>
      <c r="K37" s="86"/>
      <c r="L37" s="37"/>
      <c r="M37" s="37"/>
      <c r="N37" s="48"/>
      <c r="O37" s="49"/>
      <c r="P37" s="50"/>
      <c r="Q37" s="49"/>
      <c r="R37" s="371"/>
      <c r="S37" s="371"/>
      <c r="T37" s="39"/>
      <c r="U37" s="39"/>
      <c r="V37" s="39"/>
      <c r="W37" s="39"/>
      <c r="X37" s="40"/>
      <c r="Y37" s="213"/>
      <c r="Z37" s="39"/>
      <c r="AA37" s="39"/>
      <c r="AB37" s="39"/>
      <c r="AC37" s="39"/>
      <c r="AD37" s="39">
        <f t="shared" ref="AD37:AD39" si="38">+AM37+BA37</f>
        <v>0</v>
      </c>
      <c r="AE37" s="230" t="s">
        <v>419</v>
      </c>
      <c r="AF37" s="39"/>
      <c r="AG37" s="39">
        <v>0</v>
      </c>
      <c r="AH37" s="39"/>
      <c r="AI37" s="485"/>
      <c r="AJ37" s="39"/>
      <c r="AK37" s="39"/>
      <c r="AL37" s="39"/>
      <c r="AM37" s="39">
        <f t="shared" ref="AM37:AM38" si="39">SUM(AF37:AL37)+AT37+AV37+AX37</f>
        <v>0</v>
      </c>
      <c r="AN37" s="87"/>
      <c r="AO37" s="39"/>
      <c r="AP37" s="39"/>
      <c r="AQ37" s="39"/>
      <c r="AR37" s="39">
        <f t="shared" ref="AR37:AR38" si="40">SUM(AN37:AQ37)</f>
        <v>0</v>
      </c>
      <c r="AS37" s="39"/>
      <c r="AT37" s="39"/>
      <c r="AU37" s="39"/>
      <c r="AV37" s="39"/>
      <c r="AW37" s="39"/>
      <c r="AX37" s="39"/>
      <c r="AY37" s="39"/>
      <c r="AZ37" s="39"/>
      <c r="BA37" s="39">
        <f t="shared" ref="BA37:BA39" si="41">+AR37+AS37+AU37+AW37+AY37+AZ37</f>
        <v>0</v>
      </c>
      <c r="BB37" s="52"/>
      <c r="BC37" s="53">
        <v>0</v>
      </c>
      <c r="BD37" s="53"/>
      <c r="BE37" s="52"/>
      <c r="BF37" s="53"/>
    </row>
    <row r="38" spans="1:58" ht="12.95" customHeight="1">
      <c r="A38" s="42"/>
      <c r="B38" s="43"/>
      <c r="C38" s="402"/>
      <c r="D38" s="43"/>
      <c r="E38" s="44"/>
      <c r="F38" s="44"/>
      <c r="G38" s="45"/>
      <c r="H38" s="46"/>
      <c r="I38" s="47"/>
      <c r="J38" s="86"/>
      <c r="K38" s="86"/>
      <c r="L38" s="37"/>
      <c r="M38" s="37"/>
      <c r="N38" s="48"/>
      <c r="O38" s="49"/>
      <c r="P38" s="50"/>
      <c r="Q38" s="49"/>
      <c r="R38" s="371"/>
      <c r="S38" s="371"/>
      <c r="T38" s="39"/>
      <c r="U38" s="39"/>
      <c r="V38" s="39"/>
      <c r="W38" s="39"/>
      <c r="X38" s="40"/>
      <c r="Y38" s="213"/>
      <c r="Z38" s="39"/>
      <c r="AA38" s="39"/>
      <c r="AB38" s="39"/>
      <c r="AC38" s="39"/>
      <c r="AD38" s="39">
        <f t="shared" si="38"/>
        <v>0</v>
      </c>
      <c r="AE38" s="230" t="s">
        <v>420</v>
      </c>
      <c r="AF38" s="35"/>
      <c r="AG38" s="35"/>
      <c r="AH38" s="35">
        <v>0</v>
      </c>
      <c r="AJ38" s="39"/>
      <c r="AK38" s="39"/>
      <c r="AL38" s="39"/>
      <c r="AM38" s="39">
        <f t="shared" si="39"/>
        <v>0</v>
      </c>
      <c r="AN38" s="39"/>
      <c r="AO38" s="39"/>
      <c r="AP38" s="39"/>
      <c r="AQ38" s="39"/>
      <c r="AR38" s="39">
        <f t="shared" si="40"/>
        <v>0</v>
      </c>
      <c r="AS38" s="39"/>
      <c r="AT38" s="39"/>
      <c r="AU38" s="39"/>
      <c r="AV38" s="39"/>
      <c r="AW38" s="39"/>
      <c r="AX38" s="39"/>
      <c r="AY38" s="39"/>
      <c r="AZ38" s="39"/>
      <c r="BA38" s="39">
        <f t="shared" si="41"/>
        <v>0</v>
      </c>
      <c r="BB38" s="35"/>
      <c r="BC38" s="486"/>
      <c r="BD38" s="486"/>
      <c r="BE38" s="35"/>
      <c r="BF38" s="486"/>
    </row>
    <row r="39" spans="1:58" ht="12.95" customHeight="1">
      <c r="A39" s="42"/>
      <c r="B39" s="43"/>
      <c r="C39" s="402"/>
      <c r="D39" s="43"/>
      <c r="E39" s="44"/>
      <c r="F39" s="44"/>
      <c r="G39" s="45"/>
      <c r="H39" s="46"/>
      <c r="I39" s="47"/>
      <c r="J39" s="86"/>
      <c r="K39" s="86"/>
      <c r="L39" s="37"/>
      <c r="M39" s="37"/>
      <c r="N39" s="48"/>
      <c r="O39" s="49"/>
      <c r="P39" s="50"/>
      <c r="Q39" s="49"/>
      <c r="R39" s="371"/>
      <c r="S39" s="371"/>
      <c r="T39" s="39"/>
      <c r="U39" s="39"/>
      <c r="V39" s="39"/>
      <c r="W39" s="39"/>
      <c r="X39" s="40"/>
      <c r="Y39" s="213"/>
      <c r="Z39" s="39"/>
      <c r="AA39" s="39"/>
      <c r="AB39" s="39"/>
      <c r="AC39" s="39"/>
      <c r="AD39" s="39">
        <f t="shared" si="38"/>
        <v>1440</v>
      </c>
      <c r="AE39" s="230" t="s">
        <v>422</v>
      </c>
      <c r="AF39" s="35"/>
      <c r="AG39" s="35"/>
      <c r="AH39" s="35"/>
      <c r="AJ39" s="39"/>
      <c r="AK39" s="39"/>
      <c r="AL39" s="39"/>
      <c r="AM39" s="39">
        <f t="shared" ref="AM39" si="42">SUM(AF39:AL39)+AT39+AV39+AX39</f>
        <v>0</v>
      </c>
      <c r="AN39" s="39"/>
      <c r="AO39" s="39"/>
      <c r="AP39" s="39"/>
      <c r="AQ39" s="39"/>
      <c r="AR39" s="39">
        <f t="shared" ref="AR39" si="43">SUM(AN39:AQ39)</f>
        <v>0</v>
      </c>
      <c r="AS39" s="39"/>
      <c r="AT39" s="39"/>
      <c r="AU39" s="39">
        <v>1440</v>
      </c>
      <c r="AV39" s="39"/>
      <c r="AW39" s="39"/>
      <c r="AX39" s="39"/>
      <c r="AY39" s="39"/>
      <c r="AZ39" s="39"/>
      <c r="BA39" s="39">
        <f t="shared" si="41"/>
        <v>1440</v>
      </c>
      <c r="BB39" s="35"/>
      <c r="BC39" s="486"/>
      <c r="BD39" s="486"/>
      <c r="BE39" s="35"/>
      <c r="BF39" s="486"/>
    </row>
    <row r="40" spans="1:58" ht="12.95" customHeight="1">
      <c r="A40" s="42"/>
      <c r="B40" s="43"/>
      <c r="C40" s="402"/>
      <c r="D40" s="43"/>
      <c r="E40" s="44"/>
      <c r="F40" s="44"/>
      <c r="G40" s="415"/>
      <c r="H40" s="557"/>
      <c r="I40" s="47"/>
      <c r="J40" s="86"/>
      <c r="K40" s="86"/>
      <c r="L40" s="37"/>
      <c r="M40" s="37"/>
      <c r="N40" s="48"/>
      <c r="O40" s="49"/>
      <c r="P40" s="50"/>
      <c r="Q40" s="49"/>
      <c r="R40" s="371"/>
      <c r="S40" s="371"/>
      <c r="T40" s="39"/>
      <c r="U40" s="39"/>
      <c r="V40" s="39"/>
      <c r="W40" s="39"/>
      <c r="X40" s="370"/>
      <c r="Y40" s="213"/>
      <c r="Z40" s="39"/>
      <c r="AA40" s="51"/>
      <c r="AB40" s="51"/>
      <c r="AC40" s="39"/>
      <c r="AD40" s="39"/>
      <c r="AE40" s="230"/>
      <c r="AF40" s="39"/>
      <c r="AG40" s="39"/>
      <c r="AH40" s="39"/>
      <c r="AI40" s="39"/>
      <c r="AJ40" s="39"/>
      <c r="AK40" s="39"/>
      <c r="AL40" s="39"/>
      <c r="AM40" s="39"/>
      <c r="AN40" s="39"/>
      <c r="AO40" s="39"/>
      <c r="AP40" s="39"/>
      <c r="AQ40" s="39"/>
      <c r="AR40" s="39"/>
      <c r="AS40" s="39"/>
      <c r="AT40" s="39"/>
      <c r="AU40" s="39"/>
      <c r="AV40" s="39"/>
      <c r="AW40" s="39"/>
      <c r="AX40" s="39"/>
      <c r="AY40" s="39"/>
      <c r="AZ40" s="39"/>
      <c r="BA40" s="39"/>
      <c r="BB40" s="52"/>
      <c r="BC40" s="53"/>
      <c r="BD40" s="486"/>
      <c r="BE40" s="35"/>
      <c r="BF40" s="486"/>
    </row>
    <row r="41" spans="1:58" ht="12.95" customHeight="1">
      <c r="A41" s="42">
        <v>45938</v>
      </c>
      <c r="B41" s="43" t="s">
        <v>421</v>
      </c>
      <c r="C41" s="402">
        <f>(M41*E41*O41*Q41)/100000000</f>
        <v>52.744607999999999</v>
      </c>
      <c r="D41" s="43" t="s">
        <v>413</v>
      </c>
      <c r="E41" s="44">
        <v>17</v>
      </c>
      <c r="F41" s="44">
        <v>1</v>
      </c>
      <c r="G41" s="415">
        <v>1025</v>
      </c>
      <c r="H41" s="557">
        <f>+N41</f>
        <v>0.19999999999999996</v>
      </c>
      <c r="I41" s="47">
        <v>0.88</v>
      </c>
      <c r="J41" s="86">
        <f>E41*G41*(1-H41)*1440/1000000*2.74</f>
        <v>55.001663999999998</v>
      </c>
      <c r="K41" s="86">
        <f>(IF(G41&lt;L41,L41,G41)*(1-IF(H41&lt;N41,H41,N41))*E41*O41*Q41)/100000000</f>
        <v>52.744607999999999</v>
      </c>
      <c r="L41" s="37">
        <v>1050</v>
      </c>
      <c r="M41" s="37">
        <v>840</v>
      </c>
      <c r="N41" s="48">
        <f>1-(M41/L41)</f>
        <v>0.19999999999999996</v>
      </c>
      <c r="O41" s="49">
        <f>+'Trim Rwd'!H18</f>
        <v>256.5</v>
      </c>
      <c r="P41" s="50">
        <f>O41*(Q41-R41-S41)</f>
        <v>0</v>
      </c>
      <c r="Q41" s="49">
        <v>1440</v>
      </c>
      <c r="R41" s="371">
        <v>1440</v>
      </c>
      <c r="S41" s="371">
        <v>0</v>
      </c>
      <c r="T41" s="39">
        <f>E41*M41*O41*Q41/100000000</f>
        <v>52.744607999999999</v>
      </c>
      <c r="U41" s="39">
        <f>E41*M41*O41*(Q41-R41-S41)/100000000</f>
        <v>0</v>
      </c>
      <c r="V41" s="39">
        <f>E41*G41*(1-N41)*O41/100*(R41+S41)/1000000</f>
        <v>51.488784000000003</v>
      </c>
      <c r="W41" s="39">
        <v>0</v>
      </c>
      <c r="X41" s="370">
        <f>SUM(W41:W44)/SUM(K41:K44)</f>
        <v>0</v>
      </c>
      <c r="Y41" s="39">
        <v>0</v>
      </c>
      <c r="Z41" s="39">
        <f>+'1'!D69/1000</f>
        <v>0</v>
      </c>
      <c r="AA41" s="51">
        <f>SUM(U41:U44)-SUM(W41:W44)-SUM(Z41:Z44)-SUM(Y41:Y44)</f>
        <v>0</v>
      </c>
      <c r="AB41" s="51">
        <f>(SUM(K41:K44)-SUM(W41:W44)-SUM(Y41:Y44)-SUM(Z41:Z44)-SUM(AC41:AC44)-SUM(V41:V44))-AA41</f>
        <v>1.2558239999999969</v>
      </c>
      <c r="AC41" s="39">
        <f>K41-T41</f>
        <v>0</v>
      </c>
      <c r="AD41" s="39">
        <f>+AM41+BA41</f>
        <v>0</v>
      </c>
      <c r="AE41" s="230" t="s">
        <v>418</v>
      </c>
      <c r="AF41" s="39">
        <v>0</v>
      </c>
      <c r="AG41" s="39"/>
      <c r="AH41" s="39"/>
      <c r="AI41" s="485"/>
      <c r="AJ41" s="39"/>
      <c r="AK41" s="39"/>
      <c r="AL41" s="39"/>
      <c r="AM41" s="39">
        <f>SUM(AF41:AL41)+AT41+AV41+AX41</f>
        <v>0</v>
      </c>
      <c r="AN41" s="39"/>
      <c r="AO41" s="39"/>
      <c r="AP41" s="39"/>
      <c r="AQ41" s="39"/>
      <c r="AR41" s="39">
        <f>SUM(AN41:AQ41)</f>
        <v>0</v>
      </c>
      <c r="AS41" s="39"/>
      <c r="AT41" s="39"/>
      <c r="AU41" s="39"/>
      <c r="AV41" s="39"/>
      <c r="AW41" s="39"/>
      <c r="AX41" s="39"/>
      <c r="AY41" s="39"/>
      <c r="AZ41" s="39"/>
      <c r="BA41" s="39">
        <f>+AR41+AS41+AU41+AW41+AY41+AZ41</f>
        <v>0</v>
      </c>
      <c r="BB41" s="35">
        <v>0</v>
      </c>
      <c r="BC41" s="53"/>
      <c r="BD41" s="53"/>
      <c r="BE41" s="35"/>
      <c r="BF41" s="53"/>
    </row>
    <row r="42" spans="1:58" ht="12.95" customHeight="1">
      <c r="A42" s="42"/>
      <c r="B42" s="43"/>
      <c r="C42" s="402"/>
      <c r="D42" s="43"/>
      <c r="E42" s="44"/>
      <c r="F42" s="44"/>
      <c r="G42" s="415"/>
      <c r="H42" s="557"/>
      <c r="I42" s="47"/>
      <c r="J42" s="86"/>
      <c r="K42" s="86"/>
      <c r="L42" s="37"/>
      <c r="M42" s="37"/>
      <c r="N42" s="48"/>
      <c r="O42" s="49"/>
      <c r="P42" s="50"/>
      <c r="Q42" s="49"/>
      <c r="R42" s="371"/>
      <c r="S42" s="371"/>
      <c r="T42" s="39"/>
      <c r="U42" s="39"/>
      <c r="V42" s="39"/>
      <c r="W42" s="39"/>
      <c r="X42" s="40"/>
      <c r="Y42" s="213"/>
      <c r="Z42" s="39"/>
      <c r="AA42" s="39"/>
      <c r="AB42" s="39"/>
      <c r="AC42" s="39"/>
      <c r="AD42" s="39">
        <f t="shared" ref="AD42:AD44" si="44">+AM42+BA42</f>
        <v>0</v>
      </c>
      <c r="AE42" s="230" t="s">
        <v>419</v>
      </c>
      <c r="AF42" s="39"/>
      <c r="AG42" s="39">
        <v>0</v>
      </c>
      <c r="AH42" s="39"/>
      <c r="AI42" s="485"/>
      <c r="AJ42" s="39"/>
      <c r="AK42" s="39"/>
      <c r="AL42" s="39"/>
      <c r="AM42" s="39">
        <f t="shared" ref="AM42:AM43" si="45">SUM(AF42:AL42)+AT42+AV42+AX42</f>
        <v>0</v>
      </c>
      <c r="AN42" s="87"/>
      <c r="AO42" s="39"/>
      <c r="AP42" s="39"/>
      <c r="AQ42" s="39"/>
      <c r="AR42" s="39">
        <f t="shared" ref="AR42:AR43" si="46">SUM(AN42:AQ42)</f>
        <v>0</v>
      </c>
      <c r="AS42" s="39"/>
      <c r="AT42" s="39"/>
      <c r="AU42" s="39"/>
      <c r="AV42" s="39"/>
      <c r="AW42" s="39"/>
      <c r="AX42" s="39"/>
      <c r="AY42" s="39"/>
      <c r="AZ42" s="39"/>
      <c r="BA42" s="39">
        <f t="shared" ref="BA42:BA44" si="47">+AR42+AS42+AU42+AW42+AY42+AZ42</f>
        <v>0</v>
      </c>
      <c r="BB42" s="52"/>
      <c r="BC42" s="53">
        <v>0</v>
      </c>
      <c r="BD42" s="53"/>
      <c r="BE42" s="52"/>
      <c r="BF42" s="53"/>
    </row>
    <row r="43" spans="1:58" ht="12.95" customHeight="1">
      <c r="A43" s="42"/>
      <c r="B43" s="43"/>
      <c r="C43" s="402"/>
      <c r="D43" s="43"/>
      <c r="E43" s="44"/>
      <c r="F43" s="44"/>
      <c r="G43" s="45"/>
      <c r="H43" s="46"/>
      <c r="I43" s="47"/>
      <c r="J43" s="86"/>
      <c r="K43" s="86"/>
      <c r="L43" s="37"/>
      <c r="M43" s="37"/>
      <c r="N43" s="48"/>
      <c r="O43" s="49"/>
      <c r="P43" s="50"/>
      <c r="Q43" s="49"/>
      <c r="R43" s="371"/>
      <c r="S43" s="371"/>
      <c r="T43" s="39"/>
      <c r="U43" s="39"/>
      <c r="V43" s="39"/>
      <c r="W43" s="39"/>
      <c r="X43" s="40"/>
      <c r="Y43" s="213"/>
      <c r="Z43" s="39"/>
      <c r="AA43" s="39"/>
      <c r="AB43" s="39"/>
      <c r="AC43" s="39"/>
      <c r="AD43" s="39">
        <f t="shared" si="44"/>
        <v>0</v>
      </c>
      <c r="AE43" s="230" t="s">
        <v>420</v>
      </c>
      <c r="AF43" s="35"/>
      <c r="AG43" s="35"/>
      <c r="AH43" s="35">
        <v>0</v>
      </c>
      <c r="AJ43" s="39"/>
      <c r="AK43" s="39"/>
      <c r="AL43" s="39"/>
      <c r="AM43" s="39">
        <f t="shared" si="45"/>
        <v>0</v>
      </c>
      <c r="AN43" s="39"/>
      <c r="AO43" s="39"/>
      <c r="AP43" s="39"/>
      <c r="AQ43" s="39"/>
      <c r="AR43" s="39">
        <f t="shared" si="46"/>
        <v>0</v>
      </c>
      <c r="AS43" s="39"/>
      <c r="AT43" s="39"/>
      <c r="AU43" s="39"/>
      <c r="AV43" s="39"/>
      <c r="AW43" s="39"/>
      <c r="AX43" s="39"/>
      <c r="AY43" s="39"/>
      <c r="AZ43" s="39"/>
      <c r="BA43" s="39">
        <f t="shared" si="47"/>
        <v>0</v>
      </c>
      <c r="BB43" s="35"/>
      <c r="BC43" s="486"/>
      <c r="BD43" s="486"/>
      <c r="BE43" s="35"/>
      <c r="BF43" s="486"/>
    </row>
    <row r="44" spans="1:58" ht="12.95" customHeight="1">
      <c r="A44" s="42"/>
      <c r="B44" s="43"/>
      <c r="C44" s="402"/>
      <c r="D44" s="43"/>
      <c r="E44" s="44"/>
      <c r="F44" s="44"/>
      <c r="G44" s="45"/>
      <c r="H44" s="46"/>
      <c r="I44" s="47"/>
      <c r="J44" s="86"/>
      <c r="K44" s="86"/>
      <c r="L44" s="37"/>
      <c r="M44" s="37"/>
      <c r="N44" s="48"/>
      <c r="O44" s="49"/>
      <c r="P44" s="50"/>
      <c r="Q44" s="49"/>
      <c r="R44" s="371"/>
      <c r="S44" s="371"/>
      <c r="T44" s="39"/>
      <c r="U44" s="39"/>
      <c r="V44" s="39"/>
      <c r="W44" s="39"/>
      <c r="X44" s="40"/>
      <c r="Y44" s="213"/>
      <c r="Z44" s="39"/>
      <c r="AA44" s="39"/>
      <c r="AB44" s="39"/>
      <c r="AC44" s="39"/>
      <c r="AD44" s="39">
        <f t="shared" si="44"/>
        <v>1440</v>
      </c>
      <c r="AE44" s="230" t="s">
        <v>422</v>
      </c>
      <c r="AF44" s="35"/>
      <c r="AG44" s="35"/>
      <c r="AH44" s="35"/>
      <c r="AJ44" s="39"/>
      <c r="AK44" s="39"/>
      <c r="AL44" s="39"/>
      <c r="AM44" s="39">
        <f t="shared" ref="AM44" si="48">SUM(AF44:AL44)+AT44+AV44+AX44</f>
        <v>0</v>
      </c>
      <c r="AN44" s="39"/>
      <c r="AO44" s="39"/>
      <c r="AP44" s="39"/>
      <c r="AQ44" s="39"/>
      <c r="AR44" s="39">
        <f t="shared" ref="AR44" si="49">SUM(AN44:AQ44)</f>
        <v>0</v>
      </c>
      <c r="AS44" s="39"/>
      <c r="AT44" s="39"/>
      <c r="AU44" s="39">
        <v>1440</v>
      </c>
      <c r="AV44" s="39"/>
      <c r="AW44" s="39"/>
      <c r="AX44" s="39"/>
      <c r="AY44" s="39"/>
      <c r="AZ44" s="39"/>
      <c r="BA44" s="39">
        <f t="shared" si="47"/>
        <v>1440</v>
      </c>
      <c r="BB44" s="35"/>
      <c r="BC44" s="486"/>
      <c r="BD44" s="486"/>
      <c r="BE44" s="35"/>
      <c r="BF44" s="486"/>
    </row>
    <row r="45" spans="1:58" ht="12.95" customHeight="1">
      <c r="A45" s="42"/>
      <c r="B45" s="43"/>
      <c r="C45" s="402"/>
      <c r="D45" s="43"/>
      <c r="E45" s="44"/>
      <c r="F45" s="44"/>
      <c r="G45" s="415"/>
      <c r="H45" s="557"/>
      <c r="I45" s="47"/>
      <c r="J45" s="86"/>
      <c r="K45" s="86"/>
      <c r="L45" s="37"/>
      <c r="M45" s="37"/>
      <c r="N45" s="48"/>
      <c r="O45" s="49"/>
      <c r="P45" s="50"/>
      <c r="Q45" s="49"/>
      <c r="R45" s="371"/>
      <c r="S45" s="371"/>
      <c r="T45" s="39"/>
      <c r="U45" s="39"/>
      <c r="V45" s="39"/>
      <c r="W45" s="39"/>
      <c r="X45" s="370"/>
      <c r="Y45" s="39"/>
      <c r="Z45" s="39"/>
      <c r="AA45" s="51"/>
      <c r="AB45" s="51"/>
      <c r="AC45" s="39"/>
      <c r="AD45" s="39"/>
      <c r="AE45" s="230"/>
      <c r="AF45" s="39"/>
      <c r="AG45" s="39"/>
      <c r="AH45" s="39"/>
      <c r="AI45" s="485"/>
      <c r="AJ45" s="39"/>
      <c r="AK45" s="39"/>
      <c r="AL45" s="39"/>
      <c r="AM45" s="39"/>
      <c r="AN45" s="39"/>
      <c r="AO45" s="39"/>
      <c r="AP45" s="39"/>
      <c r="AQ45" s="39"/>
      <c r="AR45" s="39"/>
      <c r="AS45" s="39"/>
      <c r="AT45" s="39"/>
      <c r="AU45" s="39"/>
      <c r="AV45" s="39"/>
      <c r="AW45" s="39"/>
      <c r="AX45" s="39"/>
      <c r="AY45" s="39"/>
      <c r="AZ45" s="39"/>
      <c r="BA45" s="39"/>
      <c r="BB45" s="35"/>
      <c r="BC45" s="53"/>
      <c r="BD45" s="53"/>
      <c r="BE45" s="52"/>
      <c r="BF45" s="53"/>
    </row>
    <row r="46" spans="1:58" ht="12.95" customHeight="1">
      <c r="A46" s="42">
        <v>45939</v>
      </c>
      <c r="B46" s="43" t="s">
        <v>460</v>
      </c>
      <c r="C46" s="402">
        <f>(M46*E46*O46*Q46)/100000000</f>
        <v>37.03999995406452</v>
      </c>
      <c r="D46" s="43" t="s">
        <v>462</v>
      </c>
      <c r="E46" s="44">
        <v>14</v>
      </c>
      <c r="F46" s="44">
        <v>1</v>
      </c>
      <c r="G46" s="415">
        <v>1300</v>
      </c>
      <c r="H46" s="557">
        <f>+N46</f>
        <v>0.23340044851794073</v>
      </c>
      <c r="I46" s="47">
        <v>0.88</v>
      </c>
      <c r="J46" s="86">
        <f>E46*G46*(1-H46)*1440/1000000*2.74</f>
        <v>55.04945246396256</v>
      </c>
      <c r="K46" s="86">
        <f>(IF(G46&lt;L46,L46,G46)*(1-IF(H46&lt;N46,H46,N46))*E46*O46*Q46)/100000000</f>
        <v>50.940834570210598</v>
      </c>
      <c r="L46" s="37">
        <v>945.25345622119812</v>
      </c>
      <c r="M46" s="37">
        <v>724.63087557603683</v>
      </c>
      <c r="N46" s="48">
        <f>1-(M46/L46)</f>
        <v>0.23340044851794073</v>
      </c>
      <c r="O46" s="49">
        <f>+'Trim Rwd'!H20</f>
        <v>264</v>
      </c>
      <c r="P46" s="50">
        <f>O46*(Q46-R46-S46)</f>
        <v>225456</v>
      </c>
      <c r="Q46" s="49">
        <f>868+515</f>
        <v>1383</v>
      </c>
      <c r="R46" s="371">
        <f>325+190</f>
        <v>515</v>
      </c>
      <c r="S46" s="371">
        <v>14</v>
      </c>
      <c r="T46" s="39">
        <f>E46*M46*O46*Q46/100000000</f>
        <v>37.03999995406452</v>
      </c>
      <c r="U46" s="39">
        <f>E46*M46*O46*(Q46-R46-S46)/100000000</f>
        <v>22.872133015741934</v>
      </c>
      <c r="V46" s="39">
        <f>E46*G46*(1-N46)*O46/100*(R46+S46)/1000000</f>
        <v>19.48496130704368</v>
      </c>
      <c r="W46" s="39">
        <f>+'9'!K8/1000</f>
        <v>17.867000000000001</v>
      </c>
      <c r="X46" s="370">
        <f>SUM(W46:W49)/SUM(K46:K49)</f>
        <v>0.33723214167880161</v>
      </c>
      <c r="Y46" s="39">
        <v>0</v>
      </c>
      <c r="Z46" s="39">
        <f>+'1'!D74/1000</f>
        <v>0</v>
      </c>
      <c r="AA46" s="51">
        <f>SUM(U46:U49)-SUM(W46:W49)-SUM(Z46:Z49)-SUM(Y46:Y49)</f>
        <v>6.6274884619919341</v>
      </c>
      <c r="AB46" s="51">
        <f>(SUM(K46:K49)-SUM(W46:W49)-SUM(Y46:Y49)-SUM(Z46:Z49)-SUM(AC46:AC49)-SUM(V46:V49))-AA46</f>
        <v>-5.3296951877211001</v>
      </c>
      <c r="AC46" s="39">
        <f>K46-T46</f>
        <v>13.900834616146078</v>
      </c>
      <c r="AD46" s="39">
        <f>+AM46+BA46</f>
        <v>0</v>
      </c>
      <c r="AE46" s="230" t="s">
        <v>418</v>
      </c>
      <c r="AF46" s="39">
        <v>0</v>
      </c>
      <c r="AG46" s="39"/>
      <c r="AH46" s="39"/>
      <c r="AI46" s="485"/>
      <c r="AJ46" s="39"/>
      <c r="AK46" s="39"/>
      <c r="AL46" s="39"/>
      <c r="AM46" s="39">
        <f>SUM(AF46:AL46)+AT46+AV46+AX46</f>
        <v>0</v>
      </c>
      <c r="AN46" s="39"/>
      <c r="AO46" s="39"/>
      <c r="AP46" s="39"/>
      <c r="AQ46" s="39"/>
      <c r="AR46" s="39">
        <f>SUM(AN46:AQ46)</f>
        <v>0</v>
      </c>
      <c r="AS46" s="39"/>
      <c r="AT46" s="39"/>
      <c r="AU46" s="39"/>
      <c r="AV46" s="39"/>
      <c r="AW46" s="39"/>
      <c r="AX46" s="39"/>
      <c r="AY46" s="39"/>
      <c r="AZ46" s="39"/>
      <c r="BA46" s="39">
        <f>+AR46+AS46+AU46+AW46+AY46+AZ46</f>
        <v>0</v>
      </c>
      <c r="BB46" s="35">
        <v>0</v>
      </c>
      <c r="BC46" s="53"/>
      <c r="BD46" s="53"/>
      <c r="BE46" s="35"/>
      <c r="BF46" s="53"/>
    </row>
    <row r="47" spans="1:58" ht="12.95" customHeight="1">
      <c r="A47" s="42"/>
      <c r="B47" s="43" t="s">
        <v>460</v>
      </c>
      <c r="C47" s="402">
        <f>(M47*E47*O47*Q47)/100000000</f>
        <v>1.6813501897500003</v>
      </c>
      <c r="D47" s="43" t="s">
        <v>462</v>
      </c>
      <c r="E47" s="44">
        <v>14.5</v>
      </c>
      <c r="F47" s="44">
        <v>1</v>
      </c>
      <c r="G47" s="415">
        <v>1250</v>
      </c>
      <c r="H47" s="557">
        <f>+N47</f>
        <v>0.22999999999999998</v>
      </c>
      <c r="I47" s="47">
        <v>0.88</v>
      </c>
      <c r="J47" s="86">
        <f>E47*G47*(1-H47)*1440/1000000*2.74</f>
        <v>55.065780000000011</v>
      </c>
      <c r="K47" s="86">
        <f>(IF(G47&lt;L47,L47,G47)*(1-IF(H47&lt;N47,H47,N47))*E47*O47*Q47)/100000000</f>
        <v>2.04047353125</v>
      </c>
      <c r="L47" s="37">
        <v>1030</v>
      </c>
      <c r="M47" s="37">
        <v>793.1</v>
      </c>
      <c r="N47" s="48">
        <f>1-(M47/L47)</f>
        <v>0.22999999999999998</v>
      </c>
      <c r="O47" s="49">
        <f>+'Trim Rwd'!H21</f>
        <v>256.5</v>
      </c>
      <c r="P47" s="50">
        <f>O47*(Q47-R47-S47)</f>
        <v>14107.5</v>
      </c>
      <c r="Q47" s="49">
        <v>57</v>
      </c>
      <c r="R47" s="371">
        <v>0</v>
      </c>
      <c r="S47" s="371">
        <v>2</v>
      </c>
      <c r="T47" s="39">
        <f>E47*M47*O47*Q47/100000000</f>
        <v>1.6813501897500003</v>
      </c>
      <c r="U47" s="39">
        <f>E47*M47*O47*(Q47-R47-S47)/100000000</f>
        <v>1.6223554462500003</v>
      </c>
      <c r="V47" s="39">
        <f>E47*G47*(1-N47)*O47/100*(R47+S47)/1000000</f>
        <v>7.1595562500000001E-2</v>
      </c>
      <c r="W47" s="39">
        <v>0</v>
      </c>
      <c r="X47" s="40"/>
      <c r="Y47" s="213"/>
      <c r="Z47" s="39"/>
      <c r="AA47" s="39"/>
      <c r="AB47" s="39"/>
      <c r="AC47" s="39">
        <f>K47-T47</f>
        <v>0.35912334149999969</v>
      </c>
      <c r="AD47" s="39">
        <f t="shared" ref="AD47:AD50" si="50">+AM47+BA47</f>
        <v>5</v>
      </c>
      <c r="AE47" s="230" t="s">
        <v>464</v>
      </c>
      <c r="AF47" s="39"/>
      <c r="AG47" s="39">
        <v>5</v>
      </c>
      <c r="AH47" s="39"/>
      <c r="AI47" s="485"/>
      <c r="AJ47" s="39"/>
      <c r="AK47" s="39"/>
      <c r="AL47" s="39"/>
      <c r="AM47" s="39">
        <f t="shared" ref="AM47:AM48" si="51">SUM(AF47:AL47)+AT47+AV47+AX47</f>
        <v>5</v>
      </c>
      <c r="AN47" s="87"/>
      <c r="AO47" s="39"/>
      <c r="AP47" s="39"/>
      <c r="AQ47" s="39"/>
      <c r="AR47" s="39">
        <f t="shared" ref="AR47:AR48" si="52">SUM(AN47:AQ47)</f>
        <v>0</v>
      </c>
      <c r="AS47" s="39"/>
      <c r="AT47" s="39"/>
      <c r="AU47" s="39"/>
      <c r="AV47" s="39"/>
      <c r="AW47" s="39"/>
      <c r="AX47" s="39"/>
      <c r="AY47" s="39"/>
      <c r="AZ47" s="39"/>
      <c r="BA47" s="39">
        <f t="shared" ref="BA47:BA50" si="53">+AR47+AS47+AU47+AW47+AY47+AZ47</f>
        <v>0</v>
      </c>
      <c r="BB47" s="52"/>
      <c r="BC47" s="53">
        <v>9</v>
      </c>
      <c r="BD47" s="53"/>
      <c r="BE47" s="52"/>
      <c r="BF47" s="53"/>
    </row>
    <row r="48" spans="1:58" ht="12.95" customHeight="1">
      <c r="A48" s="42"/>
      <c r="B48" s="43"/>
      <c r="C48" s="402"/>
      <c r="D48" s="43"/>
      <c r="E48" s="44"/>
      <c r="F48" s="44"/>
      <c r="G48" s="45"/>
      <c r="H48" s="46"/>
      <c r="I48" s="47"/>
      <c r="J48" s="86"/>
      <c r="K48" s="86"/>
      <c r="L48" s="37"/>
      <c r="M48" s="37"/>
      <c r="N48" s="48"/>
      <c r="O48" s="49"/>
      <c r="P48" s="50"/>
      <c r="Q48" s="49"/>
      <c r="R48" s="371"/>
      <c r="S48" s="371"/>
      <c r="T48" s="39"/>
      <c r="U48" s="39"/>
      <c r="V48" s="39"/>
      <c r="W48" s="39"/>
      <c r="X48" s="40"/>
      <c r="Y48" s="213"/>
      <c r="Z48" s="39"/>
      <c r="AA48" s="39"/>
      <c r="AB48" s="39"/>
      <c r="AC48" s="39"/>
      <c r="AD48" s="39">
        <f t="shared" si="50"/>
        <v>11</v>
      </c>
      <c r="AE48" s="230" t="s">
        <v>465</v>
      </c>
      <c r="AF48" s="35"/>
      <c r="AG48" s="35"/>
      <c r="AH48" s="35">
        <v>11</v>
      </c>
      <c r="AJ48" s="39"/>
      <c r="AK48" s="39"/>
      <c r="AL48" s="39"/>
      <c r="AM48" s="39">
        <f t="shared" si="51"/>
        <v>11</v>
      </c>
      <c r="AN48" s="39"/>
      <c r="AO48" s="39"/>
      <c r="AP48" s="39"/>
      <c r="AQ48" s="39"/>
      <c r="AR48" s="39">
        <f t="shared" si="52"/>
        <v>0</v>
      </c>
      <c r="AS48" s="39"/>
      <c r="AT48" s="39"/>
      <c r="AU48" s="39"/>
      <c r="AV48" s="39"/>
      <c r="AW48" s="39"/>
      <c r="AX48" s="39"/>
      <c r="AY48" s="39"/>
      <c r="AZ48" s="39"/>
      <c r="BA48" s="39">
        <f t="shared" si="53"/>
        <v>0</v>
      </c>
      <c r="BB48" s="35"/>
      <c r="BC48" s="486"/>
      <c r="BD48" s="486"/>
      <c r="BE48" s="35"/>
      <c r="BF48" s="486"/>
    </row>
    <row r="49" spans="1:58" ht="12.95" customHeight="1">
      <c r="A49" s="42"/>
      <c r="B49" s="43"/>
      <c r="C49" s="402"/>
      <c r="D49" s="43"/>
      <c r="E49" s="44"/>
      <c r="F49" s="44"/>
      <c r="G49" s="45"/>
      <c r="H49" s="46"/>
      <c r="I49" s="47"/>
      <c r="J49" s="86"/>
      <c r="K49" s="86"/>
      <c r="L49" s="37"/>
      <c r="M49" s="37"/>
      <c r="N49" s="48"/>
      <c r="O49" s="49"/>
      <c r="P49" s="50"/>
      <c r="Q49" s="49"/>
      <c r="R49" s="371"/>
      <c r="S49" s="371"/>
      <c r="T49" s="39"/>
      <c r="U49" s="39"/>
      <c r="V49" s="39"/>
      <c r="W49" s="39"/>
      <c r="X49" s="40"/>
      <c r="Y49" s="213"/>
      <c r="Z49" s="39"/>
      <c r="AA49" s="39"/>
      <c r="AB49" s="39"/>
      <c r="AC49" s="39"/>
      <c r="AD49" s="39">
        <f t="shared" si="50"/>
        <v>325</v>
      </c>
      <c r="AE49" s="230" t="s">
        <v>422</v>
      </c>
      <c r="AF49" s="35"/>
      <c r="AG49" s="35"/>
      <c r="AH49" s="35"/>
      <c r="AJ49" s="39"/>
      <c r="AK49" s="39"/>
      <c r="AL49" s="39"/>
      <c r="AM49" s="39">
        <f t="shared" ref="AM49:AM50" si="54">SUM(AF49:AL49)+AT49+AV49+AX49</f>
        <v>0</v>
      </c>
      <c r="AN49" s="39"/>
      <c r="AO49" s="39"/>
      <c r="AP49" s="39"/>
      <c r="AQ49" s="39"/>
      <c r="AR49" s="39">
        <f t="shared" ref="AR49:AR50" si="55">SUM(AN49:AQ49)</f>
        <v>0</v>
      </c>
      <c r="AS49" s="39"/>
      <c r="AT49" s="39"/>
      <c r="AU49" s="39">
        <v>325</v>
      </c>
      <c r="AV49" s="39"/>
      <c r="AW49" s="39"/>
      <c r="AX49" s="39"/>
      <c r="AY49" s="39"/>
      <c r="AZ49" s="39"/>
      <c r="BA49" s="39">
        <f t="shared" si="53"/>
        <v>325</v>
      </c>
      <c r="BB49" s="35"/>
      <c r="BC49" s="486"/>
      <c r="BD49" s="486"/>
      <c r="BE49" s="35"/>
      <c r="BF49" s="486"/>
    </row>
    <row r="50" spans="1:58" ht="12.95" customHeight="1">
      <c r="A50" s="42"/>
      <c r="B50" s="43"/>
      <c r="C50" s="402"/>
      <c r="D50" s="43"/>
      <c r="E50" s="44"/>
      <c r="F50" s="44"/>
      <c r="G50" s="415"/>
      <c r="H50" s="557"/>
      <c r="I50" s="47"/>
      <c r="J50" s="86"/>
      <c r="K50" s="86"/>
      <c r="L50" s="37"/>
      <c r="M50" s="37"/>
      <c r="N50" s="48"/>
      <c r="O50" s="49"/>
      <c r="P50" s="50"/>
      <c r="Q50" s="49"/>
      <c r="R50" s="371"/>
      <c r="S50" s="371"/>
      <c r="T50" s="39"/>
      <c r="U50" s="39"/>
      <c r="V50" s="39"/>
      <c r="W50" s="39"/>
      <c r="X50" s="370"/>
      <c r="Y50" s="39"/>
      <c r="Z50" s="39"/>
      <c r="AA50" s="51"/>
      <c r="AB50" s="51"/>
      <c r="AC50" s="39"/>
      <c r="AD50" s="39">
        <f t="shared" si="50"/>
        <v>190</v>
      </c>
      <c r="AE50" s="230" t="s">
        <v>463</v>
      </c>
      <c r="AF50" s="39"/>
      <c r="AG50" s="39"/>
      <c r="AH50" s="39"/>
      <c r="AI50" s="485"/>
      <c r="AJ50" s="39"/>
      <c r="AK50" s="39"/>
      <c r="AL50" s="39"/>
      <c r="AM50" s="39">
        <f t="shared" si="54"/>
        <v>0</v>
      </c>
      <c r="AN50" s="39">
        <v>190</v>
      </c>
      <c r="AO50" s="39"/>
      <c r="AP50" s="39"/>
      <c r="AQ50" s="39"/>
      <c r="AR50" s="39">
        <f t="shared" si="55"/>
        <v>190</v>
      </c>
      <c r="AS50" s="39"/>
      <c r="AT50" s="39"/>
      <c r="AU50" s="39"/>
      <c r="AV50" s="39"/>
      <c r="AW50" s="39"/>
      <c r="AX50" s="39"/>
      <c r="AY50" s="39"/>
      <c r="AZ50" s="39"/>
      <c r="BA50" s="39">
        <f t="shared" si="53"/>
        <v>190</v>
      </c>
      <c r="BB50" s="35"/>
      <c r="BC50" s="53"/>
      <c r="BD50" s="53"/>
      <c r="BE50" s="53"/>
      <c r="BF50" s="53">
        <v>1</v>
      </c>
    </row>
    <row r="51" spans="1:58" ht="12.95" customHeight="1">
      <c r="A51" s="42"/>
      <c r="B51" s="554"/>
      <c r="C51" s="555"/>
      <c r="D51" s="554"/>
      <c r="E51" s="44"/>
      <c r="F51" s="44"/>
      <c r="G51" s="556"/>
      <c r="H51" s="557"/>
      <c r="I51" s="47"/>
      <c r="J51" s="86"/>
      <c r="K51" s="86"/>
      <c r="L51" s="558"/>
      <c r="M51" s="558"/>
      <c r="N51" s="48"/>
      <c r="O51" s="49"/>
      <c r="P51" s="50"/>
      <c r="Q51" s="49"/>
      <c r="R51" s="559"/>
      <c r="S51" s="559"/>
      <c r="T51" s="39"/>
      <c r="U51" s="39"/>
      <c r="V51" s="39"/>
      <c r="W51" s="39"/>
      <c r="X51" s="370"/>
      <c r="Y51" s="213"/>
      <c r="Z51" s="39"/>
      <c r="AA51" s="39"/>
      <c r="AB51" s="39"/>
      <c r="AC51" s="39"/>
      <c r="AD51" s="39"/>
      <c r="AE51" s="230"/>
      <c r="AF51" s="39"/>
      <c r="AG51" s="39"/>
      <c r="AH51" s="39"/>
      <c r="AI51" s="485"/>
      <c r="AJ51" s="39"/>
      <c r="AK51" s="39"/>
      <c r="AL51" s="39"/>
      <c r="AM51" s="39"/>
      <c r="AN51" s="87"/>
      <c r="AO51" s="39"/>
      <c r="AP51" s="39"/>
      <c r="AQ51" s="39"/>
      <c r="AR51" s="39"/>
      <c r="AS51" s="39"/>
      <c r="AT51" s="39"/>
      <c r="AU51" s="39"/>
      <c r="AV51" s="39"/>
      <c r="AW51" s="39"/>
      <c r="AX51" s="39"/>
      <c r="AY51" s="39"/>
      <c r="AZ51" s="39"/>
      <c r="BA51" s="39"/>
      <c r="BB51" s="52"/>
      <c r="BC51" s="53"/>
      <c r="BD51" s="53"/>
      <c r="BE51" s="35"/>
      <c r="BF51" s="53"/>
    </row>
    <row r="52" spans="1:58" ht="12.95" customHeight="1">
      <c r="A52" s="42">
        <v>45940</v>
      </c>
      <c r="B52" s="43" t="s">
        <v>460</v>
      </c>
      <c r="C52" s="402">
        <f>(M52*E52*O52*Q52)/100000000</f>
        <v>48.791463010434782</v>
      </c>
      <c r="D52" s="43" t="s">
        <v>462</v>
      </c>
      <c r="E52" s="44">
        <v>14.5</v>
      </c>
      <c r="F52" s="44">
        <v>1</v>
      </c>
      <c r="G52" s="415">
        <v>1230</v>
      </c>
      <c r="H52" s="557">
        <f>+N52</f>
        <v>0.21674537411999251</v>
      </c>
      <c r="I52" s="47">
        <v>0.88</v>
      </c>
      <c r="J52" s="86">
        <f>E52*G52*(1-H52)*1440/1000000*2.74</f>
        <v>55.117452574139932</v>
      </c>
      <c r="K52" s="86">
        <f>(IF(G52&lt;L52,L52,G52)*(1-IF(H52&lt;N52,H52,N52))*E52*O52*Q52)/100000000</f>
        <v>51.597177318492307</v>
      </c>
      <c r="L52" s="37">
        <v>1163.1159420289855</v>
      </c>
      <c r="M52" s="37">
        <v>911.01594202898548</v>
      </c>
      <c r="N52" s="48">
        <f>1-(M52/L52)</f>
        <v>0.21674537411999251</v>
      </c>
      <c r="O52" s="49">
        <f>+'Trim Rwd'!H24</f>
        <v>256.5</v>
      </c>
      <c r="P52" s="50">
        <f>O52*(Q52-R52-S52)</f>
        <v>339349.5</v>
      </c>
      <c r="Q52" s="49">
        <v>1440</v>
      </c>
      <c r="R52" s="371">
        <v>60</v>
      </c>
      <c r="S52" s="371">
        <v>57</v>
      </c>
      <c r="T52" s="39">
        <f>E52*M52*O52*Q52/100000000</f>
        <v>48.791463010434782</v>
      </c>
      <c r="U52" s="39">
        <f>E52*M52*O52*(Q52-R52-S52)/100000000</f>
        <v>44.827156640836954</v>
      </c>
      <c r="V52" s="39">
        <f>E52*G52*(1-N52)*O52/100*(R52+S52)/1000000</f>
        <v>4.1922706571274997</v>
      </c>
      <c r="W52" s="39">
        <f>+'10'!K9/1000</f>
        <v>32.18</v>
      </c>
      <c r="X52" s="370">
        <f>SUM(W52:W55)/SUM(K52:K55)</f>
        <v>0.73928462722957755</v>
      </c>
      <c r="Y52" s="39">
        <v>0</v>
      </c>
      <c r="Z52" s="39">
        <f>+'1'!D80/1000</f>
        <v>0</v>
      </c>
      <c r="AA52" s="51">
        <f>SUM(U52:U55)-SUM(W52:W55)-SUM(Z52:Z55)-SUM(Y52:Y55)</f>
        <v>6.6821566408369577</v>
      </c>
      <c r="AB52" s="51">
        <f>(SUM(K52:K55)-SUM(W52:W55)-SUM(Y52:Y55)-SUM(Z52:Z55)-SUM(AC52:AC55)-SUM(V52:V55))-AA52</f>
        <v>-0.22796428752967124</v>
      </c>
      <c r="AC52" s="39">
        <f>K52-T52</f>
        <v>2.8057143080575244</v>
      </c>
      <c r="AD52" s="39">
        <f>+AM52+BA52</f>
        <v>0</v>
      </c>
      <c r="AE52" s="230" t="s">
        <v>418</v>
      </c>
      <c r="AF52" s="39">
        <v>0</v>
      </c>
      <c r="AG52" s="39"/>
      <c r="AH52" s="39"/>
      <c r="AI52" s="485"/>
      <c r="AJ52" s="39"/>
      <c r="AK52" s="39"/>
      <c r="AL52" s="39"/>
      <c r="AM52" s="39">
        <f>SUM(AF52:AL52)+AT52+AV52+AX52</f>
        <v>0</v>
      </c>
      <c r="AN52" s="39"/>
      <c r="AO52" s="39"/>
      <c r="AP52" s="39"/>
      <c r="AQ52" s="39"/>
      <c r="AR52" s="39">
        <f>SUM(AN52:AQ52)</f>
        <v>0</v>
      </c>
      <c r="AS52" s="39"/>
      <c r="AT52" s="39"/>
      <c r="AU52" s="39"/>
      <c r="AV52" s="39"/>
      <c r="AW52" s="39"/>
      <c r="AX52" s="39"/>
      <c r="AY52" s="39"/>
      <c r="AZ52" s="39"/>
      <c r="BA52" s="39">
        <f>+AR52+AS52+AU52+AW52+AY52+AZ52</f>
        <v>0</v>
      </c>
      <c r="BB52" s="35">
        <v>0</v>
      </c>
      <c r="BC52" s="53"/>
      <c r="BD52" s="53"/>
      <c r="BE52" s="35"/>
      <c r="BF52" s="53"/>
    </row>
    <row r="53" spans="1:58" ht="12.95" customHeight="1">
      <c r="A53" s="42"/>
      <c r="B53" s="43" t="s">
        <v>460</v>
      </c>
      <c r="C53" s="402"/>
      <c r="D53" s="43" t="s">
        <v>462</v>
      </c>
      <c r="E53" s="44">
        <v>14</v>
      </c>
      <c r="F53" s="44"/>
      <c r="G53" s="415"/>
      <c r="H53" s="557"/>
      <c r="I53" s="47"/>
      <c r="J53" s="86"/>
      <c r="K53" s="86"/>
      <c r="L53" s="37"/>
      <c r="M53" s="37"/>
      <c r="N53" s="48"/>
      <c r="O53" s="49"/>
      <c r="P53" s="50"/>
      <c r="Q53" s="49"/>
      <c r="R53" s="371"/>
      <c r="S53" s="371"/>
      <c r="T53" s="39"/>
      <c r="U53" s="39"/>
      <c r="V53" s="39"/>
      <c r="W53" s="39">
        <f>+'10'!K8/1000</f>
        <v>5.9649999999999999</v>
      </c>
      <c r="X53" s="40"/>
      <c r="Y53" s="213"/>
      <c r="Z53" s="39"/>
      <c r="AA53" s="39"/>
      <c r="AB53" s="39"/>
      <c r="AC53" s="39"/>
      <c r="AD53" s="39">
        <f t="shared" ref="AD53:AD55" si="56">+AM53+BA53</f>
        <v>27</v>
      </c>
      <c r="AE53" s="230" t="s">
        <v>488</v>
      </c>
      <c r="AF53" s="39"/>
      <c r="AG53" s="39">
        <v>27</v>
      </c>
      <c r="AH53" s="39"/>
      <c r="AI53" s="485"/>
      <c r="AJ53" s="39"/>
      <c r="AK53" s="39"/>
      <c r="AL53" s="39"/>
      <c r="AM53" s="39">
        <f t="shared" ref="AM53:AM54" si="57">SUM(AF53:AL53)+AT53+AV53+AX53</f>
        <v>27</v>
      </c>
      <c r="AN53" s="87"/>
      <c r="AO53" s="39"/>
      <c r="AP53" s="39"/>
      <c r="AQ53" s="39"/>
      <c r="AR53" s="39">
        <f t="shared" ref="AR53:AR54" si="58">SUM(AN53:AQ53)</f>
        <v>0</v>
      </c>
      <c r="AS53" s="39"/>
      <c r="AT53" s="39"/>
      <c r="AU53" s="39"/>
      <c r="AV53" s="39"/>
      <c r="AW53" s="39"/>
      <c r="AX53" s="39"/>
      <c r="AY53" s="39"/>
      <c r="AZ53" s="39"/>
      <c r="BA53" s="39">
        <f t="shared" ref="BA53:BA55" si="59">+AR53+AS53+AU53+AW53+AY53+AZ53</f>
        <v>0</v>
      </c>
      <c r="BB53" s="52"/>
      <c r="BC53" s="53">
        <v>16</v>
      </c>
      <c r="BD53" s="53"/>
      <c r="BE53" s="52"/>
      <c r="BF53" s="53"/>
    </row>
    <row r="54" spans="1:58" ht="12.95" customHeight="1">
      <c r="A54" s="42"/>
      <c r="B54" s="43"/>
      <c r="C54" s="402"/>
      <c r="D54" s="43"/>
      <c r="E54" s="44"/>
      <c r="F54" s="44"/>
      <c r="G54" s="45"/>
      <c r="H54" s="46"/>
      <c r="I54" s="47"/>
      <c r="J54" s="86"/>
      <c r="K54" s="86"/>
      <c r="L54" s="37"/>
      <c r="M54" s="37"/>
      <c r="N54" s="48"/>
      <c r="O54" s="49"/>
      <c r="P54" s="50"/>
      <c r="Q54" s="49"/>
      <c r="R54" s="371"/>
      <c r="S54" s="371"/>
      <c r="T54" s="39"/>
      <c r="U54" s="39"/>
      <c r="V54" s="39"/>
      <c r="W54" s="39"/>
      <c r="X54" s="40"/>
      <c r="Y54" s="213"/>
      <c r="Z54" s="39"/>
      <c r="AA54" s="39"/>
      <c r="AB54" s="39"/>
      <c r="AC54" s="39"/>
      <c r="AD54" s="39">
        <f t="shared" si="56"/>
        <v>30</v>
      </c>
      <c r="AE54" s="230" t="s">
        <v>489</v>
      </c>
      <c r="AF54" s="35"/>
      <c r="AG54" s="35"/>
      <c r="AH54" s="35">
        <v>30</v>
      </c>
      <c r="AJ54" s="39"/>
      <c r="AK54" s="39"/>
      <c r="AL54" s="39"/>
      <c r="AM54" s="39">
        <f t="shared" si="57"/>
        <v>30</v>
      </c>
      <c r="AN54" s="39"/>
      <c r="AO54" s="39"/>
      <c r="AP54" s="39"/>
      <c r="AQ54" s="39"/>
      <c r="AR54" s="39">
        <f t="shared" si="58"/>
        <v>0</v>
      </c>
      <c r="AS54" s="39"/>
      <c r="AT54" s="39"/>
      <c r="AU54" s="39"/>
      <c r="AV54" s="39"/>
      <c r="AW54" s="39"/>
      <c r="AX54" s="39"/>
      <c r="AY54" s="39"/>
      <c r="AZ54" s="39"/>
      <c r="BA54" s="39">
        <f t="shared" si="59"/>
        <v>0</v>
      </c>
      <c r="BB54" s="35"/>
      <c r="BC54" s="486"/>
      <c r="BD54" s="486"/>
      <c r="BE54" s="35"/>
      <c r="BF54" s="486"/>
    </row>
    <row r="55" spans="1:58" ht="12.95" customHeight="1">
      <c r="A55" s="42"/>
      <c r="B55" s="43"/>
      <c r="C55" s="402"/>
      <c r="D55" s="43"/>
      <c r="E55" s="44"/>
      <c r="F55" s="44"/>
      <c r="G55" s="45"/>
      <c r="H55" s="46"/>
      <c r="I55" s="47"/>
      <c r="J55" s="86"/>
      <c r="K55" s="86"/>
      <c r="L55" s="37"/>
      <c r="M55" s="37"/>
      <c r="N55" s="48"/>
      <c r="O55" s="49"/>
      <c r="P55" s="50"/>
      <c r="Q55" s="49"/>
      <c r="R55" s="371"/>
      <c r="S55" s="371"/>
      <c r="T55" s="39"/>
      <c r="U55" s="39"/>
      <c r="V55" s="39"/>
      <c r="W55" s="39"/>
      <c r="X55" s="40"/>
      <c r="Y55" s="213"/>
      <c r="Z55" s="39"/>
      <c r="AA55" s="39"/>
      <c r="AB55" s="39"/>
      <c r="AC55" s="39"/>
      <c r="AD55" s="39">
        <f t="shared" si="56"/>
        <v>60</v>
      </c>
      <c r="AE55" s="230" t="s">
        <v>487</v>
      </c>
      <c r="AF55" s="35"/>
      <c r="AG55" s="35"/>
      <c r="AH55" s="35"/>
      <c r="AJ55" s="39"/>
      <c r="AK55" s="39"/>
      <c r="AL55" s="39"/>
      <c r="AM55" s="39">
        <f t="shared" ref="AM55" si="60">SUM(AF55:AL55)+AT55+AV55+AX55</f>
        <v>0</v>
      </c>
      <c r="AN55" s="39"/>
      <c r="AO55" s="39"/>
      <c r="AP55" s="39">
        <v>60</v>
      </c>
      <c r="AQ55" s="39"/>
      <c r="AR55" s="39">
        <f t="shared" ref="AR55" si="61">SUM(AN55:AQ55)</f>
        <v>60</v>
      </c>
      <c r="AS55" s="39"/>
      <c r="AT55" s="39"/>
      <c r="AU55" s="39">
        <v>0</v>
      </c>
      <c r="AV55" s="39"/>
      <c r="AW55" s="39"/>
      <c r="AX55" s="39"/>
      <c r="AY55" s="39"/>
      <c r="AZ55" s="39"/>
      <c r="BA55" s="39">
        <f t="shared" si="59"/>
        <v>60</v>
      </c>
      <c r="BB55" s="35"/>
      <c r="BC55" s="486"/>
      <c r="BD55" s="486"/>
      <c r="BE55" s="35"/>
      <c r="BF55" s="486"/>
    </row>
    <row r="56" spans="1:58" ht="12.95" customHeight="1">
      <c r="A56" s="42"/>
      <c r="B56" s="554"/>
      <c r="C56" s="555"/>
      <c r="D56" s="554"/>
      <c r="E56" s="44"/>
      <c r="F56" s="44"/>
      <c r="G56" s="556"/>
      <c r="H56" s="557"/>
      <c r="I56" s="47"/>
      <c r="J56" s="86"/>
      <c r="K56" s="86"/>
      <c r="L56" s="558"/>
      <c r="M56" s="558"/>
      <c r="N56" s="48"/>
      <c r="O56" s="49"/>
      <c r="P56" s="50"/>
      <c r="Q56" s="49"/>
      <c r="R56" s="559"/>
      <c r="S56" s="559"/>
      <c r="T56" s="39"/>
      <c r="U56" s="39"/>
      <c r="V56" s="39"/>
      <c r="W56" s="39"/>
      <c r="X56" s="370"/>
      <c r="Y56" s="213"/>
      <c r="Z56" s="39"/>
      <c r="AA56" s="39"/>
      <c r="AB56" s="39"/>
      <c r="AC56" s="39"/>
      <c r="AD56" s="39"/>
      <c r="AE56" s="230"/>
      <c r="AF56" s="39"/>
      <c r="AG56" s="39"/>
      <c r="AH56" s="39"/>
      <c r="AI56" s="485"/>
      <c r="AJ56" s="39"/>
      <c r="AK56" s="39"/>
      <c r="AL56" s="39"/>
      <c r="AM56" s="39"/>
      <c r="AN56" s="87"/>
      <c r="AO56" s="39"/>
      <c r="AP56" s="39"/>
      <c r="AQ56" s="39"/>
      <c r="AR56" s="39"/>
      <c r="AS56" s="39"/>
      <c r="AT56" s="39"/>
      <c r="AU56" s="39"/>
      <c r="AV56" s="39"/>
      <c r="AW56" s="39"/>
      <c r="AX56" s="39"/>
      <c r="AY56" s="39"/>
      <c r="AZ56" s="39"/>
      <c r="BA56" s="39"/>
      <c r="BB56" s="52"/>
      <c r="BC56" s="53"/>
      <c r="BD56" s="53"/>
      <c r="BE56" s="52"/>
      <c r="BF56" s="53"/>
    </row>
    <row r="57" spans="1:58" ht="12.95" customHeight="1">
      <c r="A57" s="42">
        <v>45941</v>
      </c>
      <c r="B57" s="43" t="s">
        <v>460</v>
      </c>
      <c r="C57" s="402">
        <f>(M57*E57*O57*Q57)/100000000</f>
        <v>50.565379511250001</v>
      </c>
      <c r="D57" s="43" t="s">
        <v>462</v>
      </c>
      <c r="E57" s="44">
        <v>14.5</v>
      </c>
      <c r="F57" s="44">
        <v>1</v>
      </c>
      <c r="G57" s="415">
        <v>1240</v>
      </c>
      <c r="H57" s="557">
        <f>+N57</f>
        <v>0.2233091490759519</v>
      </c>
      <c r="I57" s="47">
        <v>0.88</v>
      </c>
      <c r="J57" s="86">
        <f>E57*G57*(1-H57)*1440/1000000*2.74</f>
        <v>55.099915356878526</v>
      </c>
      <c r="K57" s="86">
        <f>(IF(G57&lt;L57,L57,G57)*(1-IF(H57&lt;N57,H57,N57))*E57*O57*Q57)/100000000</f>
        <v>51.580760178975687</v>
      </c>
      <c r="L57" s="37">
        <v>1215.5902777777778</v>
      </c>
      <c r="M57" s="37">
        <v>944.13784722222226</v>
      </c>
      <c r="N57" s="48">
        <f>1-(M57/L57)</f>
        <v>0.2233091490759519</v>
      </c>
      <c r="O57" s="49">
        <f>+'Trim Rwd'!H26</f>
        <v>256.5</v>
      </c>
      <c r="P57" s="50">
        <f>O57*(Q57-R57-S57)</f>
        <v>345762</v>
      </c>
      <c r="Q57" s="49">
        <v>1440</v>
      </c>
      <c r="R57" s="371">
        <v>0</v>
      </c>
      <c r="S57" s="371">
        <v>92</v>
      </c>
      <c r="T57" s="39">
        <f>E57*M57*O57*Q57/100000000</f>
        <v>50.565379511250001</v>
      </c>
      <c r="U57" s="39">
        <f>E57*M57*O57*(Q57-R57-S57)/100000000</f>
        <v>47.334813598031246</v>
      </c>
      <c r="V57" s="39">
        <f>E57*G57*(1-N57)*O57/100*(R57+S57)/1000000</f>
        <v>3.2954374558790027</v>
      </c>
      <c r="W57" s="39">
        <f>+'11'!K9/1000</f>
        <v>35.463999999999999</v>
      </c>
      <c r="X57" s="370">
        <f>SUM(W57:W60)/SUM(K57:K60)</f>
        <v>0.68754318232120826</v>
      </c>
      <c r="Y57" s="39">
        <f>+SUM(RBP!AG8:AG9)</f>
        <v>0</v>
      </c>
      <c r="Z57" s="39">
        <f>+'1'!D85/1000</f>
        <v>0</v>
      </c>
      <c r="AA57" s="51">
        <f>SUM(U57:U60)-SUM(W57:W60)-SUM(Z57:Z60)-SUM(Y57:Y60)</f>
        <v>11.870813598031248</v>
      </c>
      <c r="AB57" s="51">
        <f>(SUM(K57:K60)-SUM(W57:W60)-SUM(Y57:Y60)-SUM(Z57:Z60)-SUM(AC57:AC60)-SUM(V57:V60))-AA57</f>
        <v>-6.4871542660249304E-2</v>
      </c>
      <c r="AC57" s="39">
        <f>K57-T57</f>
        <v>1.0153806677256867</v>
      </c>
      <c r="AD57" s="39">
        <f>+AM57+BA57</f>
        <v>10</v>
      </c>
      <c r="AE57" s="230" t="s">
        <v>506</v>
      </c>
      <c r="AF57" s="39">
        <v>10</v>
      </c>
      <c r="AG57" s="39"/>
      <c r="AH57" s="39"/>
      <c r="AI57" s="485"/>
      <c r="AJ57" s="39"/>
      <c r="AK57" s="39"/>
      <c r="AL57" s="39"/>
      <c r="AM57" s="39">
        <f>SUM(AF57:AL57)+AT57+AV57+AX57</f>
        <v>10</v>
      </c>
      <c r="AN57" s="39"/>
      <c r="AO57" s="39"/>
      <c r="AP57" s="39"/>
      <c r="AQ57" s="39"/>
      <c r="AR57" s="39">
        <f>SUM(AN57:AQ57)</f>
        <v>0</v>
      </c>
      <c r="AS57" s="39"/>
      <c r="AT57" s="39"/>
      <c r="AU57" s="39"/>
      <c r="AV57" s="39"/>
      <c r="AW57" s="39"/>
      <c r="AX57" s="39"/>
      <c r="AY57" s="39"/>
      <c r="AZ57" s="39"/>
      <c r="BA57" s="39">
        <f>+AR57+AS57+AU57+AW57+AY57+AZ57</f>
        <v>0</v>
      </c>
      <c r="BB57" s="35">
        <v>5</v>
      </c>
      <c r="BC57" s="53"/>
      <c r="BD57" s="53"/>
      <c r="BE57" s="35"/>
      <c r="BF57" s="53"/>
    </row>
    <row r="58" spans="1:58" ht="12.95" customHeight="1">
      <c r="A58" s="42"/>
      <c r="B58" s="43"/>
      <c r="C58" s="402"/>
      <c r="D58" s="43"/>
      <c r="E58" s="44"/>
      <c r="F58" s="44"/>
      <c r="G58" s="415"/>
      <c r="H58" s="557"/>
      <c r="I58" s="47"/>
      <c r="J58" s="86"/>
      <c r="K58" s="86"/>
      <c r="L58" s="37"/>
      <c r="M58" s="37"/>
      <c r="N58" s="48"/>
      <c r="O58" s="49"/>
      <c r="P58" s="50"/>
      <c r="Q58" s="49"/>
      <c r="R58" s="371"/>
      <c r="S58" s="371"/>
      <c r="T58" s="39"/>
      <c r="U58" s="39"/>
      <c r="V58" s="39"/>
      <c r="W58" s="39"/>
      <c r="X58" s="40"/>
      <c r="Y58" s="213"/>
      <c r="Z58" s="39"/>
      <c r="AA58" s="39"/>
      <c r="AB58" s="39"/>
      <c r="AC58" s="39"/>
      <c r="AD58" s="39">
        <f t="shared" ref="AD58:AD59" si="62">+AM58+BA58</f>
        <v>28</v>
      </c>
      <c r="AE58" s="230" t="s">
        <v>512</v>
      </c>
      <c r="AF58" s="39"/>
      <c r="AG58" s="39">
        <v>28</v>
      </c>
      <c r="AH58" s="39"/>
      <c r="AI58" s="485"/>
      <c r="AJ58" s="39"/>
      <c r="AK58" s="39"/>
      <c r="AL58" s="39"/>
      <c r="AM58" s="39">
        <f t="shared" ref="AM58:AM59" si="63">SUM(AF58:AL58)+AT58+AV58+AX58</f>
        <v>28</v>
      </c>
      <c r="AN58" s="87"/>
      <c r="AO58" s="39"/>
      <c r="AP58" s="39"/>
      <c r="AQ58" s="39"/>
      <c r="AR58" s="39">
        <f t="shared" ref="AR58:AR59" si="64">SUM(AN58:AQ58)</f>
        <v>0</v>
      </c>
      <c r="AS58" s="39"/>
      <c r="AT58" s="39"/>
      <c r="AU58" s="39"/>
      <c r="AV58" s="39"/>
      <c r="AW58" s="39"/>
      <c r="AX58" s="39"/>
      <c r="AY58" s="39"/>
      <c r="AZ58" s="39"/>
      <c r="BA58" s="39">
        <f t="shared" ref="BA58:BA59" si="65">+AR58+AS58+AU58+AW58+AY58+AZ58</f>
        <v>0</v>
      </c>
      <c r="BB58" s="52"/>
      <c r="BC58" s="53">
        <v>12</v>
      </c>
      <c r="BD58" s="53"/>
      <c r="BE58" s="52"/>
      <c r="BF58" s="53"/>
    </row>
    <row r="59" spans="1:58" ht="12.95" customHeight="1">
      <c r="A59" s="42"/>
      <c r="B59" s="43"/>
      <c r="C59" s="402"/>
      <c r="D59" s="43"/>
      <c r="E59" s="44"/>
      <c r="F59" s="44"/>
      <c r="G59" s="45"/>
      <c r="H59" s="46"/>
      <c r="I59" s="47"/>
      <c r="J59" s="86"/>
      <c r="K59" s="86"/>
      <c r="L59" s="37"/>
      <c r="M59" s="37"/>
      <c r="N59" s="48"/>
      <c r="O59" s="49"/>
      <c r="P59" s="50"/>
      <c r="Q59" s="49"/>
      <c r="R59" s="371"/>
      <c r="S59" s="371"/>
      <c r="T59" s="39"/>
      <c r="U59" s="39"/>
      <c r="V59" s="39"/>
      <c r="W59" s="39"/>
      <c r="X59" s="40"/>
      <c r="Y59" s="213"/>
      <c r="Z59" s="39"/>
      <c r="AA59" s="39"/>
      <c r="AB59" s="39"/>
      <c r="AC59" s="39"/>
      <c r="AD59" s="39">
        <f t="shared" si="62"/>
        <v>54</v>
      </c>
      <c r="AE59" s="230" t="s">
        <v>513</v>
      </c>
      <c r="AF59" s="35"/>
      <c r="AG59" s="35"/>
      <c r="AH59" s="35">
        <v>54</v>
      </c>
      <c r="AJ59" s="39"/>
      <c r="AK59" s="39"/>
      <c r="AL59" s="39"/>
      <c r="AM59" s="39">
        <f t="shared" si="63"/>
        <v>54</v>
      </c>
      <c r="AN59" s="39"/>
      <c r="AO59" s="39"/>
      <c r="AP59" s="39"/>
      <c r="AQ59" s="39"/>
      <c r="AR59" s="39">
        <f t="shared" si="64"/>
        <v>0</v>
      </c>
      <c r="AS59" s="39"/>
      <c r="AT59" s="39"/>
      <c r="AU59" s="39"/>
      <c r="AV59" s="39"/>
      <c r="AW59" s="39"/>
      <c r="AX59" s="39"/>
      <c r="AY59" s="39"/>
      <c r="AZ59" s="39"/>
      <c r="BA59" s="39">
        <f t="shared" si="65"/>
        <v>0</v>
      </c>
      <c r="BB59" s="35"/>
      <c r="BC59" s="486"/>
      <c r="BD59" s="486"/>
      <c r="BE59" s="35"/>
      <c r="BF59" s="486"/>
    </row>
    <row r="60" spans="1:58" ht="12.95" customHeight="1">
      <c r="A60" s="42"/>
      <c r="B60" s="43"/>
      <c r="C60" s="402"/>
      <c r="D60" s="43"/>
      <c r="E60" s="44"/>
      <c r="F60" s="44"/>
      <c r="G60" s="45"/>
      <c r="H60" s="46"/>
      <c r="I60" s="47"/>
      <c r="J60" s="86"/>
      <c r="K60" s="86"/>
      <c r="L60" s="37"/>
      <c r="M60" s="37"/>
      <c r="N60" s="48"/>
      <c r="O60" s="49"/>
      <c r="P60" s="50"/>
      <c r="Q60" s="49"/>
      <c r="R60" s="371"/>
      <c r="S60" s="371"/>
      <c r="T60" s="39"/>
      <c r="U60" s="39"/>
      <c r="V60" s="39"/>
      <c r="W60" s="39"/>
      <c r="X60" s="40"/>
      <c r="Y60" s="213"/>
      <c r="Z60" s="39"/>
      <c r="AA60" s="39"/>
      <c r="AB60" s="39"/>
      <c r="AC60" s="39"/>
      <c r="AD60" s="39"/>
      <c r="AE60" s="230"/>
      <c r="AF60" s="35"/>
      <c r="AG60" s="35"/>
      <c r="AH60" s="35"/>
      <c r="AJ60" s="39"/>
      <c r="AK60" s="39"/>
      <c r="AL60" s="39"/>
      <c r="AM60" s="39"/>
      <c r="AN60" s="39"/>
      <c r="AO60" s="39"/>
      <c r="AP60" s="39"/>
      <c r="AQ60" s="39"/>
      <c r="AR60" s="39"/>
      <c r="AS60" s="39"/>
      <c r="AT60" s="39"/>
      <c r="AU60" s="39"/>
      <c r="AV60" s="39"/>
      <c r="AW60" s="39"/>
      <c r="AX60" s="39"/>
      <c r="AY60" s="39"/>
      <c r="AZ60" s="39"/>
      <c r="BA60" s="39"/>
      <c r="BB60" s="35"/>
      <c r="BC60" s="486"/>
      <c r="BD60" s="486"/>
      <c r="BE60" s="35"/>
      <c r="BF60" s="486"/>
    </row>
    <row r="61" spans="1:58" ht="12.95" customHeight="1">
      <c r="A61" s="42">
        <v>45942</v>
      </c>
      <c r="B61" s="43" t="s">
        <v>460</v>
      </c>
      <c r="C61" s="402">
        <f>(M61*E61*O61*Q61)/100000000</f>
        <v>50.687182937947902</v>
      </c>
      <c r="D61" s="43" t="s">
        <v>462</v>
      </c>
      <c r="E61" s="44">
        <v>14.5</v>
      </c>
      <c r="F61" s="44">
        <v>1</v>
      </c>
      <c r="G61" s="415">
        <v>1240</v>
      </c>
      <c r="H61" s="557">
        <f>+N61</f>
        <v>0.22380293815884456</v>
      </c>
      <c r="I61" s="47">
        <v>0.88</v>
      </c>
      <c r="J61" s="86">
        <f>E61*G61*(1-H61)*1440/1000000*2.74</f>
        <v>55.064885027064321</v>
      </c>
      <c r="K61" s="86">
        <f>(IF(G61&lt;L61,L61,G61)*(1-IF(H61&lt;N61,H61,N61))*E61*O61*Q61)/100000000</f>
        <v>51.547967187744526</v>
      </c>
      <c r="L61" s="37">
        <v>1219.2936069455407</v>
      </c>
      <c r="M61" s="37">
        <v>946.41211523283334</v>
      </c>
      <c r="N61" s="48">
        <f>1-(M61/L61)</f>
        <v>0.22380293815884456</v>
      </c>
      <c r="O61" s="49">
        <f>+'Trim Rwd'!H28</f>
        <v>256.5</v>
      </c>
      <c r="P61" s="50">
        <f>O61*(Q61-R61-S61)</f>
        <v>310365</v>
      </c>
      <c r="Q61" s="49">
        <v>1440</v>
      </c>
      <c r="R61" s="371">
        <v>173</v>
      </c>
      <c r="S61" s="371">
        <v>57</v>
      </c>
      <c r="T61" s="39">
        <f>E61*M61*O61*Q61/100000000</f>
        <v>50.687182937947902</v>
      </c>
      <c r="U61" s="39">
        <f>E61*M61*O61*(Q61-R61-S61)/100000000</f>
        <v>42.591313440914554</v>
      </c>
      <c r="V61" s="39">
        <f>E61*G61*(1-N61)*O61/100*(R61+S61)/1000000</f>
        <v>8.2333558702647505</v>
      </c>
      <c r="W61" s="39">
        <f>+'12'!K9/1000</f>
        <v>44.765000000000001</v>
      </c>
      <c r="X61" s="370">
        <f>SUM(W61:W64)/SUM(K61:K64)</f>
        <v>0.86841445826486119</v>
      </c>
      <c r="Y61" s="39">
        <v>0</v>
      </c>
      <c r="Z61" s="39">
        <f>+'1'!D89/1000</f>
        <v>0</v>
      </c>
      <c r="AA61" s="51">
        <f>SUM(U61:U64)-SUM(W61:W64)-SUM(Z61:Z64)-SUM(Y61:Y64)</f>
        <v>-2.1736865590854464</v>
      </c>
      <c r="AB61" s="51">
        <f>(SUM(K61:K64)-SUM(W61:W64)-SUM(Y61:Y64)-SUM(Z61:Z64)-SUM(AC61:AC64)-SUM(V61:V64))-AA61</f>
        <v>-0.13748637323140223</v>
      </c>
      <c r="AC61" s="39">
        <f>K61-T61</f>
        <v>0.86078424979662316</v>
      </c>
      <c r="AD61" s="39">
        <f>+AM61+BA61</f>
        <v>0</v>
      </c>
      <c r="AE61" s="230" t="s">
        <v>418</v>
      </c>
      <c r="AF61" s="39">
        <v>0</v>
      </c>
      <c r="AG61" s="39"/>
      <c r="AH61" s="39"/>
      <c r="AI61" s="485"/>
      <c r="AJ61" s="39"/>
      <c r="AK61" s="39"/>
      <c r="AL61" s="39"/>
      <c r="AM61" s="39">
        <f>SUM(AF61:AL61)+AT61+AV61+AX61</f>
        <v>0</v>
      </c>
      <c r="AN61" s="39"/>
      <c r="AO61" s="39"/>
      <c r="AP61" s="39"/>
      <c r="AQ61" s="39"/>
      <c r="AR61" s="39">
        <f>SUM(AN61:AQ61)</f>
        <v>0</v>
      </c>
      <c r="AS61" s="39"/>
      <c r="AT61" s="39"/>
      <c r="AU61" s="39"/>
      <c r="AV61" s="39"/>
      <c r="AW61" s="39"/>
      <c r="AX61" s="39"/>
      <c r="AY61" s="39"/>
      <c r="AZ61" s="39"/>
      <c r="BA61" s="39">
        <f>+AR61+AS61+AU61+AW61+AY61+AZ61</f>
        <v>0</v>
      </c>
      <c r="BB61" s="35">
        <v>0</v>
      </c>
      <c r="BC61" s="53"/>
      <c r="BD61" s="53"/>
      <c r="BE61" s="35"/>
      <c r="BF61" s="53"/>
    </row>
    <row r="62" spans="1:58" ht="12.95" customHeight="1">
      <c r="A62" s="42"/>
      <c r="B62" s="43"/>
      <c r="C62" s="402"/>
      <c r="D62" s="43"/>
      <c r="E62" s="44"/>
      <c r="F62" s="44"/>
      <c r="G62" s="415"/>
      <c r="H62" s="557"/>
      <c r="I62" s="47"/>
      <c r="J62" s="86"/>
      <c r="K62" s="86"/>
      <c r="L62" s="37"/>
      <c r="M62" s="37"/>
      <c r="N62" s="48"/>
      <c r="O62" s="49"/>
      <c r="P62" s="50"/>
      <c r="Q62" s="49"/>
      <c r="R62" s="371"/>
      <c r="S62" s="371"/>
      <c r="T62" s="39"/>
      <c r="U62" s="39"/>
      <c r="V62" s="39"/>
      <c r="W62" s="39"/>
      <c r="X62" s="40"/>
      <c r="Y62" s="213"/>
      <c r="Z62" s="39"/>
      <c r="AA62" s="39"/>
      <c r="AB62" s="39"/>
      <c r="AC62" s="39"/>
      <c r="AD62" s="39">
        <f t="shared" ref="AD62:AD64" si="66">+AM62+BA62</f>
        <v>27</v>
      </c>
      <c r="AE62" s="230" t="s">
        <v>464</v>
      </c>
      <c r="AF62" s="39"/>
      <c r="AG62" s="39">
        <v>27</v>
      </c>
      <c r="AH62" s="39"/>
      <c r="AI62" s="485"/>
      <c r="AJ62" s="39"/>
      <c r="AK62" s="39"/>
      <c r="AL62" s="39"/>
      <c r="AM62" s="39">
        <f t="shared" ref="AM62:AM63" si="67">SUM(AF62:AL62)+AT62+AV62+AX62</f>
        <v>27</v>
      </c>
      <c r="AN62" s="87"/>
      <c r="AO62" s="39"/>
      <c r="AP62" s="39"/>
      <c r="AQ62" s="39"/>
      <c r="AR62" s="39">
        <f t="shared" ref="AR62:AR63" si="68">SUM(AN62:AQ62)</f>
        <v>0</v>
      </c>
      <c r="AS62" s="39"/>
      <c r="AT62" s="39"/>
      <c r="AU62" s="39"/>
      <c r="AV62" s="39"/>
      <c r="AW62" s="39"/>
      <c r="AX62" s="39"/>
      <c r="AY62" s="39"/>
      <c r="AZ62" s="39"/>
      <c r="BA62" s="39">
        <f t="shared" ref="BA62:BA64" si="69">+AR62+AS62+AU62+AW62+AY62+AZ62</f>
        <v>0</v>
      </c>
      <c r="BB62" s="52"/>
      <c r="BC62" s="53">
        <v>9</v>
      </c>
      <c r="BD62" s="53"/>
      <c r="BE62" s="52"/>
      <c r="BF62" s="53"/>
    </row>
    <row r="63" spans="1:58" ht="12.95" customHeight="1">
      <c r="A63" s="42"/>
      <c r="B63" s="43"/>
      <c r="C63" s="402"/>
      <c r="D63" s="43"/>
      <c r="E63" s="44"/>
      <c r="F63" s="44"/>
      <c r="G63" s="45"/>
      <c r="H63" s="46"/>
      <c r="I63" s="47"/>
      <c r="J63" s="86"/>
      <c r="K63" s="86"/>
      <c r="L63" s="37"/>
      <c r="M63" s="37"/>
      <c r="N63" s="48"/>
      <c r="O63" s="49"/>
      <c r="P63" s="50"/>
      <c r="Q63" s="49"/>
      <c r="R63" s="371"/>
      <c r="S63" s="371"/>
      <c r="T63" s="39"/>
      <c r="U63" s="39"/>
      <c r="V63" s="39"/>
      <c r="W63" s="39"/>
      <c r="X63" s="40"/>
      <c r="Y63" s="213"/>
      <c r="Z63" s="39"/>
      <c r="AA63" s="39"/>
      <c r="AB63" s="39"/>
      <c r="AC63" s="39"/>
      <c r="AD63" s="39">
        <f t="shared" si="66"/>
        <v>30</v>
      </c>
      <c r="AE63" s="230" t="s">
        <v>514</v>
      </c>
      <c r="AF63" s="35"/>
      <c r="AG63" s="35"/>
      <c r="AH63" s="35">
        <v>30</v>
      </c>
      <c r="AJ63" s="39"/>
      <c r="AK63" s="39"/>
      <c r="AL63" s="39"/>
      <c r="AM63" s="39">
        <f t="shared" si="67"/>
        <v>30</v>
      </c>
      <c r="AN63" s="39"/>
      <c r="AO63" s="39"/>
      <c r="AP63" s="39"/>
      <c r="AQ63" s="39"/>
      <c r="AR63" s="39">
        <f t="shared" si="68"/>
        <v>0</v>
      </c>
      <c r="AS63" s="39"/>
      <c r="AT63" s="39"/>
      <c r="AU63" s="39"/>
      <c r="AV63" s="39"/>
      <c r="AW63" s="39"/>
      <c r="AX63" s="39"/>
      <c r="AY63" s="39"/>
      <c r="AZ63" s="39"/>
      <c r="BA63" s="39">
        <f t="shared" si="69"/>
        <v>0</v>
      </c>
      <c r="BB63" s="35"/>
      <c r="BC63" s="486"/>
      <c r="BD63" s="486"/>
      <c r="BE63" s="35"/>
      <c r="BF63" s="486"/>
    </row>
    <row r="64" spans="1:58" ht="12.95" customHeight="1">
      <c r="A64" s="42"/>
      <c r="B64" s="43"/>
      <c r="C64" s="402"/>
      <c r="D64" s="43"/>
      <c r="E64" s="44"/>
      <c r="F64" s="44"/>
      <c r="G64" s="45"/>
      <c r="H64" s="46"/>
      <c r="I64" s="47"/>
      <c r="J64" s="86"/>
      <c r="K64" s="86"/>
      <c r="L64" s="37"/>
      <c r="M64" s="37"/>
      <c r="N64" s="48"/>
      <c r="O64" s="49"/>
      <c r="P64" s="50"/>
      <c r="Q64" s="49"/>
      <c r="R64" s="371"/>
      <c r="S64" s="371"/>
      <c r="T64" s="39"/>
      <c r="U64" s="39"/>
      <c r="V64" s="39"/>
      <c r="W64" s="39"/>
      <c r="X64" s="40"/>
      <c r="Y64" s="213"/>
      <c r="Z64" s="39"/>
      <c r="AA64" s="39"/>
      <c r="AB64" s="39"/>
      <c r="AC64" s="39"/>
      <c r="AD64" s="39">
        <f t="shared" si="66"/>
        <v>173</v>
      </c>
      <c r="AE64" s="230" t="s">
        <v>515</v>
      </c>
      <c r="AF64" s="35"/>
      <c r="AG64" s="35"/>
      <c r="AH64" s="35"/>
      <c r="AJ64" s="39"/>
      <c r="AK64" s="39"/>
      <c r="AL64" s="39"/>
      <c r="AM64" s="39">
        <f t="shared" ref="AM64" si="70">SUM(AF64:AL64)+AT64+AV64+AX64</f>
        <v>0</v>
      </c>
      <c r="AN64" s="39">
        <v>173</v>
      </c>
      <c r="AO64" s="39"/>
      <c r="AP64" s="39"/>
      <c r="AQ64" s="39"/>
      <c r="AR64" s="39">
        <f t="shared" ref="AR64" si="71">SUM(AN64:AQ64)</f>
        <v>173</v>
      </c>
      <c r="AS64" s="39"/>
      <c r="AT64" s="39"/>
      <c r="AU64" s="39">
        <v>0</v>
      </c>
      <c r="AV64" s="39"/>
      <c r="AW64" s="39"/>
      <c r="AX64" s="39"/>
      <c r="AY64" s="39"/>
      <c r="AZ64" s="39"/>
      <c r="BA64" s="39">
        <f t="shared" si="69"/>
        <v>173</v>
      </c>
      <c r="BB64" s="35"/>
      <c r="BC64" s="486"/>
      <c r="BD64" s="486"/>
      <c r="BE64" s="35"/>
      <c r="BF64" s="486">
        <v>2</v>
      </c>
    </row>
    <row r="65" spans="1:58" ht="12.95" customHeight="1">
      <c r="A65" s="42"/>
      <c r="B65" s="43"/>
      <c r="C65" s="402"/>
      <c r="D65" s="43"/>
      <c r="E65" s="44"/>
      <c r="F65" s="44"/>
      <c r="G65" s="415"/>
      <c r="H65" s="557"/>
      <c r="I65" s="47"/>
      <c r="J65" s="86"/>
      <c r="K65" s="86"/>
      <c r="L65" s="37"/>
      <c r="M65" s="37"/>
      <c r="N65" s="48"/>
      <c r="O65" s="49"/>
      <c r="P65" s="50"/>
      <c r="Q65" s="49"/>
      <c r="R65" s="371"/>
      <c r="S65" s="371"/>
      <c r="T65" s="39"/>
      <c r="U65" s="39"/>
      <c r="V65" s="39"/>
      <c r="W65" s="39"/>
      <c r="X65" s="40"/>
      <c r="Y65" s="213"/>
      <c r="Z65" s="39"/>
      <c r="AA65" s="39"/>
      <c r="AB65" s="39"/>
      <c r="AC65" s="39"/>
      <c r="AD65" s="39"/>
      <c r="AE65" s="230"/>
      <c r="AF65" s="39"/>
      <c r="AG65" s="39"/>
      <c r="AH65" s="39"/>
      <c r="AI65" s="39"/>
      <c r="AJ65" s="39"/>
      <c r="AK65" s="39"/>
      <c r="AL65" s="39"/>
      <c r="AM65" s="39"/>
      <c r="AN65" s="39"/>
      <c r="AO65" s="39"/>
      <c r="AP65" s="39"/>
      <c r="AQ65" s="39"/>
      <c r="AR65" s="39"/>
      <c r="AS65" s="39"/>
      <c r="AT65" s="39"/>
      <c r="AU65" s="39"/>
      <c r="AV65" s="39"/>
      <c r="AW65" s="39"/>
      <c r="AX65" s="39"/>
      <c r="AY65" s="39"/>
      <c r="AZ65" s="39"/>
      <c r="BA65" s="39"/>
      <c r="BB65" s="35"/>
      <c r="BC65" s="53"/>
      <c r="BD65" s="53"/>
      <c r="BE65" s="53"/>
      <c r="BF65" s="53"/>
    </row>
    <row r="66" spans="1:58" ht="12" customHeight="1">
      <c r="A66" s="42">
        <v>45943</v>
      </c>
      <c r="B66" s="43" t="s">
        <v>460</v>
      </c>
      <c r="C66" s="402">
        <f>(M66*E66*O66*Q66)/100000000</f>
        <v>49.804900744499996</v>
      </c>
      <c r="D66" s="43" t="s">
        <v>462</v>
      </c>
      <c r="E66" s="44">
        <v>14.5</v>
      </c>
      <c r="F66" s="44">
        <v>1</v>
      </c>
      <c r="G66" s="415">
        <v>1235</v>
      </c>
      <c r="H66" s="557">
        <f>+N66</f>
        <v>0.2208239726525566</v>
      </c>
      <c r="I66" s="47">
        <v>0.88</v>
      </c>
      <c r="J66" s="86">
        <f>E66*G66*(1-H66)*1440/1000000*2.74</f>
        <v>55.053330486688374</v>
      </c>
      <c r="K66" s="86">
        <f>(IF(G66&lt;L66,L66,G66)*(1-IF(H66&lt;N66,H66,N66))*E66*O66*Q66)/100000000</f>
        <v>51.537150619837824</v>
      </c>
      <c r="L66" s="37">
        <v>1193.4895833333333</v>
      </c>
      <c r="M66" s="37">
        <v>929.93847222222212</v>
      </c>
      <c r="N66" s="48">
        <f>1-(M66/L66)</f>
        <v>0.2208239726525566</v>
      </c>
      <c r="O66" s="49">
        <f>+'Trim Rwd'!H30</f>
        <v>256.5</v>
      </c>
      <c r="P66" s="50">
        <f>O66*(Q66-R66-S66)</f>
        <v>355252.5</v>
      </c>
      <c r="Q66" s="49">
        <v>1440</v>
      </c>
      <c r="R66" s="371">
        <v>0</v>
      </c>
      <c r="S66" s="371">
        <v>55</v>
      </c>
      <c r="T66" s="39">
        <f>E66*M66*O66*Q66/100000000</f>
        <v>49.804900744499996</v>
      </c>
      <c r="U66" s="39">
        <f>E66*M66*O66*(Q66-R66-S66)/100000000</f>
        <v>47.902630229953125</v>
      </c>
      <c r="V66" s="39">
        <f>E66*G66*(1-N66)*O66/100*(R66+S66)/1000000</f>
        <v>1.9684328361743617</v>
      </c>
      <c r="W66" s="39">
        <f>+'13'!K9/1000</f>
        <v>42.232999999999997</v>
      </c>
      <c r="X66" s="370">
        <f>SUM(W66:W69)/SUM(K66:K69)</f>
        <v>0.81946711240461079</v>
      </c>
      <c r="Y66" s="39">
        <v>0</v>
      </c>
      <c r="Z66" s="39">
        <f>+'1'!D94/1000</f>
        <v>0</v>
      </c>
      <c r="AA66" s="51">
        <f>SUM(U66:U69)-SUM(W66:W69)-SUM(Z66:Z69)-SUM(Y66:Y69)</f>
        <v>5.6696302299531283</v>
      </c>
      <c r="AB66" s="51">
        <f>(SUM(K66:K69)-SUM(W66:W69)-SUM(Y66:Y69)-SUM(Z66:Z69)-SUM(AC66:AC69)-SUM(V66:V69))-AA66</f>
        <v>-6.6162321627491139E-2</v>
      </c>
      <c r="AC66" s="39">
        <f>K66-T66</f>
        <v>1.7322498753378284</v>
      </c>
      <c r="AD66" s="39">
        <f>+AM66+BA66</f>
        <v>0</v>
      </c>
      <c r="AE66" s="230" t="s">
        <v>418</v>
      </c>
      <c r="AF66" s="39">
        <v>0</v>
      </c>
      <c r="AG66" s="39"/>
      <c r="AH66" s="39"/>
      <c r="AI66" s="485"/>
      <c r="AJ66" s="39"/>
      <c r="AK66" s="39"/>
      <c r="AL66" s="39"/>
      <c r="AM66" s="39">
        <f>SUM(AF66:AL66)+AT66+AV66+AX66</f>
        <v>0</v>
      </c>
      <c r="AN66" s="39"/>
      <c r="AO66" s="39"/>
      <c r="AP66" s="39"/>
      <c r="AQ66" s="39"/>
      <c r="AR66" s="39">
        <f>SUM(AN66:AQ66)</f>
        <v>0</v>
      </c>
      <c r="AS66" s="39"/>
      <c r="AT66" s="39"/>
      <c r="AU66" s="39"/>
      <c r="AV66" s="39"/>
      <c r="AW66" s="39"/>
      <c r="AX66" s="39"/>
      <c r="AY66" s="39"/>
      <c r="AZ66" s="39"/>
      <c r="BA66" s="39">
        <f>+AR66+AS66+AU66+AW66+AY66+AZ66</f>
        <v>0</v>
      </c>
      <c r="BB66" s="35">
        <v>0</v>
      </c>
      <c r="BC66" s="53"/>
      <c r="BD66" s="53"/>
      <c r="BE66" s="35"/>
      <c r="BF66" s="53">
        <v>2</v>
      </c>
    </row>
    <row r="67" spans="1:58" ht="12.95" customHeight="1">
      <c r="A67" s="42"/>
      <c r="B67" s="43"/>
      <c r="C67" s="402"/>
      <c r="D67" s="43"/>
      <c r="E67" s="44"/>
      <c r="F67" s="44"/>
      <c r="G67" s="415"/>
      <c r="H67" s="557"/>
      <c r="I67" s="47"/>
      <c r="J67" s="86"/>
      <c r="K67" s="86"/>
      <c r="L67" s="37"/>
      <c r="M67" s="37"/>
      <c r="N67" s="48"/>
      <c r="O67" s="49"/>
      <c r="P67" s="50"/>
      <c r="Q67" s="49"/>
      <c r="R67" s="371"/>
      <c r="S67" s="371"/>
      <c r="T67" s="39"/>
      <c r="U67" s="39"/>
      <c r="V67" s="39"/>
      <c r="W67" s="39"/>
      <c r="X67" s="40"/>
      <c r="Y67" s="213"/>
      <c r="Z67" s="39"/>
      <c r="AA67" s="39"/>
      <c r="AB67" s="39"/>
      <c r="AC67" s="39"/>
      <c r="AD67" s="39">
        <f t="shared" ref="AD67:AD68" si="72">+AM67+BA67</f>
        <v>18</v>
      </c>
      <c r="AE67" s="230" t="s">
        <v>464</v>
      </c>
      <c r="AF67" s="39"/>
      <c r="AG67" s="39">
        <v>18</v>
      </c>
      <c r="AH67" s="39"/>
      <c r="AI67" s="485"/>
      <c r="AJ67" s="39"/>
      <c r="AK67" s="39"/>
      <c r="AL67" s="39"/>
      <c r="AM67" s="39">
        <f t="shared" ref="AM67:AM68" si="73">SUM(AF67:AL67)+AT67+AV67+AX67</f>
        <v>18</v>
      </c>
      <c r="AN67" s="87"/>
      <c r="AO67" s="39"/>
      <c r="AP67" s="39"/>
      <c r="AQ67" s="39"/>
      <c r="AR67" s="39">
        <f t="shared" ref="AR67:AR68" si="74">SUM(AN67:AQ67)</f>
        <v>0</v>
      </c>
      <c r="AS67" s="39"/>
      <c r="AT67" s="39"/>
      <c r="AU67" s="39"/>
      <c r="AV67" s="39"/>
      <c r="AW67" s="39"/>
      <c r="AX67" s="39"/>
      <c r="AY67" s="39"/>
      <c r="AZ67" s="39"/>
      <c r="BA67" s="39">
        <f t="shared" ref="BA67:BA68" si="75">+AR67+AS67+AU67+AW67+AY67+AZ67</f>
        <v>0</v>
      </c>
      <c r="BB67" s="52"/>
      <c r="BC67" s="53">
        <v>9</v>
      </c>
      <c r="BD67" s="53"/>
      <c r="BE67" s="52"/>
      <c r="BF67" s="53"/>
    </row>
    <row r="68" spans="1:58" ht="12.95" customHeight="1">
      <c r="A68" s="42"/>
      <c r="B68" s="43"/>
      <c r="C68" s="402"/>
      <c r="D68" s="43"/>
      <c r="E68" s="44"/>
      <c r="F68" s="44"/>
      <c r="G68" s="45"/>
      <c r="H68" s="46"/>
      <c r="I68" s="47"/>
      <c r="J68" s="86"/>
      <c r="K68" s="86"/>
      <c r="L68" s="37"/>
      <c r="M68" s="37"/>
      <c r="N68" s="48"/>
      <c r="O68" s="49"/>
      <c r="P68" s="50"/>
      <c r="Q68" s="49"/>
      <c r="R68" s="371"/>
      <c r="S68" s="371"/>
      <c r="T68" s="39"/>
      <c r="U68" s="39"/>
      <c r="V68" s="39"/>
      <c r="W68" s="39"/>
      <c r="X68" s="40"/>
      <c r="Y68" s="213"/>
      <c r="Z68" s="39"/>
      <c r="AA68" s="39"/>
      <c r="AB68" s="39"/>
      <c r="AC68" s="39"/>
      <c r="AD68" s="39">
        <f t="shared" si="72"/>
        <v>37</v>
      </c>
      <c r="AE68" s="230" t="s">
        <v>513</v>
      </c>
      <c r="AF68" s="35"/>
      <c r="AG68" s="35"/>
      <c r="AH68" s="35">
        <v>37</v>
      </c>
      <c r="AJ68" s="39"/>
      <c r="AK68" s="39"/>
      <c r="AL68" s="39"/>
      <c r="AM68" s="39">
        <f t="shared" si="73"/>
        <v>37</v>
      </c>
      <c r="AN68" s="39"/>
      <c r="AO68" s="39"/>
      <c r="AP68" s="39"/>
      <c r="AQ68" s="39"/>
      <c r="AR68" s="39">
        <f t="shared" si="74"/>
        <v>0</v>
      </c>
      <c r="AS68" s="39"/>
      <c r="AT68" s="39"/>
      <c r="AU68" s="39"/>
      <c r="AV68" s="39"/>
      <c r="AW68" s="39"/>
      <c r="AX68" s="39"/>
      <c r="AY68" s="39"/>
      <c r="AZ68" s="39"/>
      <c r="BA68" s="39">
        <f t="shared" si="75"/>
        <v>0</v>
      </c>
      <c r="BB68" s="35"/>
      <c r="BC68" s="486"/>
      <c r="BD68" s="486"/>
      <c r="BE68" s="35"/>
      <c r="BF68" s="486"/>
    </row>
    <row r="69" spans="1:58" ht="13.5" customHeight="1">
      <c r="A69" s="42"/>
      <c r="B69" s="43"/>
      <c r="C69" s="402"/>
      <c r="D69" s="43"/>
      <c r="E69" s="44"/>
      <c r="F69" s="44"/>
      <c r="G69" s="415"/>
      <c r="H69" s="557"/>
      <c r="I69" s="47"/>
      <c r="J69" s="86"/>
      <c r="K69" s="86"/>
      <c r="L69" s="37"/>
      <c r="M69" s="37"/>
      <c r="N69" s="48"/>
      <c r="O69" s="49"/>
      <c r="P69" s="50"/>
      <c r="Q69" s="49"/>
      <c r="R69" s="371"/>
      <c r="S69" s="371"/>
      <c r="T69" s="39"/>
      <c r="U69" s="39"/>
      <c r="V69" s="39"/>
      <c r="W69" s="39"/>
      <c r="X69" s="370"/>
      <c r="Y69" s="213"/>
      <c r="Z69" s="39"/>
      <c r="AA69" s="51"/>
      <c r="AB69" s="51"/>
      <c r="AC69" s="39"/>
      <c r="AD69" s="39"/>
      <c r="AE69" s="230"/>
      <c r="AF69" s="39"/>
      <c r="AG69" s="39"/>
      <c r="AH69" s="39"/>
      <c r="AI69" s="39"/>
      <c r="AJ69" s="39"/>
      <c r="AK69" s="39"/>
      <c r="AL69" s="39"/>
      <c r="AM69" s="39"/>
      <c r="AN69" s="39"/>
      <c r="AO69" s="39"/>
      <c r="AP69" s="39"/>
      <c r="AQ69" s="39"/>
      <c r="AR69" s="39"/>
      <c r="AS69" s="39"/>
      <c r="AT69" s="39"/>
      <c r="AU69" s="39"/>
      <c r="AV69" s="39"/>
      <c r="AW69" s="39"/>
      <c r="AX69" s="39"/>
      <c r="AY69" s="39"/>
      <c r="AZ69" s="39"/>
      <c r="BA69" s="39"/>
      <c r="BB69" s="35"/>
      <c r="BC69" s="53"/>
      <c r="BD69" s="486"/>
      <c r="BE69" s="35"/>
      <c r="BF69" s="486"/>
    </row>
    <row r="70" spans="1:58" ht="12" customHeight="1">
      <c r="A70" s="42">
        <v>45944</v>
      </c>
      <c r="B70" s="43" t="s">
        <v>460</v>
      </c>
      <c r="C70" s="402">
        <f>(M70*E70*O70*Q70)/100000000</f>
        <v>31.728401054999999</v>
      </c>
      <c r="D70" s="43" t="s">
        <v>462</v>
      </c>
      <c r="E70" s="44">
        <v>14.5</v>
      </c>
      <c r="F70" s="44">
        <v>1</v>
      </c>
      <c r="G70" s="415">
        <v>1235</v>
      </c>
      <c r="H70" s="557">
        <f>+N70</f>
        <v>0.21999999999999997</v>
      </c>
      <c r="I70" s="47">
        <v>0.88</v>
      </c>
      <c r="J70" s="86">
        <f>E70*G70*(1-H70)*1440/1000000*2.74</f>
        <v>55.11154896</v>
      </c>
      <c r="K70" s="86">
        <f>(IF(G70&lt;L70,L70,G70)*(1-IF(H70&lt;N70,H70,N70))*E70*O70*Q70)/100000000</f>
        <v>32.423919401249996</v>
      </c>
      <c r="L70" s="37">
        <v>1208.5082872928176</v>
      </c>
      <c r="M70" s="37">
        <v>942.63646408839782</v>
      </c>
      <c r="N70" s="48">
        <f>1-(M70/L70)</f>
        <v>0.21999999999999997</v>
      </c>
      <c r="O70" s="49">
        <f>+'Trim Rwd'!H32</f>
        <v>256.5</v>
      </c>
      <c r="P70" s="50">
        <f>O70*(Q70-R70-S70)</f>
        <v>219820.5</v>
      </c>
      <c r="Q70" s="49">
        <v>905</v>
      </c>
      <c r="R70" s="371">
        <v>0</v>
      </c>
      <c r="S70" s="371">
        <v>48</v>
      </c>
      <c r="T70" s="39">
        <f>E70*M70*O70*Q70/100000000</f>
        <v>31.728401054999999</v>
      </c>
      <c r="U70" s="39">
        <f>E70*M70*O70*(Q70-R70-S70)/100000000</f>
        <v>30.045568733850832</v>
      </c>
      <c r="V70" s="39">
        <f>E70*G70*(1-N70)*O70/100*(R70+S70)/1000000</f>
        <v>1.719721692</v>
      </c>
      <c r="W70" s="39">
        <f>+'14'!K9/1000</f>
        <v>35.51</v>
      </c>
      <c r="X70" s="370">
        <f>SUM(W70:W73)/SUM(K70:K73)</f>
        <v>0.75745989323230722</v>
      </c>
      <c r="Y70" s="39">
        <f>+SUM(RBP!AG21:AG22)</f>
        <v>0</v>
      </c>
      <c r="Z70" s="39">
        <f>+'1'!D98/1000</f>
        <v>0</v>
      </c>
      <c r="AA70" s="51">
        <f>SUM(U70:U73)-SUM(W70:W73)-SUM(Z70:Z73)-SUM(Y70:Y73)</f>
        <v>9.0571837075424284</v>
      </c>
      <c r="AB70" s="51">
        <f>(SUM(K70:K73)-SUM(W70:W73)-SUM(Y70:Y73)-SUM(Z70:Z73)-SUM(AC70:AC73)-SUM(V70:V73))-AA70</f>
        <v>-5.0584560436655934E-2</v>
      </c>
      <c r="AC70" s="39">
        <f>K70-T70</f>
        <v>0.69551834624999742</v>
      </c>
      <c r="AD70" s="39">
        <f>+AM70+BA70</f>
        <v>0</v>
      </c>
      <c r="AE70" s="230" t="s">
        <v>418</v>
      </c>
      <c r="AF70" s="39">
        <v>0</v>
      </c>
      <c r="AG70" s="39"/>
      <c r="AH70" s="39"/>
      <c r="AI70" s="485"/>
      <c r="AJ70" s="39"/>
      <c r="AK70" s="39"/>
      <c r="AL70" s="39"/>
      <c r="AM70" s="39">
        <f>SUM(AF70:AL70)+AT70+AV70+AX70</f>
        <v>0</v>
      </c>
      <c r="AN70" s="39"/>
      <c r="AO70" s="39"/>
      <c r="AP70" s="39"/>
      <c r="AQ70" s="39"/>
      <c r="AR70" s="39">
        <f>SUM(AN70:AQ70)</f>
        <v>0</v>
      </c>
      <c r="AS70" s="39"/>
      <c r="AT70" s="39"/>
      <c r="AU70" s="39"/>
      <c r="AV70" s="39"/>
      <c r="AW70" s="39"/>
      <c r="AX70" s="39"/>
      <c r="AY70" s="39"/>
      <c r="AZ70" s="39"/>
      <c r="BA70" s="39">
        <f>+AR70+AS70+AU70+AW70+AY70+AZ70</f>
        <v>0</v>
      </c>
      <c r="BB70" s="35">
        <v>0</v>
      </c>
      <c r="BC70" s="53"/>
      <c r="BD70" s="53"/>
      <c r="BE70" s="35"/>
      <c r="BF70" s="53"/>
    </row>
    <row r="71" spans="1:58" ht="12.95" customHeight="1">
      <c r="A71" s="42"/>
      <c r="B71" s="43" t="s">
        <v>460</v>
      </c>
      <c r="C71" s="402">
        <f>(M71*E71*O71*Q71)/100000000</f>
        <v>19.3728902175</v>
      </c>
      <c r="D71" s="43" t="s">
        <v>462</v>
      </c>
      <c r="E71" s="44">
        <v>13.5</v>
      </c>
      <c r="F71" s="44">
        <v>1</v>
      </c>
      <c r="G71" s="415">
        <v>1295</v>
      </c>
      <c r="H71" s="557">
        <f>+N71</f>
        <v>0.20204688644688651</v>
      </c>
      <c r="I71" s="47">
        <v>0.88</v>
      </c>
      <c r="J71" s="86">
        <f>E71*G71*(1-H71)*1440/1000000*2.74</f>
        <v>55.041969518030761</v>
      </c>
      <c r="K71" s="86">
        <f>(IF(G71&lt;L71,L71,G71)*(1-IF(H71&lt;N71,H71,N71))*E71*O71*Q71)/100000000</f>
        <v>19.665967274636536</v>
      </c>
      <c r="L71" s="37">
        <v>1275.7009345794393</v>
      </c>
      <c r="M71" s="37">
        <v>1017.9495327102803</v>
      </c>
      <c r="N71" s="48">
        <f>1-(M71/L71)</f>
        <v>0.20204688644688651</v>
      </c>
      <c r="O71" s="49">
        <f>+'Trim Rwd'!H33</f>
        <v>263.5</v>
      </c>
      <c r="P71" s="50">
        <f>O71*(Q71-R71-S71)</f>
        <v>134385</v>
      </c>
      <c r="Q71" s="49">
        <v>535</v>
      </c>
      <c r="R71" s="371">
        <v>0</v>
      </c>
      <c r="S71" s="371">
        <f>73-S70</f>
        <v>25</v>
      </c>
      <c r="T71" s="39">
        <f>E71*M71*O71*Q71/100000000</f>
        <v>19.3728902175</v>
      </c>
      <c r="U71" s="39">
        <f>E71*M71*O71*(Q71-R71-S71)/100000000</f>
        <v>18.467614973691589</v>
      </c>
      <c r="V71" s="39">
        <f>E71*G71*(1-N71)*O71/100*(R71+S71)/1000000</f>
        <v>0.91897043339423068</v>
      </c>
      <c r="W71" s="39">
        <f>+'14'!K10/1000</f>
        <v>3.9460000000000002</v>
      </c>
      <c r="X71" s="40"/>
      <c r="Y71" s="213"/>
      <c r="Z71" s="39"/>
      <c r="AA71" s="39"/>
      <c r="AB71" s="39"/>
      <c r="AC71" s="39">
        <f>K71-T71</f>
        <v>0.29307705713653576</v>
      </c>
      <c r="AD71" s="39">
        <f t="shared" ref="AD71:AD72" si="76">+AM71+BA71</f>
        <v>24</v>
      </c>
      <c r="AE71" s="230" t="s">
        <v>464</v>
      </c>
      <c r="AF71" s="39"/>
      <c r="AG71" s="39">
        <v>24</v>
      </c>
      <c r="AH71" s="39"/>
      <c r="AI71" s="485"/>
      <c r="AJ71" s="39"/>
      <c r="AK71" s="39"/>
      <c r="AL71" s="39"/>
      <c r="AM71" s="39">
        <f t="shared" ref="AM71:AM72" si="77">SUM(AF71:AL71)+AT71+AV71+AX71</f>
        <v>24</v>
      </c>
      <c r="AN71" s="87"/>
      <c r="AO71" s="39"/>
      <c r="AP71" s="39"/>
      <c r="AQ71" s="39"/>
      <c r="AR71" s="39">
        <f t="shared" ref="AR71:AR72" si="78">SUM(AN71:AQ71)</f>
        <v>0</v>
      </c>
      <c r="AS71" s="39"/>
      <c r="AT71" s="39"/>
      <c r="AU71" s="39"/>
      <c r="AV71" s="39"/>
      <c r="AW71" s="39"/>
      <c r="AX71" s="39"/>
      <c r="AY71" s="39"/>
      <c r="AZ71" s="39"/>
      <c r="BA71" s="39">
        <f t="shared" ref="BA71:BA72" si="79">+AR71+AS71+AU71+AW71+AY71+AZ71</f>
        <v>0</v>
      </c>
      <c r="BB71" s="52"/>
      <c r="BC71" s="53">
        <v>9</v>
      </c>
      <c r="BD71" s="53"/>
      <c r="BE71" s="52"/>
      <c r="BF71" s="53"/>
    </row>
    <row r="72" spans="1:58" ht="12.95" customHeight="1">
      <c r="A72" s="42"/>
      <c r="B72" s="43"/>
      <c r="C72" s="402"/>
      <c r="D72" s="43"/>
      <c r="E72" s="44"/>
      <c r="F72" s="44"/>
      <c r="G72" s="45"/>
      <c r="H72" s="46"/>
      <c r="I72" s="47"/>
      <c r="J72" s="86"/>
      <c r="K72" s="86"/>
      <c r="L72" s="37"/>
      <c r="M72" s="37"/>
      <c r="N72" s="48"/>
      <c r="O72" s="49"/>
      <c r="P72" s="50"/>
      <c r="Q72" s="49"/>
      <c r="R72" s="371"/>
      <c r="S72" s="371"/>
      <c r="T72" s="39"/>
      <c r="U72" s="39"/>
      <c r="V72" s="39"/>
      <c r="W72" s="39"/>
      <c r="X72" s="40"/>
      <c r="Y72" s="213"/>
      <c r="Z72" s="39"/>
      <c r="AA72" s="39"/>
      <c r="AB72" s="39"/>
      <c r="AC72" s="39"/>
      <c r="AD72" s="39">
        <f t="shared" si="76"/>
        <v>49</v>
      </c>
      <c r="AE72" s="230" t="s">
        <v>513</v>
      </c>
      <c r="AF72" s="35"/>
      <c r="AG72" s="35"/>
      <c r="AH72" s="35">
        <v>49</v>
      </c>
      <c r="AJ72" s="39"/>
      <c r="AK72" s="39"/>
      <c r="AL72" s="39"/>
      <c r="AM72" s="39">
        <f t="shared" si="77"/>
        <v>49</v>
      </c>
      <c r="AN72" s="39"/>
      <c r="AO72" s="39"/>
      <c r="AP72" s="39"/>
      <c r="AQ72" s="39"/>
      <c r="AR72" s="39">
        <f t="shared" si="78"/>
        <v>0</v>
      </c>
      <c r="AS72" s="39"/>
      <c r="AT72" s="39"/>
      <c r="AU72" s="39"/>
      <c r="AV72" s="39"/>
      <c r="AW72" s="39"/>
      <c r="AX72" s="39"/>
      <c r="AY72" s="39"/>
      <c r="AZ72" s="39"/>
      <c r="BA72" s="39">
        <f t="shared" si="79"/>
        <v>0</v>
      </c>
      <c r="BB72" s="35"/>
      <c r="BC72" s="486"/>
      <c r="BD72" s="486"/>
      <c r="BE72" s="35"/>
      <c r="BF72" s="486"/>
    </row>
    <row r="73" spans="1:58" ht="12.95" customHeight="1">
      <c r="A73" s="42"/>
      <c r="B73" s="43"/>
      <c r="C73" s="402"/>
      <c r="D73" s="43"/>
      <c r="E73" s="44"/>
      <c r="F73" s="44"/>
      <c r="G73" s="415"/>
      <c r="H73" s="557"/>
      <c r="I73" s="47"/>
      <c r="J73" s="86"/>
      <c r="K73" s="86"/>
      <c r="L73" s="37"/>
      <c r="M73" s="37"/>
      <c r="N73" s="48"/>
      <c r="O73" s="49"/>
      <c r="P73" s="50"/>
      <c r="Q73" s="49"/>
      <c r="R73" s="371"/>
      <c r="S73" s="371"/>
      <c r="T73" s="39"/>
      <c r="U73" s="39"/>
      <c r="V73" s="39"/>
      <c r="W73" s="39"/>
      <c r="X73" s="370"/>
      <c r="Y73" s="39"/>
      <c r="Z73" s="39"/>
      <c r="AA73" s="51"/>
      <c r="AB73" s="51"/>
      <c r="AC73" s="39"/>
      <c r="AD73" s="39"/>
      <c r="AE73" s="230"/>
      <c r="AF73" s="39"/>
      <c r="AG73" s="39"/>
      <c r="AH73" s="39"/>
      <c r="AI73" s="485"/>
      <c r="AJ73" s="39"/>
      <c r="AK73" s="39"/>
      <c r="AL73" s="39"/>
      <c r="AM73" s="39"/>
      <c r="AN73" s="39"/>
      <c r="AO73" s="39"/>
      <c r="AP73" s="39"/>
      <c r="AQ73" s="39"/>
      <c r="AR73" s="39"/>
      <c r="AS73" s="39"/>
      <c r="AT73" s="39"/>
      <c r="AU73" s="39"/>
      <c r="AV73" s="39"/>
      <c r="AW73" s="39"/>
      <c r="AX73" s="39"/>
      <c r="AY73" s="39"/>
      <c r="AZ73" s="39"/>
      <c r="BA73" s="39"/>
      <c r="BB73" s="35"/>
      <c r="BC73" s="53"/>
      <c r="BD73" s="53"/>
      <c r="BE73" s="53"/>
      <c r="BF73" s="53"/>
    </row>
    <row r="74" spans="1:58" ht="12" customHeight="1">
      <c r="A74" s="42">
        <v>45945</v>
      </c>
      <c r="B74" s="43" t="s">
        <v>460</v>
      </c>
      <c r="C74" s="402">
        <f>(M74*E74*O74*Q74)/100000000</f>
        <v>31.624733637551021</v>
      </c>
      <c r="D74" s="43" t="s">
        <v>462</v>
      </c>
      <c r="E74" s="44">
        <v>13.5</v>
      </c>
      <c r="F74" s="44">
        <v>1</v>
      </c>
      <c r="G74" s="415">
        <v>1335</v>
      </c>
      <c r="H74" s="557">
        <f>+N74</f>
        <v>0.22409360691877234</v>
      </c>
      <c r="I74" s="47">
        <v>0.88</v>
      </c>
      <c r="J74" s="86">
        <f>E74*G74*(1-H74)*1440/1000000*2.74</f>
        <v>55.174374627695435</v>
      </c>
      <c r="K74" s="86">
        <f>(IF(G74&lt;L74,L74,G74)*(1-IF(H74&lt;N74,H74,N74))*E74*O74*Q74)/100000000</f>
        <v>32.933269334950104</v>
      </c>
      <c r="L74" s="37">
        <v>1281.9565217391305</v>
      </c>
      <c r="M74" s="37">
        <v>994.67826086956518</v>
      </c>
      <c r="N74" s="48">
        <f>1-(M74/L74)</f>
        <v>0.22409360691877234</v>
      </c>
      <c r="O74" s="49">
        <f>+'Trim Rwd'!H35</f>
        <v>255.98979591836735</v>
      </c>
      <c r="P74" s="50">
        <f>O74*(Q74-R74-S74)</f>
        <v>222711.12244897959</v>
      </c>
      <c r="Q74" s="49">
        <v>920</v>
      </c>
      <c r="R74" s="371">
        <v>0</v>
      </c>
      <c r="S74" s="371">
        <f>85-S75-S76</f>
        <v>50</v>
      </c>
      <c r="T74" s="39">
        <f>E74*M74*O74*Q74/100000000</f>
        <v>31.624733637551021</v>
      </c>
      <c r="U74" s="39">
        <f>E74*M74*O74*(Q74-R74-S74)/100000000</f>
        <v>29.905998113771076</v>
      </c>
      <c r="V74" s="39">
        <f>E74*G74*(1-N74)*O74/100*(R74+S74)/1000000</f>
        <v>1.7898515942907667</v>
      </c>
      <c r="W74" s="39">
        <f>+'15'!K10/1000</f>
        <v>31.661999999999999</v>
      </c>
      <c r="X74" s="370">
        <f>SUM(W74:W77)/SUM(K74:K77)</f>
        <v>0.76448884990270061</v>
      </c>
      <c r="Y74" s="39">
        <v>0</v>
      </c>
      <c r="Z74" s="39">
        <f>+'1'!D102/1000</f>
        <v>0</v>
      </c>
      <c r="AA74" s="51">
        <f>SUM(U74:U77)-SUM(W74:W77)-SUM(Z74:Z77)-SUM(Y74:Y77)</f>
        <v>7.9267662487710737</v>
      </c>
      <c r="AB74" s="51">
        <f>(SUM(K74:K77)-SUM(W74:W77)-SUM(Y74:Y77)-SUM(Z74:Z77)-SUM(AC74:AC77)-SUM(V74:V77))-AA74</f>
        <v>-2.0859710510816143E-2</v>
      </c>
      <c r="AC74" s="39">
        <f>K74-T74</f>
        <v>1.3085356973990834</v>
      </c>
      <c r="AD74" s="39">
        <f>+AM74+BA74</f>
        <v>0</v>
      </c>
      <c r="AE74" s="230" t="s">
        <v>418</v>
      </c>
      <c r="AF74" s="39">
        <v>0</v>
      </c>
      <c r="AG74" s="39"/>
      <c r="AH74" s="39"/>
      <c r="AI74" s="485"/>
      <c r="AJ74" s="39"/>
      <c r="AK74" s="39"/>
      <c r="AL74" s="39"/>
      <c r="AM74" s="39">
        <f>SUM(AF74:AL74)+AT74+AV74+AX74</f>
        <v>0</v>
      </c>
      <c r="AN74" s="39"/>
      <c r="AO74" s="39"/>
      <c r="AP74" s="39"/>
      <c r="AQ74" s="39"/>
      <c r="AR74" s="39">
        <f>SUM(AN74:AQ74)</f>
        <v>0</v>
      </c>
      <c r="AS74" s="39"/>
      <c r="AT74" s="39"/>
      <c r="AU74" s="39"/>
      <c r="AV74" s="39"/>
      <c r="AW74" s="39"/>
      <c r="AX74" s="39"/>
      <c r="AY74" s="39"/>
      <c r="AZ74" s="39"/>
      <c r="BA74" s="39">
        <f>+AR74+AS74+AU74+AW74+AY74+AZ74</f>
        <v>0</v>
      </c>
      <c r="BB74" s="35">
        <v>0</v>
      </c>
      <c r="BC74" s="53"/>
      <c r="BD74" s="53"/>
      <c r="BE74" s="35"/>
      <c r="BF74" s="53"/>
    </row>
    <row r="75" spans="1:58" ht="12.95" customHeight="1">
      <c r="A75" s="42"/>
      <c r="B75" s="43" t="s">
        <v>460</v>
      </c>
      <c r="C75" s="402">
        <f>(M75*E75*O75*Q75)/100000000</f>
        <v>11.630757600000001</v>
      </c>
      <c r="D75" s="43" t="s">
        <v>462</v>
      </c>
      <c r="E75" s="44">
        <v>16.5</v>
      </c>
      <c r="F75" s="44">
        <v>1</v>
      </c>
      <c r="G75" s="415">
        <v>1010</v>
      </c>
      <c r="H75" s="557">
        <f>+N75</f>
        <v>0.15999999999999992</v>
      </c>
      <c r="I75" s="47">
        <v>0.88</v>
      </c>
      <c r="J75" s="86">
        <f>E75*G75*(1-H75)*1440/1000000*2.74</f>
        <v>55.232876160000011</v>
      </c>
      <c r="K75" s="86">
        <f>(IF(G75&lt;L75,L75,G75)*(1-IF(H75&lt;N75,H75,N75))*E75*O75*Q75)/100000000</f>
        <v>11.630757600000001</v>
      </c>
      <c r="L75" s="37">
        <v>1080</v>
      </c>
      <c r="M75" s="37">
        <v>907.2</v>
      </c>
      <c r="N75" s="48">
        <f>1-(M75/L75)</f>
        <v>0.15999999999999992</v>
      </c>
      <c r="O75" s="49">
        <f>+'Trim Rwd'!H37</f>
        <v>259</v>
      </c>
      <c r="P75" s="50">
        <f>O75*(Q75-R75-S75)</f>
        <v>72520</v>
      </c>
      <c r="Q75" s="49">
        <v>300</v>
      </c>
      <c r="R75" s="371">
        <v>0</v>
      </c>
      <c r="S75" s="371">
        <v>20</v>
      </c>
      <c r="T75" s="39">
        <f>E75*M75*O75*Q75/100000000</f>
        <v>11.630757600000001</v>
      </c>
      <c r="U75" s="39">
        <f>E75*M75*O75*(Q75-R75-S75)/100000000</f>
        <v>10.855373760000001</v>
      </c>
      <c r="V75" s="39">
        <f>E75*G75*(1-N75)*O75/100*(R75+S75)/1000000</f>
        <v>0.72512748000000005</v>
      </c>
      <c r="W75" s="39">
        <f>+'15'!K11/1000</f>
        <v>8.0449999999999999</v>
      </c>
      <c r="X75" s="40"/>
      <c r="Y75" s="213"/>
      <c r="Z75" s="39"/>
      <c r="AA75" s="39"/>
      <c r="AB75" s="39"/>
      <c r="AC75" s="39">
        <f>K75-T75</f>
        <v>0</v>
      </c>
      <c r="AD75" s="39">
        <f t="shared" ref="AD75:AD76" si="80">+AM75+BA75</f>
        <v>31</v>
      </c>
      <c r="AE75" s="230" t="s">
        <v>557</v>
      </c>
      <c r="AF75" s="39"/>
      <c r="AG75" s="39">
        <v>31</v>
      </c>
      <c r="AH75" s="39"/>
      <c r="AI75" s="485"/>
      <c r="AJ75" s="39"/>
      <c r="AK75" s="39"/>
      <c r="AL75" s="39"/>
      <c r="AM75" s="39">
        <f t="shared" ref="AM75:AM76" si="81">SUM(AF75:AL75)+AT75+AV75+AX75</f>
        <v>31</v>
      </c>
      <c r="AN75" s="87"/>
      <c r="AO75" s="39"/>
      <c r="AP75" s="39"/>
      <c r="AQ75" s="39"/>
      <c r="AR75" s="39">
        <f t="shared" ref="AR75:AR76" si="82">SUM(AN75:AQ75)</f>
        <v>0</v>
      </c>
      <c r="AS75" s="39"/>
      <c r="AT75" s="39"/>
      <c r="AU75" s="39"/>
      <c r="AV75" s="39"/>
      <c r="AW75" s="39"/>
      <c r="AX75" s="39"/>
      <c r="AY75" s="39"/>
      <c r="AZ75" s="39"/>
      <c r="BA75" s="39">
        <f t="shared" ref="BA75:BA76" si="83">+AR75+AS75+AU75+AW75+AY75+AZ75</f>
        <v>0</v>
      </c>
      <c r="BB75" s="52"/>
      <c r="BC75" s="53">
        <v>14</v>
      </c>
      <c r="BD75" s="53"/>
      <c r="BE75" s="52"/>
      <c r="BF75" s="53"/>
    </row>
    <row r="76" spans="1:58" ht="12.95" customHeight="1">
      <c r="A76" s="42"/>
      <c r="B76" s="43" t="s">
        <v>460</v>
      </c>
      <c r="C76" s="402">
        <f>(M76*E76*O76*Q76)/100000000</f>
        <v>7.3752525000000002</v>
      </c>
      <c r="D76" s="43" t="s">
        <v>462</v>
      </c>
      <c r="E76" s="44">
        <v>12.5</v>
      </c>
      <c r="F76" s="44">
        <v>1</v>
      </c>
      <c r="G76" s="415">
        <v>1350</v>
      </c>
      <c r="H76" s="557">
        <f>+N76</f>
        <v>0.22999999999999998</v>
      </c>
      <c r="I76" s="47">
        <v>0.88</v>
      </c>
      <c r="J76" s="86">
        <f>E76*G76*(1-H76)*1440/1000000*2.74</f>
        <v>51.268140000000002</v>
      </c>
      <c r="K76" s="86">
        <f>(IF(G76&lt;L76,L76,G76)*(1-IF(H76&lt;N76,H76,N76))*E76*O76*Q76)/100000000</f>
        <v>7.3752525000000002</v>
      </c>
      <c r="L76" s="37">
        <v>1350</v>
      </c>
      <c r="M76" s="37">
        <v>1039.5</v>
      </c>
      <c r="N76" s="48">
        <f>1-(M76/L76)</f>
        <v>0.22999999999999998</v>
      </c>
      <c r="O76" s="49">
        <f>+'Trim Rwd'!H38</f>
        <v>258</v>
      </c>
      <c r="P76" s="50">
        <f>O76*(Q76-R76-S76)</f>
        <v>52890</v>
      </c>
      <c r="Q76" s="49">
        <v>220</v>
      </c>
      <c r="R76" s="371">
        <v>0</v>
      </c>
      <c r="S76" s="371">
        <v>15</v>
      </c>
      <c r="T76" s="39">
        <f>E76*M76*O76*Q76/100000000</f>
        <v>7.3752525000000002</v>
      </c>
      <c r="U76" s="39">
        <f>E76*M76*O76*(Q76-R76-S76)/100000000</f>
        <v>6.8723943749999998</v>
      </c>
      <c r="V76" s="39">
        <f>E76*G76*(1-N76)*O76/100*(R76+S76)/1000000</f>
        <v>0.50285812500000004</v>
      </c>
      <c r="W76" s="39">
        <f>+'14'!K15/1000</f>
        <v>0</v>
      </c>
      <c r="X76" s="40"/>
      <c r="Y76" s="213"/>
      <c r="Z76" s="39"/>
      <c r="AA76" s="39"/>
      <c r="AB76" s="39"/>
      <c r="AC76" s="39">
        <f>K76-T76</f>
        <v>0</v>
      </c>
      <c r="AD76" s="39">
        <f t="shared" si="80"/>
        <v>54</v>
      </c>
      <c r="AE76" s="230" t="s">
        <v>489</v>
      </c>
      <c r="AF76" s="35"/>
      <c r="AG76" s="35"/>
      <c r="AH76" s="35">
        <v>54</v>
      </c>
      <c r="AJ76" s="39"/>
      <c r="AK76" s="39"/>
      <c r="AL76" s="39"/>
      <c r="AM76" s="39">
        <f t="shared" si="81"/>
        <v>54</v>
      </c>
      <c r="AN76" s="39"/>
      <c r="AO76" s="39"/>
      <c r="AP76" s="39"/>
      <c r="AQ76" s="39"/>
      <c r="AR76" s="39">
        <f t="shared" si="82"/>
        <v>0</v>
      </c>
      <c r="AS76" s="39"/>
      <c r="AT76" s="39"/>
      <c r="AU76" s="39"/>
      <c r="AV76" s="39"/>
      <c r="AW76" s="39"/>
      <c r="AX76" s="39"/>
      <c r="AY76" s="39"/>
      <c r="AZ76" s="39"/>
      <c r="BA76" s="39">
        <f t="shared" si="83"/>
        <v>0</v>
      </c>
      <c r="BB76" s="35"/>
      <c r="BC76" s="486"/>
      <c r="BD76" s="486"/>
      <c r="BE76" s="35"/>
      <c r="BF76" s="486"/>
    </row>
    <row r="77" spans="1:58" ht="12.95" customHeight="1">
      <c r="A77" s="42"/>
      <c r="B77" s="43"/>
      <c r="C77" s="402"/>
      <c r="D77" s="43"/>
      <c r="E77" s="44"/>
      <c r="F77" s="44"/>
      <c r="G77" s="415"/>
      <c r="H77" s="557"/>
      <c r="I77" s="47"/>
      <c r="J77" s="86"/>
      <c r="K77" s="86"/>
      <c r="L77" s="37"/>
      <c r="M77" s="37"/>
      <c r="N77" s="48"/>
      <c r="O77" s="49"/>
      <c r="P77" s="50"/>
      <c r="Q77" s="49"/>
      <c r="R77" s="371"/>
      <c r="S77" s="371"/>
      <c r="T77" s="39"/>
      <c r="U77" s="39"/>
      <c r="V77" s="39"/>
      <c r="W77" s="39"/>
      <c r="X77" s="370"/>
      <c r="Y77" s="39"/>
      <c r="Z77" s="39"/>
      <c r="AA77" s="51"/>
      <c r="AB77" s="51"/>
      <c r="AC77" s="39"/>
      <c r="AD77" s="39"/>
      <c r="AE77" s="230"/>
      <c r="AF77" s="39"/>
      <c r="AG77" s="39"/>
      <c r="AH77" s="39"/>
      <c r="AI77" s="485"/>
      <c r="AJ77" s="39"/>
      <c r="AK77" s="39"/>
      <c r="AL77" s="39"/>
      <c r="AM77" s="39"/>
      <c r="AN77" s="39"/>
      <c r="AO77" s="39"/>
      <c r="AP77" s="39"/>
      <c r="AQ77" s="39"/>
      <c r="AR77" s="39"/>
      <c r="AS77" s="39"/>
      <c r="AT77" s="39"/>
      <c r="AU77" s="39"/>
      <c r="AV77" s="39"/>
      <c r="AW77" s="39"/>
      <c r="AX77" s="39"/>
      <c r="AY77" s="39"/>
      <c r="AZ77" s="39"/>
      <c r="BA77" s="39"/>
      <c r="BB77" s="35"/>
      <c r="BC77" s="53"/>
      <c r="BD77" s="53"/>
      <c r="BE77" s="53"/>
      <c r="BF77" s="53"/>
    </row>
    <row r="78" spans="1:58" ht="12" customHeight="1">
      <c r="A78" s="42">
        <v>45946</v>
      </c>
      <c r="B78" s="43" t="s">
        <v>460</v>
      </c>
      <c r="C78" s="402">
        <f>(M78*E78*O78*Q78)/100000000</f>
        <v>7.4710349999999996</v>
      </c>
      <c r="D78" s="43" t="s">
        <v>462</v>
      </c>
      <c r="E78" s="44">
        <v>12.5</v>
      </c>
      <c r="F78" s="44">
        <v>1</v>
      </c>
      <c r="G78" s="415">
        <v>1350</v>
      </c>
      <c r="H78" s="557">
        <f>+N78</f>
        <v>0.21999999999999997</v>
      </c>
      <c r="I78" s="47">
        <v>0.88</v>
      </c>
      <c r="J78" s="86">
        <f>E78*G78*(1-H78)*1440/1000000*2.74</f>
        <v>51.933960000000006</v>
      </c>
      <c r="K78" s="86">
        <f>(IF(G78&lt;L78,L78,G78)*(1-IF(H78&lt;N78,H78,N78))*E78*O78*Q78)/100000000</f>
        <v>7.4710349999999996</v>
      </c>
      <c r="L78" s="37">
        <v>1350</v>
      </c>
      <c r="M78" s="37">
        <v>1053</v>
      </c>
      <c r="N78" s="48">
        <f>1-(M78/L78)</f>
        <v>0.21999999999999997</v>
      </c>
      <c r="O78" s="49">
        <f>+'Trim Rwd'!H40</f>
        <v>258</v>
      </c>
      <c r="P78" s="50">
        <f>O78*(Q78-R78-S78)</f>
        <v>53922</v>
      </c>
      <c r="Q78" s="49">
        <v>220</v>
      </c>
      <c r="R78" s="371">
        <v>0</v>
      </c>
      <c r="S78" s="371">
        <v>11</v>
      </c>
      <c r="T78" s="39">
        <f>E78*M78*O78*Q78/100000000</f>
        <v>7.4710349999999996</v>
      </c>
      <c r="U78" s="39">
        <f>E78*M78*O78*(Q78-R78-S78)/100000000</f>
        <v>7.0974832499999998</v>
      </c>
      <c r="V78" s="39">
        <f>E78*G78*(1-N78)*O78/100*(R78+S78)/1000000</f>
        <v>0.37355175000000002</v>
      </c>
      <c r="W78" s="39">
        <f>+'16'!K12/1000</f>
        <v>12.919</v>
      </c>
      <c r="X78" s="370">
        <f>SUM(W78:W81)/SUM(K78:K81)</f>
        <v>0.8353990327974482</v>
      </c>
      <c r="Y78" s="39">
        <f>+SUM(RBP!AG29:AG30)</f>
        <v>0</v>
      </c>
      <c r="Z78" s="39">
        <f>+'1'!D106/1000</f>
        <v>0</v>
      </c>
      <c r="AA78" s="51">
        <f>SUM(U78:U81)-SUM(W78:W81)-SUM(Z78:Z81)-SUM(Y78:Y81)</f>
        <v>6.6616427630000032</v>
      </c>
      <c r="AB78" s="51">
        <f>(SUM(K78:K81)-SUM(W78:W81)-SUM(Y78:Y81)-SUM(Z78:Z81)-SUM(AC78:AC81)-SUM(V78:V81))-AA78</f>
        <v>9.5741415000052399E-3</v>
      </c>
      <c r="AC78" s="39">
        <f>K78-T78</f>
        <v>0</v>
      </c>
      <c r="AD78" s="39">
        <f>+AM78+BA78</f>
        <v>0</v>
      </c>
      <c r="AE78" s="230" t="s">
        <v>418</v>
      </c>
      <c r="AF78" s="39">
        <v>0</v>
      </c>
      <c r="AG78" s="39"/>
      <c r="AH78" s="39"/>
      <c r="AI78" s="485"/>
      <c r="AJ78" s="39"/>
      <c r="AK78" s="39"/>
      <c r="AL78" s="39"/>
      <c r="AM78" s="39">
        <f>SUM(AF78:AL78)+AT78+AV78+AX78</f>
        <v>0</v>
      </c>
      <c r="AN78" s="39"/>
      <c r="AO78" s="39"/>
      <c r="AP78" s="39"/>
      <c r="AQ78" s="39"/>
      <c r="AR78" s="39">
        <f>SUM(AN78:AQ78)</f>
        <v>0</v>
      </c>
      <c r="AS78" s="39"/>
      <c r="AT78" s="39"/>
      <c r="AU78" s="39"/>
      <c r="AV78" s="39"/>
      <c r="AW78" s="39"/>
      <c r="AX78" s="39"/>
      <c r="AY78" s="39"/>
      <c r="AZ78" s="39"/>
      <c r="BA78" s="39">
        <f>+AR78+AS78+AU78+AW78+AY78+AZ78</f>
        <v>0</v>
      </c>
      <c r="BB78" s="35">
        <v>0</v>
      </c>
      <c r="BC78" s="53"/>
      <c r="BD78" s="53"/>
      <c r="BE78" s="35"/>
      <c r="BF78" s="53"/>
    </row>
    <row r="79" spans="1:58" ht="12.95" customHeight="1">
      <c r="A79" s="42"/>
      <c r="B79" s="43" t="s">
        <v>460</v>
      </c>
      <c r="C79" s="402">
        <f>(M79*E79*O79*Q79)/100000000</f>
        <v>4.4153802000000004</v>
      </c>
      <c r="D79" s="43" t="s">
        <v>462</v>
      </c>
      <c r="E79" s="44">
        <v>16.5</v>
      </c>
      <c r="F79" s="44">
        <v>1</v>
      </c>
      <c r="G79" s="415">
        <v>1035</v>
      </c>
      <c r="H79" s="557">
        <f>+N79</f>
        <v>0.18000000000000005</v>
      </c>
      <c r="I79" s="47">
        <v>0.88</v>
      </c>
      <c r="J79" s="86">
        <f>E79*G79*(1-H79)*1440/1000000*2.74</f>
        <v>55.252406880000009</v>
      </c>
      <c r="K79" s="86">
        <f>(IF(G79&lt;L79,L79,G79)*(1-IF(H79&lt;N79,H79,N79))*E79*O79*Q79)/100000000</f>
        <v>4.4153802000000004</v>
      </c>
      <c r="L79" s="37">
        <v>1050</v>
      </c>
      <c r="M79" s="37">
        <v>861</v>
      </c>
      <c r="N79" s="48">
        <f>1-(M79/L79)</f>
        <v>0.18000000000000005</v>
      </c>
      <c r="O79" s="49">
        <f>+'Trim Rwd'!H42</f>
        <v>259</v>
      </c>
      <c r="P79" s="50">
        <f>O79*(Q79-R79-S79)</f>
        <v>29785</v>
      </c>
      <c r="Q79" s="49">
        <v>120</v>
      </c>
      <c r="R79" s="371">
        <v>0</v>
      </c>
      <c r="S79" s="371">
        <v>5</v>
      </c>
      <c r="T79" s="39">
        <f>E79*M79*O79*Q79/100000000</f>
        <v>4.4153802000000004</v>
      </c>
      <c r="U79" s="39">
        <f>E79*M79*O79*(Q79-R79-S79)/100000000</f>
        <v>4.2314060250000001</v>
      </c>
      <c r="V79" s="39">
        <f>E79*G79*(1-N79)*O79/100*(R79+S79)/1000000</f>
        <v>0.18134597249999998</v>
      </c>
      <c r="W79" s="39">
        <f>+'16'!K11/1000</f>
        <v>1.8819999999999999</v>
      </c>
      <c r="X79" s="40"/>
      <c r="Y79" s="213"/>
      <c r="Z79" s="39"/>
      <c r="AA79" s="39"/>
      <c r="AB79" s="39"/>
      <c r="AC79" s="39">
        <f>K79-T79</f>
        <v>0</v>
      </c>
      <c r="AD79" s="39">
        <f t="shared" ref="AD79:AD80" si="84">+AM79+BA79</f>
        <v>10</v>
      </c>
      <c r="AE79" s="230" t="s">
        <v>482</v>
      </c>
      <c r="AF79" s="39"/>
      <c r="AG79" s="39">
        <v>10</v>
      </c>
      <c r="AH79" s="39"/>
      <c r="AI79" s="485"/>
      <c r="AJ79" s="39"/>
      <c r="AK79" s="39"/>
      <c r="AL79" s="39"/>
      <c r="AM79" s="39">
        <f t="shared" ref="AM79:AM80" si="85">SUM(AF79:AL79)+AT79+AV79+AX79</f>
        <v>10</v>
      </c>
      <c r="AN79" s="87"/>
      <c r="AO79" s="39"/>
      <c r="AP79" s="39"/>
      <c r="AQ79" s="39"/>
      <c r="AR79" s="39">
        <f t="shared" ref="AR79:AR80" si="86">SUM(AN79:AQ79)</f>
        <v>0</v>
      </c>
      <c r="AS79" s="39"/>
      <c r="AT79" s="39"/>
      <c r="AU79" s="39"/>
      <c r="AV79" s="39"/>
      <c r="AW79" s="39"/>
      <c r="AX79" s="39"/>
      <c r="AY79" s="39"/>
      <c r="AZ79" s="39"/>
      <c r="BA79" s="39">
        <f t="shared" ref="BA79:BA80" si="87">+AR79+AS79+AU79+AW79+AY79+AZ79</f>
        <v>0</v>
      </c>
      <c r="BB79" s="52"/>
      <c r="BC79" s="53">
        <v>6</v>
      </c>
      <c r="BD79" s="53"/>
      <c r="BE79" s="52"/>
      <c r="BF79" s="53"/>
    </row>
    <row r="80" spans="1:58" ht="12.95" customHeight="1">
      <c r="A80" s="42"/>
      <c r="B80" s="43" t="s">
        <v>574</v>
      </c>
      <c r="C80" s="402">
        <f>(M80*E80*O80*Q80)/100000000</f>
        <v>40.749508800000001</v>
      </c>
      <c r="D80" s="43" t="s">
        <v>462</v>
      </c>
      <c r="E80" s="44">
        <v>18</v>
      </c>
      <c r="F80" s="44">
        <v>1</v>
      </c>
      <c r="G80" s="415">
        <v>1035</v>
      </c>
      <c r="H80" s="557">
        <v>0.25</v>
      </c>
      <c r="I80" s="47">
        <v>0.88</v>
      </c>
      <c r="J80" s="86">
        <f>E80*G80*(1-H80)*1440/1000000*2.74</f>
        <v>55.129896000000002</v>
      </c>
      <c r="K80" s="86">
        <f>(IF(G80&lt;L80,L80,G80)*(1-IF(H80&lt;N80,H80,N80))*E80*O80*Q80)/100000000</f>
        <v>40.749508800000001</v>
      </c>
      <c r="L80" s="37">
        <v>1040</v>
      </c>
      <c r="M80" s="37">
        <v>800.8</v>
      </c>
      <c r="N80" s="48">
        <f>1-(M80/L80)</f>
        <v>0.23000000000000009</v>
      </c>
      <c r="O80" s="49">
        <f>+'Trim Rwd'!H43</f>
        <v>257</v>
      </c>
      <c r="P80" s="50">
        <f>O80*(Q80-R80-S80)</f>
        <v>272677</v>
      </c>
      <c r="Q80" s="49">
        <f>1083+17</f>
        <v>1100</v>
      </c>
      <c r="R80" s="371">
        <v>17</v>
      </c>
      <c r="S80" s="371">
        <f>38-S78-S79</f>
        <v>22</v>
      </c>
      <c r="T80" s="39">
        <f>E80*M80*O80*Q80/100000000</f>
        <v>40.749508800000001</v>
      </c>
      <c r="U80" s="39">
        <f>E80*M80*O80*(Q80-R80-S80)/100000000</f>
        <v>39.304753487999996</v>
      </c>
      <c r="V80" s="39">
        <f>E80*G80*(1-N80)*O80/100*(R80+S80)/1000000</f>
        <v>1.4378093729999999</v>
      </c>
      <c r="W80" s="39">
        <f>+'16'!K13/1000</f>
        <v>24.928999999999998</v>
      </c>
      <c r="X80" s="40"/>
      <c r="Y80" s="213"/>
      <c r="Z80" s="39"/>
      <c r="AA80" s="39"/>
      <c r="AB80" s="39"/>
      <c r="AC80" s="39">
        <f>K80-T80</f>
        <v>0</v>
      </c>
      <c r="AD80" s="39">
        <f t="shared" si="84"/>
        <v>28</v>
      </c>
      <c r="AE80" s="230" t="s">
        <v>514</v>
      </c>
      <c r="AF80" s="35"/>
      <c r="AG80" s="35"/>
      <c r="AH80" s="35">
        <v>28</v>
      </c>
      <c r="AJ80" s="39"/>
      <c r="AK80" s="39"/>
      <c r="AL80" s="39"/>
      <c r="AM80" s="39">
        <f t="shared" si="85"/>
        <v>28</v>
      </c>
      <c r="AN80" s="39"/>
      <c r="AO80" s="39"/>
      <c r="AP80" s="39"/>
      <c r="AQ80" s="39"/>
      <c r="AR80" s="39">
        <f t="shared" si="86"/>
        <v>0</v>
      </c>
      <c r="AS80" s="39"/>
      <c r="AT80" s="39"/>
      <c r="AU80" s="39"/>
      <c r="AV80" s="39"/>
      <c r="AW80" s="39"/>
      <c r="AX80" s="39"/>
      <c r="AY80" s="39"/>
      <c r="AZ80" s="39"/>
      <c r="BA80" s="39">
        <f t="shared" si="87"/>
        <v>0</v>
      </c>
      <c r="BB80" s="35"/>
      <c r="BC80" s="486"/>
      <c r="BD80" s="486"/>
      <c r="BE80" s="35"/>
      <c r="BF80" s="486"/>
    </row>
    <row r="81" spans="1:58" ht="12.95" customHeight="1">
      <c r="A81" s="42"/>
      <c r="B81" s="43" t="s">
        <v>460</v>
      </c>
      <c r="C81" s="402"/>
      <c r="D81" s="43" t="s">
        <v>462</v>
      </c>
      <c r="E81" s="44">
        <v>13.5</v>
      </c>
      <c r="F81" s="44"/>
      <c r="G81" s="415"/>
      <c r="H81" s="557"/>
      <c r="I81" s="47"/>
      <c r="J81" s="86"/>
      <c r="K81" s="86"/>
      <c r="L81" s="37"/>
      <c r="M81" s="37"/>
      <c r="N81" s="48"/>
      <c r="O81" s="49"/>
      <c r="P81" s="50"/>
      <c r="Q81" s="49"/>
      <c r="R81" s="371"/>
      <c r="S81" s="371"/>
      <c r="T81" s="39"/>
      <c r="U81" s="39"/>
      <c r="V81" s="39"/>
      <c r="W81" s="39">
        <f>+'16'!K10/1000</f>
        <v>4.242</v>
      </c>
      <c r="X81" s="40"/>
      <c r="Y81" s="213"/>
      <c r="Z81" s="39"/>
      <c r="AA81" s="39"/>
      <c r="AB81" s="39"/>
      <c r="AC81" s="39"/>
      <c r="AD81" s="39">
        <f t="shared" ref="AD81" si="88">+AM81+BA81</f>
        <v>17</v>
      </c>
      <c r="AE81" s="230" t="s">
        <v>575</v>
      </c>
      <c r="AF81" s="35"/>
      <c r="AG81" s="35"/>
      <c r="AH81" s="35"/>
      <c r="AJ81" s="39"/>
      <c r="AK81" s="39"/>
      <c r="AL81" s="39"/>
      <c r="AM81" s="39">
        <f t="shared" ref="AM81" si="89">SUM(AF81:AL81)+AT81+AV81+AX81</f>
        <v>0</v>
      </c>
      <c r="AN81" s="39"/>
      <c r="AO81" s="39">
        <v>17</v>
      </c>
      <c r="AP81" s="39"/>
      <c r="AQ81" s="39"/>
      <c r="AR81" s="39">
        <f t="shared" ref="AR81" si="90">SUM(AN81:AQ81)</f>
        <v>17</v>
      </c>
      <c r="AS81" s="39"/>
      <c r="AT81" s="39"/>
      <c r="AU81" s="39"/>
      <c r="AV81" s="39"/>
      <c r="AW81" s="39"/>
      <c r="AX81" s="39"/>
      <c r="AY81" s="39"/>
      <c r="AZ81" s="39"/>
      <c r="BA81" s="39">
        <f t="shared" ref="BA81" si="91">+AR81+AS81+AU81+AW81+AY81+AZ81</f>
        <v>17</v>
      </c>
      <c r="BB81" s="35"/>
      <c r="BC81" s="486"/>
      <c r="BD81" s="486"/>
      <c r="BE81" s="35"/>
      <c r="BF81" s="486"/>
    </row>
    <row r="82" spans="1:58" ht="12.95" customHeight="1">
      <c r="A82" s="42"/>
      <c r="B82" s="43"/>
      <c r="C82" s="402"/>
      <c r="D82" s="43"/>
      <c r="E82" s="44"/>
      <c r="F82" s="44"/>
      <c r="G82" s="415"/>
      <c r="H82" s="557"/>
      <c r="I82" s="47"/>
      <c r="J82" s="86"/>
      <c r="K82" s="86"/>
      <c r="L82" s="37"/>
      <c r="M82" s="37"/>
      <c r="N82" s="48"/>
      <c r="O82" s="49"/>
      <c r="P82" s="50"/>
      <c r="Q82" s="49"/>
      <c r="R82" s="371"/>
      <c r="S82" s="371"/>
      <c r="T82" s="39"/>
      <c r="U82" s="39"/>
      <c r="V82" s="39"/>
      <c r="W82" s="39"/>
      <c r="X82" s="370"/>
      <c r="Y82" s="213"/>
      <c r="Z82" s="39"/>
      <c r="AA82" s="51"/>
      <c r="AB82" s="51"/>
      <c r="AC82" s="39"/>
      <c r="AD82" s="39"/>
      <c r="AE82" s="230"/>
      <c r="AF82" s="39"/>
      <c r="AG82" s="39"/>
      <c r="AH82" s="39"/>
      <c r="AI82" s="39"/>
      <c r="AJ82" s="39"/>
      <c r="AK82" s="39"/>
      <c r="AL82" s="39"/>
      <c r="AM82" s="39"/>
      <c r="AN82" s="39"/>
      <c r="AO82" s="39"/>
      <c r="AP82" s="39"/>
      <c r="AQ82" s="39"/>
      <c r="AR82" s="39"/>
      <c r="AS82" s="39"/>
      <c r="AT82" s="39"/>
      <c r="AU82" s="39"/>
      <c r="AV82" s="39"/>
      <c r="AW82" s="39"/>
      <c r="AX82" s="39"/>
      <c r="AY82" s="39"/>
      <c r="AZ82" s="39"/>
      <c r="BA82" s="39"/>
      <c r="BB82" s="35"/>
      <c r="BC82" s="53"/>
      <c r="BD82" s="53"/>
      <c r="BE82" s="53"/>
      <c r="BF82" s="53"/>
    </row>
    <row r="83" spans="1:58" ht="12" customHeight="1">
      <c r="A83" s="42">
        <v>45947</v>
      </c>
      <c r="B83" s="43" t="s">
        <v>574</v>
      </c>
      <c r="C83" s="402">
        <f>(M83*E83*O83*Q83)/100000000</f>
        <v>51.754947839999993</v>
      </c>
      <c r="D83" s="43" t="s">
        <v>462</v>
      </c>
      <c r="E83" s="44">
        <v>18</v>
      </c>
      <c r="F83" s="44">
        <v>1</v>
      </c>
      <c r="G83" s="415">
        <v>1035</v>
      </c>
      <c r="H83" s="557">
        <v>0.25</v>
      </c>
      <c r="I83" s="47">
        <v>0.88</v>
      </c>
      <c r="J83" s="86">
        <f>E83*G83*(1-H83)*1440/1000000*2.74</f>
        <v>55.129896000000002</v>
      </c>
      <c r="K83" s="86">
        <f>(IF(G83&lt;L83,L83,G83)*(1-IF(H83&lt;N83,H83,N83))*E83*O83*Q83)/100000000</f>
        <v>52.17503670233765</v>
      </c>
      <c r="L83" s="37">
        <v>1026.6666666666667</v>
      </c>
      <c r="M83" s="37">
        <v>776.93333333333328</v>
      </c>
      <c r="N83" s="48">
        <f>1-(M83/L83)</f>
        <v>0.24324675324675338</v>
      </c>
      <c r="O83" s="49">
        <f>+'Trim Rwd'!H45</f>
        <v>257</v>
      </c>
      <c r="P83" s="50">
        <f>O83*(Q83-R83-S83)</f>
        <v>363398</v>
      </c>
      <c r="Q83" s="49">
        <v>1440</v>
      </c>
      <c r="R83" s="371">
        <v>0</v>
      </c>
      <c r="S83" s="371">
        <v>26</v>
      </c>
      <c r="T83" s="39">
        <f>E83*M83*O83*Q83/100000000</f>
        <v>51.754947839999993</v>
      </c>
      <c r="U83" s="39">
        <f>E83*M83*O83*(Q83-R83-S83)/100000000</f>
        <v>50.820483503999995</v>
      </c>
      <c r="V83" s="39">
        <f>E83*G83*(1-N83)*O83/100*(R83+S83)/1000000</f>
        <v>0.9420492737922076</v>
      </c>
      <c r="W83" s="39">
        <f>+'17'!K13/1000</f>
        <v>55.052999999999997</v>
      </c>
      <c r="X83" s="370">
        <f>SUM(W83:W86)/SUM(K83:K86)</f>
        <v>1.0551597752404343</v>
      </c>
      <c r="Y83" s="39">
        <f>+SUM(RBP!AG34:AG35)</f>
        <v>0</v>
      </c>
      <c r="Z83" s="39">
        <f>+'17'!D34/1000</f>
        <v>1.8</v>
      </c>
      <c r="AA83" s="51">
        <f>SUM(U83:U86)-SUM(W83:W86)-SUM(Z83:Z86)-SUM(Y83:Y86)</f>
        <v>-6.0325164960000022</v>
      </c>
      <c r="AB83" s="51">
        <f>(SUM(K83:K86)-SUM(W83:W86)-SUM(Y83:Y86)-SUM(Z83:Z86)-SUM(AC83:AC86)-SUM(V83:V86))-AA83</f>
        <v>-7.5849377922097005E-3</v>
      </c>
      <c r="AC83" s="39">
        <f>K83-T83</f>
        <v>0.42008886233765708</v>
      </c>
      <c r="AD83" s="39">
        <f>+AM83+BA83</f>
        <v>0</v>
      </c>
      <c r="AE83" s="230" t="s">
        <v>418</v>
      </c>
      <c r="AF83" s="39">
        <v>0</v>
      </c>
      <c r="AG83" s="39"/>
      <c r="AH83" s="39"/>
      <c r="AI83" s="485"/>
      <c r="AJ83" s="39"/>
      <c r="AK83" s="39"/>
      <c r="AL83" s="39"/>
      <c r="AM83" s="39">
        <f>SUM(AF83:AL83)+AT83+AV83+AX83</f>
        <v>0</v>
      </c>
      <c r="AN83" s="39"/>
      <c r="AO83" s="39"/>
      <c r="AP83" s="39"/>
      <c r="AQ83" s="39"/>
      <c r="AR83" s="39">
        <f>SUM(AN83:AQ83)</f>
        <v>0</v>
      </c>
      <c r="AS83" s="39"/>
      <c r="AT83" s="39"/>
      <c r="AU83" s="39"/>
      <c r="AV83" s="39"/>
      <c r="AW83" s="39"/>
      <c r="AX83" s="39"/>
      <c r="AY83" s="39"/>
      <c r="AZ83" s="39"/>
      <c r="BA83" s="39">
        <f>+AR83+AS83+AU83+AW83+AY83+AZ83</f>
        <v>0</v>
      </c>
      <c r="BB83" s="35">
        <v>0</v>
      </c>
      <c r="BC83" s="53"/>
      <c r="BD83" s="53"/>
      <c r="BE83" s="35"/>
      <c r="BF83" s="53"/>
    </row>
    <row r="84" spans="1:58" ht="12.95" customHeight="1">
      <c r="A84" s="42"/>
      <c r="B84" s="43"/>
      <c r="C84" s="402"/>
      <c r="D84" s="43"/>
      <c r="E84" s="44"/>
      <c r="F84" s="44"/>
      <c r="G84" s="415"/>
      <c r="H84" s="557"/>
      <c r="I84" s="47"/>
      <c r="J84" s="86"/>
      <c r="K84" s="86"/>
      <c r="L84" s="37"/>
      <c r="M84" s="37"/>
      <c r="N84" s="48"/>
      <c r="O84" s="49"/>
      <c r="P84" s="50"/>
      <c r="Q84" s="49"/>
      <c r="R84" s="371"/>
      <c r="S84" s="371"/>
      <c r="T84" s="39"/>
      <c r="U84" s="39"/>
      <c r="V84" s="39"/>
      <c r="W84" s="39"/>
      <c r="X84" s="40"/>
      <c r="Y84" s="213"/>
      <c r="Z84" s="39"/>
      <c r="AA84" s="39"/>
      <c r="AB84" s="39"/>
      <c r="AC84" s="39"/>
      <c r="AD84" s="39">
        <f t="shared" ref="AD84:AD85" si="92">+AM84+BA84</f>
        <v>7</v>
      </c>
      <c r="AE84" s="230" t="s">
        <v>540</v>
      </c>
      <c r="AF84" s="39"/>
      <c r="AG84" s="39">
        <v>7</v>
      </c>
      <c r="AH84" s="39"/>
      <c r="AI84" s="485"/>
      <c r="AJ84" s="39"/>
      <c r="AK84" s="39"/>
      <c r="AL84" s="39"/>
      <c r="AM84" s="39">
        <f t="shared" ref="AM84:AM85" si="93">SUM(AF84:AL84)+AT84+AV84+AX84</f>
        <v>7</v>
      </c>
      <c r="AN84" s="87"/>
      <c r="AO84" s="39"/>
      <c r="AP84" s="39"/>
      <c r="AQ84" s="39"/>
      <c r="AR84" s="39">
        <f t="shared" ref="AR84:AR85" si="94">SUM(AN84:AQ84)</f>
        <v>0</v>
      </c>
      <c r="AS84" s="39"/>
      <c r="AT84" s="39"/>
      <c r="AU84" s="39"/>
      <c r="AV84" s="39"/>
      <c r="AW84" s="39"/>
      <c r="AX84" s="39"/>
      <c r="AY84" s="39"/>
      <c r="AZ84" s="39"/>
      <c r="BA84" s="39">
        <f t="shared" ref="BA84:BA85" si="95">+AR84+AS84+AU84+AW84+AY84+AZ84</f>
        <v>0</v>
      </c>
      <c r="BB84" s="52"/>
      <c r="BC84" s="53">
        <v>5</v>
      </c>
      <c r="BD84" s="53"/>
      <c r="BE84" s="52"/>
      <c r="BF84" s="53"/>
    </row>
    <row r="85" spans="1:58" ht="12.95" customHeight="1">
      <c r="A85" s="42"/>
      <c r="B85" s="43"/>
      <c r="C85" s="402"/>
      <c r="D85" s="43"/>
      <c r="E85" s="44"/>
      <c r="F85" s="44"/>
      <c r="G85" s="45"/>
      <c r="H85" s="46"/>
      <c r="I85" s="47"/>
      <c r="J85" s="86"/>
      <c r="K85" s="86"/>
      <c r="L85" s="37"/>
      <c r="M85" s="37"/>
      <c r="N85" s="48"/>
      <c r="O85" s="49"/>
      <c r="P85" s="50"/>
      <c r="Q85" s="49"/>
      <c r="R85" s="371"/>
      <c r="S85" s="371"/>
      <c r="T85" s="39"/>
      <c r="U85" s="39"/>
      <c r="V85" s="39"/>
      <c r="W85" s="39"/>
      <c r="X85" s="40"/>
      <c r="Y85" s="213"/>
      <c r="Z85" s="39"/>
      <c r="AA85" s="39"/>
      <c r="AB85" s="39"/>
      <c r="AC85" s="39"/>
      <c r="AD85" s="39">
        <f t="shared" si="92"/>
        <v>19</v>
      </c>
      <c r="AE85" s="230" t="s">
        <v>592</v>
      </c>
      <c r="AF85" s="35"/>
      <c r="AG85" s="35"/>
      <c r="AH85" s="35">
        <v>19</v>
      </c>
      <c r="AJ85" s="39"/>
      <c r="AK85" s="39"/>
      <c r="AL85" s="39"/>
      <c r="AM85" s="39">
        <f t="shared" si="93"/>
        <v>19</v>
      </c>
      <c r="AN85" s="39"/>
      <c r="AO85" s="39"/>
      <c r="AP85" s="39"/>
      <c r="AQ85" s="39"/>
      <c r="AR85" s="39">
        <f t="shared" si="94"/>
        <v>0</v>
      </c>
      <c r="AS85" s="39"/>
      <c r="AT85" s="39"/>
      <c r="AU85" s="39"/>
      <c r="AV85" s="39"/>
      <c r="AW85" s="39"/>
      <c r="AX85" s="39"/>
      <c r="AY85" s="39"/>
      <c r="AZ85" s="39"/>
      <c r="BA85" s="39">
        <f t="shared" si="95"/>
        <v>0</v>
      </c>
      <c r="BB85" s="35"/>
      <c r="BC85" s="486"/>
      <c r="BD85" s="486"/>
      <c r="BE85" s="35"/>
      <c r="BF85" s="486"/>
    </row>
    <row r="86" spans="1:58" ht="12.95" customHeight="1">
      <c r="A86" s="42"/>
      <c r="B86" s="567"/>
      <c r="C86" s="402"/>
      <c r="D86" s="43"/>
      <c r="E86" s="44"/>
      <c r="F86" s="44"/>
      <c r="G86" s="45"/>
      <c r="H86" s="557"/>
      <c r="I86" s="47"/>
      <c r="J86" s="86"/>
      <c r="K86" s="86"/>
      <c r="L86" s="37"/>
      <c r="M86" s="37"/>
      <c r="N86" s="48"/>
      <c r="O86" s="49"/>
      <c r="P86" s="50"/>
      <c r="Q86" s="36"/>
      <c r="R86" s="371"/>
      <c r="S86" s="371"/>
      <c r="T86" s="39"/>
      <c r="U86" s="39"/>
      <c r="V86" s="39"/>
      <c r="W86" s="39"/>
      <c r="X86" s="40"/>
      <c r="Y86" s="40"/>
      <c r="Z86" s="39"/>
      <c r="AA86" s="51"/>
      <c r="AB86" s="51"/>
      <c r="AC86" s="39"/>
      <c r="AD86" s="39"/>
      <c r="AE86" s="22"/>
      <c r="AF86" s="39"/>
      <c r="AG86" s="39"/>
      <c r="AH86" s="39"/>
      <c r="AI86" s="39"/>
      <c r="AJ86" s="39"/>
      <c r="AK86" s="39"/>
      <c r="AL86" s="39"/>
      <c r="AM86" s="39"/>
      <c r="AN86" s="39"/>
      <c r="AO86" s="39"/>
      <c r="AP86" s="39"/>
      <c r="AQ86" s="39"/>
      <c r="AR86" s="39"/>
      <c r="AS86" s="39"/>
      <c r="AT86" s="39"/>
      <c r="AU86" s="39"/>
      <c r="AV86" s="39"/>
      <c r="AW86" s="39"/>
      <c r="AX86" s="39"/>
      <c r="AY86" s="39"/>
      <c r="AZ86" s="39"/>
      <c r="BA86" s="39"/>
      <c r="BB86" s="35"/>
      <c r="BC86" s="53"/>
      <c r="BD86" s="486"/>
      <c r="BE86" s="35"/>
      <c r="BF86" s="486"/>
    </row>
    <row r="87" spans="1:58" ht="12" customHeight="1">
      <c r="A87" s="42">
        <v>45948</v>
      </c>
      <c r="B87" s="43" t="s">
        <v>574</v>
      </c>
      <c r="C87" s="402">
        <f>(M87*E87*O87*Q87)/100000000</f>
        <v>50.994933048</v>
      </c>
      <c r="D87" s="43" t="s">
        <v>462</v>
      </c>
      <c r="E87" s="44">
        <v>18</v>
      </c>
      <c r="F87" s="44">
        <v>1</v>
      </c>
      <c r="G87" s="415">
        <v>1035</v>
      </c>
      <c r="H87" s="557">
        <v>0.25</v>
      </c>
      <c r="I87" s="47">
        <v>0.88</v>
      </c>
      <c r="J87" s="86">
        <f>E87*G87*(1-H87)*1440/1000000*2.74</f>
        <v>55.129896000000002</v>
      </c>
      <c r="K87" s="86">
        <f>(IF(G87&lt;L87,L87,G87)*(1-IF(H87&lt;N87,H87,N87))*E87*O87*Q87)/100000000</f>
        <v>51.709428000000003</v>
      </c>
      <c r="L87" s="37">
        <v>1020.7083333333334</v>
      </c>
      <c r="M87" s="37">
        <v>765.5241666666667</v>
      </c>
      <c r="N87" s="48">
        <f>1-(M87/L87)</f>
        <v>0.25000693962526022</v>
      </c>
      <c r="O87" s="49">
        <f>+'Trim Rwd'!H47</f>
        <v>257</v>
      </c>
      <c r="P87" s="50">
        <f>O87*(Q87-R87-S87)</f>
        <v>360057</v>
      </c>
      <c r="Q87" s="49">
        <v>1440</v>
      </c>
      <c r="R87" s="371">
        <v>0</v>
      </c>
      <c r="S87" s="371">
        <v>39</v>
      </c>
      <c r="T87" s="39">
        <f>E87*M87*O87*Q87/100000000</f>
        <v>50.994933048</v>
      </c>
      <c r="U87" s="39">
        <f>E87*M87*O87*(Q87-R87-S87)/100000000</f>
        <v>49.613820277949998</v>
      </c>
      <c r="V87" s="39">
        <f>E87*G87*(1-N87)*O87/100*(R87+S87)/1000000</f>
        <v>1.40045071674254</v>
      </c>
      <c r="W87" s="39">
        <f>+'18'!K13/1000</f>
        <v>48.03</v>
      </c>
      <c r="X87" s="370">
        <f>SUM(W87:W90)/SUM(K87:K90)</f>
        <v>0.92884415584716962</v>
      </c>
      <c r="Y87" s="39">
        <v>0</v>
      </c>
      <c r="Z87" s="39">
        <v>0</v>
      </c>
      <c r="AA87" s="51">
        <f>SUM(U87:U90)-SUM(W87:W90)-SUM(Z87:Z90)-SUM(Y87:Y90)</f>
        <v>1.5838202779499966</v>
      </c>
      <c r="AB87" s="51">
        <f>(SUM(K87:K90)-SUM(W87:W90)-SUM(Y87:Y90)-SUM(Z87:Z90)-SUM(AC87:AC90)-SUM(V87:V90))-AA87</f>
        <v>-1.9337946692537633E-2</v>
      </c>
      <c r="AC87" s="39">
        <f>K87-T87</f>
        <v>0.71449495200000257</v>
      </c>
      <c r="AD87" s="39">
        <f>+AM87+BA87</f>
        <v>0</v>
      </c>
      <c r="AE87" s="230" t="s">
        <v>418</v>
      </c>
      <c r="AF87" s="39">
        <v>0</v>
      </c>
      <c r="AG87" s="39"/>
      <c r="AH87" s="39"/>
      <c r="AI87" s="485"/>
      <c r="AJ87" s="39"/>
      <c r="AK87" s="39"/>
      <c r="AL87" s="39"/>
      <c r="AM87" s="39">
        <f>SUM(AF87:AL87)+AT87+AV87+AX87</f>
        <v>0</v>
      </c>
      <c r="AN87" s="39"/>
      <c r="AO87" s="39"/>
      <c r="AP87" s="39"/>
      <c r="AQ87" s="39"/>
      <c r="AR87" s="39">
        <f>SUM(AN87:AQ87)</f>
        <v>0</v>
      </c>
      <c r="AS87" s="39"/>
      <c r="AT87" s="39"/>
      <c r="AU87" s="39"/>
      <c r="AV87" s="39"/>
      <c r="AW87" s="39"/>
      <c r="AX87" s="39"/>
      <c r="AY87" s="39"/>
      <c r="AZ87" s="39"/>
      <c r="BA87" s="39">
        <f>+AR87+AS87+AU87+AW87+AY87+AZ87</f>
        <v>0</v>
      </c>
      <c r="BB87" s="35">
        <v>0</v>
      </c>
      <c r="BC87" s="53"/>
      <c r="BD87" s="53"/>
      <c r="BE87" s="35"/>
      <c r="BF87" s="53"/>
    </row>
    <row r="88" spans="1:58" ht="12.95" customHeight="1">
      <c r="A88" s="42"/>
      <c r="B88" s="43"/>
      <c r="C88" s="402"/>
      <c r="D88" s="43"/>
      <c r="E88" s="44"/>
      <c r="F88" s="44"/>
      <c r="G88" s="415"/>
      <c r="H88" s="557"/>
      <c r="I88" s="47"/>
      <c r="J88" s="86"/>
      <c r="K88" s="86"/>
      <c r="L88" s="37"/>
      <c r="M88" s="37"/>
      <c r="N88" s="48"/>
      <c r="O88" s="49"/>
      <c r="P88" s="50"/>
      <c r="Q88" s="49"/>
      <c r="R88" s="371"/>
      <c r="S88" s="371"/>
      <c r="T88" s="39"/>
      <c r="U88" s="39"/>
      <c r="V88" s="39"/>
      <c r="W88" s="39"/>
      <c r="X88" s="40"/>
      <c r="Y88" s="213"/>
      <c r="Z88" s="39"/>
      <c r="AA88" s="39"/>
      <c r="AB88" s="39"/>
      <c r="AC88" s="39"/>
      <c r="AD88" s="39">
        <f t="shared" ref="AD88:AD89" si="96">+AM88+BA88</f>
        <v>10</v>
      </c>
      <c r="AE88" s="230" t="s">
        <v>482</v>
      </c>
      <c r="AF88" s="39"/>
      <c r="AG88" s="39">
        <v>10</v>
      </c>
      <c r="AH88" s="39"/>
      <c r="AI88" s="485"/>
      <c r="AJ88" s="39"/>
      <c r="AK88" s="39"/>
      <c r="AL88" s="39"/>
      <c r="AM88" s="39">
        <f t="shared" ref="AM88:AM89" si="97">SUM(AF88:AL88)+AT88+AV88+AX88</f>
        <v>10</v>
      </c>
      <c r="AN88" s="87"/>
      <c r="AO88" s="39"/>
      <c r="AP88" s="39"/>
      <c r="AQ88" s="39"/>
      <c r="AR88" s="39">
        <f t="shared" ref="AR88:AR89" si="98">SUM(AN88:AQ88)</f>
        <v>0</v>
      </c>
      <c r="AS88" s="39"/>
      <c r="AT88" s="39"/>
      <c r="AU88" s="39"/>
      <c r="AV88" s="39"/>
      <c r="AW88" s="39"/>
      <c r="AX88" s="39"/>
      <c r="AY88" s="39"/>
      <c r="AZ88" s="39"/>
      <c r="BA88" s="39">
        <f t="shared" ref="BA88:BA89" si="99">+AR88+AS88+AU88+AW88+AY88+AZ88</f>
        <v>0</v>
      </c>
      <c r="BB88" s="52"/>
      <c r="BC88" s="53">
        <v>6</v>
      </c>
      <c r="BD88" s="53"/>
      <c r="BE88" s="52"/>
      <c r="BF88" s="53"/>
    </row>
    <row r="89" spans="1:58" ht="12.95" customHeight="1">
      <c r="A89" s="42"/>
      <c r="B89" s="43"/>
      <c r="C89" s="402"/>
      <c r="D89" s="43"/>
      <c r="E89" s="44"/>
      <c r="F89" s="44"/>
      <c r="G89" s="45"/>
      <c r="H89" s="46"/>
      <c r="I89" s="47"/>
      <c r="J89" s="86"/>
      <c r="K89" s="86"/>
      <c r="L89" s="37"/>
      <c r="M89" s="37"/>
      <c r="N89" s="48"/>
      <c r="O89" s="49"/>
      <c r="P89" s="50"/>
      <c r="Q89" s="49"/>
      <c r="R89" s="371"/>
      <c r="S89" s="371"/>
      <c r="T89" s="39"/>
      <c r="U89" s="39"/>
      <c r="V89" s="39"/>
      <c r="W89" s="39"/>
      <c r="X89" s="40"/>
      <c r="Y89" s="213"/>
      <c r="Z89" s="39"/>
      <c r="AA89" s="39"/>
      <c r="AB89" s="39"/>
      <c r="AC89" s="39"/>
      <c r="AD89" s="39">
        <f t="shared" si="96"/>
        <v>29</v>
      </c>
      <c r="AE89" s="230" t="s">
        <v>592</v>
      </c>
      <c r="AF89" s="35"/>
      <c r="AG89" s="35"/>
      <c r="AH89" s="35">
        <v>29</v>
      </c>
      <c r="AJ89" s="39"/>
      <c r="AK89" s="39"/>
      <c r="AL89" s="39"/>
      <c r="AM89" s="39">
        <f t="shared" si="97"/>
        <v>29</v>
      </c>
      <c r="AN89" s="39"/>
      <c r="AO89" s="39"/>
      <c r="AP89" s="39"/>
      <c r="AQ89" s="39"/>
      <c r="AR89" s="39">
        <f t="shared" si="98"/>
        <v>0</v>
      </c>
      <c r="AS89" s="39"/>
      <c r="AT89" s="39"/>
      <c r="AU89" s="39"/>
      <c r="AV89" s="39"/>
      <c r="AW89" s="39"/>
      <c r="AX89" s="39"/>
      <c r="AY89" s="39"/>
      <c r="AZ89" s="39"/>
      <c r="BA89" s="39">
        <f t="shared" si="99"/>
        <v>0</v>
      </c>
      <c r="BB89" s="35"/>
      <c r="BC89" s="486"/>
      <c r="BD89" s="486"/>
      <c r="BE89" s="35"/>
      <c r="BF89" s="486"/>
    </row>
    <row r="90" spans="1:58" ht="12.95" customHeight="1">
      <c r="A90" s="42"/>
      <c r="B90" s="554"/>
      <c r="C90" s="555"/>
      <c r="D90" s="554"/>
      <c r="E90" s="44"/>
      <c r="F90" s="44"/>
      <c r="G90" s="556"/>
      <c r="H90" s="557"/>
      <c r="I90" s="47"/>
      <c r="J90" s="86"/>
      <c r="K90" s="86"/>
      <c r="L90" s="558"/>
      <c r="M90" s="558"/>
      <c r="N90" s="48"/>
      <c r="O90" s="49"/>
      <c r="P90" s="50"/>
      <c r="Q90" s="49"/>
      <c r="R90" s="559"/>
      <c r="S90" s="559"/>
      <c r="T90" s="39"/>
      <c r="U90" s="39"/>
      <c r="V90" s="39"/>
      <c r="W90" s="39"/>
      <c r="X90" s="370"/>
      <c r="Y90" s="213"/>
      <c r="Z90" s="39"/>
      <c r="AA90" s="39"/>
      <c r="AB90" s="39"/>
      <c r="AC90" s="39"/>
      <c r="AD90" s="39"/>
      <c r="AE90" s="230"/>
      <c r="AF90" s="35"/>
      <c r="AG90" s="35"/>
      <c r="AH90" s="35"/>
      <c r="AJ90" s="39"/>
      <c r="AK90" s="39"/>
      <c r="AL90" s="39"/>
      <c r="AM90" s="39"/>
      <c r="AN90" s="39"/>
      <c r="AO90" s="39"/>
      <c r="AP90" s="39"/>
      <c r="AQ90" s="39"/>
      <c r="AR90" s="39"/>
      <c r="AS90" s="39"/>
      <c r="AT90" s="39"/>
      <c r="AU90" s="39"/>
      <c r="AV90" s="39"/>
      <c r="AW90" s="39"/>
      <c r="AX90" s="39"/>
      <c r="AY90" s="39"/>
      <c r="AZ90" s="39"/>
      <c r="BA90" s="39"/>
      <c r="BB90" s="35"/>
      <c r="BC90" s="486"/>
      <c r="BD90" s="486"/>
      <c r="BE90" s="35"/>
      <c r="BF90" s="486"/>
    </row>
    <row r="91" spans="1:58" ht="12" customHeight="1">
      <c r="A91" s="42">
        <v>45949</v>
      </c>
      <c r="B91" s="43" t="s">
        <v>574</v>
      </c>
      <c r="C91" s="402">
        <f>(M91*E91*O91*Q91)/100000000</f>
        <v>51.672145099950001</v>
      </c>
      <c r="D91" s="43" t="s">
        <v>462</v>
      </c>
      <c r="E91" s="44">
        <v>18</v>
      </c>
      <c r="F91" s="44">
        <v>1</v>
      </c>
      <c r="G91" s="415">
        <v>1035</v>
      </c>
      <c r="H91" s="557">
        <v>0.25</v>
      </c>
      <c r="I91" s="47">
        <v>0.88</v>
      </c>
      <c r="J91" s="86">
        <f>E91*G91*(1-H91)*1440/1000000*2.74</f>
        <v>55.129896000000002</v>
      </c>
      <c r="K91" s="86">
        <f>(IF(G91&lt;L91,L91,G91)*(1-IF(H91&lt;N91,H91,N91))*E91*O91*Q91)/100000000</f>
        <v>52.552170940879357</v>
      </c>
      <c r="L91" s="37">
        <v>1017.6681423611111</v>
      </c>
      <c r="M91" s="37">
        <v>775.6903177083334</v>
      </c>
      <c r="N91" s="48">
        <f>1-(M91/L91)</f>
        <v>0.23777675116306618</v>
      </c>
      <c r="O91" s="49">
        <f>+'Trim Rwd'!H49</f>
        <v>257</v>
      </c>
      <c r="P91" s="50">
        <f>O91*(Q91-R91-S91)</f>
        <v>360571</v>
      </c>
      <c r="Q91" s="49">
        <v>1440</v>
      </c>
      <c r="R91" s="371">
        <v>0</v>
      </c>
      <c r="S91" s="371">
        <v>37</v>
      </c>
      <c r="T91" s="39">
        <f>E91*M91*O91*Q91/100000000</f>
        <v>51.672145099950001</v>
      </c>
      <c r="U91" s="39">
        <f>E91*M91*O91*(Q91-R91-S91)/100000000</f>
        <v>50.344458038354063</v>
      </c>
      <c r="V91" s="39">
        <f>E91*G91*(1-N91)*O91/100*(R91+S91)/1000000</f>
        <v>1.3502988366753723</v>
      </c>
      <c r="W91" s="39">
        <f>+'19'!K13/1000</f>
        <v>45.658000000000001</v>
      </c>
      <c r="X91" s="370">
        <f>SUM(W91:W94)/SUM(K91:K94)</f>
        <v>0.86881282319173403</v>
      </c>
      <c r="Y91" s="39">
        <f>+SUM(RBP!AG42:AG43)</f>
        <v>0</v>
      </c>
      <c r="Z91" s="39">
        <f>+'17'!D42/1000</f>
        <v>0</v>
      </c>
      <c r="AA91" s="51">
        <f>SUM(U91:U94)-SUM(W91:W94)-SUM(Z91:Z94)-SUM(Y91:Y94)</f>
        <v>4.6864580383540613</v>
      </c>
      <c r="AB91" s="51">
        <f>(SUM(K91:K94)-SUM(W91:W94)-SUM(Y91:Y94)-SUM(Z91:Z94)-SUM(AC91:AC94)-SUM(V91:V94))-AA91</f>
        <v>-2.2611775079433905E-2</v>
      </c>
      <c r="AC91" s="39">
        <f>K91-T91</f>
        <v>0.88002584092935621</v>
      </c>
      <c r="AD91" s="39">
        <f>+AM91+BA91</f>
        <v>6</v>
      </c>
      <c r="AE91" s="230" t="s">
        <v>400</v>
      </c>
      <c r="AF91" s="39">
        <v>6</v>
      </c>
      <c r="AG91" s="39"/>
      <c r="AH91" s="39"/>
      <c r="AI91" s="485"/>
      <c r="AJ91" s="39"/>
      <c r="AK91" s="39"/>
      <c r="AL91" s="39"/>
      <c r="AM91" s="39">
        <f>SUM(AF91:AL91)+AT91+AV91+AX91</f>
        <v>6</v>
      </c>
      <c r="AN91" s="39"/>
      <c r="AO91" s="39"/>
      <c r="AP91" s="39"/>
      <c r="AQ91" s="39"/>
      <c r="AR91" s="39">
        <f>SUM(AN91:AQ91)</f>
        <v>0</v>
      </c>
      <c r="AS91" s="39"/>
      <c r="AT91" s="39"/>
      <c r="AU91" s="39"/>
      <c r="AV91" s="39"/>
      <c r="AW91" s="39"/>
      <c r="AX91" s="39"/>
      <c r="AY91" s="39"/>
      <c r="AZ91" s="39"/>
      <c r="BA91" s="39">
        <f>+AR91+AS91+AU91+AW91+AY91+AZ91</f>
        <v>0</v>
      </c>
      <c r="BB91" s="35">
        <v>3</v>
      </c>
      <c r="BC91" s="53"/>
      <c r="BD91" s="53"/>
      <c r="BE91" s="35"/>
      <c r="BF91" s="53">
        <v>1</v>
      </c>
    </row>
    <row r="92" spans="1:58" ht="12.95" customHeight="1">
      <c r="A92" s="42"/>
      <c r="B92" s="43"/>
      <c r="C92" s="402"/>
      <c r="D92" s="43"/>
      <c r="E92" s="44"/>
      <c r="F92" s="44"/>
      <c r="G92" s="415"/>
      <c r="H92" s="557"/>
      <c r="I92" s="47"/>
      <c r="J92" s="86"/>
      <c r="K92" s="86"/>
      <c r="L92" s="37"/>
      <c r="M92" s="37"/>
      <c r="N92" s="48"/>
      <c r="O92" s="49"/>
      <c r="P92" s="50"/>
      <c r="Q92" s="49"/>
      <c r="R92" s="371"/>
      <c r="S92" s="371"/>
      <c r="T92" s="39"/>
      <c r="U92" s="39"/>
      <c r="V92" s="39"/>
      <c r="W92" s="39"/>
      <c r="X92" s="40"/>
      <c r="Y92" s="213"/>
      <c r="Z92" s="39"/>
      <c r="AA92" s="39"/>
      <c r="AB92" s="39"/>
      <c r="AC92" s="39"/>
      <c r="AD92" s="39">
        <f t="shared" ref="AD92:AD93" si="100">+AM92+BA92</f>
        <v>8</v>
      </c>
      <c r="AE92" s="230" t="s">
        <v>540</v>
      </c>
      <c r="AF92" s="39"/>
      <c r="AG92" s="39">
        <v>8</v>
      </c>
      <c r="AH92" s="39"/>
      <c r="AI92" s="485"/>
      <c r="AJ92" s="39"/>
      <c r="AK92" s="39"/>
      <c r="AL92" s="39"/>
      <c r="AM92" s="39">
        <f t="shared" ref="AM92:AM93" si="101">SUM(AF92:AL92)+AT92+AV92+AX92</f>
        <v>8</v>
      </c>
      <c r="AN92" s="87"/>
      <c r="AO92" s="39"/>
      <c r="AP92" s="39"/>
      <c r="AQ92" s="39"/>
      <c r="AR92" s="39">
        <f t="shared" ref="AR92:AR93" si="102">SUM(AN92:AQ92)</f>
        <v>0</v>
      </c>
      <c r="AS92" s="39"/>
      <c r="AT92" s="39"/>
      <c r="AU92" s="39"/>
      <c r="AV92" s="39"/>
      <c r="AW92" s="39"/>
      <c r="AX92" s="39"/>
      <c r="AY92" s="39"/>
      <c r="AZ92" s="39"/>
      <c r="BA92" s="39">
        <f t="shared" ref="BA92:BA93" si="103">+AR92+AS92+AU92+AW92+AY92+AZ92</f>
        <v>0</v>
      </c>
      <c r="BB92" s="52"/>
      <c r="BC92" s="53">
        <v>5</v>
      </c>
      <c r="BD92" s="53"/>
      <c r="BE92" s="52"/>
      <c r="BF92" s="53"/>
    </row>
    <row r="93" spans="1:58" ht="12.95" customHeight="1">
      <c r="A93" s="42"/>
      <c r="B93" s="43"/>
      <c r="C93" s="402"/>
      <c r="D93" s="43"/>
      <c r="E93" s="44"/>
      <c r="F93" s="44"/>
      <c r="G93" s="45"/>
      <c r="H93" s="46"/>
      <c r="I93" s="47"/>
      <c r="J93" s="86"/>
      <c r="K93" s="86"/>
      <c r="L93" s="37"/>
      <c r="M93" s="37"/>
      <c r="N93" s="48"/>
      <c r="O93" s="49"/>
      <c r="P93" s="50"/>
      <c r="Q93" s="49"/>
      <c r="R93" s="371"/>
      <c r="S93" s="371"/>
      <c r="T93" s="39"/>
      <c r="U93" s="39"/>
      <c r="V93" s="39"/>
      <c r="W93" s="39"/>
      <c r="X93" s="40"/>
      <c r="Y93" s="213"/>
      <c r="Z93" s="39"/>
      <c r="AA93" s="39"/>
      <c r="AB93" s="39"/>
      <c r="AC93" s="39"/>
      <c r="AD93" s="39">
        <f t="shared" si="100"/>
        <v>23</v>
      </c>
      <c r="AE93" s="230" t="s">
        <v>610</v>
      </c>
      <c r="AF93" s="35"/>
      <c r="AG93" s="35"/>
      <c r="AH93" s="35">
        <v>23</v>
      </c>
      <c r="AJ93" s="39"/>
      <c r="AK93" s="39"/>
      <c r="AL93" s="39"/>
      <c r="AM93" s="39">
        <f t="shared" si="101"/>
        <v>23</v>
      </c>
      <c r="AN93" s="39"/>
      <c r="AO93" s="39"/>
      <c r="AP93" s="39"/>
      <c r="AQ93" s="39"/>
      <c r="AR93" s="39">
        <f t="shared" si="102"/>
        <v>0</v>
      </c>
      <c r="AS93" s="39"/>
      <c r="AT93" s="39"/>
      <c r="AU93" s="39"/>
      <c r="AV93" s="39"/>
      <c r="AW93" s="39"/>
      <c r="AX93" s="39"/>
      <c r="AY93" s="39"/>
      <c r="AZ93" s="39"/>
      <c r="BA93" s="39">
        <f t="shared" si="103"/>
        <v>0</v>
      </c>
      <c r="BB93" s="35"/>
      <c r="BC93" s="486"/>
      <c r="BD93" s="486"/>
      <c r="BE93" s="35"/>
      <c r="BF93" s="486"/>
    </row>
    <row r="94" spans="1:58" ht="12.95" customHeight="1">
      <c r="A94" s="42"/>
      <c r="B94" s="554"/>
      <c r="C94" s="555"/>
      <c r="D94" s="554"/>
      <c r="E94" s="44"/>
      <c r="F94" s="44"/>
      <c r="G94" s="556"/>
      <c r="H94" s="557"/>
      <c r="I94" s="47"/>
      <c r="J94" s="86"/>
      <c r="K94" s="86"/>
      <c r="L94" s="558"/>
      <c r="M94" s="558"/>
      <c r="N94" s="48"/>
      <c r="O94" s="49"/>
      <c r="P94" s="50"/>
      <c r="Q94" s="49"/>
      <c r="R94" s="559"/>
      <c r="S94" s="559"/>
      <c r="T94" s="39"/>
      <c r="U94" s="39"/>
      <c r="V94" s="39"/>
      <c r="W94" s="39"/>
      <c r="X94" s="370"/>
      <c r="Y94" s="213"/>
      <c r="Z94" s="39"/>
      <c r="AA94" s="39"/>
      <c r="AB94" s="39"/>
      <c r="AC94" s="39"/>
      <c r="AD94" s="39"/>
      <c r="AE94" s="230"/>
      <c r="AF94" s="35"/>
      <c r="AG94" s="35"/>
      <c r="AH94" s="35"/>
      <c r="AJ94" s="39"/>
      <c r="AK94" s="39"/>
      <c r="AL94" s="39"/>
      <c r="AM94" s="39"/>
      <c r="AN94" s="39"/>
      <c r="AO94" s="39"/>
      <c r="AP94" s="39"/>
      <c r="AQ94" s="39"/>
      <c r="AR94" s="39"/>
      <c r="AS94" s="39"/>
      <c r="AT94" s="39"/>
      <c r="AU94" s="39"/>
      <c r="AV94" s="39"/>
      <c r="AW94" s="39"/>
      <c r="AX94" s="39"/>
      <c r="AY94" s="39"/>
      <c r="AZ94" s="39"/>
      <c r="BA94" s="39"/>
      <c r="BB94" s="35"/>
      <c r="BC94" s="486"/>
      <c r="BD94" s="486"/>
      <c r="BE94" s="35"/>
      <c r="BF94" s="486"/>
    </row>
    <row r="95" spans="1:58" ht="12" customHeight="1">
      <c r="A95" s="42">
        <v>45950</v>
      </c>
      <c r="B95" s="43" t="s">
        <v>574</v>
      </c>
      <c r="C95" s="402">
        <f>(M95*E95*O95*Q95)/100000000</f>
        <v>51.301969919999998</v>
      </c>
      <c r="D95" s="43" t="s">
        <v>462</v>
      </c>
      <c r="E95" s="44">
        <v>18</v>
      </c>
      <c r="F95" s="44">
        <v>1</v>
      </c>
      <c r="G95" s="415">
        <v>1035</v>
      </c>
      <c r="H95" s="557">
        <v>0.25</v>
      </c>
      <c r="I95" s="47">
        <v>0.88</v>
      </c>
      <c r="J95" s="86">
        <f>E95*G95*(1-H95)*1440/1000000*2.74</f>
        <v>55.129896000000002</v>
      </c>
      <c r="K95" s="86">
        <f>(IF(G95&lt;L95,L95,G95)*(1-IF(H95&lt;N95,H95,N95))*E95*O95*Q95)/100000000</f>
        <v>52.398887039999998</v>
      </c>
      <c r="L95" s="37">
        <v>1013.3333333333334</v>
      </c>
      <c r="M95" s="37">
        <v>770.13333333333333</v>
      </c>
      <c r="N95" s="48">
        <f>1-(M95/L95)</f>
        <v>0.24</v>
      </c>
      <c r="O95" s="49">
        <f>+'Trim Rwd'!H51</f>
        <v>257</v>
      </c>
      <c r="P95" s="50">
        <f>O95*(Q95-R95-S95)</f>
        <v>363912</v>
      </c>
      <c r="Q95" s="49">
        <v>1440</v>
      </c>
      <c r="R95" s="371">
        <v>0</v>
      </c>
      <c r="S95" s="371">
        <v>24</v>
      </c>
      <c r="T95" s="39">
        <f>E95*M95*O95*Q95/100000000</f>
        <v>51.301969919999998</v>
      </c>
      <c r="U95" s="39">
        <f>E95*M95*O95*(Q95-R95-S95)/100000000</f>
        <v>50.446937087999999</v>
      </c>
      <c r="V95" s="39">
        <f>E95*G95*(1-N95)*O95/100*(R95+S95)/1000000</f>
        <v>0.87331478399999984</v>
      </c>
      <c r="W95" s="39">
        <f>+'20'!K13/1000</f>
        <v>48.939</v>
      </c>
      <c r="X95" s="370">
        <f>SUM(W95:W98)/SUM(K95:K98)</f>
        <v>0.93397021892165755</v>
      </c>
      <c r="Y95" s="39">
        <f>+SUM(RBP!AG46:AG47)</f>
        <v>0</v>
      </c>
      <c r="Z95" s="39">
        <f>+'17'!D46/1000</f>
        <v>0</v>
      </c>
      <c r="AA95" s="51">
        <f>SUM(U95:U98)-SUM(W95:W98)-SUM(Z95:Z98)-SUM(Y95:Y98)</f>
        <v>1.5079370879999985</v>
      </c>
      <c r="AB95" s="51">
        <f>(SUM(K95:K98)-SUM(W95:W98)-SUM(Y95:Y98)-SUM(Z95:Z98)-SUM(AC95:AC98)-SUM(V95:V98))-AA95</f>
        <v>-1.8281952000000601E-2</v>
      </c>
      <c r="AC95" s="39">
        <f>K95-T95</f>
        <v>1.0969171200000005</v>
      </c>
      <c r="AD95" s="39">
        <f>+AM95+BA95</f>
        <v>0</v>
      </c>
      <c r="AE95" s="230" t="s">
        <v>418</v>
      </c>
      <c r="AF95" s="39">
        <v>0</v>
      </c>
      <c r="AG95" s="39"/>
      <c r="AH95" s="39"/>
      <c r="AI95" s="485"/>
      <c r="AJ95" s="39"/>
      <c r="AK95" s="39"/>
      <c r="AL95" s="39"/>
      <c r="AM95" s="39">
        <f>SUM(AF95:AL95)+AT95+AV95+AX95</f>
        <v>0</v>
      </c>
      <c r="AN95" s="39"/>
      <c r="AO95" s="39"/>
      <c r="AP95" s="39"/>
      <c r="AQ95" s="39"/>
      <c r="AR95" s="39">
        <f>SUM(AN95:AQ95)</f>
        <v>0</v>
      </c>
      <c r="AS95" s="39"/>
      <c r="AT95" s="39"/>
      <c r="AU95" s="39"/>
      <c r="AV95" s="39"/>
      <c r="AW95" s="39"/>
      <c r="AX95" s="39"/>
      <c r="AY95" s="39"/>
      <c r="AZ95" s="39"/>
      <c r="BA95" s="39">
        <f>+AR95+AS95+AU95+AW95+AY95+AZ95</f>
        <v>0</v>
      </c>
      <c r="BB95" s="35">
        <v>0</v>
      </c>
      <c r="BC95" s="53"/>
      <c r="BD95" s="53"/>
      <c r="BE95" s="35"/>
      <c r="BF95" s="53"/>
    </row>
    <row r="96" spans="1:58" ht="12.95" customHeight="1">
      <c r="A96" s="42"/>
      <c r="B96" s="43"/>
      <c r="C96" s="402"/>
      <c r="D96" s="43"/>
      <c r="E96" s="44"/>
      <c r="F96" s="44"/>
      <c r="G96" s="415"/>
      <c r="H96" s="557"/>
      <c r="I96" s="47"/>
      <c r="J96" s="86"/>
      <c r="K96" s="86"/>
      <c r="L96" s="37"/>
      <c r="M96" s="37"/>
      <c r="N96" s="48"/>
      <c r="O96" s="49"/>
      <c r="P96" s="50"/>
      <c r="Q96" s="49"/>
      <c r="R96" s="371"/>
      <c r="S96" s="371"/>
      <c r="T96" s="39"/>
      <c r="U96" s="39"/>
      <c r="V96" s="39"/>
      <c r="W96" s="39"/>
      <c r="X96" s="40"/>
      <c r="Y96" s="213"/>
      <c r="Z96" s="39"/>
      <c r="AA96" s="39"/>
      <c r="AB96" s="39"/>
      <c r="AC96" s="39"/>
      <c r="AD96" s="39">
        <f t="shared" ref="AD96:AD97" si="104">+AM96+BA96</f>
        <v>6</v>
      </c>
      <c r="AE96" s="230" t="s">
        <v>482</v>
      </c>
      <c r="AF96" s="39"/>
      <c r="AG96" s="39">
        <v>6</v>
      </c>
      <c r="AH96" s="39"/>
      <c r="AI96" s="485"/>
      <c r="AJ96" s="39"/>
      <c r="AK96" s="39"/>
      <c r="AL96" s="39"/>
      <c r="AM96" s="39">
        <f t="shared" ref="AM96:AM97" si="105">SUM(AF96:AL96)+AT96+AV96+AX96</f>
        <v>6</v>
      </c>
      <c r="AN96" s="87"/>
      <c r="AO96" s="39"/>
      <c r="AP96" s="39"/>
      <c r="AQ96" s="39"/>
      <c r="AR96" s="39">
        <f t="shared" ref="AR96:AR97" si="106">SUM(AN96:AQ96)</f>
        <v>0</v>
      </c>
      <c r="AS96" s="39"/>
      <c r="AT96" s="39"/>
      <c r="AU96" s="39"/>
      <c r="AV96" s="39"/>
      <c r="AW96" s="39"/>
      <c r="AX96" s="39"/>
      <c r="AY96" s="39"/>
      <c r="AZ96" s="39"/>
      <c r="BA96" s="39">
        <f t="shared" ref="BA96:BA97" si="107">+AR96+AS96+AU96+AW96+AY96+AZ96</f>
        <v>0</v>
      </c>
      <c r="BB96" s="52"/>
      <c r="BC96" s="53">
        <v>6</v>
      </c>
      <c r="BD96" s="53"/>
      <c r="BE96" s="52"/>
      <c r="BF96" s="53"/>
    </row>
    <row r="97" spans="1:58" ht="12.95" customHeight="1">
      <c r="A97" s="42"/>
      <c r="B97" s="43"/>
      <c r="C97" s="402"/>
      <c r="D97" s="43"/>
      <c r="E97" s="44"/>
      <c r="F97" s="44"/>
      <c r="G97" s="45"/>
      <c r="H97" s="46"/>
      <c r="I97" s="47"/>
      <c r="J97" s="86"/>
      <c r="K97" s="86"/>
      <c r="L97" s="37"/>
      <c r="M97" s="37"/>
      <c r="N97" s="48"/>
      <c r="O97" s="49"/>
      <c r="P97" s="50"/>
      <c r="Q97" s="49"/>
      <c r="R97" s="371"/>
      <c r="S97" s="371"/>
      <c r="T97" s="39"/>
      <c r="U97" s="39"/>
      <c r="V97" s="39"/>
      <c r="W97" s="39"/>
      <c r="X97" s="40"/>
      <c r="Y97" s="213"/>
      <c r="Z97" s="39"/>
      <c r="AA97" s="39"/>
      <c r="AB97" s="39"/>
      <c r="AC97" s="39"/>
      <c r="AD97" s="39">
        <f t="shared" si="104"/>
        <v>18</v>
      </c>
      <c r="AE97" s="230" t="s">
        <v>610</v>
      </c>
      <c r="AF97" s="35"/>
      <c r="AG97" s="35"/>
      <c r="AH97" s="35">
        <v>18</v>
      </c>
      <c r="AJ97" s="39"/>
      <c r="AK97" s="39"/>
      <c r="AL97" s="39"/>
      <c r="AM97" s="39">
        <f t="shared" si="105"/>
        <v>18</v>
      </c>
      <c r="AN97" s="39"/>
      <c r="AO97" s="39"/>
      <c r="AP97" s="39"/>
      <c r="AQ97" s="39"/>
      <c r="AR97" s="39">
        <f t="shared" si="106"/>
        <v>0</v>
      </c>
      <c r="AS97" s="39"/>
      <c r="AT97" s="39"/>
      <c r="AU97" s="39"/>
      <c r="AV97" s="39"/>
      <c r="AW97" s="39"/>
      <c r="AX97" s="39"/>
      <c r="AY97" s="39"/>
      <c r="AZ97" s="39"/>
      <c r="BA97" s="39">
        <f t="shared" si="107"/>
        <v>0</v>
      </c>
      <c r="BB97" s="35"/>
      <c r="BC97" s="486"/>
      <c r="BD97" s="486"/>
      <c r="BE97" s="35"/>
      <c r="BF97" s="486"/>
    </row>
    <row r="98" spans="1:58" ht="12.95" customHeight="1">
      <c r="A98" s="42"/>
      <c r="B98" s="554"/>
      <c r="C98" s="555"/>
      <c r="D98" s="554"/>
      <c r="E98" s="44"/>
      <c r="F98" s="44"/>
      <c r="G98" s="556"/>
      <c r="H98" s="557"/>
      <c r="I98" s="47"/>
      <c r="J98" s="86"/>
      <c r="K98" s="86"/>
      <c r="L98" s="558"/>
      <c r="M98" s="558"/>
      <c r="N98" s="48"/>
      <c r="O98" s="49"/>
      <c r="P98" s="50"/>
      <c r="Q98" s="49"/>
      <c r="R98" s="559"/>
      <c r="S98" s="559"/>
      <c r="T98" s="39"/>
      <c r="U98" s="39"/>
      <c r="V98" s="39"/>
      <c r="W98" s="39"/>
      <c r="X98" s="370"/>
      <c r="Y98" s="213"/>
      <c r="Z98" s="39"/>
      <c r="AA98" s="39"/>
      <c r="AB98" s="39"/>
      <c r="AC98" s="39"/>
      <c r="AD98" s="39"/>
      <c r="AE98" s="230"/>
      <c r="AF98" s="35"/>
      <c r="AG98" s="35"/>
      <c r="AH98" s="35"/>
      <c r="AJ98" s="39"/>
      <c r="AK98" s="39"/>
      <c r="AL98" s="39"/>
      <c r="AM98" s="39"/>
      <c r="AN98" s="39"/>
      <c r="AO98" s="39"/>
      <c r="AP98" s="39"/>
      <c r="AQ98" s="39"/>
      <c r="AR98" s="39"/>
      <c r="AS98" s="39"/>
      <c r="AT98" s="39"/>
      <c r="AU98" s="39"/>
      <c r="AV98" s="39"/>
      <c r="AW98" s="39"/>
      <c r="AX98" s="39"/>
      <c r="AY98" s="39"/>
      <c r="AZ98" s="39"/>
      <c r="BA98" s="39"/>
      <c r="BB98" s="35"/>
      <c r="BC98" s="486"/>
      <c r="BD98" s="486"/>
      <c r="BE98" s="35"/>
      <c r="BF98" s="486"/>
    </row>
    <row r="99" spans="1:58" ht="12" customHeight="1">
      <c r="A99" s="42">
        <v>45951</v>
      </c>
      <c r="B99" s="43" t="s">
        <v>574</v>
      </c>
      <c r="C99" s="402">
        <f>(M99*E99*O99*Q99)/100000000</f>
        <v>10.04101056</v>
      </c>
      <c r="D99" s="43" t="s">
        <v>462</v>
      </c>
      <c r="E99" s="44">
        <v>18</v>
      </c>
      <c r="F99" s="44">
        <v>1</v>
      </c>
      <c r="G99" s="415">
        <v>1035</v>
      </c>
      <c r="H99" s="557">
        <v>0.25</v>
      </c>
      <c r="I99" s="47">
        <v>0.88</v>
      </c>
      <c r="J99" s="86">
        <f>E99*G99*(1-H99)*1440/1000000*2.74</f>
        <v>55.129896000000002</v>
      </c>
      <c r="K99" s="86">
        <f>(IF(G99&lt;L99,L99,G99)*(1-IF(H99&lt;N99,H99,N99))*E99*O99*Q99)/100000000</f>
        <v>10.188672479999999</v>
      </c>
      <c r="L99" s="37">
        <v>1020</v>
      </c>
      <c r="M99" s="37">
        <v>775.2</v>
      </c>
      <c r="N99" s="48">
        <f>1-(M99/L99)</f>
        <v>0.24</v>
      </c>
      <c r="O99" s="49">
        <f>+'Trim Rwd'!H53</f>
        <v>257</v>
      </c>
      <c r="P99" s="50">
        <f>O99*(Q99-R99-S99)</f>
        <v>44975</v>
      </c>
      <c r="Q99" s="49">
        <f>190+90</f>
        <v>280</v>
      </c>
      <c r="R99" s="371">
        <v>90</v>
      </c>
      <c r="S99" s="371">
        <v>15</v>
      </c>
      <c r="T99" s="39">
        <f>E99*M99*O99*Q99/100000000</f>
        <v>10.04101056</v>
      </c>
      <c r="U99" s="39">
        <f>E99*M99*O99*(Q99-R99-S99)/100000000</f>
        <v>6.2756315999999996</v>
      </c>
      <c r="V99" s="39">
        <f>E99*G99*(1-N99)*O99/100*(R99+S99)/1000000</f>
        <v>3.8207521799999991</v>
      </c>
      <c r="W99" s="39">
        <f>+'21'!K13/1000</f>
        <v>12.037000000000001</v>
      </c>
      <c r="X99" s="370">
        <f>SUM(W99:W102)/SUM(K99:K102)</f>
        <v>0.815387169305125</v>
      </c>
      <c r="Y99" s="39">
        <f>+SUM(RBP!AG50:AG51)</f>
        <v>0</v>
      </c>
      <c r="Z99" s="39">
        <f>+'17'!D50/1000</f>
        <v>0</v>
      </c>
      <c r="AA99" s="51">
        <f>SUM(U99:U102)-SUM(W99:W102)-SUM(Z99:Z102)-SUM(Y99:Y102)</f>
        <v>2.4444024896000016</v>
      </c>
      <c r="AB99" s="51">
        <f>(SUM(K99:K102)-SUM(W99:W102)-SUM(Y99:Y102)-SUM(Z99:Z102)-SUM(AC99:AC102)-SUM(V99:V102))-AA99</f>
        <v>-8.7174355634644485E-2</v>
      </c>
      <c r="AC99" s="39">
        <f>K99-T99</f>
        <v>0.14766191999999911</v>
      </c>
      <c r="AD99" s="39">
        <f>+AM99+BA99</f>
        <v>20</v>
      </c>
      <c r="AE99" s="230" t="s">
        <v>636</v>
      </c>
      <c r="AF99" s="39">
        <v>20</v>
      </c>
      <c r="AG99" s="39"/>
      <c r="AH99" s="39"/>
      <c r="AI99" s="485"/>
      <c r="AJ99" s="39"/>
      <c r="AK99" s="39"/>
      <c r="AL99" s="39"/>
      <c r="AM99" s="39">
        <f>SUM(AF99:AL99)+AT99+AV99+AX99</f>
        <v>20</v>
      </c>
      <c r="AN99" s="39"/>
      <c r="AO99" s="39"/>
      <c r="AP99" s="39"/>
      <c r="AQ99" s="39"/>
      <c r="AR99" s="39">
        <f>SUM(AN99:AQ99)</f>
        <v>0</v>
      </c>
      <c r="AS99" s="39"/>
      <c r="AT99" s="39"/>
      <c r="AU99" s="39"/>
      <c r="AV99" s="39"/>
      <c r="AW99" s="39"/>
      <c r="AX99" s="39"/>
      <c r="AY99" s="39"/>
      <c r="AZ99" s="39"/>
      <c r="BA99" s="39">
        <f>+AR99+AS99+AU99+AW99+AY99+AZ99</f>
        <v>0</v>
      </c>
      <c r="BB99" s="35">
        <v>10</v>
      </c>
      <c r="BC99" s="53"/>
      <c r="BD99" s="53"/>
      <c r="BE99" s="35"/>
      <c r="BF99" s="53"/>
    </row>
    <row r="100" spans="1:58" ht="12.95" customHeight="1">
      <c r="A100" s="42"/>
      <c r="B100" s="43" t="s">
        <v>639</v>
      </c>
      <c r="C100" s="402">
        <f t="shared" ref="C100:C101" si="108">(M100*E100*O100*Q100)/100000000</f>
        <v>6.1818119999999999</v>
      </c>
      <c r="D100" s="43" t="s">
        <v>462</v>
      </c>
      <c r="E100" s="44">
        <v>15</v>
      </c>
      <c r="F100" s="44">
        <v>1</v>
      </c>
      <c r="G100" s="415">
        <v>1195</v>
      </c>
      <c r="H100" s="557">
        <f>+N100</f>
        <v>0.21999999999999997</v>
      </c>
      <c r="I100" s="47">
        <v>0.88</v>
      </c>
      <c r="J100" s="86">
        <f t="shared" ref="J100:J101" si="109">E100*G100*(1-H100)*1440/1000000*2.74</f>
        <v>55.165406400000002</v>
      </c>
      <c r="K100" s="86">
        <f t="shared" ref="K100:K101" si="110">(IF(G100&lt;L100,L100,G100)*(1-IF(H100&lt;N100,H100,N100))*E100*O100*Q100)/100000000</f>
        <v>6.1818119999999999</v>
      </c>
      <c r="L100" s="37">
        <v>1200</v>
      </c>
      <c r="M100" s="37">
        <v>936</v>
      </c>
      <c r="N100" s="48">
        <f t="shared" ref="N100:N101" si="111">1-(M100/L100)</f>
        <v>0.21999999999999997</v>
      </c>
      <c r="O100" s="49">
        <f>+'Trim Rwd'!H54</f>
        <v>259</v>
      </c>
      <c r="P100" s="50">
        <f t="shared" ref="P100:P101" si="112">O100*(Q100-R100-S100)</f>
        <v>41958</v>
      </c>
      <c r="Q100" s="49">
        <v>170</v>
      </c>
      <c r="R100" s="371">
        <v>0</v>
      </c>
      <c r="S100" s="371">
        <v>8</v>
      </c>
      <c r="T100" s="39">
        <f t="shared" ref="T100:T101" si="113">E100*M100*O100*Q100/100000000</f>
        <v>6.1818119999999999</v>
      </c>
      <c r="U100" s="39">
        <f t="shared" ref="U100:U101" si="114">E100*M100*O100*(Q100-R100-S100)/100000000</f>
        <v>5.8909032000000003</v>
      </c>
      <c r="V100" s="39">
        <f t="shared" ref="V100:V101" si="115">E100*G100*(1-N100)*O100/100*(R100+S100)/1000000</f>
        <v>0.28969667999999998</v>
      </c>
      <c r="W100" s="39">
        <f>+'21'!K14/1000</f>
        <v>5.4960000000000004</v>
      </c>
      <c r="X100" s="40"/>
      <c r="Y100" s="213"/>
      <c r="Z100" s="39"/>
      <c r="AA100" s="39"/>
      <c r="AB100" s="39"/>
      <c r="AC100" s="39">
        <f>K100-T100</f>
        <v>0</v>
      </c>
      <c r="AD100" s="39">
        <f t="shared" ref="AD100:AD101" si="116">+AM100+BA100</f>
        <v>13</v>
      </c>
      <c r="AE100" s="230" t="s">
        <v>640</v>
      </c>
      <c r="AF100" s="39"/>
      <c r="AG100" s="39">
        <v>13</v>
      </c>
      <c r="AH100" s="39"/>
      <c r="AI100" s="485"/>
      <c r="AJ100" s="39"/>
      <c r="AK100" s="39"/>
      <c r="AL100" s="39"/>
      <c r="AM100" s="39">
        <f t="shared" ref="AM100:AM101" si="117">SUM(AF100:AL100)+AT100+AV100+AX100</f>
        <v>13</v>
      </c>
      <c r="AN100" s="87"/>
      <c r="AO100" s="39"/>
      <c r="AP100" s="39"/>
      <c r="AQ100" s="39"/>
      <c r="AR100" s="39">
        <f t="shared" ref="AR100:AR101" si="118">SUM(AN100:AQ100)</f>
        <v>0</v>
      </c>
      <c r="AS100" s="39"/>
      <c r="AT100" s="39"/>
      <c r="AU100" s="39"/>
      <c r="AV100" s="39"/>
      <c r="AW100" s="39"/>
      <c r="AX100" s="39"/>
      <c r="AY100" s="39"/>
      <c r="AZ100" s="39"/>
      <c r="BA100" s="39">
        <f t="shared" ref="BA100:BA101" si="119">+AR100+AS100+AU100+AW100+AY100+AZ100</f>
        <v>0</v>
      </c>
      <c r="BB100" s="52"/>
      <c r="BC100" s="53">
        <v>11</v>
      </c>
      <c r="BD100" s="53"/>
      <c r="BE100" s="52"/>
      <c r="BF100" s="53"/>
    </row>
    <row r="101" spans="1:58" ht="12.95" customHeight="1">
      <c r="A101" s="42"/>
      <c r="B101" s="43" t="s">
        <v>460</v>
      </c>
      <c r="C101" s="402">
        <f t="shared" si="108"/>
        <v>29.861558496000001</v>
      </c>
      <c r="D101" s="43" t="s">
        <v>462</v>
      </c>
      <c r="E101" s="44">
        <v>12</v>
      </c>
      <c r="F101" s="44">
        <v>1</v>
      </c>
      <c r="G101" s="415">
        <v>1350</v>
      </c>
      <c r="H101" s="557">
        <f>+N101</f>
        <v>0.27589806030343766</v>
      </c>
      <c r="I101" s="47">
        <v>0.88</v>
      </c>
      <c r="J101" s="86">
        <f t="shared" si="109"/>
        <v>46.283669134921468</v>
      </c>
      <c r="K101" s="86">
        <f t="shared" si="110"/>
        <v>30.65870783937315</v>
      </c>
      <c r="L101" s="37">
        <v>1314.8989898989898</v>
      </c>
      <c r="M101" s="37">
        <v>952.12090909090909</v>
      </c>
      <c r="N101" s="48">
        <f t="shared" si="111"/>
        <v>0.27589806030343766</v>
      </c>
      <c r="O101" s="49">
        <f>+'Trim Rwd'!H55</f>
        <v>264</v>
      </c>
      <c r="P101" s="50">
        <f t="shared" si="112"/>
        <v>250536</v>
      </c>
      <c r="Q101" s="49">
        <v>990</v>
      </c>
      <c r="R101" s="371">
        <v>0</v>
      </c>
      <c r="S101" s="371">
        <f>64-S99-S100</f>
        <v>41</v>
      </c>
      <c r="T101" s="39">
        <f t="shared" si="113"/>
        <v>29.861558496000001</v>
      </c>
      <c r="U101" s="39">
        <f t="shared" si="114"/>
        <v>28.624867689600002</v>
      </c>
      <c r="V101" s="39">
        <f t="shared" si="115"/>
        <v>1.2697040620346458</v>
      </c>
      <c r="W101" s="39">
        <f>+'21'!K15/1000</f>
        <v>20.814</v>
      </c>
      <c r="X101" s="40"/>
      <c r="Y101" s="213"/>
      <c r="Z101" s="39"/>
      <c r="AA101" s="39"/>
      <c r="AB101" s="39"/>
      <c r="AC101" s="39">
        <f>K101-T101</f>
        <v>0.79714934337314958</v>
      </c>
      <c r="AD101" s="39">
        <f t="shared" si="116"/>
        <v>31</v>
      </c>
      <c r="AE101" s="230" t="s">
        <v>641</v>
      </c>
      <c r="AF101" s="35"/>
      <c r="AG101" s="35"/>
      <c r="AH101" s="35">
        <v>31</v>
      </c>
      <c r="AJ101" s="39"/>
      <c r="AK101" s="39"/>
      <c r="AL101" s="39"/>
      <c r="AM101" s="39">
        <f t="shared" si="117"/>
        <v>31</v>
      </c>
      <c r="AN101" s="39"/>
      <c r="AO101" s="39"/>
      <c r="AP101" s="39"/>
      <c r="AQ101" s="39"/>
      <c r="AR101" s="39">
        <f t="shared" si="118"/>
        <v>0</v>
      </c>
      <c r="AS101" s="39"/>
      <c r="AT101" s="39"/>
      <c r="AU101" s="39"/>
      <c r="AV101" s="39"/>
      <c r="AW101" s="39"/>
      <c r="AX101" s="39"/>
      <c r="AY101" s="39"/>
      <c r="AZ101" s="39"/>
      <c r="BA101" s="39">
        <f t="shared" si="119"/>
        <v>0</v>
      </c>
      <c r="BB101" s="35"/>
      <c r="BC101" s="486"/>
      <c r="BD101" s="486"/>
      <c r="BE101" s="35"/>
      <c r="BF101" s="486"/>
    </row>
    <row r="102" spans="1:58" ht="12.95" customHeight="1">
      <c r="A102" s="42"/>
      <c r="B102" s="43"/>
      <c r="C102" s="402"/>
      <c r="D102" s="43"/>
      <c r="E102" s="44"/>
      <c r="F102" s="44"/>
      <c r="G102" s="415"/>
      <c r="H102" s="557"/>
      <c r="I102" s="47"/>
      <c r="J102" s="86"/>
      <c r="K102" s="86"/>
      <c r="L102" s="37"/>
      <c r="M102" s="37"/>
      <c r="N102" s="48"/>
      <c r="O102" s="49"/>
      <c r="P102" s="50"/>
      <c r="Q102" s="49"/>
      <c r="R102" s="371"/>
      <c r="S102" s="371"/>
      <c r="T102" s="39"/>
      <c r="U102" s="39"/>
      <c r="V102" s="39"/>
      <c r="W102" s="39"/>
      <c r="X102" s="40"/>
      <c r="Y102" s="213"/>
      <c r="Z102" s="39"/>
      <c r="AA102" s="39"/>
      <c r="AB102" s="39"/>
      <c r="AC102" s="39"/>
      <c r="AD102" s="39">
        <f t="shared" ref="AD102" si="120">+AM102+BA102</f>
        <v>90</v>
      </c>
      <c r="AE102" s="230" t="s">
        <v>642</v>
      </c>
      <c r="AF102" s="35"/>
      <c r="AG102" s="35"/>
      <c r="AH102" s="35"/>
      <c r="AJ102" s="39"/>
      <c r="AK102" s="39"/>
      <c r="AL102" s="39"/>
      <c r="AM102" s="39">
        <f t="shared" ref="AM102" si="121">SUM(AF102:AL102)+AT102+AV102+AX102</f>
        <v>0</v>
      </c>
      <c r="AN102" s="39">
        <v>90</v>
      </c>
      <c r="AO102" s="39"/>
      <c r="AP102" s="39"/>
      <c r="AQ102" s="39"/>
      <c r="AR102" s="39">
        <f t="shared" ref="AR102" si="122">SUM(AN102:AQ102)</f>
        <v>90</v>
      </c>
      <c r="AS102" s="39"/>
      <c r="AT102" s="39"/>
      <c r="AU102" s="39"/>
      <c r="AV102" s="39"/>
      <c r="AW102" s="39"/>
      <c r="AX102" s="39"/>
      <c r="AY102" s="39"/>
      <c r="AZ102" s="39"/>
      <c r="BA102" s="39">
        <f t="shared" ref="BA102" si="123">+AR102+AS102+AU102+AW102+AY102+AZ102</f>
        <v>90</v>
      </c>
      <c r="BB102" s="35"/>
      <c r="BC102" s="486"/>
      <c r="BD102" s="486"/>
      <c r="BE102" s="35"/>
      <c r="BF102" s="486">
        <v>2</v>
      </c>
    </row>
    <row r="103" spans="1:58" ht="12.75" customHeight="1">
      <c r="A103" s="42"/>
      <c r="B103" s="554"/>
      <c r="C103" s="555"/>
      <c r="D103" s="554"/>
      <c r="E103" s="44"/>
      <c r="F103" s="44"/>
      <c r="G103" s="556"/>
      <c r="H103" s="557"/>
      <c r="I103" s="47"/>
      <c r="J103" s="86"/>
      <c r="K103" s="86"/>
      <c r="L103" s="558"/>
      <c r="M103" s="558"/>
      <c r="N103" s="48"/>
      <c r="O103" s="49"/>
      <c r="P103" s="50"/>
      <c r="Q103" s="49"/>
      <c r="R103" s="559"/>
      <c r="S103" s="559"/>
      <c r="T103" s="39"/>
      <c r="U103" s="39"/>
      <c r="V103" s="39"/>
      <c r="W103" s="39"/>
      <c r="X103" s="370"/>
      <c r="Y103" s="213"/>
      <c r="Z103" s="39"/>
      <c r="AA103" s="39"/>
      <c r="AB103" s="39"/>
      <c r="AC103" s="39"/>
      <c r="AD103" s="39"/>
      <c r="AE103" s="230"/>
      <c r="AF103" s="35"/>
      <c r="AG103" s="35"/>
      <c r="AH103" s="35"/>
      <c r="AJ103" s="39"/>
      <c r="AK103" s="39"/>
      <c r="AL103" s="39"/>
      <c r="AM103" s="39"/>
      <c r="AN103" s="39"/>
      <c r="AO103" s="39"/>
      <c r="AP103" s="39"/>
      <c r="AQ103" s="39"/>
      <c r="AR103" s="39"/>
      <c r="AS103" s="39"/>
      <c r="AT103" s="39"/>
      <c r="AU103" s="39"/>
      <c r="AV103" s="39"/>
      <c r="AW103" s="39"/>
      <c r="AX103" s="39"/>
      <c r="AY103" s="39"/>
      <c r="AZ103" s="39"/>
      <c r="BA103" s="39"/>
      <c r="BB103" s="35"/>
      <c r="BC103" s="486"/>
      <c r="BD103" s="53"/>
      <c r="BE103" s="53"/>
      <c r="BF103" s="53"/>
    </row>
    <row r="104" spans="1:58" ht="12" customHeight="1">
      <c r="A104" s="42">
        <v>45952</v>
      </c>
      <c r="B104" s="43" t="s">
        <v>460</v>
      </c>
      <c r="C104" s="402">
        <f t="shared" ref="C104:C106" si="124">(M104*E104*O104*Q104)/100000000</f>
        <v>23.376380399999999</v>
      </c>
      <c r="D104" s="43" t="s">
        <v>462</v>
      </c>
      <c r="E104" s="44">
        <v>12</v>
      </c>
      <c r="F104" s="44">
        <v>1</v>
      </c>
      <c r="G104" s="415">
        <v>1350</v>
      </c>
      <c r="H104" s="557">
        <f t="shared" ref="H104:H106" si="125">+N104</f>
        <v>0.25863905325443781</v>
      </c>
      <c r="I104" s="47">
        <v>0.88</v>
      </c>
      <c r="J104" s="86">
        <f t="shared" ref="J104:J106" si="126">E104*G104*(1-H104)*1440/1000000*2.74</f>
        <v>47.386842773964503</v>
      </c>
      <c r="K104" s="86">
        <f t="shared" ref="K104:K106" si="127">(IF(G104&lt;L104,L104,G104)*(1-IF(H104&lt;N104,H104,N104))*E104*O104*Q104)/100000000</f>
        <v>23.653023955029582</v>
      </c>
      <c r="L104" s="37">
        <v>1334.2105263157894</v>
      </c>
      <c r="M104" s="37">
        <v>989.13157894736844</v>
      </c>
      <c r="N104" s="48">
        <f t="shared" ref="N104:N106" si="128">1-(M104/L104)</f>
        <v>0.25863905325443781</v>
      </c>
      <c r="O104" s="49">
        <f>+'Trim Rwd'!H57</f>
        <v>259.13636363636363</v>
      </c>
      <c r="P104" s="50">
        <f t="shared" ref="P104:P106" si="129">O104*(Q104-R104-S104)</f>
        <v>192797.45454545453</v>
      </c>
      <c r="Q104" s="49">
        <v>760</v>
      </c>
      <c r="R104" s="371">
        <v>0</v>
      </c>
      <c r="S104" s="371">
        <v>16</v>
      </c>
      <c r="T104" s="39">
        <f t="shared" ref="T104:T106" si="130">E104*M104*O104*Q104/100000000</f>
        <v>23.376380399999999</v>
      </c>
      <c r="U104" s="39">
        <f t="shared" ref="U104:U106" si="131">E104*M104*O104*(Q104-R104-S104)/100000000</f>
        <v>22.884246075789477</v>
      </c>
      <c r="V104" s="39">
        <f t="shared" ref="V104:V106" si="132">E104*G104*(1-N104)*O104/100*(R104+S104)/1000000</f>
        <v>0.4979583990532544</v>
      </c>
      <c r="W104" s="39">
        <f>+'22'!K15/1000</f>
        <v>16.571999999999999</v>
      </c>
      <c r="X104" s="370">
        <f>SUM(W104:W107)/SUM(K104:K107)</f>
        <v>0.83047657000280273</v>
      </c>
      <c r="Y104" s="39">
        <f>+SUM(RBP!AG55:AG56)</f>
        <v>0</v>
      </c>
      <c r="Z104" s="39">
        <f>+'17'!D55/1000</f>
        <v>0</v>
      </c>
      <c r="AA104" s="51">
        <f>SUM(U104:U107)-SUM(W104:W107)-SUM(Z104:Z107)-SUM(Y104:Y107)</f>
        <v>6.460512864312399</v>
      </c>
      <c r="AB104" s="51">
        <f>(SUM(K104:K107)-SUM(W104:W107)-SUM(Y104:Y107)-SUM(Z104:Z107)-SUM(AC104:AC107)-SUM(V104:V107))-AA104</f>
        <v>-5.8240748427316191E-3</v>
      </c>
      <c r="AC104" s="39">
        <f>K104-T104</f>
        <v>0.27664355502958315</v>
      </c>
      <c r="AD104" s="39">
        <f>+AM104+BA104</f>
        <v>0</v>
      </c>
      <c r="AE104" s="230" t="s">
        <v>418</v>
      </c>
      <c r="AF104" s="39">
        <v>0</v>
      </c>
      <c r="AG104" s="39"/>
      <c r="AH104" s="39"/>
      <c r="AI104" s="485"/>
      <c r="AJ104" s="39"/>
      <c r="AK104" s="39"/>
      <c r="AL104" s="39"/>
      <c r="AM104" s="39">
        <f>SUM(AF104:AL104)+AT104+AV104+AX104</f>
        <v>0</v>
      </c>
      <c r="AN104" s="39"/>
      <c r="AO104" s="39"/>
      <c r="AP104" s="39"/>
      <c r="AQ104" s="39"/>
      <c r="AR104" s="39">
        <f>SUM(AN104:AQ104)</f>
        <v>0</v>
      </c>
      <c r="AS104" s="39"/>
      <c r="AT104" s="39"/>
      <c r="AU104" s="39"/>
      <c r="AV104" s="39"/>
      <c r="AW104" s="39"/>
      <c r="AX104" s="39"/>
      <c r="AY104" s="39"/>
      <c r="AZ104" s="39"/>
      <c r="BA104" s="39">
        <f>+AR104+AS104+AU104+AW104+AY104+AZ104</f>
        <v>0</v>
      </c>
      <c r="BB104" s="35">
        <v>0</v>
      </c>
      <c r="BC104" s="53"/>
      <c r="BD104" s="53"/>
      <c r="BE104" s="35"/>
      <c r="BF104" s="53"/>
    </row>
    <row r="105" spans="1:58" ht="12.95" customHeight="1">
      <c r="A105" s="42"/>
      <c r="B105" s="43" t="s">
        <v>639</v>
      </c>
      <c r="C105" s="402">
        <f t="shared" si="124"/>
        <v>2.8036335600000002</v>
      </c>
      <c r="D105" s="43" t="s">
        <v>462</v>
      </c>
      <c r="E105" s="44">
        <v>12</v>
      </c>
      <c r="F105" s="44">
        <v>1</v>
      </c>
      <c r="G105" s="415">
        <v>1350</v>
      </c>
      <c r="H105" s="557">
        <f t="shared" si="125"/>
        <v>0.26</v>
      </c>
      <c r="I105" s="47">
        <v>0.88</v>
      </c>
      <c r="J105" s="86">
        <f t="shared" si="126"/>
        <v>47.299852800000011</v>
      </c>
      <c r="K105" s="86">
        <f t="shared" si="127"/>
        <v>2.8036335600000002</v>
      </c>
      <c r="L105" s="37">
        <v>1350</v>
      </c>
      <c r="M105" s="37">
        <v>999</v>
      </c>
      <c r="N105" s="48">
        <f t="shared" si="128"/>
        <v>0.26</v>
      </c>
      <c r="O105" s="49">
        <f>+'Trim Rwd'!H59</f>
        <v>257</v>
      </c>
      <c r="P105" s="50">
        <f t="shared" si="129"/>
        <v>22102</v>
      </c>
      <c r="Q105" s="49">
        <v>91</v>
      </c>
      <c r="R105" s="371">
        <v>0</v>
      </c>
      <c r="S105" s="371">
        <v>5</v>
      </c>
      <c r="T105" s="39">
        <f t="shared" si="130"/>
        <v>2.8036335600000002</v>
      </c>
      <c r="U105" s="39">
        <f t="shared" si="131"/>
        <v>2.6495877600000002</v>
      </c>
      <c r="V105" s="39">
        <f t="shared" si="132"/>
        <v>0.15404579999999998</v>
      </c>
      <c r="W105" s="39">
        <f>+'21'!K19/1000</f>
        <v>0</v>
      </c>
      <c r="X105" s="40"/>
      <c r="Y105" s="213"/>
      <c r="Z105" s="39"/>
      <c r="AA105" s="39"/>
      <c r="AB105" s="39"/>
      <c r="AC105" s="39">
        <f>K105-T105</f>
        <v>0</v>
      </c>
      <c r="AD105" s="39">
        <f t="shared" ref="AD105:AD106" si="133">+AM105+BA105</f>
        <v>10</v>
      </c>
      <c r="AE105" s="230" t="s">
        <v>485</v>
      </c>
      <c r="AF105" s="39"/>
      <c r="AG105" s="39">
        <v>10</v>
      </c>
      <c r="AH105" s="39"/>
      <c r="AI105" s="485"/>
      <c r="AJ105" s="39"/>
      <c r="AK105" s="39"/>
      <c r="AL105" s="39"/>
      <c r="AM105" s="39">
        <f t="shared" ref="AM105:AM106" si="134">SUM(AF105:AL105)+AT105+AV105+AX105</f>
        <v>10</v>
      </c>
      <c r="AN105" s="87"/>
      <c r="AO105" s="39"/>
      <c r="AP105" s="39"/>
      <c r="AQ105" s="39"/>
      <c r="AR105" s="39">
        <f t="shared" ref="AR105:AR106" si="135">SUM(AN105:AQ105)</f>
        <v>0</v>
      </c>
      <c r="AS105" s="39"/>
      <c r="AT105" s="39"/>
      <c r="AU105" s="39"/>
      <c r="AV105" s="39"/>
      <c r="AW105" s="39"/>
      <c r="AX105" s="39"/>
      <c r="AY105" s="39"/>
      <c r="AZ105" s="39"/>
      <c r="BA105" s="39">
        <f t="shared" ref="BA105:BA106" si="136">+AR105+AS105+AU105+AW105+AY105+AZ105</f>
        <v>0</v>
      </c>
      <c r="BB105" s="52"/>
      <c r="BC105" s="53">
        <v>7</v>
      </c>
      <c r="BD105" s="53"/>
      <c r="BE105" s="52"/>
      <c r="BF105" s="53"/>
    </row>
    <row r="106" spans="1:58" ht="12.95" customHeight="1">
      <c r="A106" s="42"/>
      <c r="B106" s="43" t="s">
        <v>460</v>
      </c>
      <c r="C106" s="402">
        <f t="shared" si="124"/>
        <v>19.213505099999999</v>
      </c>
      <c r="D106" s="43" t="s">
        <v>462</v>
      </c>
      <c r="E106" s="44">
        <v>12.5</v>
      </c>
      <c r="F106" s="44">
        <v>1</v>
      </c>
      <c r="G106" s="415">
        <v>1350</v>
      </c>
      <c r="H106" s="557">
        <f t="shared" si="125"/>
        <v>0.25388794567062822</v>
      </c>
      <c r="I106" s="47">
        <v>0.88</v>
      </c>
      <c r="J106" s="86">
        <f t="shared" si="126"/>
        <v>49.677632801358236</v>
      </c>
      <c r="K106" s="86">
        <f t="shared" si="127"/>
        <v>19.213505099999999</v>
      </c>
      <c r="L106" s="37">
        <v>1350</v>
      </c>
      <c r="M106" s="37">
        <v>1007.251273344652</v>
      </c>
      <c r="N106" s="48">
        <f t="shared" si="128"/>
        <v>0.25388794567062822</v>
      </c>
      <c r="O106" s="49">
        <f>+'Trim Rwd'!H60</f>
        <v>259.08571428571429</v>
      </c>
      <c r="P106" s="50">
        <f t="shared" si="129"/>
        <v>149751.54285714286</v>
      </c>
      <c r="Q106" s="49">
        <v>589</v>
      </c>
      <c r="R106" s="371">
        <v>0</v>
      </c>
      <c r="S106" s="371">
        <f>32-S104-S105</f>
        <v>11</v>
      </c>
      <c r="T106" s="39">
        <f t="shared" si="130"/>
        <v>19.213505099999999</v>
      </c>
      <c r="U106" s="39">
        <f t="shared" si="131"/>
        <v>18.85467902852292</v>
      </c>
      <c r="V106" s="39">
        <f t="shared" si="132"/>
        <v>0.35882607147707979</v>
      </c>
      <c r="W106" s="39">
        <f>+'22'!K12/1000</f>
        <v>21.356000000000002</v>
      </c>
      <c r="X106" s="40"/>
      <c r="Y106" s="213"/>
      <c r="Z106" s="39"/>
      <c r="AA106" s="39"/>
      <c r="AB106" s="39"/>
      <c r="AC106" s="39">
        <f>K106-T106</f>
        <v>0</v>
      </c>
      <c r="AD106" s="39">
        <f t="shared" si="133"/>
        <v>22</v>
      </c>
      <c r="AE106" s="230" t="s">
        <v>661</v>
      </c>
      <c r="AF106" s="35"/>
      <c r="AG106" s="35"/>
      <c r="AH106" s="35">
        <v>22</v>
      </c>
      <c r="AJ106" s="39"/>
      <c r="AK106" s="39"/>
      <c r="AL106" s="39"/>
      <c r="AM106" s="39">
        <f t="shared" si="134"/>
        <v>22</v>
      </c>
      <c r="AN106" s="39"/>
      <c r="AO106" s="39"/>
      <c r="AP106" s="39"/>
      <c r="AQ106" s="39"/>
      <c r="AR106" s="39">
        <f t="shared" si="135"/>
        <v>0</v>
      </c>
      <c r="AS106" s="39"/>
      <c r="AT106" s="39"/>
      <c r="AU106" s="39"/>
      <c r="AV106" s="39"/>
      <c r="AW106" s="39"/>
      <c r="AX106" s="39"/>
      <c r="AY106" s="39"/>
      <c r="AZ106" s="39"/>
      <c r="BA106" s="39">
        <f t="shared" si="136"/>
        <v>0</v>
      </c>
      <c r="BB106" s="35"/>
      <c r="BC106" s="486"/>
      <c r="BD106" s="486"/>
      <c r="BE106" s="35"/>
      <c r="BF106" s="486"/>
    </row>
    <row r="107" spans="1:58" ht="12.95" customHeight="1">
      <c r="A107" s="42"/>
      <c r="B107" s="43"/>
      <c r="C107" s="402"/>
      <c r="D107" s="43"/>
      <c r="E107" s="44"/>
      <c r="F107" s="44"/>
      <c r="G107" s="415"/>
      <c r="H107" s="557"/>
      <c r="I107" s="47"/>
      <c r="J107" s="86"/>
      <c r="K107" s="86"/>
      <c r="L107" s="37"/>
      <c r="M107" s="37"/>
      <c r="N107" s="48"/>
      <c r="O107" s="49"/>
      <c r="P107" s="50"/>
      <c r="Q107" s="49"/>
      <c r="R107" s="371"/>
      <c r="S107" s="371"/>
      <c r="T107" s="39"/>
      <c r="U107" s="39"/>
      <c r="V107" s="39"/>
      <c r="W107" s="39"/>
      <c r="X107" s="370"/>
      <c r="Y107" s="213"/>
      <c r="Z107" s="39"/>
      <c r="AA107" s="39"/>
      <c r="AB107" s="39"/>
      <c r="AC107" s="39"/>
      <c r="AD107" s="39"/>
      <c r="AE107" s="230"/>
      <c r="AF107" s="35"/>
      <c r="AG107" s="35"/>
      <c r="AH107" s="35"/>
      <c r="AJ107" s="39"/>
      <c r="AK107" s="39"/>
      <c r="AL107" s="39"/>
      <c r="AM107" s="39"/>
      <c r="AN107" s="39"/>
      <c r="AO107" s="39"/>
      <c r="AP107" s="39"/>
      <c r="AQ107" s="39"/>
      <c r="AR107" s="39"/>
      <c r="AS107" s="39"/>
      <c r="AT107" s="39"/>
      <c r="AU107" s="39"/>
      <c r="AV107" s="39"/>
      <c r="AW107" s="39"/>
      <c r="AX107" s="39"/>
      <c r="AY107" s="39"/>
      <c r="AZ107" s="39"/>
      <c r="BA107" s="39"/>
      <c r="BB107" s="35"/>
      <c r="BC107" s="486"/>
      <c r="BD107" s="53"/>
      <c r="BE107" s="53"/>
      <c r="BF107" s="53"/>
    </row>
    <row r="108" spans="1:58" ht="12" customHeight="1">
      <c r="A108" s="42">
        <v>45953</v>
      </c>
      <c r="B108" s="43" t="s">
        <v>460</v>
      </c>
      <c r="C108" s="402">
        <f t="shared" ref="C108" si="137">(M108*E108*O108*Q108)/100000000</f>
        <v>1.4807812499999999</v>
      </c>
      <c r="D108" s="43" t="s">
        <v>462</v>
      </c>
      <c r="E108" s="44">
        <v>12.5</v>
      </c>
      <c r="F108" s="44">
        <v>1</v>
      </c>
      <c r="G108" s="415">
        <v>1350</v>
      </c>
      <c r="H108" s="557">
        <f t="shared" ref="H108" si="138">+N108</f>
        <v>0.25</v>
      </c>
      <c r="I108" s="47">
        <v>0.88</v>
      </c>
      <c r="J108" s="86">
        <f t="shared" ref="J108" si="139">E108*G108*(1-H108)*1440/1000000*2.74</f>
        <v>49.936500000000009</v>
      </c>
      <c r="K108" s="86">
        <f t="shared" ref="K108" si="140">(IF(G108&lt;L108,L108,G108)*(1-IF(H108&lt;N108,H108,N108))*E108*O108*Q108)/100000000</f>
        <v>1.4807812499999999</v>
      </c>
      <c r="L108" s="37">
        <v>1350</v>
      </c>
      <c r="M108" s="37">
        <v>1012.5</v>
      </c>
      <c r="N108" s="48">
        <f t="shared" ref="N108" si="141">1-(M108/L108)</f>
        <v>0.25</v>
      </c>
      <c r="O108" s="49">
        <f>+'Trim Rwd'!H64</f>
        <v>260</v>
      </c>
      <c r="P108" s="50">
        <f t="shared" ref="P108" si="142">O108*(Q108-R108-S108)</f>
        <v>11180</v>
      </c>
      <c r="Q108" s="49">
        <v>45</v>
      </c>
      <c r="R108" s="371">
        <v>0</v>
      </c>
      <c r="S108" s="371">
        <v>2</v>
      </c>
      <c r="T108" s="39">
        <f t="shared" ref="T108" si="143">E108*M108*O108*Q108/100000000</f>
        <v>1.4807812499999999</v>
      </c>
      <c r="U108" s="39">
        <f t="shared" ref="U108" si="144">E108*M108*O108*(Q108-R108-S108)/100000000</f>
        <v>1.4149687500000001</v>
      </c>
      <c r="V108" s="39">
        <f t="shared" ref="V108" si="145">E108*G108*(1-N108)*O108/100*(R108+S108)/1000000</f>
        <v>6.5812499999999996E-2</v>
      </c>
      <c r="W108" s="39">
        <f>+'23'!K12/1000</f>
        <v>7.0919999999999996</v>
      </c>
      <c r="X108" s="370">
        <f>SUM(W108:W111)/SUM(K108:K111)</f>
        <v>0.83073164472014116</v>
      </c>
      <c r="Y108" s="39">
        <f>+SUM(RBP!AG59:AG60)</f>
        <v>0</v>
      </c>
      <c r="Z108" s="39">
        <f>+'17'!D59/1000</f>
        <v>0</v>
      </c>
      <c r="AA108" s="51">
        <f>SUM(U108:U111)-SUM(W108:W111)-SUM(Z108:Z111)-SUM(Y108:Y111)</f>
        <v>7.399736272299303</v>
      </c>
      <c r="AB108" s="51">
        <f>(SUM(K108:K111)-SUM(W108:W111)-SUM(Y108:Y111)-SUM(Z108:Z111)-SUM(AC108:AC111)-SUM(V108:V111))-AA108</f>
        <v>-2.9939007668966511E-3</v>
      </c>
      <c r="AC108" s="39">
        <f>K108-T108</f>
        <v>0</v>
      </c>
      <c r="AD108" s="39">
        <f>+AM108+BA108</f>
        <v>0</v>
      </c>
      <c r="AE108" s="230" t="s">
        <v>418</v>
      </c>
      <c r="AF108" s="39">
        <v>0</v>
      </c>
      <c r="AG108" s="39"/>
      <c r="AH108" s="39"/>
      <c r="AI108" s="485"/>
      <c r="AJ108" s="39"/>
      <c r="AK108" s="39"/>
      <c r="AL108" s="39"/>
      <c r="AM108" s="39">
        <f>SUM(AF108:AL108)+AT108+AV108+AX108</f>
        <v>0</v>
      </c>
      <c r="AN108" s="39"/>
      <c r="AO108" s="39"/>
      <c r="AP108" s="39"/>
      <c r="AQ108" s="39"/>
      <c r="AR108" s="39">
        <f>SUM(AN108:AQ108)</f>
        <v>0</v>
      </c>
      <c r="AS108" s="39"/>
      <c r="AT108" s="39"/>
      <c r="AU108" s="39"/>
      <c r="AV108" s="39"/>
      <c r="AW108" s="39"/>
      <c r="AX108" s="39"/>
      <c r="AY108" s="39"/>
      <c r="AZ108" s="39"/>
      <c r="BA108" s="39">
        <f>+AR108+AS108+AU108+AW108+AY108+AZ108</f>
        <v>0</v>
      </c>
      <c r="BB108" s="35">
        <v>0</v>
      </c>
      <c r="BC108" s="53"/>
      <c r="BD108" s="53">
        <v>1</v>
      </c>
      <c r="BE108" s="35"/>
      <c r="BF108" s="53"/>
    </row>
    <row r="109" spans="1:58" ht="12.95" customHeight="1">
      <c r="A109" s="42"/>
      <c r="B109" s="43" t="s">
        <v>460</v>
      </c>
      <c r="C109" s="402">
        <f t="shared" ref="C109:C110" si="146">(M109*E109*O109*Q109)/100000000</f>
        <v>13.209885</v>
      </c>
      <c r="D109" s="43" t="s">
        <v>462</v>
      </c>
      <c r="E109" s="44">
        <v>13</v>
      </c>
      <c r="F109" s="44">
        <v>1</v>
      </c>
      <c r="G109" s="415">
        <v>1350</v>
      </c>
      <c r="H109" s="557">
        <f t="shared" ref="H109:H110" si="147">+N109</f>
        <v>0.25</v>
      </c>
      <c r="I109" s="47">
        <v>0.88</v>
      </c>
      <c r="J109" s="86">
        <f t="shared" ref="J109:J110" si="148">E109*G109*(1-H109)*1440/1000000*2.74</f>
        <v>51.933960000000006</v>
      </c>
      <c r="K109" s="86">
        <f t="shared" ref="K109:K110" si="149">(IF(G109&lt;L109,L109,G109)*(1-IF(H109&lt;N109,H109,N109))*E109*O109*Q109)/100000000</f>
        <v>13.209885</v>
      </c>
      <c r="L109" s="37">
        <v>1350</v>
      </c>
      <c r="M109" s="37">
        <v>1012.5</v>
      </c>
      <c r="N109" s="48">
        <f t="shared" ref="N109:N110" si="150">1-(M109/L109)</f>
        <v>0.25</v>
      </c>
      <c r="O109" s="49">
        <f>+'Trim Rwd'!H63</f>
        <v>260</v>
      </c>
      <c r="P109" s="50">
        <f t="shared" ref="P109:P110" si="151">O109*(Q109-R109-S109)</f>
        <v>98800</v>
      </c>
      <c r="Q109" s="49">
        <v>386</v>
      </c>
      <c r="R109" s="371">
        <v>0</v>
      </c>
      <c r="S109" s="371">
        <v>6</v>
      </c>
      <c r="T109" s="39">
        <f t="shared" ref="T109:T110" si="152">E109*M109*O109*Q109/100000000</f>
        <v>13.209885</v>
      </c>
      <c r="U109" s="39">
        <f t="shared" ref="U109:U110" si="153">E109*M109*O109*(Q109-R109-S109)/100000000</f>
        <v>13.00455</v>
      </c>
      <c r="V109" s="39">
        <f t="shared" ref="V109:V110" si="154">E109*G109*(1-N109)*O109/100*(R109+S109)/1000000</f>
        <v>0.20533499999999999</v>
      </c>
      <c r="W109" s="39">
        <f>+'23'!K16/1000</f>
        <v>11.528</v>
      </c>
      <c r="X109" s="40"/>
      <c r="Y109" s="213"/>
      <c r="Z109" s="39"/>
      <c r="AA109" s="39"/>
      <c r="AB109" s="39"/>
      <c r="AC109" s="39">
        <f>K109-T109</f>
        <v>0</v>
      </c>
      <c r="AD109" s="39">
        <f t="shared" ref="AD109:AD110" si="155">+AM109+BA109</f>
        <v>2</v>
      </c>
      <c r="AE109" s="230" t="s">
        <v>529</v>
      </c>
      <c r="AF109" s="39"/>
      <c r="AG109" s="39">
        <v>2</v>
      </c>
      <c r="AH109" s="39"/>
      <c r="AI109" s="485"/>
      <c r="AJ109" s="39"/>
      <c r="AK109" s="39"/>
      <c r="AL109" s="39"/>
      <c r="AM109" s="39">
        <f t="shared" ref="AM109:AM110" si="156">SUM(AF109:AL109)+AT109+AV109+AX109</f>
        <v>2</v>
      </c>
      <c r="AN109" s="87"/>
      <c r="AO109" s="39"/>
      <c r="AP109" s="39"/>
      <c r="AQ109" s="39"/>
      <c r="AR109" s="39">
        <f t="shared" ref="AR109:AR110" si="157">SUM(AN109:AQ109)</f>
        <v>0</v>
      </c>
      <c r="AS109" s="39"/>
      <c r="AT109" s="39"/>
      <c r="AU109" s="39"/>
      <c r="AV109" s="39"/>
      <c r="AW109" s="39"/>
      <c r="AX109" s="39"/>
      <c r="AY109" s="39"/>
      <c r="AZ109" s="39"/>
      <c r="BA109" s="39">
        <f t="shared" ref="BA109:BA110" si="158">+AR109+AS109+AU109+AW109+AY109+AZ109</f>
        <v>0</v>
      </c>
      <c r="BB109" s="52"/>
      <c r="BC109" s="53">
        <v>2</v>
      </c>
      <c r="BD109" s="53"/>
      <c r="BE109" s="52"/>
      <c r="BF109" s="53"/>
    </row>
    <row r="110" spans="1:58" ht="12.95" customHeight="1">
      <c r="A110" s="42"/>
      <c r="B110" s="43" t="s">
        <v>460</v>
      </c>
      <c r="C110" s="402">
        <f t="shared" si="146"/>
        <v>35.871839999999992</v>
      </c>
      <c r="D110" s="43" t="s">
        <v>462</v>
      </c>
      <c r="E110" s="44">
        <v>14.5</v>
      </c>
      <c r="F110" s="44">
        <v>1</v>
      </c>
      <c r="G110" s="415">
        <v>1270</v>
      </c>
      <c r="H110" s="557">
        <f t="shared" si="147"/>
        <v>0.24056974459724956</v>
      </c>
      <c r="I110" s="47">
        <v>0.88</v>
      </c>
      <c r="J110" s="86">
        <f t="shared" si="148"/>
        <v>55.178853609430263</v>
      </c>
      <c r="K110" s="86">
        <f t="shared" si="149"/>
        <v>36.12357715614931</v>
      </c>
      <c r="L110" s="37">
        <v>1261.1496531219029</v>
      </c>
      <c r="M110" s="37">
        <v>957.75520317145686</v>
      </c>
      <c r="N110" s="48">
        <f t="shared" si="150"/>
        <v>0.24056974459724956</v>
      </c>
      <c r="O110" s="49">
        <f>+'Trim Rwd'!H65</f>
        <v>256</v>
      </c>
      <c r="P110" s="50">
        <f t="shared" si="151"/>
        <v>255232</v>
      </c>
      <c r="Q110" s="49">
        <v>1009</v>
      </c>
      <c r="R110" s="371">
        <v>0</v>
      </c>
      <c r="S110" s="371">
        <f>20-S108-S109</f>
        <v>12</v>
      </c>
      <c r="T110" s="39">
        <f t="shared" si="152"/>
        <v>35.871839999999992</v>
      </c>
      <c r="U110" s="39">
        <f t="shared" si="153"/>
        <v>35.445217522299302</v>
      </c>
      <c r="V110" s="39">
        <f t="shared" si="154"/>
        <v>0.42961637846758349</v>
      </c>
      <c r="W110" s="39">
        <f>+'23'!K9/1000</f>
        <v>23.593</v>
      </c>
      <c r="X110" s="40"/>
      <c r="Y110" s="213"/>
      <c r="Z110" s="39">
        <f>+'23'!D17/1000</f>
        <v>0.252</v>
      </c>
      <c r="AA110" s="39"/>
      <c r="AB110" s="39"/>
      <c r="AC110" s="39">
        <f>K110-T110</f>
        <v>0.2517371561493178</v>
      </c>
      <c r="AD110" s="39">
        <f t="shared" si="155"/>
        <v>18</v>
      </c>
      <c r="AE110" s="230" t="s">
        <v>675</v>
      </c>
      <c r="AF110" s="35"/>
      <c r="AG110" s="35"/>
      <c r="AH110" s="35">
        <v>18</v>
      </c>
      <c r="AJ110" s="39"/>
      <c r="AK110" s="39"/>
      <c r="AL110" s="39"/>
      <c r="AM110" s="39">
        <f t="shared" si="156"/>
        <v>18</v>
      </c>
      <c r="AN110" s="39"/>
      <c r="AO110" s="39"/>
      <c r="AP110" s="39"/>
      <c r="AQ110" s="39"/>
      <c r="AR110" s="39">
        <f t="shared" si="157"/>
        <v>0</v>
      </c>
      <c r="AS110" s="39"/>
      <c r="AT110" s="39"/>
      <c r="AU110" s="39"/>
      <c r="AV110" s="39"/>
      <c r="AW110" s="39"/>
      <c r="AX110" s="39"/>
      <c r="AY110" s="39"/>
      <c r="AZ110" s="39"/>
      <c r="BA110" s="39">
        <f t="shared" si="158"/>
        <v>0</v>
      </c>
      <c r="BB110" s="35"/>
      <c r="BC110" s="486"/>
      <c r="BD110" s="486"/>
      <c r="BE110" s="35"/>
      <c r="BF110" s="486"/>
    </row>
    <row r="111" spans="1:58" ht="12.95" customHeight="1">
      <c r="A111" s="42"/>
      <c r="B111" s="43"/>
      <c r="C111" s="402"/>
      <c r="D111" s="43"/>
      <c r="E111" s="44"/>
      <c r="F111" s="44"/>
      <c r="G111" s="415"/>
      <c r="H111" s="557"/>
      <c r="I111" s="47"/>
      <c r="J111" s="86"/>
      <c r="K111" s="86"/>
      <c r="L111" s="37"/>
      <c r="M111" s="37"/>
      <c r="N111" s="48"/>
      <c r="O111" s="49"/>
      <c r="P111" s="50"/>
      <c r="Q111" s="49"/>
      <c r="R111" s="371"/>
      <c r="S111" s="371"/>
      <c r="T111" s="39"/>
      <c r="U111" s="39"/>
      <c r="V111" s="39"/>
      <c r="W111" s="39"/>
      <c r="X111" s="370"/>
      <c r="Y111" s="213"/>
      <c r="Z111" s="39"/>
      <c r="AA111" s="39"/>
      <c r="AB111" s="39"/>
      <c r="AC111" s="39"/>
      <c r="AD111" s="39"/>
      <c r="AE111" s="230"/>
      <c r="AF111" s="35"/>
      <c r="AG111" s="35"/>
      <c r="AH111" s="35"/>
      <c r="AJ111" s="39"/>
      <c r="AK111" s="39"/>
      <c r="AL111" s="39"/>
      <c r="AM111" s="39"/>
      <c r="AN111" s="39"/>
      <c r="AO111" s="39"/>
      <c r="AP111" s="39"/>
      <c r="AQ111" s="39"/>
      <c r="AR111" s="39"/>
      <c r="AS111" s="39"/>
      <c r="AT111" s="39"/>
      <c r="AU111" s="39"/>
      <c r="AV111" s="39"/>
      <c r="AW111" s="39"/>
      <c r="AX111" s="39"/>
      <c r="AY111" s="39"/>
      <c r="AZ111" s="39"/>
      <c r="BA111" s="39"/>
      <c r="BB111" s="35"/>
      <c r="BC111" s="486"/>
      <c r="BD111" s="53"/>
      <c r="BE111" s="53"/>
      <c r="BF111" s="53"/>
    </row>
    <row r="112" spans="1:58" ht="12" customHeight="1">
      <c r="A112" s="42">
        <v>45954</v>
      </c>
      <c r="B112" s="43" t="s">
        <v>460</v>
      </c>
      <c r="C112" s="402">
        <f t="shared" ref="C112" si="159">(M112*E112*O112*Q112)/100000000</f>
        <v>5.5021120000000003</v>
      </c>
      <c r="D112" s="43" t="s">
        <v>462</v>
      </c>
      <c r="E112" s="44">
        <v>14.5</v>
      </c>
      <c r="F112" s="44">
        <v>1</v>
      </c>
      <c r="G112" s="415">
        <v>1270</v>
      </c>
      <c r="H112" s="557">
        <f t="shared" ref="H112" si="160">+N112</f>
        <v>0.22999999999999998</v>
      </c>
      <c r="I112" s="47">
        <v>0.88</v>
      </c>
      <c r="J112" s="86">
        <f t="shared" ref="J112" si="161">E112*G112*(1-H112)*1440/1000000*2.74</f>
        <v>55.946832479999998</v>
      </c>
      <c r="K112" s="86">
        <f t="shared" ref="K112" si="162">(IF(G112&lt;L112,L112,G112)*(1-IF(H112&lt;N112,H112,N112))*E112*O112*Q112)/100000000</f>
        <v>6.3524383999999996</v>
      </c>
      <c r="L112" s="37">
        <v>1100</v>
      </c>
      <c r="M112" s="37">
        <v>847</v>
      </c>
      <c r="N112" s="48">
        <f t="shared" ref="N112" si="163">1-(M112/L112)</f>
        <v>0.22999999999999998</v>
      </c>
      <c r="O112" s="49">
        <f>+'Trim Rwd'!H68</f>
        <v>256</v>
      </c>
      <c r="P112" s="50">
        <f t="shared" ref="P112" si="164">O112*(Q112-R112-S112)</f>
        <v>42240</v>
      </c>
      <c r="Q112" s="49">
        <v>175</v>
      </c>
      <c r="R112" s="371">
        <v>0</v>
      </c>
      <c r="S112" s="371">
        <v>10</v>
      </c>
      <c r="T112" s="39">
        <f t="shared" ref="T112" si="165">E112*M112*O112*Q112/100000000</f>
        <v>5.5021120000000003</v>
      </c>
      <c r="U112" s="39">
        <f t="shared" ref="U112" si="166">E112*M112*O112*(Q112-R112-S112)/100000000</f>
        <v>5.1877056000000001</v>
      </c>
      <c r="V112" s="39">
        <f t="shared" ref="V112" si="167">E112*G112*(1-N112)*O112/100*(R112+S112)/1000000</f>
        <v>0.36299647999999995</v>
      </c>
      <c r="W112" s="39">
        <f>+'24'!K9/1000</f>
        <v>10.913</v>
      </c>
      <c r="X112" s="370">
        <f>SUM(W112:W115)/SUM(K112:K115)</f>
        <v>0.80693926922324177</v>
      </c>
      <c r="Y112" s="39">
        <f>+SUM(RBP!AG63:AG64)</f>
        <v>0</v>
      </c>
      <c r="Z112" s="39">
        <f>+'17'!D63/1000</f>
        <v>0</v>
      </c>
      <c r="AA112" s="51">
        <f>SUM(U112:U115)-SUM(W112:W115)-SUM(Z112:Z115)-SUM(Y112:Y115)</f>
        <v>4.9307478499999959</v>
      </c>
      <c r="AB112" s="51">
        <f>(SUM(K112:K115)-SUM(W112:W115)-SUM(Y112:Y115)-SUM(Z112:Z115)-SUM(AC112:AC115)-SUM(V112:V115))-AA112</f>
        <v>-0.13258047999999523</v>
      </c>
      <c r="AC112" s="39">
        <f>K112-T112</f>
        <v>0.85032639999999926</v>
      </c>
      <c r="AD112" s="39">
        <f>+AM112+BA112</f>
        <v>9</v>
      </c>
      <c r="AE112" s="230" t="s">
        <v>400</v>
      </c>
      <c r="AF112" s="39">
        <v>9</v>
      </c>
      <c r="AG112" s="39"/>
      <c r="AH112" s="39"/>
      <c r="AI112" s="485"/>
      <c r="AJ112" s="39"/>
      <c r="AK112" s="39"/>
      <c r="AL112" s="39"/>
      <c r="AM112" s="39">
        <f>SUM(AF112:AL112)+AT112+AV112+AX112</f>
        <v>9</v>
      </c>
      <c r="AN112" s="39"/>
      <c r="AO112" s="39"/>
      <c r="AP112" s="39"/>
      <c r="AQ112" s="39"/>
      <c r="AR112" s="39">
        <f>SUM(AN112:AQ112)</f>
        <v>0</v>
      </c>
      <c r="AS112" s="39"/>
      <c r="AT112" s="39"/>
      <c r="AU112" s="39"/>
      <c r="AV112" s="39"/>
      <c r="AW112" s="39"/>
      <c r="AX112" s="39"/>
      <c r="AY112" s="39"/>
      <c r="AZ112" s="39"/>
      <c r="BA112" s="39">
        <f>+AR112+AS112+AU112+AW112+AY112+AZ112</f>
        <v>0</v>
      </c>
      <c r="BB112" s="35">
        <v>3</v>
      </c>
      <c r="BC112" s="53"/>
      <c r="BD112" s="53"/>
      <c r="BE112" s="35"/>
      <c r="BF112" s="53"/>
    </row>
    <row r="113" spans="1:58" ht="12.95" customHeight="1">
      <c r="A113" s="42"/>
      <c r="B113" s="43" t="s">
        <v>639</v>
      </c>
      <c r="C113" s="402">
        <f t="shared" ref="C113:C114" si="168">(M113*E113*O113*Q113)/100000000</f>
        <v>32.965380000000003</v>
      </c>
      <c r="D113" s="43" t="s">
        <v>462</v>
      </c>
      <c r="E113" s="44">
        <v>12</v>
      </c>
      <c r="F113" s="44">
        <v>1</v>
      </c>
      <c r="G113" s="415">
        <v>1350</v>
      </c>
      <c r="H113" s="557">
        <f t="shared" ref="H113:H114" si="169">+N113</f>
        <v>0.25461538461538469</v>
      </c>
      <c r="I113" s="47">
        <v>0.88</v>
      </c>
      <c r="J113" s="86">
        <f t="shared" ref="J113:J114" si="170">E113*G113*(1-H113)*1440/1000000*2.74</f>
        <v>47.644030523076921</v>
      </c>
      <c r="K113" s="86">
        <f t="shared" ref="K113:K114" si="171">(IF(G113&lt;L113,L113,G113)*(1-IF(H113&lt;N113,H113,N113))*E113*O113*Q113)/100000000</f>
        <v>32.965380000000003</v>
      </c>
      <c r="L113" s="37">
        <v>1350</v>
      </c>
      <c r="M113" s="37">
        <v>1006.2692307692307</v>
      </c>
      <c r="N113" s="48">
        <f t="shared" ref="N113:N114" si="172">1-(M113/L113)</f>
        <v>0.25461538461538469</v>
      </c>
      <c r="O113" s="49">
        <f>+'Trim Rwd'!H69</f>
        <v>262.5</v>
      </c>
      <c r="P113" s="50">
        <f t="shared" ref="P113:P114" si="173">O113*(Q113-R113-S113)</f>
        <v>262762.5</v>
      </c>
      <c r="Q113" s="49">
        <v>1040</v>
      </c>
      <c r="R113" s="371">
        <v>0</v>
      </c>
      <c r="S113" s="371">
        <v>39</v>
      </c>
      <c r="T113" s="39">
        <f t="shared" ref="T113:T114" si="174">E113*M113*O113*Q113/100000000</f>
        <v>32.965380000000003</v>
      </c>
      <c r="U113" s="39">
        <f t="shared" ref="U113:U114" si="175">E113*M113*O113*(Q113-R113-S113)/100000000</f>
        <v>31.72917825</v>
      </c>
      <c r="V113" s="39">
        <f t="shared" ref="V113:V114" si="176">E113*G113*(1-N113)*O113/100*(R113+S113)/1000000</f>
        <v>1.2362017499999998</v>
      </c>
      <c r="W113" s="39">
        <f>+'24'!K17/1000</f>
        <v>22.321999999999999</v>
      </c>
      <c r="X113" s="40"/>
      <c r="Y113" s="213"/>
      <c r="Z113" s="39"/>
      <c r="AA113" s="39"/>
      <c r="AB113" s="39"/>
      <c r="AC113" s="39">
        <f>K113-T113</f>
        <v>0</v>
      </c>
      <c r="AD113" s="39">
        <f t="shared" ref="AD113:AD115" si="177">+AM113+BA113</f>
        <v>2</v>
      </c>
      <c r="AE113" s="230" t="s">
        <v>571</v>
      </c>
      <c r="AF113" s="39"/>
      <c r="AG113" s="39">
        <v>2</v>
      </c>
      <c r="AH113" s="39"/>
      <c r="AI113" s="485"/>
      <c r="AJ113" s="39"/>
      <c r="AK113" s="39"/>
      <c r="AL113" s="39"/>
      <c r="AM113" s="39">
        <f t="shared" ref="AM113:AM114" si="178">SUM(AF113:AL113)+AT113+AV113+AX113</f>
        <v>2</v>
      </c>
      <c r="AN113" s="87"/>
      <c r="AO113" s="39"/>
      <c r="AP113" s="39"/>
      <c r="AQ113" s="39"/>
      <c r="AR113" s="39">
        <f t="shared" ref="AR113:AR114" si="179">SUM(AN113:AQ113)</f>
        <v>0</v>
      </c>
      <c r="AS113" s="39"/>
      <c r="AT113" s="39"/>
      <c r="AU113" s="39"/>
      <c r="AV113" s="39"/>
      <c r="AW113" s="39"/>
      <c r="AX113" s="39"/>
      <c r="AY113" s="39"/>
      <c r="AZ113" s="39"/>
      <c r="BA113" s="39">
        <f t="shared" ref="BA113:BA115" si="180">+AR113+AS113+AU113+AW113+AY113+AZ113</f>
        <v>0</v>
      </c>
      <c r="BB113" s="52"/>
      <c r="BC113" s="53">
        <v>1</v>
      </c>
      <c r="BD113" s="53"/>
      <c r="BE113" s="52"/>
      <c r="BF113" s="53"/>
    </row>
    <row r="114" spans="1:58" ht="12.95" customHeight="1">
      <c r="A114" s="42"/>
      <c r="B114" s="43" t="s">
        <v>639</v>
      </c>
      <c r="C114" s="402">
        <f t="shared" si="168"/>
        <v>7.9952399999999999</v>
      </c>
      <c r="D114" s="43" t="s">
        <v>462</v>
      </c>
      <c r="E114" s="44">
        <v>16</v>
      </c>
      <c r="F114" s="44">
        <v>1</v>
      </c>
      <c r="G114" s="415">
        <v>1165</v>
      </c>
      <c r="H114" s="557">
        <f t="shared" si="169"/>
        <v>0.25222222222222224</v>
      </c>
      <c r="I114" s="47">
        <v>0.88</v>
      </c>
      <c r="J114" s="86">
        <f t="shared" si="170"/>
        <v>54.996052480000003</v>
      </c>
      <c r="K114" s="86">
        <f t="shared" si="171"/>
        <v>8.4676859999999987</v>
      </c>
      <c r="L114" s="37">
        <v>1100</v>
      </c>
      <c r="M114" s="37">
        <v>822.55555555555554</v>
      </c>
      <c r="N114" s="48">
        <f t="shared" si="172"/>
        <v>0.25222222222222224</v>
      </c>
      <c r="O114" s="49">
        <f>+'Trim Rwd'!H70</f>
        <v>270</v>
      </c>
      <c r="P114" s="50">
        <f t="shared" si="173"/>
        <v>49950</v>
      </c>
      <c r="Q114" s="49">
        <v>225</v>
      </c>
      <c r="R114" s="371">
        <v>0</v>
      </c>
      <c r="S114" s="371">
        <v>40</v>
      </c>
      <c r="T114" s="39">
        <f t="shared" si="174"/>
        <v>7.9952399999999999</v>
      </c>
      <c r="U114" s="39">
        <f t="shared" si="175"/>
        <v>6.5738640000000004</v>
      </c>
      <c r="V114" s="39">
        <f t="shared" si="176"/>
        <v>1.5053664</v>
      </c>
      <c r="W114" s="39">
        <f>+'24'!K18/1000</f>
        <v>5.3250000000000002</v>
      </c>
      <c r="X114" s="40"/>
      <c r="Y114" s="213"/>
      <c r="Z114" s="39">
        <f>+'23'!D21/1000</f>
        <v>0</v>
      </c>
      <c r="AA114" s="39"/>
      <c r="AB114" s="39"/>
      <c r="AC114" s="39">
        <f>K114-T114</f>
        <v>0.47244599999999881</v>
      </c>
      <c r="AD114" s="39">
        <f t="shared" si="177"/>
        <v>38</v>
      </c>
      <c r="AE114" s="230" t="s">
        <v>675</v>
      </c>
      <c r="AF114" s="35"/>
      <c r="AG114" s="35"/>
      <c r="AH114" s="35">
        <v>38</v>
      </c>
      <c r="AJ114" s="39"/>
      <c r="AK114" s="39"/>
      <c r="AL114" s="39"/>
      <c r="AM114" s="39">
        <f t="shared" si="178"/>
        <v>38</v>
      </c>
      <c r="AN114" s="39"/>
      <c r="AO114" s="39"/>
      <c r="AP114" s="39"/>
      <c r="AQ114" s="39"/>
      <c r="AR114" s="39">
        <f t="shared" si="179"/>
        <v>0</v>
      </c>
      <c r="AS114" s="39"/>
      <c r="AT114" s="39"/>
      <c r="AU114" s="39"/>
      <c r="AV114" s="39"/>
      <c r="AW114" s="39"/>
      <c r="AX114" s="39"/>
      <c r="AY114" s="39"/>
      <c r="AZ114" s="39"/>
      <c r="BA114" s="39">
        <f t="shared" si="180"/>
        <v>0</v>
      </c>
      <c r="BB114" s="35"/>
      <c r="BC114" s="486"/>
      <c r="BD114" s="486"/>
      <c r="BE114" s="35"/>
      <c r="BF114" s="486"/>
    </row>
    <row r="115" spans="1:58" ht="12.95" customHeight="1">
      <c r="A115" s="42"/>
      <c r="B115" s="43"/>
      <c r="C115" s="402"/>
      <c r="D115" s="43"/>
      <c r="E115" s="44"/>
      <c r="F115" s="44"/>
      <c r="G115" s="415"/>
      <c r="H115" s="557"/>
      <c r="I115" s="47"/>
      <c r="J115" s="86"/>
      <c r="K115" s="86"/>
      <c r="L115" s="37"/>
      <c r="M115" s="37"/>
      <c r="N115" s="48"/>
      <c r="O115" s="49"/>
      <c r="P115" s="50"/>
      <c r="Q115" s="49"/>
      <c r="R115" s="371"/>
      <c r="S115" s="371"/>
      <c r="T115" s="39"/>
      <c r="U115" s="39"/>
      <c r="V115" s="39"/>
      <c r="W115" s="39"/>
      <c r="X115" s="40"/>
      <c r="Y115" s="213"/>
      <c r="Z115" s="39"/>
      <c r="AA115" s="39"/>
      <c r="AB115" s="39"/>
      <c r="AC115" s="39"/>
      <c r="AD115" s="39">
        <f t="shared" si="177"/>
        <v>40</v>
      </c>
      <c r="AE115" s="230" t="s">
        <v>691</v>
      </c>
      <c r="AF115" s="35"/>
      <c r="AG115" s="35"/>
      <c r="AH115" s="35"/>
      <c r="AJ115" s="39"/>
      <c r="AK115" s="39"/>
      <c r="AL115" s="39"/>
      <c r="AM115" s="39">
        <f t="shared" ref="AM115" si="181">SUM(AF115:AL115)+AT115+AV115+AX115</f>
        <v>40</v>
      </c>
      <c r="AN115" s="39"/>
      <c r="AO115" s="39"/>
      <c r="AP115" s="39"/>
      <c r="AQ115" s="39"/>
      <c r="AR115" s="39">
        <f t="shared" ref="AR115" si="182">SUM(AN115:AQ115)</f>
        <v>0</v>
      </c>
      <c r="AS115" s="39"/>
      <c r="AT115" s="39">
        <v>40</v>
      </c>
      <c r="AU115" s="39"/>
      <c r="AV115" s="39"/>
      <c r="AW115" s="39"/>
      <c r="AX115" s="39"/>
      <c r="AY115" s="39"/>
      <c r="AZ115" s="39"/>
      <c r="BA115" s="39">
        <f t="shared" si="180"/>
        <v>0</v>
      </c>
      <c r="BB115" s="35"/>
      <c r="BC115" s="486"/>
      <c r="BD115" s="486"/>
      <c r="BE115" s="35"/>
      <c r="BF115" s="486"/>
    </row>
    <row r="116" spans="1:58" ht="12.95" customHeight="1">
      <c r="A116" s="42"/>
      <c r="B116" s="43"/>
      <c r="C116" s="402"/>
      <c r="D116" s="43"/>
      <c r="E116" s="44"/>
      <c r="F116" s="44"/>
      <c r="G116" s="415"/>
      <c r="H116" s="557"/>
      <c r="I116" s="47"/>
      <c r="J116" s="86"/>
      <c r="K116" s="86"/>
      <c r="L116" s="37"/>
      <c r="M116" s="37"/>
      <c r="N116" s="48"/>
      <c r="O116" s="49"/>
      <c r="P116" s="50"/>
      <c r="Q116" s="49"/>
      <c r="R116" s="371"/>
      <c r="S116" s="371"/>
      <c r="T116" s="39"/>
      <c r="U116" s="39"/>
      <c r="V116" s="39"/>
      <c r="W116" s="39"/>
      <c r="X116" s="370"/>
      <c r="Y116" s="39"/>
      <c r="Z116" s="39"/>
      <c r="AA116" s="51"/>
      <c r="AB116" s="51"/>
      <c r="AC116" s="39"/>
      <c r="AD116" s="39"/>
      <c r="AE116" s="230"/>
      <c r="AF116" s="39"/>
      <c r="AG116" s="39"/>
      <c r="AH116" s="39"/>
      <c r="AI116" s="485"/>
      <c r="AJ116" s="39"/>
      <c r="AK116" s="39"/>
      <c r="AL116" s="39"/>
      <c r="AM116" s="39"/>
      <c r="AN116" s="39"/>
      <c r="AO116" s="39"/>
      <c r="AP116" s="39"/>
      <c r="AQ116" s="39"/>
      <c r="AR116" s="39"/>
      <c r="AS116" s="39"/>
      <c r="AT116" s="39"/>
      <c r="AU116" s="39"/>
      <c r="AV116" s="39"/>
      <c r="AW116" s="39"/>
      <c r="AX116" s="39"/>
      <c r="AY116" s="39"/>
      <c r="AZ116" s="39"/>
      <c r="BA116" s="39"/>
      <c r="BB116" s="35"/>
      <c r="BC116" s="53"/>
      <c r="BD116" s="53"/>
      <c r="BE116" s="53"/>
      <c r="BF116" s="53"/>
    </row>
    <row r="117" spans="1:58" ht="12" customHeight="1">
      <c r="A117" s="42">
        <v>45955</v>
      </c>
      <c r="B117" s="43" t="s">
        <v>639</v>
      </c>
      <c r="C117" s="402">
        <f t="shared" ref="C117" si="183">(M117*E117*O117*Q117)/100000000</f>
        <v>6.0598124999999996</v>
      </c>
      <c r="D117" s="43" t="s">
        <v>462</v>
      </c>
      <c r="E117" s="44">
        <v>12</v>
      </c>
      <c r="F117" s="44">
        <v>1</v>
      </c>
      <c r="G117" s="415">
        <v>1350</v>
      </c>
      <c r="H117" s="557">
        <f t="shared" ref="H117" si="184">+N117</f>
        <v>0.25</v>
      </c>
      <c r="I117" s="47">
        <v>0.88</v>
      </c>
      <c r="J117" s="86">
        <f t="shared" ref="J117" si="185">E117*G117*(1-H117)*1440/1000000*2.74</f>
        <v>47.939039999999999</v>
      </c>
      <c r="K117" s="86">
        <f t="shared" ref="K117" si="186">(IF(G117&lt;L117,L117,G117)*(1-IF(H117&lt;N117,H117,N117))*E117*O117*Q117)/100000000</f>
        <v>6.0598124999999996</v>
      </c>
      <c r="L117" s="37">
        <v>1350</v>
      </c>
      <c r="M117" s="37">
        <v>1012.5</v>
      </c>
      <c r="N117" s="48">
        <f t="shared" ref="N117" si="187">1-(M117/L117)</f>
        <v>0.25</v>
      </c>
      <c r="O117" s="49">
        <f>+'Trim Rwd'!H73</f>
        <v>262.5</v>
      </c>
      <c r="P117" s="50">
        <f t="shared" ref="P117" si="188">O117*(Q117-R117-S117)</f>
        <v>44625</v>
      </c>
      <c r="Q117" s="49">
        <v>190</v>
      </c>
      <c r="R117" s="371">
        <v>0</v>
      </c>
      <c r="S117" s="371">
        <v>20</v>
      </c>
      <c r="T117" s="39">
        <f t="shared" ref="T117" si="189">E117*M117*O117*Q117/100000000</f>
        <v>6.0598124999999996</v>
      </c>
      <c r="U117" s="39">
        <f t="shared" ref="U117" si="190">E117*M117*O117*(Q117-R117-S117)/100000000</f>
        <v>5.4219375000000003</v>
      </c>
      <c r="V117" s="39">
        <f t="shared" ref="V117" si="191">E117*G117*(1-N117)*O117/100*(R117+S117)/1000000</f>
        <v>0.63787499999999997</v>
      </c>
      <c r="W117" s="39">
        <f>+'25'!K17/1000</f>
        <v>9.5559999999999992</v>
      </c>
      <c r="X117" s="370">
        <f>SUM(W117:W120)/SUM(K117:K120)</f>
        <v>0.464274698274312</v>
      </c>
      <c r="Y117" s="39">
        <f>+SUM(RBP!AG68:AG69)</f>
        <v>0</v>
      </c>
      <c r="Z117" s="39">
        <f>+'17'!D68/1000</f>
        <v>0</v>
      </c>
      <c r="AA117" s="51">
        <f>SUM(U117:U120)-SUM(W117:W120)-SUM(Z117:Z120)-SUM(Y117:Y120)</f>
        <v>13.976760248742401</v>
      </c>
      <c r="AB117" s="51">
        <f>(SUM(K117:K120)-SUM(W117:W120)-SUM(Y117:Y120)-SUM(Z117:Z120)-SUM(AC117:AC120)-SUM(V117:V120))-AA117</f>
        <v>-0.72193683557010857</v>
      </c>
      <c r="AC117" s="39">
        <f>K117-T117</f>
        <v>0</v>
      </c>
      <c r="AD117" s="39">
        <f>+AM117+BA117</f>
        <v>132</v>
      </c>
      <c r="AE117" s="230" t="s">
        <v>720</v>
      </c>
      <c r="AF117" s="39">
        <v>132</v>
      </c>
      <c r="AG117" s="39"/>
      <c r="AH117" s="39"/>
      <c r="AI117" s="485"/>
      <c r="AJ117" s="39"/>
      <c r="AK117" s="39"/>
      <c r="AL117" s="39"/>
      <c r="AM117" s="39">
        <f>SUM(AF117:AL117)+AT117+AV117+AX117</f>
        <v>132</v>
      </c>
      <c r="AN117" s="39"/>
      <c r="AO117" s="39"/>
      <c r="AP117" s="39"/>
      <c r="AQ117" s="39"/>
      <c r="AR117" s="39">
        <f>SUM(AN117:AQ117)</f>
        <v>0</v>
      </c>
      <c r="AS117" s="39"/>
      <c r="AT117" s="39"/>
      <c r="AU117" s="39"/>
      <c r="AV117" s="39"/>
      <c r="AW117" s="39"/>
      <c r="AX117" s="39"/>
      <c r="AY117" s="39"/>
      <c r="AZ117" s="39"/>
      <c r="BA117" s="39">
        <f>+AR117+AS117+AU117+AW117+AY117+AZ117</f>
        <v>0</v>
      </c>
      <c r="BB117" s="35">
        <v>28</v>
      </c>
      <c r="BC117" s="53"/>
      <c r="BD117" s="53"/>
      <c r="BE117" s="35"/>
      <c r="BF117" s="53">
        <v>2</v>
      </c>
    </row>
    <row r="118" spans="1:58" ht="12.95" customHeight="1">
      <c r="A118" s="42"/>
      <c r="B118" s="43" t="s">
        <v>460</v>
      </c>
      <c r="C118" s="402">
        <f t="shared" ref="C118" si="192">(M118*E118*O118*Q118)/100000000</f>
        <v>38.700819436499998</v>
      </c>
      <c r="D118" s="43" t="s">
        <v>462</v>
      </c>
      <c r="E118" s="44">
        <v>13</v>
      </c>
      <c r="F118" s="44">
        <v>1</v>
      </c>
      <c r="G118" s="415">
        <v>1350</v>
      </c>
      <c r="H118" s="557">
        <f t="shared" ref="H118" si="193">+N118</f>
        <v>0.22212824471139125</v>
      </c>
      <c r="I118" s="47">
        <v>0.88</v>
      </c>
      <c r="J118" s="86">
        <f t="shared" ref="J118" si="194">E118*G118*(1-H118)*1440/1000000*2.74</f>
        <v>53.863947499051207</v>
      </c>
      <c r="K118" s="86">
        <f t="shared" ref="K118" si="195">(IF(G118&lt;L118,L118,G118)*(1-IF(H118&lt;N118,H118,N118))*E118*O118*Q118)/100000000</f>
        <v>43.770600585166484</v>
      </c>
      <c r="L118" s="37">
        <v>1193.6346666666666</v>
      </c>
      <c r="M118" s="37">
        <v>928.49469333333332</v>
      </c>
      <c r="N118" s="48">
        <f t="shared" ref="N118" si="196">1-(M118/L118)</f>
        <v>0.22212824471139125</v>
      </c>
      <c r="O118" s="49">
        <f>+'Trim Rwd'!H72</f>
        <v>256.5</v>
      </c>
      <c r="P118" s="50">
        <f t="shared" ref="P118" si="197">O118*(Q118-R118-S118)</f>
        <v>274968</v>
      </c>
      <c r="Q118" s="49">
        <v>1250</v>
      </c>
      <c r="R118" s="371">
        <v>0</v>
      </c>
      <c r="S118" s="371">
        <v>178</v>
      </c>
      <c r="T118" s="39">
        <f t="shared" ref="T118" si="198">E118*M118*O118*Q118/100000000</f>
        <v>38.700819436499998</v>
      </c>
      <c r="U118" s="39">
        <f t="shared" ref="U118" si="199">E118*M118*O118*(Q118-R118-S118)/100000000</f>
        <v>33.189822748742401</v>
      </c>
      <c r="V118" s="39">
        <f t="shared" ref="V118" si="200">E118*G118*(1-N118)*O118/100*(R118+S118)/1000000</f>
        <v>6.2329335233277074</v>
      </c>
      <c r="W118" s="39">
        <f>+'25'!K16/1000</f>
        <v>13.579000000000001</v>
      </c>
      <c r="X118" s="40"/>
      <c r="Y118" s="213"/>
      <c r="Z118" s="39">
        <f>+'25'!D17/1000</f>
        <v>1.5</v>
      </c>
      <c r="AA118" s="39"/>
      <c r="AB118" s="39"/>
      <c r="AC118" s="39">
        <f>K118-T118</f>
        <v>5.0697811486664861</v>
      </c>
      <c r="AD118" s="39">
        <f t="shared" ref="AD118:AD119" si="201">+AM118+BA118</f>
        <v>4</v>
      </c>
      <c r="AE118" s="230" t="s">
        <v>529</v>
      </c>
      <c r="AF118" s="39"/>
      <c r="AG118" s="39">
        <v>4</v>
      </c>
      <c r="AH118" s="39"/>
      <c r="AI118" s="485"/>
      <c r="AJ118" s="39"/>
      <c r="AK118" s="39"/>
      <c r="AL118" s="39"/>
      <c r="AM118" s="39">
        <f t="shared" ref="AM118:AM119" si="202">SUM(AF118:AL118)+AT118+AV118+AX118</f>
        <v>4</v>
      </c>
      <c r="AN118" s="87"/>
      <c r="AO118" s="39"/>
      <c r="AP118" s="39"/>
      <c r="AQ118" s="39"/>
      <c r="AR118" s="39">
        <f t="shared" ref="AR118:AR119" si="203">SUM(AN118:AQ118)</f>
        <v>0</v>
      </c>
      <c r="AS118" s="39"/>
      <c r="AT118" s="39"/>
      <c r="AU118" s="39"/>
      <c r="AV118" s="39"/>
      <c r="AW118" s="39"/>
      <c r="AX118" s="39"/>
      <c r="AY118" s="39"/>
      <c r="AZ118" s="39"/>
      <c r="BA118" s="39">
        <f t="shared" ref="BA118:BA119" si="204">+AR118+AS118+AU118+AW118+AY118+AZ118</f>
        <v>0</v>
      </c>
      <c r="BB118" s="52"/>
      <c r="BC118" s="53">
        <v>2</v>
      </c>
      <c r="BD118" s="53"/>
      <c r="BE118" s="52"/>
      <c r="BF118" s="53"/>
    </row>
    <row r="119" spans="1:58" ht="12.95" customHeight="1">
      <c r="A119" s="42"/>
      <c r="B119" s="43"/>
      <c r="C119" s="402"/>
      <c r="D119" s="43"/>
      <c r="E119" s="44"/>
      <c r="F119" s="44"/>
      <c r="G119" s="45"/>
      <c r="H119" s="46"/>
      <c r="I119" s="47"/>
      <c r="J119" s="86"/>
      <c r="K119" s="86"/>
      <c r="L119" s="37"/>
      <c r="M119" s="37"/>
      <c r="N119" s="48"/>
      <c r="O119" s="49"/>
      <c r="P119" s="50"/>
      <c r="Q119" s="49"/>
      <c r="R119" s="371"/>
      <c r="S119" s="371"/>
      <c r="T119" s="39"/>
      <c r="U119" s="39"/>
      <c r="V119" s="39"/>
      <c r="W119" s="39"/>
      <c r="X119" s="40"/>
      <c r="Y119" s="213"/>
      <c r="Z119" s="39"/>
      <c r="AA119" s="39"/>
      <c r="AB119" s="39"/>
      <c r="AC119" s="39"/>
      <c r="AD119" s="39">
        <f t="shared" si="201"/>
        <v>52</v>
      </c>
      <c r="AE119" s="230" t="s">
        <v>514</v>
      </c>
      <c r="AF119" s="35"/>
      <c r="AG119" s="35"/>
      <c r="AH119" s="35">
        <v>52</v>
      </c>
      <c r="AJ119" s="39"/>
      <c r="AK119" s="39"/>
      <c r="AL119" s="39"/>
      <c r="AM119" s="39">
        <f t="shared" si="202"/>
        <v>52</v>
      </c>
      <c r="AN119" s="39"/>
      <c r="AO119" s="39"/>
      <c r="AP119" s="39"/>
      <c r="AQ119" s="39"/>
      <c r="AR119" s="39">
        <f t="shared" si="203"/>
        <v>0</v>
      </c>
      <c r="AS119" s="39"/>
      <c r="AT119" s="39"/>
      <c r="AU119" s="39"/>
      <c r="AV119" s="39"/>
      <c r="AW119" s="39"/>
      <c r="AX119" s="39"/>
      <c r="AY119" s="39"/>
      <c r="AZ119" s="39"/>
      <c r="BA119" s="39">
        <f t="shared" si="204"/>
        <v>0</v>
      </c>
      <c r="BB119" s="35"/>
      <c r="BC119" s="486"/>
      <c r="BD119" s="486"/>
      <c r="BE119" s="35"/>
      <c r="BF119" s="486"/>
    </row>
    <row r="120" spans="1:58" ht="12.95" customHeight="1">
      <c r="A120" s="42"/>
      <c r="B120" s="43"/>
      <c r="C120" s="402"/>
      <c r="D120" s="43"/>
      <c r="E120" s="44"/>
      <c r="F120" s="44"/>
      <c r="G120" s="45"/>
      <c r="H120" s="46"/>
      <c r="I120" s="47"/>
      <c r="J120" s="86"/>
      <c r="K120" s="86"/>
      <c r="L120" s="37"/>
      <c r="M120" s="37"/>
      <c r="N120" s="48"/>
      <c r="O120" s="49"/>
      <c r="P120" s="50"/>
      <c r="Q120" s="49"/>
      <c r="R120" s="371"/>
      <c r="S120" s="371"/>
      <c r="T120" s="39"/>
      <c r="U120" s="39"/>
      <c r="V120" s="39"/>
      <c r="W120" s="39"/>
      <c r="X120" s="40"/>
      <c r="Y120" s="213"/>
      <c r="Z120" s="39"/>
      <c r="AA120" s="39"/>
      <c r="AB120" s="39"/>
      <c r="AC120" s="39"/>
      <c r="AD120" s="39">
        <f t="shared" ref="AD120" si="205">+AM120+BA120</f>
        <v>10</v>
      </c>
      <c r="AE120" s="230" t="s">
        <v>721</v>
      </c>
      <c r="AF120" s="35"/>
      <c r="AG120" s="35"/>
      <c r="AH120" s="35"/>
      <c r="AJ120" s="39"/>
      <c r="AK120" s="39">
        <v>10</v>
      </c>
      <c r="AL120" s="39"/>
      <c r="AM120" s="39">
        <f t="shared" ref="AM120" si="206">SUM(AF120:AL120)+AT120+AV120+AX120</f>
        <v>10</v>
      </c>
      <c r="AN120" s="39"/>
      <c r="AO120" s="39"/>
      <c r="AP120" s="39"/>
      <c r="AQ120" s="39"/>
      <c r="AR120" s="39">
        <f t="shared" ref="AR120" si="207">SUM(AN120:AQ120)</f>
        <v>0</v>
      </c>
      <c r="AS120" s="39"/>
      <c r="AT120" s="39"/>
      <c r="AU120" s="39"/>
      <c r="AV120" s="39"/>
      <c r="AW120" s="39"/>
      <c r="AX120" s="39"/>
      <c r="AY120" s="39"/>
      <c r="AZ120" s="39"/>
      <c r="BA120" s="39">
        <f t="shared" ref="BA120" si="208">+AR120+AS120+AU120+AW120+AY120+AZ120</f>
        <v>0</v>
      </c>
      <c r="BB120" s="35"/>
      <c r="BC120" s="486"/>
      <c r="BD120" s="486"/>
      <c r="BE120" s="35"/>
      <c r="BF120" s="486"/>
    </row>
    <row r="121" spans="1:58" ht="12.95" customHeight="1">
      <c r="A121" s="42"/>
      <c r="B121" s="554"/>
      <c r="C121" s="555"/>
      <c r="D121" s="554"/>
      <c r="E121" s="44"/>
      <c r="F121" s="44"/>
      <c r="G121" s="556"/>
      <c r="H121" s="557"/>
      <c r="I121" s="47"/>
      <c r="J121" s="86"/>
      <c r="K121" s="86"/>
      <c r="L121" s="558"/>
      <c r="M121" s="558"/>
      <c r="N121" s="48"/>
      <c r="O121" s="49"/>
      <c r="P121" s="50"/>
      <c r="Q121" s="49"/>
      <c r="R121" s="559"/>
      <c r="S121" s="559"/>
      <c r="T121" s="39"/>
      <c r="U121" s="39"/>
      <c r="V121" s="39"/>
      <c r="W121" s="39"/>
      <c r="X121" s="370"/>
      <c r="Y121" s="213"/>
      <c r="Z121" s="39"/>
      <c r="AA121" s="39"/>
      <c r="AB121" s="39"/>
      <c r="AC121" s="39"/>
      <c r="AD121" s="39"/>
      <c r="AE121" s="230"/>
      <c r="AF121" s="39"/>
      <c r="AG121" s="39"/>
      <c r="AH121" s="39"/>
      <c r="AI121" s="485"/>
      <c r="AJ121" s="39"/>
      <c r="AK121" s="39"/>
      <c r="AL121" s="39"/>
      <c r="AM121" s="39"/>
      <c r="AN121" s="87"/>
      <c r="AO121" s="39"/>
      <c r="AP121" s="39"/>
      <c r="AQ121" s="39"/>
      <c r="AR121" s="39"/>
      <c r="AS121" s="39"/>
      <c r="AT121" s="39"/>
      <c r="AU121" s="39"/>
      <c r="AV121" s="39"/>
      <c r="AW121" s="39"/>
      <c r="AX121" s="39"/>
      <c r="AY121" s="39"/>
      <c r="AZ121" s="39"/>
      <c r="BA121" s="39"/>
      <c r="BB121" s="52"/>
      <c r="BC121" s="53"/>
      <c r="BD121" s="53"/>
      <c r="BE121" s="53"/>
      <c r="BF121" s="53"/>
    </row>
    <row r="122" spans="1:58" ht="12" customHeight="1">
      <c r="A122" s="42">
        <v>45956</v>
      </c>
      <c r="B122" s="43" t="s">
        <v>460</v>
      </c>
      <c r="C122" s="402">
        <f t="shared" ref="C122" si="209">(M122*E122*O122*Q122)/100000000</f>
        <v>28.841566016249999</v>
      </c>
      <c r="D122" s="43" t="s">
        <v>462</v>
      </c>
      <c r="E122" s="44">
        <v>13</v>
      </c>
      <c r="F122" s="44">
        <v>1</v>
      </c>
      <c r="G122" s="415">
        <v>1350</v>
      </c>
      <c r="H122" s="557">
        <f t="shared" ref="H122" si="210">+N122</f>
        <v>0.24829943944726895</v>
      </c>
      <c r="I122" s="47">
        <v>0.88</v>
      </c>
      <c r="J122" s="86">
        <f t="shared" ref="J122" si="211">E122*G122*(1-H122)*1440/1000000*2.74</f>
        <v>52.051715791630819</v>
      </c>
      <c r="K122" s="86">
        <f t="shared" ref="K122" si="212">(IF(G122&lt;L122,L122,G122)*(1-IF(H122&lt;N122,H122,N122))*E122*O122*Q122)/100000000</f>
        <v>48.727244892530308</v>
      </c>
      <c r="L122" s="37">
        <v>799.0625</v>
      </c>
      <c r="M122" s="37">
        <v>600.65572916666667</v>
      </c>
      <c r="N122" s="48">
        <f t="shared" ref="N122" si="213">1-(M122/L122)</f>
        <v>0.24829943944726895</v>
      </c>
      <c r="O122" s="49">
        <f>+'Trim Rwd'!H75</f>
        <v>256.5</v>
      </c>
      <c r="P122" s="50">
        <f t="shared" ref="P122" si="214">O122*(Q122-R122-S122)</f>
        <v>349353</v>
      </c>
      <c r="Q122" s="49">
        <v>1440</v>
      </c>
      <c r="R122" s="371">
        <v>0</v>
      </c>
      <c r="S122" s="371">
        <v>78</v>
      </c>
      <c r="T122" s="39">
        <f t="shared" ref="T122" si="215">E122*M122*O122*Q122/100000000</f>
        <v>28.841566016249999</v>
      </c>
      <c r="U122" s="39">
        <f t="shared" ref="U122" si="216">E122*M122*O122*(Q122-R122-S122)/100000000</f>
        <v>27.279314523703121</v>
      </c>
      <c r="V122" s="39">
        <f t="shared" ref="V122" si="217">E122*G122*(1-N122)*O122/100*(R122+S122)/1000000</f>
        <v>2.6393924316787243</v>
      </c>
      <c r="W122" s="39">
        <f>+'26'!K16/1000</f>
        <v>24.103000000000002</v>
      </c>
      <c r="X122" s="370">
        <f>SUM(W122:W125)/SUM(K122:K125)</f>
        <v>0.49465140196536939</v>
      </c>
      <c r="Y122" s="39">
        <f>+SUM(RBP!AG73:AG74)</f>
        <v>0</v>
      </c>
      <c r="Z122" s="39">
        <f>+'17'!D73/1000</f>
        <v>0</v>
      </c>
      <c r="AA122" s="51">
        <f>SUM(U122:U125)-SUM(W122:W125)-SUM(Z122:Z125)-SUM(Y122:Y125)</f>
        <v>3.1763145237031196</v>
      </c>
      <c r="AB122" s="51">
        <f>(SUM(K122:K125)-SUM(W122:W125)-SUM(Y122:Y125)-SUM(Z122:Z125)-SUM(AC122:AC125)-SUM(V122:V125))-AA122</f>
        <v>-1.0771409391318465</v>
      </c>
      <c r="AC122" s="39">
        <f>K122-T122</f>
        <v>19.885678876280309</v>
      </c>
      <c r="AD122" s="39">
        <f>+AM122+BA122</f>
        <v>29</v>
      </c>
      <c r="AE122" s="230" t="s">
        <v>722</v>
      </c>
      <c r="AF122" s="39">
        <v>29</v>
      </c>
      <c r="AG122" s="39"/>
      <c r="AH122" s="39"/>
      <c r="AI122" s="485"/>
      <c r="AJ122" s="39"/>
      <c r="AK122" s="39"/>
      <c r="AL122" s="39"/>
      <c r="AM122" s="39">
        <f>SUM(AF122:AL122)+AT122+AV122+AX122</f>
        <v>29</v>
      </c>
      <c r="AN122" s="39"/>
      <c r="AO122" s="39"/>
      <c r="AP122" s="39"/>
      <c r="AQ122" s="39"/>
      <c r="AR122" s="39">
        <f>SUM(AN122:AQ122)</f>
        <v>0</v>
      </c>
      <c r="AS122" s="39"/>
      <c r="AT122" s="39"/>
      <c r="AU122" s="39"/>
      <c r="AV122" s="39"/>
      <c r="AW122" s="39"/>
      <c r="AX122" s="39"/>
      <c r="AY122" s="39"/>
      <c r="AZ122" s="39"/>
      <c r="BA122" s="39">
        <f>+AR122+AS122+AU122+AW122+AY122+AZ122</f>
        <v>0</v>
      </c>
      <c r="BB122" s="35">
        <v>8</v>
      </c>
      <c r="BC122" s="53"/>
      <c r="BD122" s="53"/>
      <c r="BE122" s="35"/>
      <c r="BF122" s="53">
        <v>3</v>
      </c>
    </row>
    <row r="123" spans="1:58" ht="12.95" customHeight="1">
      <c r="A123" s="42"/>
      <c r="B123" s="43"/>
      <c r="C123" s="402"/>
      <c r="D123" s="43"/>
      <c r="E123" s="44"/>
      <c r="F123" s="44"/>
      <c r="G123" s="415"/>
      <c r="H123" s="557"/>
      <c r="I123" s="47"/>
      <c r="J123" s="86"/>
      <c r="K123" s="86"/>
      <c r="L123" s="37"/>
      <c r="M123" s="37"/>
      <c r="N123" s="48"/>
      <c r="O123" s="49"/>
      <c r="P123" s="50"/>
      <c r="Q123" s="49"/>
      <c r="R123" s="371"/>
      <c r="S123" s="371"/>
      <c r="T123" s="39"/>
      <c r="U123" s="39"/>
      <c r="V123" s="39"/>
      <c r="W123" s="39"/>
      <c r="X123" s="40"/>
      <c r="Y123" s="213"/>
      <c r="Z123" s="39"/>
      <c r="AA123" s="39"/>
      <c r="AB123" s="39"/>
      <c r="AC123" s="39"/>
      <c r="AD123" s="39">
        <f t="shared" ref="AD123:AD124" si="218">+AM123+BA123</f>
        <v>12</v>
      </c>
      <c r="AE123" s="230" t="s">
        <v>464</v>
      </c>
      <c r="AF123" s="39"/>
      <c r="AG123" s="39">
        <v>12</v>
      </c>
      <c r="AH123" s="39"/>
      <c r="AI123" s="485"/>
      <c r="AJ123" s="39"/>
      <c r="AK123" s="39"/>
      <c r="AL123" s="39"/>
      <c r="AM123" s="39">
        <f t="shared" ref="AM123:AM124" si="219">SUM(AF123:AL123)+AT123+AV123+AX123</f>
        <v>12</v>
      </c>
      <c r="AN123" s="87"/>
      <c r="AO123" s="39"/>
      <c r="AP123" s="39"/>
      <c r="AQ123" s="39"/>
      <c r="AR123" s="39">
        <f t="shared" ref="AR123:AR124" si="220">SUM(AN123:AQ123)</f>
        <v>0</v>
      </c>
      <c r="AS123" s="39"/>
      <c r="AT123" s="39"/>
      <c r="AU123" s="39"/>
      <c r="AV123" s="39"/>
      <c r="AW123" s="39"/>
      <c r="AX123" s="39"/>
      <c r="AY123" s="39"/>
      <c r="AZ123" s="39"/>
      <c r="BA123" s="39">
        <f t="shared" ref="BA123:BA124" si="221">+AR123+AS123+AU123+AW123+AY123+AZ123</f>
        <v>0</v>
      </c>
      <c r="BB123" s="52"/>
      <c r="BC123" s="53">
        <v>9</v>
      </c>
      <c r="BD123" s="53"/>
      <c r="BE123" s="52"/>
      <c r="BF123" s="53"/>
    </row>
    <row r="124" spans="1:58" ht="12.95" customHeight="1">
      <c r="A124" s="42"/>
      <c r="B124" s="43"/>
      <c r="C124" s="402"/>
      <c r="D124" s="43"/>
      <c r="E124" s="44"/>
      <c r="F124" s="44"/>
      <c r="G124" s="45"/>
      <c r="H124" s="46"/>
      <c r="I124" s="47"/>
      <c r="J124" s="86"/>
      <c r="K124" s="86"/>
      <c r="L124" s="37"/>
      <c r="M124" s="37"/>
      <c r="N124" s="48"/>
      <c r="O124" s="49"/>
      <c r="P124" s="50"/>
      <c r="Q124" s="49"/>
      <c r="R124" s="371"/>
      <c r="S124" s="371"/>
      <c r="T124" s="39"/>
      <c r="U124" s="39"/>
      <c r="V124" s="39"/>
      <c r="W124" s="39"/>
      <c r="X124" s="40"/>
      <c r="Y124" s="213"/>
      <c r="Z124" s="39"/>
      <c r="AA124" s="39"/>
      <c r="AB124" s="39"/>
      <c r="AC124" s="39"/>
      <c r="AD124" s="39">
        <f t="shared" si="218"/>
        <v>37</v>
      </c>
      <c r="AE124" s="230" t="s">
        <v>592</v>
      </c>
      <c r="AF124" s="35"/>
      <c r="AG124" s="35"/>
      <c r="AH124" s="35">
        <v>37</v>
      </c>
      <c r="AJ124" s="39"/>
      <c r="AK124" s="39"/>
      <c r="AL124" s="39"/>
      <c r="AM124" s="39">
        <f t="shared" si="219"/>
        <v>37</v>
      </c>
      <c r="AN124" s="39"/>
      <c r="AO124" s="39"/>
      <c r="AP124" s="39"/>
      <c r="AQ124" s="39"/>
      <c r="AR124" s="39">
        <f t="shared" si="220"/>
        <v>0</v>
      </c>
      <c r="AS124" s="39"/>
      <c r="AT124" s="39"/>
      <c r="AU124" s="39"/>
      <c r="AV124" s="39"/>
      <c r="AW124" s="39"/>
      <c r="AX124" s="39"/>
      <c r="AY124" s="39"/>
      <c r="AZ124" s="39"/>
      <c r="BA124" s="39">
        <f t="shared" si="221"/>
        <v>0</v>
      </c>
      <c r="BB124" s="35"/>
      <c r="BC124" s="486"/>
      <c r="BD124" s="486"/>
      <c r="BE124" s="35"/>
      <c r="BF124" s="486"/>
    </row>
    <row r="125" spans="1:58" ht="12.95" customHeight="1">
      <c r="A125" s="42"/>
      <c r="B125" s="43"/>
      <c r="C125" s="402"/>
      <c r="D125" s="43"/>
      <c r="E125" s="44"/>
      <c r="F125" s="44"/>
      <c r="G125" s="45"/>
      <c r="H125" s="46"/>
      <c r="I125" s="47"/>
      <c r="J125" s="86"/>
      <c r="K125" s="86"/>
      <c r="L125" s="37"/>
      <c r="M125" s="37"/>
      <c r="N125" s="48"/>
      <c r="O125" s="49"/>
      <c r="P125" s="50"/>
      <c r="Q125" s="49"/>
      <c r="R125" s="371"/>
      <c r="S125" s="371"/>
      <c r="T125" s="39"/>
      <c r="U125" s="39"/>
      <c r="V125" s="39"/>
      <c r="W125" s="39"/>
      <c r="X125" s="40"/>
      <c r="Y125" s="213"/>
      <c r="Z125" s="39"/>
      <c r="AA125" s="39"/>
      <c r="AB125" s="39"/>
      <c r="AC125" s="39"/>
      <c r="AD125" s="39"/>
      <c r="AE125" s="230"/>
      <c r="AF125" s="35"/>
      <c r="AG125" s="35"/>
      <c r="AH125" s="35"/>
      <c r="AJ125" s="39"/>
      <c r="AK125" s="39"/>
      <c r="AL125" s="39"/>
      <c r="AM125" s="39"/>
      <c r="AN125" s="39"/>
      <c r="AO125" s="39"/>
      <c r="AP125" s="39"/>
      <c r="AQ125" s="39"/>
      <c r="AR125" s="39"/>
      <c r="AS125" s="39"/>
      <c r="AT125" s="39"/>
      <c r="AU125" s="39"/>
      <c r="AV125" s="39"/>
      <c r="AW125" s="39"/>
      <c r="AX125" s="39"/>
      <c r="AY125" s="39"/>
      <c r="AZ125" s="39"/>
      <c r="BA125" s="39"/>
      <c r="BB125" s="35"/>
      <c r="BC125" s="486"/>
      <c r="BD125" s="486"/>
      <c r="BE125" s="35"/>
      <c r="BF125" s="486"/>
    </row>
    <row r="126" spans="1:58" ht="12" customHeight="1">
      <c r="A126" s="42">
        <v>45957</v>
      </c>
      <c r="B126" s="43" t="s">
        <v>460</v>
      </c>
      <c r="C126" s="402">
        <f t="shared" ref="C126" si="222">(M126*E126*O126*Q126)/100000000</f>
        <v>47.656435475249999</v>
      </c>
      <c r="D126" s="43" t="s">
        <v>462</v>
      </c>
      <c r="E126" s="44">
        <v>13</v>
      </c>
      <c r="F126" s="44">
        <v>1</v>
      </c>
      <c r="G126" s="415">
        <v>1350</v>
      </c>
      <c r="H126" s="557">
        <f t="shared" ref="H126" si="223">+N126</f>
        <v>0.23000000000000009</v>
      </c>
      <c r="I126" s="47">
        <v>0.88</v>
      </c>
      <c r="J126" s="86">
        <f t="shared" ref="J126" si="224">E126*G126*(1-H126)*1440/1000000*2.74</f>
        <v>53.318865599999995</v>
      </c>
      <c r="K126" s="86">
        <f t="shared" ref="K126" si="225">(IF(G126&lt;L126,L126,G126)*(1-IF(H126&lt;N126,H126,N126))*E126*O126*Q126)/100000000</f>
        <v>49.077592199999991</v>
      </c>
      <c r="L126" s="37">
        <v>1310.9075854700855</v>
      </c>
      <c r="M126" s="37">
        <v>1009.3988408119657</v>
      </c>
      <c r="N126" s="48">
        <f t="shared" ref="N126" si="226">1-(M126/L126)</f>
        <v>0.23000000000000009</v>
      </c>
      <c r="O126" s="49">
        <f>+'Trim Rwd'!H77</f>
        <v>252.20454545454547</v>
      </c>
      <c r="P126" s="50">
        <f t="shared" ref="P126" si="227">O126*(Q126-R126-S126)</f>
        <v>265066.97727272729</v>
      </c>
      <c r="Q126" s="49">
        <v>1440</v>
      </c>
      <c r="R126" s="371">
        <f>150+135</f>
        <v>285</v>
      </c>
      <c r="S126" s="371">
        <v>104</v>
      </c>
      <c r="T126" s="39">
        <f t="shared" ref="T126" si="228">E126*M126*O126*Q126/100000000</f>
        <v>47.656435475249999</v>
      </c>
      <c r="U126" s="39">
        <f t="shared" ref="U126" si="229">E126*M126*O126*(Q126-R126-S126)/100000000</f>
        <v>34.782578947560935</v>
      </c>
      <c r="V126" s="39">
        <f t="shared" ref="V126" si="230">E126*G126*(1-N126)*O126/100*(R126+S126)/1000000</f>
        <v>13.257766226249998</v>
      </c>
      <c r="W126" s="39">
        <f>+'27'!K19/1000</f>
        <v>27.523</v>
      </c>
      <c r="X126" s="370">
        <f>SUM(W126:W129)/SUM(K126:K129)</f>
        <v>0.56080583350215796</v>
      </c>
      <c r="Y126" s="39">
        <f>+SUM(RBP!AG77:AG78)</f>
        <v>0</v>
      </c>
      <c r="Z126" s="39">
        <f>+'27'!D7/1000</f>
        <v>1.3</v>
      </c>
      <c r="AA126" s="51">
        <f>SUM(U126:U129)-SUM(W126:W129)-SUM(Z126:Z129)-SUM(Y126:Y129)</f>
        <v>5.959578947560936</v>
      </c>
      <c r="AB126" s="51">
        <f>(SUM(K126:K129)-SUM(W126:W129)-SUM(Y126:Y129)-SUM(Z126:Z129)-SUM(AC126:AC129)-SUM(V126:V129))-AA126</f>
        <v>-0.38390969856093538</v>
      </c>
      <c r="AC126" s="39">
        <f>K126-T126</f>
        <v>1.4211567247499914</v>
      </c>
      <c r="AD126" s="39">
        <f>+AM126+BA126</f>
        <v>25</v>
      </c>
      <c r="AE126" s="230" t="s">
        <v>506</v>
      </c>
      <c r="AF126" s="39">
        <v>25</v>
      </c>
      <c r="AG126" s="39"/>
      <c r="AH126" s="39"/>
      <c r="AI126" s="485"/>
      <c r="AJ126" s="39"/>
      <c r="AK126" s="39"/>
      <c r="AL126" s="39"/>
      <c r="AM126" s="39">
        <f>SUM(AF126:AL126)+AT126+AV126+AX126</f>
        <v>25</v>
      </c>
      <c r="AN126" s="39"/>
      <c r="AO126" s="39"/>
      <c r="AP126" s="39"/>
      <c r="AQ126" s="39"/>
      <c r="AR126" s="39">
        <f>SUM(AN126:AQ126)</f>
        <v>0</v>
      </c>
      <c r="AS126" s="39"/>
      <c r="AT126" s="39"/>
      <c r="AU126" s="39"/>
      <c r="AV126" s="39"/>
      <c r="AW126" s="39"/>
      <c r="AX126" s="39"/>
      <c r="AY126" s="39"/>
      <c r="AZ126" s="39"/>
      <c r="BA126" s="39">
        <f>+AR126+AS126+AU126+AW126+AY126+AZ126</f>
        <v>0</v>
      </c>
      <c r="BB126" s="35">
        <v>5</v>
      </c>
      <c r="BC126" s="53"/>
      <c r="BD126" s="53"/>
      <c r="BE126" s="35"/>
      <c r="BF126" s="53"/>
    </row>
    <row r="127" spans="1:58" ht="12.95" customHeight="1">
      <c r="A127" s="42"/>
      <c r="B127" s="43"/>
      <c r="C127" s="402"/>
      <c r="D127" s="43"/>
      <c r="E127" s="44"/>
      <c r="F127" s="44"/>
      <c r="G127" s="415"/>
      <c r="H127" s="557"/>
      <c r="I127" s="47"/>
      <c r="J127" s="86"/>
      <c r="K127" s="86"/>
      <c r="L127" s="37"/>
      <c r="M127" s="37"/>
      <c r="N127" s="48"/>
      <c r="O127" s="49"/>
      <c r="P127" s="50"/>
      <c r="Q127" s="49"/>
      <c r="R127" s="371"/>
      <c r="S127" s="371"/>
      <c r="T127" s="39"/>
      <c r="U127" s="39"/>
      <c r="V127" s="39"/>
      <c r="W127" s="39"/>
      <c r="X127" s="40"/>
      <c r="Y127" s="213"/>
      <c r="Z127" s="39"/>
      <c r="AA127" s="39"/>
      <c r="AB127" s="39"/>
      <c r="AC127" s="39"/>
      <c r="AD127" s="39">
        <f t="shared" ref="AD127:AD128" si="231">+AM127+BA127</f>
        <v>18</v>
      </c>
      <c r="AE127" s="230" t="s">
        <v>482</v>
      </c>
      <c r="AF127" s="39"/>
      <c r="AG127" s="39">
        <v>18</v>
      </c>
      <c r="AH127" s="39"/>
      <c r="AI127" s="39"/>
      <c r="AJ127" s="39"/>
      <c r="AK127" s="39"/>
      <c r="AL127" s="39"/>
      <c r="AM127" s="39">
        <f t="shared" ref="AM127:AM128" si="232">SUM(AF127:AL127)+AT127+AV127+AX127</f>
        <v>18</v>
      </c>
      <c r="AN127" s="87"/>
      <c r="AO127" s="39"/>
      <c r="AP127" s="39"/>
      <c r="AQ127" s="39"/>
      <c r="AR127" s="39">
        <f t="shared" ref="AR127:AR128" si="233">SUM(AN127:AQ127)</f>
        <v>0</v>
      </c>
      <c r="AS127" s="39"/>
      <c r="AT127" s="39"/>
      <c r="AU127" s="39"/>
      <c r="AV127" s="39"/>
      <c r="AW127" s="39"/>
      <c r="AX127" s="39"/>
      <c r="AY127" s="39"/>
      <c r="AZ127" s="39"/>
      <c r="BA127" s="39">
        <f t="shared" ref="BA127:BA128" si="234">+AR127+AS127+AU127+AW127+AY127+AZ127</f>
        <v>0</v>
      </c>
      <c r="BB127" s="52"/>
      <c r="BC127" s="53">
        <v>6</v>
      </c>
      <c r="BD127" s="53"/>
      <c r="BE127" s="52"/>
      <c r="BF127" s="53"/>
    </row>
    <row r="128" spans="1:58" ht="12.95" customHeight="1">
      <c r="A128" s="42"/>
      <c r="B128" s="43"/>
      <c r="C128" s="402"/>
      <c r="D128" s="43"/>
      <c r="E128" s="44"/>
      <c r="F128" s="44"/>
      <c r="G128" s="45"/>
      <c r="H128" s="46"/>
      <c r="I128" s="47"/>
      <c r="J128" s="86"/>
      <c r="K128" s="86"/>
      <c r="L128" s="37"/>
      <c r="M128" s="37"/>
      <c r="N128" s="48"/>
      <c r="O128" s="49"/>
      <c r="P128" s="50"/>
      <c r="Q128" s="49"/>
      <c r="R128" s="371"/>
      <c r="S128" s="371"/>
      <c r="T128" s="39"/>
      <c r="U128" s="39"/>
      <c r="V128" s="39"/>
      <c r="W128" s="39"/>
      <c r="X128" s="40"/>
      <c r="Y128" s="213"/>
      <c r="Z128" s="39"/>
      <c r="AA128" s="39"/>
      <c r="AB128" s="39"/>
      <c r="AC128" s="39"/>
      <c r="AD128" s="39">
        <f t="shared" si="231"/>
        <v>61</v>
      </c>
      <c r="AE128" s="230" t="s">
        <v>738</v>
      </c>
      <c r="AF128" s="35"/>
      <c r="AG128" s="35"/>
      <c r="AH128" s="35">
        <v>61</v>
      </c>
      <c r="AI128" s="35"/>
      <c r="AJ128" s="39"/>
      <c r="AK128" s="39"/>
      <c r="AL128" s="39"/>
      <c r="AM128" s="39">
        <f t="shared" si="232"/>
        <v>61</v>
      </c>
      <c r="AN128" s="39"/>
      <c r="AO128" s="39"/>
      <c r="AP128" s="39"/>
      <c r="AQ128" s="39"/>
      <c r="AR128" s="39">
        <f t="shared" si="233"/>
        <v>0</v>
      </c>
      <c r="AS128" s="39"/>
      <c r="AT128" s="39"/>
      <c r="AU128" s="39"/>
      <c r="AV128" s="39"/>
      <c r="AW128" s="39"/>
      <c r="AX128" s="39"/>
      <c r="AY128" s="39"/>
      <c r="AZ128" s="39"/>
      <c r="BA128" s="39">
        <f t="shared" si="234"/>
        <v>0</v>
      </c>
      <c r="BB128" s="35"/>
      <c r="BC128" s="486"/>
      <c r="BD128" s="486"/>
      <c r="BE128" s="35"/>
      <c r="BF128" s="486"/>
    </row>
    <row r="129" spans="1:58" ht="12.95" customHeight="1">
      <c r="A129" s="42"/>
      <c r="B129" s="43"/>
      <c r="C129" s="402"/>
      <c r="D129" s="43"/>
      <c r="E129" s="44"/>
      <c r="F129" s="44"/>
      <c r="G129" s="45"/>
      <c r="H129" s="46"/>
      <c r="I129" s="47"/>
      <c r="J129" s="86"/>
      <c r="K129" s="86"/>
      <c r="L129" s="37"/>
      <c r="M129" s="37"/>
      <c r="N129" s="48"/>
      <c r="O129" s="49"/>
      <c r="P129" s="50"/>
      <c r="Q129" s="49"/>
      <c r="R129" s="371"/>
      <c r="S129" s="371"/>
      <c r="T129" s="39"/>
      <c r="U129" s="39"/>
      <c r="V129" s="39"/>
      <c r="W129" s="39"/>
      <c r="X129" s="40"/>
      <c r="Y129" s="213"/>
      <c r="Z129" s="39"/>
      <c r="AA129" s="39"/>
      <c r="AB129" s="39"/>
      <c r="AC129" s="39"/>
      <c r="AD129" s="39">
        <f t="shared" ref="AD129" si="235">+AM129+BA129</f>
        <v>150</v>
      </c>
      <c r="AE129" s="230" t="s">
        <v>739</v>
      </c>
      <c r="AF129" s="35"/>
      <c r="AG129" s="35"/>
      <c r="AH129" s="35"/>
      <c r="AI129" s="35"/>
      <c r="AJ129" s="39"/>
      <c r="AK129" s="39"/>
      <c r="AL129" s="39"/>
      <c r="AM129" s="39">
        <f t="shared" ref="AM129" si="236">SUM(AF129:AL129)+AT129+AV129+AX129</f>
        <v>0</v>
      </c>
      <c r="AN129" s="39">
        <v>150</v>
      </c>
      <c r="AO129" s="39"/>
      <c r="AP129" s="39"/>
      <c r="AQ129" s="39"/>
      <c r="AR129" s="39">
        <f t="shared" ref="AR129" si="237">SUM(AN129:AQ129)</f>
        <v>150</v>
      </c>
      <c r="AS129" s="39"/>
      <c r="AT129" s="39"/>
      <c r="AU129" s="39"/>
      <c r="AV129" s="39"/>
      <c r="AW129" s="39"/>
      <c r="AX129" s="39"/>
      <c r="AY129" s="39"/>
      <c r="AZ129" s="39"/>
      <c r="BA129" s="39">
        <f t="shared" ref="BA129" si="238">+AR129+AS129+AU129+AW129+AY129+AZ129</f>
        <v>150</v>
      </c>
      <c r="BB129" s="35"/>
      <c r="BC129" s="486"/>
      <c r="BD129" s="486"/>
      <c r="BE129" s="35"/>
      <c r="BF129" s="486">
        <v>3</v>
      </c>
    </row>
    <row r="130" spans="1:58" ht="12.95" customHeight="1">
      <c r="A130" s="42"/>
      <c r="B130" s="43"/>
      <c r="C130" s="402"/>
      <c r="D130" s="43"/>
      <c r="E130" s="44"/>
      <c r="F130" s="44"/>
      <c r="G130" s="45"/>
      <c r="H130" s="46"/>
      <c r="I130" s="47"/>
      <c r="J130" s="86"/>
      <c r="K130" s="86"/>
      <c r="L130" s="37"/>
      <c r="M130" s="37"/>
      <c r="N130" s="48"/>
      <c r="O130" s="49"/>
      <c r="P130" s="50"/>
      <c r="Q130" s="49"/>
      <c r="R130" s="371"/>
      <c r="S130" s="371"/>
      <c r="T130" s="39"/>
      <c r="U130" s="39"/>
      <c r="V130" s="39"/>
      <c r="W130" s="39"/>
      <c r="X130" s="40"/>
      <c r="Y130" s="213"/>
      <c r="Z130" s="39"/>
      <c r="AA130" s="39"/>
      <c r="AB130" s="39"/>
      <c r="AC130" s="39"/>
      <c r="AD130" s="39">
        <f t="shared" ref="AD130" si="239">+AM130+BA130</f>
        <v>135</v>
      </c>
      <c r="AE130" s="230" t="s">
        <v>740</v>
      </c>
      <c r="AF130" s="35"/>
      <c r="AG130" s="35"/>
      <c r="AH130" s="35"/>
      <c r="AI130" s="35"/>
      <c r="AJ130" s="39"/>
      <c r="AK130" s="39"/>
      <c r="AL130" s="39"/>
      <c r="AM130" s="39">
        <f t="shared" ref="AM130" si="240">SUM(AF130:AL130)+AT130+AV130+AX130</f>
        <v>0</v>
      </c>
      <c r="AN130" s="39"/>
      <c r="AO130" s="39">
        <v>135</v>
      </c>
      <c r="AP130" s="39"/>
      <c r="AQ130" s="39"/>
      <c r="AR130" s="39">
        <f t="shared" ref="AR130" si="241">SUM(AN130:AQ130)</f>
        <v>135</v>
      </c>
      <c r="AS130" s="39"/>
      <c r="AT130" s="39"/>
      <c r="AU130" s="39"/>
      <c r="AV130" s="39"/>
      <c r="AW130" s="39"/>
      <c r="AX130" s="39"/>
      <c r="AY130" s="39"/>
      <c r="AZ130" s="39"/>
      <c r="BA130" s="39">
        <f t="shared" ref="BA130" si="242">+AR130+AS130+AU130+AW130+AY130+AZ130</f>
        <v>135</v>
      </c>
      <c r="BB130" s="35"/>
      <c r="BC130" s="486"/>
      <c r="BD130" s="486"/>
      <c r="BE130" s="35"/>
      <c r="BF130" s="486"/>
    </row>
    <row r="131" spans="1:58" ht="12.95" customHeight="1">
      <c r="A131" s="42"/>
      <c r="B131" s="43"/>
      <c r="C131" s="402"/>
      <c r="D131" s="43"/>
      <c r="E131" s="44"/>
      <c r="F131" s="44"/>
      <c r="G131" s="45"/>
      <c r="H131" s="557"/>
      <c r="I131" s="47"/>
      <c r="J131" s="86"/>
      <c r="K131" s="86"/>
      <c r="L131" s="37"/>
      <c r="M131" s="37"/>
      <c r="N131" s="48"/>
      <c r="O131" s="49"/>
      <c r="P131" s="50"/>
      <c r="Q131" s="49"/>
      <c r="R131" s="371"/>
      <c r="S131" s="371"/>
      <c r="T131" s="39"/>
      <c r="U131" s="39"/>
      <c r="V131" s="39"/>
      <c r="W131" s="39"/>
      <c r="X131" s="40"/>
      <c r="Y131" s="213"/>
      <c r="Z131" s="39"/>
      <c r="AA131" s="39"/>
      <c r="AB131" s="39"/>
      <c r="AC131" s="39"/>
      <c r="AD131" s="39"/>
      <c r="AE131" s="22"/>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5"/>
      <c r="BC131" s="53"/>
      <c r="BD131" s="53"/>
      <c r="BE131" s="53"/>
      <c r="BF131" s="53"/>
    </row>
    <row r="132" spans="1:58" ht="12" customHeight="1">
      <c r="A132" s="42">
        <v>45958</v>
      </c>
      <c r="B132" s="43" t="s">
        <v>460</v>
      </c>
      <c r="C132" s="402">
        <f t="shared" ref="C132" si="243">(M132*E132*O132*Q132)/100000000</f>
        <v>47.443063960975607</v>
      </c>
      <c r="D132" s="43" t="s">
        <v>462</v>
      </c>
      <c r="E132" s="44">
        <v>13</v>
      </c>
      <c r="F132" s="44">
        <v>1</v>
      </c>
      <c r="G132" s="415">
        <v>1350</v>
      </c>
      <c r="H132" s="557">
        <f t="shared" ref="H132" si="244">+N132</f>
        <v>0.23000000000000009</v>
      </c>
      <c r="I132" s="47">
        <v>0.88</v>
      </c>
      <c r="J132" s="86">
        <f t="shared" ref="J132" si="245">E132*G132*(1-H132)*1440/1000000*2.74</f>
        <v>53.318865599999995</v>
      </c>
      <c r="K132" s="86">
        <f t="shared" ref="K132" si="246">(IF(G132&lt;L132,L132,G132)*(1-IF(H132&lt;N132,H132,N132))*E132*O132*Q132)/100000000</f>
        <v>49.016430878048766</v>
      </c>
      <c r="L132" s="37">
        <v>1306.6666666666667</v>
      </c>
      <c r="M132" s="37">
        <v>1006.1333333333333</v>
      </c>
      <c r="N132" s="48">
        <f t="shared" ref="N132" si="247">1-(M132/L132)</f>
        <v>0.23000000000000009</v>
      </c>
      <c r="O132" s="49">
        <f>+'Trim Rwd'!H80</f>
        <v>251.89024390243901</v>
      </c>
      <c r="P132" s="50">
        <f t="shared" ref="P132" si="248">O132*(Q132-R132-S132)</f>
        <v>349371.76829268289</v>
      </c>
      <c r="Q132" s="49">
        <v>1440</v>
      </c>
      <c r="R132" s="371">
        <v>0</v>
      </c>
      <c r="S132" s="371">
        <v>53</v>
      </c>
      <c r="T132" s="39">
        <f t="shared" ref="T132" si="249">E132*M132*O132*Q132/100000000</f>
        <v>47.443063960975607</v>
      </c>
      <c r="U132" s="39">
        <f t="shared" ref="U132" si="250">E132*M132*O132*(Q132-R132-S132)/100000000</f>
        <v>45.696895634634139</v>
      </c>
      <c r="V132" s="39">
        <f t="shared" ref="V132" si="251">E132*G132*(1-N132)*O132/100*(R132+S132)/1000000</f>
        <v>1.8040769698170729</v>
      </c>
      <c r="W132" s="39">
        <f>+'28'!K19/1000</f>
        <v>50.752000000000002</v>
      </c>
      <c r="X132" s="370">
        <f>SUM(W132:W135)/SUM(K132:K135)</f>
        <v>1.0354079048772293</v>
      </c>
      <c r="Y132" s="39">
        <f>+SUM(RBP!AG83:AG84)</f>
        <v>0</v>
      </c>
      <c r="Z132" s="39">
        <f>+'28'!D25/1000</f>
        <v>0.6</v>
      </c>
      <c r="AA132" s="51">
        <f>SUM(U132:U135)-SUM(W132:W135)-SUM(Z132:Z135)-SUM(Y132:Y135)</f>
        <v>-5.6551043653658635</v>
      </c>
      <c r="AB132" s="51">
        <f>(SUM(K132:K135)-SUM(W132:W135)-SUM(Y132:Y135)-SUM(Z132:Z135)-SUM(AC132:AC135)-SUM(V132:V135))-AA132</f>
        <v>-5.7908643475604649E-2</v>
      </c>
      <c r="AC132" s="39">
        <f>K132-T132</f>
        <v>1.5733669170731588</v>
      </c>
      <c r="AD132" s="39">
        <f>+AM132+BA132</f>
        <v>0</v>
      </c>
      <c r="AE132" s="230" t="s">
        <v>418</v>
      </c>
      <c r="AF132" s="39">
        <v>0</v>
      </c>
      <c r="AG132" s="39"/>
      <c r="AH132" s="39"/>
      <c r="AI132" s="485"/>
      <c r="AJ132" s="39"/>
      <c r="AK132" s="39"/>
      <c r="AL132" s="39"/>
      <c r="AM132" s="39">
        <f>SUM(AF132:AL132)+AT132+AV132+AX132</f>
        <v>0</v>
      </c>
      <c r="AN132" s="39"/>
      <c r="AO132" s="39"/>
      <c r="AP132" s="39"/>
      <c r="AQ132" s="39"/>
      <c r="AR132" s="39">
        <f>SUM(AN132:AQ132)</f>
        <v>0</v>
      </c>
      <c r="AS132" s="39"/>
      <c r="AT132" s="39"/>
      <c r="AU132" s="39"/>
      <c r="AV132" s="39"/>
      <c r="AW132" s="39"/>
      <c r="AX132" s="39"/>
      <c r="AY132" s="39"/>
      <c r="AZ132" s="39"/>
      <c r="BA132" s="39">
        <f>+AR132+AS132+AU132+AW132+AY132+AZ132</f>
        <v>0</v>
      </c>
      <c r="BB132" s="35">
        <v>0</v>
      </c>
      <c r="BC132" s="53"/>
      <c r="BD132" s="53"/>
      <c r="BE132" s="35"/>
      <c r="BF132" s="53"/>
    </row>
    <row r="133" spans="1:58" ht="12.95" customHeight="1">
      <c r="A133" s="42"/>
      <c r="B133" s="43"/>
      <c r="C133" s="402"/>
      <c r="D133" s="43"/>
      <c r="E133" s="44"/>
      <c r="F133" s="44"/>
      <c r="G133" s="415"/>
      <c r="H133" s="557"/>
      <c r="I133" s="47"/>
      <c r="J133" s="86"/>
      <c r="K133" s="86"/>
      <c r="L133" s="37"/>
      <c r="M133" s="37"/>
      <c r="N133" s="48"/>
      <c r="O133" s="49"/>
      <c r="P133" s="50"/>
      <c r="Q133" s="49"/>
      <c r="R133" s="371"/>
      <c r="S133" s="371"/>
      <c r="T133" s="39"/>
      <c r="U133" s="39"/>
      <c r="V133" s="39"/>
      <c r="W133" s="39"/>
      <c r="X133" s="40"/>
      <c r="Y133" s="213"/>
      <c r="Z133" s="39"/>
      <c r="AA133" s="39"/>
      <c r="AB133" s="39"/>
      <c r="AC133" s="39"/>
      <c r="AD133" s="39">
        <f t="shared" ref="AD133:AD134" si="252">+AM133+BA133</f>
        <v>19</v>
      </c>
      <c r="AE133" s="230" t="s">
        <v>512</v>
      </c>
      <c r="AF133" s="39"/>
      <c r="AG133" s="39">
        <v>19</v>
      </c>
      <c r="AH133" s="39"/>
      <c r="AI133" s="39"/>
      <c r="AJ133" s="39"/>
      <c r="AK133" s="39"/>
      <c r="AL133" s="39"/>
      <c r="AM133" s="39">
        <f t="shared" ref="AM133:AM134" si="253">SUM(AF133:AL133)+AT133+AV133+AX133</f>
        <v>19</v>
      </c>
      <c r="AN133" s="87"/>
      <c r="AO133" s="39"/>
      <c r="AP133" s="39"/>
      <c r="AQ133" s="39"/>
      <c r="AR133" s="39">
        <f t="shared" ref="AR133:AR134" si="254">SUM(AN133:AQ133)</f>
        <v>0</v>
      </c>
      <c r="AS133" s="39"/>
      <c r="AT133" s="39"/>
      <c r="AU133" s="39"/>
      <c r="AV133" s="39"/>
      <c r="AW133" s="39"/>
      <c r="AX133" s="39"/>
      <c r="AY133" s="39"/>
      <c r="AZ133" s="39"/>
      <c r="BA133" s="39">
        <f t="shared" ref="BA133:BA134" si="255">+AR133+AS133+AU133+AW133+AY133+AZ133</f>
        <v>0</v>
      </c>
      <c r="BB133" s="52"/>
      <c r="BC133" s="53">
        <v>12</v>
      </c>
      <c r="BD133" s="53"/>
      <c r="BE133" s="52"/>
      <c r="BF133" s="53"/>
    </row>
    <row r="134" spans="1:58" ht="12.95" customHeight="1">
      <c r="A134" s="42"/>
      <c r="B134" s="43"/>
      <c r="C134" s="402"/>
      <c r="D134" s="43"/>
      <c r="E134" s="44"/>
      <c r="F134" s="44"/>
      <c r="G134" s="45"/>
      <c r="H134" s="46"/>
      <c r="I134" s="47"/>
      <c r="J134" s="86"/>
      <c r="K134" s="86"/>
      <c r="L134" s="37"/>
      <c r="M134" s="37"/>
      <c r="N134" s="48"/>
      <c r="O134" s="49"/>
      <c r="P134" s="50"/>
      <c r="Q134" s="49"/>
      <c r="R134" s="371"/>
      <c r="S134" s="371"/>
      <c r="T134" s="39"/>
      <c r="U134" s="39"/>
      <c r="V134" s="39"/>
      <c r="W134" s="39"/>
      <c r="X134" s="40"/>
      <c r="Y134" s="213"/>
      <c r="Z134" s="39"/>
      <c r="AA134" s="39"/>
      <c r="AB134" s="39"/>
      <c r="AC134" s="39"/>
      <c r="AD134" s="39">
        <f t="shared" si="252"/>
        <v>34</v>
      </c>
      <c r="AE134" s="230" t="s">
        <v>754</v>
      </c>
      <c r="AF134" s="35"/>
      <c r="AG134" s="35"/>
      <c r="AH134" s="35">
        <v>34</v>
      </c>
      <c r="AI134" s="35"/>
      <c r="AJ134" s="39"/>
      <c r="AK134" s="39"/>
      <c r="AL134" s="39"/>
      <c r="AM134" s="39">
        <f t="shared" si="253"/>
        <v>34</v>
      </c>
      <c r="AN134" s="39"/>
      <c r="AO134" s="39"/>
      <c r="AP134" s="39"/>
      <c r="AQ134" s="39"/>
      <c r="AR134" s="39">
        <f t="shared" si="254"/>
        <v>0</v>
      </c>
      <c r="AS134" s="39"/>
      <c r="AT134" s="39"/>
      <c r="AU134" s="39"/>
      <c r="AV134" s="39"/>
      <c r="AW134" s="39"/>
      <c r="AX134" s="39"/>
      <c r="AY134" s="39"/>
      <c r="AZ134" s="39"/>
      <c r="BA134" s="39">
        <f t="shared" si="255"/>
        <v>0</v>
      </c>
      <c r="BB134" s="35"/>
      <c r="BC134" s="486"/>
      <c r="BD134" s="486"/>
      <c r="BE134" s="35"/>
      <c r="BF134" s="486"/>
    </row>
    <row r="135" spans="1:58" ht="12.95" customHeight="1">
      <c r="A135" s="42"/>
      <c r="B135" s="554"/>
      <c r="C135" s="555"/>
      <c r="D135" s="554"/>
      <c r="E135" s="44"/>
      <c r="F135" s="44"/>
      <c r="G135" s="556"/>
      <c r="H135" s="557"/>
      <c r="I135" s="47"/>
      <c r="J135" s="86"/>
      <c r="K135" s="86"/>
      <c r="L135" s="558"/>
      <c r="M135" s="558"/>
      <c r="N135" s="48"/>
      <c r="O135" s="49"/>
      <c r="P135" s="50"/>
      <c r="Q135" s="49"/>
      <c r="R135" s="559"/>
      <c r="S135" s="559"/>
      <c r="T135" s="39"/>
      <c r="U135" s="39"/>
      <c r="V135" s="39"/>
      <c r="W135" s="39"/>
      <c r="X135" s="40"/>
      <c r="Y135" s="213"/>
      <c r="Z135" s="39"/>
      <c r="AA135" s="51"/>
      <c r="AB135" s="51"/>
      <c r="AC135" s="39"/>
      <c r="AD135" s="39"/>
      <c r="AE135" s="22"/>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5"/>
      <c r="BC135" s="53"/>
      <c r="BD135" s="53"/>
      <c r="BE135" s="53"/>
      <c r="BF135" s="53"/>
    </row>
    <row r="136" spans="1:58" ht="12" customHeight="1">
      <c r="A136" s="42">
        <v>45959</v>
      </c>
      <c r="B136" s="43" t="s">
        <v>460</v>
      </c>
      <c r="C136" s="402">
        <f t="shared" ref="C136" si="256">(M136*E136*O136*Q136)/100000000</f>
        <v>36.467687024999996</v>
      </c>
      <c r="D136" s="43" t="s">
        <v>462</v>
      </c>
      <c r="E136" s="44">
        <v>13</v>
      </c>
      <c r="F136" s="44">
        <v>1</v>
      </c>
      <c r="G136" s="415">
        <v>1350</v>
      </c>
      <c r="H136" s="557">
        <f t="shared" ref="H136" si="257">+N136</f>
        <v>0.23000000000000009</v>
      </c>
      <c r="I136" s="47">
        <v>0.88</v>
      </c>
      <c r="J136" s="86">
        <f t="shared" ref="J136" si="258">E136*G136*(1-H136)*1440/1000000*2.74</f>
        <v>53.318865599999995</v>
      </c>
      <c r="K136" s="86">
        <f t="shared" ref="K136" si="259">(IF(G136&lt;L136,L136,G136)*(1-IF(H136&lt;N136,H136,N136))*E136*O136*Q136)/100000000</f>
        <v>37.380017193749993</v>
      </c>
      <c r="L136" s="37">
        <v>1317.0506912442397</v>
      </c>
      <c r="M136" s="37">
        <v>1014.1290322580645</v>
      </c>
      <c r="N136" s="48">
        <f t="shared" ref="N136" si="260">1-(M136/L136)</f>
        <v>0.23000000000000009</v>
      </c>
      <c r="O136" s="49">
        <f>+'Trim Rwd'!H83</f>
        <v>254.94230769230768</v>
      </c>
      <c r="P136" s="50">
        <f t="shared" ref="P136" si="261">O136*(Q136-R136-S136)</f>
        <v>267434.48076923075</v>
      </c>
      <c r="Q136" s="49">
        <v>1085</v>
      </c>
      <c r="R136" s="371">
        <v>0</v>
      </c>
      <c r="S136" s="371">
        <v>36</v>
      </c>
      <c r="T136" s="39">
        <f t="shared" ref="T136" si="262">E136*M136*O136*Q136/100000000</f>
        <v>36.467687024999996</v>
      </c>
      <c r="U136" s="39">
        <f t="shared" ref="U136" si="263">E136*M136*O136*(Q136-R136-S136)/100000000</f>
        <v>35.257699252741936</v>
      </c>
      <c r="V136" s="39">
        <f t="shared" ref="V136" si="264">E136*G136*(1-N136)*O136/100*(R136+S136)/1000000</f>
        <v>1.2402586349999998</v>
      </c>
      <c r="W136" s="39">
        <f>+'29'!K19/1000</f>
        <v>36.869</v>
      </c>
      <c r="X136" s="370">
        <f>SUM(W136:W139)/SUM(K136:K139)</f>
        <v>0.82954698594074572</v>
      </c>
      <c r="Y136" s="39">
        <f>+SUM(RBP!AG87:AG88)</f>
        <v>0</v>
      </c>
      <c r="Z136" s="39">
        <f>+'28'!D29/1000</f>
        <v>0</v>
      </c>
      <c r="AA136" s="51">
        <f>SUM(U136:U139)-SUM(W136:W139)-SUM(Z136:Z139)-SUM(Y136:Y139)</f>
        <v>5.8259366977419376</v>
      </c>
      <c r="AB136" s="51">
        <f>(SUM(K136:K139)-SUM(W136:W139)-SUM(Y136:Y139)-SUM(Z136:Z139)-SUM(AC136:AC139)-SUM(V136:V139))-AA136</f>
        <v>-3.5416002741942343E-2</v>
      </c>
      <c r="AC136" s="39">
        <f>K136-T136</f>
        <v>0.91233016874999606</v>
      </c>
      <c r="AD136" s="39">
        <f>+AM136+BA136</f>
        <v>0</v>
      </c>
      <c r="AE136" s="230" t="s">
        <v>418</v>
      </c>
      <c r="AF136" s="39">
        <v>0</v>
      </c>
      <c r="AG136" s="39"/>
      <c r="AH136" s="39"/>
      <c r="AI136" s="485"/>
      <c r="AJ136" s="39"/>
      <c r="AK136" s="39"/>
      <c r="AL136" s="39"/>
      <c r="AM136" s="39">
        <f>SUM(AF136:AL136)+AT136+AV136+AX136</f>
        <v>0</v>
      </c>
      <c r="AN136" s="39"/>
      <c r="AO136" s="39"/>
      <c r="AP136" s="39"/>
      <c r="AQ136" s="39"/>
      <c r="AR136" s="39">
        <f>SUM(AN136:AQ136)</f>
        <v>0</v>
      </c>
      <c r="AS136" s="39"/>
      <c r="AT136" s="39"/>
      <c r="AU136" s="39"/>
      <c r="AV136" s="39"/>
      <c r="AW136" s="39"/>
      <c r="AX136" s="39"/>
      <c r="AY136" s="39"/>
      <c r="AZ136" s="39"/>
      <c r="BA136" s="39">
        <f>+AR136+AS136+AU136+AW136+AY136+AZ136</f>
        <v>0</v>
      </c>
      <c r="BB136" s="35">
        <v>0</v>
      </c>
      <c r="BC136" s="53"/>
      <c r="BD136" s="53">
        <v>1</v>
      </c>
      <c r="BE136" s="35"/>
      <c r="BF136" s="53"/>
    </row>
    <row r="137" spans="1:58" ht="12.95" customHeight="1">
      <c r="A137" s="42"/>
      <c r="B137" s="43" t="s">
        <v>639</v>
      </c>
      <c r="C137" s="402">
        <f t="shared" ref="C137" si="265">(M137*E137*O137*Q137)/100000000</f>
        <v>12.146389254999997</v>
      </c>
      <c r="D137" s="43" t="s">
        <v>462</v>
      </c>
      <c r="E137" s="44">
        <v>13</v>
      </c>
      <c r="F137" s="44">
        <v>1</v>
      </c>
      <c r="G137" s="415">
        <v>1350</v>
      </c>
      <c r="H137" s="557">
        <f t="shared" ref="H137" si="266">+N137</f>
        <v>0.23000000000000009</v>
      </c>
      <c r="I137" s="47">
        <v>0.88</v>
      </c>
      <c r="J137" s="86">
        <f t="shared" ref="J137" si="267">E137*G137*(1-H137)*1440/1000000*2.74</f>
        <v>53.318865599999995</v>
      </c>
      <c r="K137" s="86">
        <f t="shared" ref="K137" si="268">(IF(G137&lt;L137,L137,G137)*(1-IF(H137&lt;N137,H137,N137))*E137*O137*Q137)/100000000</f>
        <v>12.329041724999998</v>
      </c>
      <c r="L137" s="37">
        <v>1330</v>
      </c>
      <c r="M137" s="37">
        <v>1024.0999999999999</v>
      </c>
      <c r="N137" s="48">
        <f t="shared" ref="N137" si="269">1-(M137/L137)</f>
        <v>0.23000000000000009</v>
      </c>
      <c r="O137" s="49">
        <f>+'Trim Rwd'!H85</f>
        <v>257</v>
      </c>
      <c r="P137" s="50">
        <f t="shared" ref="P137" si="270">O137*(Q137-R137-S137)</f>
        <v>88665</v>
      </c>
      <c r="Q137" s="49">
        <v>355</v>
      </c>
      <c r="R137" s="371">
        <v>0</v>
      </c>
      <c r="S137" s="371">
        <v>10</v>
      </c>
      <c r="T137" s="39">
        <f t="shared" ref="T137" si="271">E137*M137*O137*Q137/100000000</f>
        <v>12.146389254999997</v>
      </c>
      <c r="U137" s="39">
        <f t="shared" ref="U137" si="272">E137*M137*O137*(Q137-R137-S137)/100000000</f>
        <v>11.804237444999998</v>
      </c>
      <c r="V137" s="39">
        <f t="shared" ref="V137" si="273">E137*G137*(1-N137)*O137/100*(R137+S137)/1000000</f>
        <v>0.34729694999999994</v>
      </c>
      <c r="W137" s="39">
        <f>+'29'!K20/1000</f>
        <v>4.367</v>
      </c>
      <c r="X137" s="40"/>
      <c r="Y137" s="213"/>
      <c r="Z137" s="39"/>
      <c r="AA137" s="39"/>
      <c r="AB137" s="39"/>
      <c r="AC137" s="39">
        <f>K137-T137</f>
        <v>0.18265247000000073</v>
      </c>
      <c r="AD137" s="39">
        <f t="shared" ref="AD137:AD138" si="274">+AM137+BA137</f>
        <v>11</v>
      </c>
      <c r="AE137" s="230" t="s">
        <v>640</v>
      </c>
      <c r="AF137" s="39"/>
      <c r="AG137" s="39">
        <v>11</v>
      </c>
      <c r="AH137" s="39"/>
      <c r="AI137" s="39"/>
      <c r="AJ137" s="39"/>
      <c r="AK137" s="39"/>
      <c r="AL137" s="39"/>
      <c r="AM137" s="39">
        <f t="shared" ref="AM137:AM138" si="275">SUM(AF137:AL137)+AT137+AV137+AX137</f>
        <v>11</v>
      </c>
      <c r="AN137" s="87"/>
      <c r="AO137" s="39"/>
      <c r="AP137" s="39"/>
      <c r="AQ137" s="39"/>
      <c r="AR137" s="39">
        <f t="shared" ref="AR137:AR138" si="276">SUM(AN137:AQ137)</f>
        <v>0</v>
      </c>
      <c r="AS137" s="39"/>
      <c r="AT137" s="39"/>
      <c r="AU137" s="39"/>
      <c r="AV137" s="39"/>
      <c r="AW137" s="39"/>
      <c r="AX137" s="39"/>
      <c r="AY137" s="39"/>
      <c r="AZ137" s="39"/>
      <c r="BA137" s="39">
        <f t="shared" ref="BA137:BA138" si="277">+AR137+AS137+AU137+AW137+AY137+AZ137</f>
        <v>0</v>
      </c>
      <c r="BB137" s="52"/>
      <c r="BC137" s="53">
        <v>11</v>
      </c>
      <c r="BD137" s="53"/>
      <c r="BE137" s="52"/>
      <c r="BF137" s="53"/>
    </row>
    <row r="138" spans="1:58" ht="12.95" customHeight="1">
      <c r="A138" s="42"/>
      <c r="B138" s="43"/>
      <c r="C138" s="402"/>
      <c r="D138" s="43"/>
      <c r="E138" s="44"/>
      <c r="F138" s="44"/>
      <c r="G138" s="45"/>
      <c r="H138" s="46"/>
      <c r="I138" s="47"/>
      <c r="J138" s="86"/>
      <c r="K138" s="86"/>
      <c r="L138" s="37"/>
      <c r="M138" s="37"/>
      <c r="N138" s="48"/>
      <c r="O138" s="49"/>
      <c r="P138" s="50"/>
      <c r="Q138" s="49"/>
      <c r="R138" s="371"/>
      <c r="S138" s="371"/>
      <c r="T138" s="39"/>
      <c r="U138" s="39"/>
      <c r="V138" s="39"/>
      <c r="W138" s="39"/>
      <c r="X138" s="40"/>
      <c r="Y138" s="213"/>
      <c r="Z138" s="39"/>
      <c r="AA138" s="39"/>
      <c r="AB138" s="39"/>
      <c r="AC138" s="39"/>
      <c r="AD138" s="39">
        <f t="shared" si="274"/>
        <v>21</v>
      </c>
      <c r="AE138" s="230" t="s">
        <v>767</v>
      </c>
      <c r="AF138" s="35"/>
      <c r="AG138" s="35"/>
      <c r="AH138" s="35">
        <v>21</v>
      </c>
      <c r="AI138" s="35"/>
      <c r="AJ138" s="39"/>
      <c r="AK138" s="39"/>
      <c r="AL138" s="39"/>
      <c r="AM138" s="39">
        <f t="shared" si="275"/>
        <v>21</v>
      </c>
      <c r="AN138" s="39"/>
      <c r="AO138" s="39"/>
      <c r="AP138" s="39"/>
      <c r="AQ138" s="39"/>
      <c r="AR138" s="39">
        <f t="shared" si="276"/>
        <v>0</v>
      </c>
      <c r="AS138" s="39"/>
      <c r="AT138" s="39"/>
      <c r="AU138" s="39"/>
      <c r="AV138" s="39"/>
      <c r="AW138" s="39"/>
      <c r="AX138" s="39"/>
      <c r="AY138" s="39"/>
      <c r="AZ138" s="39"/>
      <c r="BA138" s="39">
        <f t="shared" si="277"/>
        <v>0</v>
      </c>
      <c r="BB138" s="35"/>
      <c r="BC138" s="486"/>
      <c r="BD138" s="486"/>
      <c r="BE138" s="35"/>
      <c r="BF138" s="486"/>
    </row>
    <row r="139" spans="1:58" ht="12.95" customHeight="1">
      <c r="A139" s="42"/>
      <c r="B139" s="43"/>
      <c r="C139" s="402"/>
      <c r="D139" s="43"/>
      <c r="E139" s="44"/>
      <c r="F139" s="44"/>
      <c r="G139" s="45"/>
      <c r="H139" s="46"/>
      <c r="I139" s="47"/>
      <c r="J139" s="86"/>
      <c r="K139" s="86"/>
      <c r="L139" s="37"/>
      <c r="M139" s="37"/>
      <c r="N139" s="48"/>
      <c r="O139" s="49"/>
      <c r="P139" s="50"/>
      <c r="Q139" s="49"/>
      <c r="R139" s="371"/>
      <c r="S139" s="371"/>
      <c r="T139" s="39"/>
      <c r="U139" s="39"/>
      <c r="V139" s="39"/>
      <c r="W139" s="39"/>
      <c r="X139" s="40"/>
      <c r="Y139" s="213"/>
      <c r="Z139" s="39"/>
      <c r="AA139" s="39"/>
      <c r="AB139" s="39"/>
      <c r="AC139" s="39"/>
      <c r="AD139" s="39">
        <f t="shared" ref="AD139" si="278">+AM139+BA139</f>
        <v>14</v>
      </c>
      <c r="AE139" s="230" t="s">
        <v>768</v>
      </c>
      <c r="AF139" s="35"/>
      <c r="AG139" s="35"/>
      <c r="AH139" s="35"/>
      <c r="AI139" s="35"/>
      <c r="AJ139" s="39"/>
      <c r="AK139" s="39"/>
      <c r="AL139" s="39"/>
      <c r="AM139" s="39">
        <f t="shared" ref="AM139" si="279">SUM(AF139:AL139)+AT139+AV139+AX139</f>
        <v>14</v>
      </c>
      <c r="AN139" s="39"/>
      <c r="AO139" s="39"/>
      <c r="AP139" s="39"/>
      <c r="AQ139" s="39"/>
      <c r="AR139" s="39">
        <f t="shared" ref="AR139" si="280">SUM(AN139:AQ139)</f>
        <v>0</v>
      </c>
      <c r="AS139" s="39"/>
      <c r="AT139" s="39"/>
      <c r="AU139" s="39"/>
      <c r="AV139" s="39">
        <v>14</v>
      </c>
      <c r="AW139" s="39"/>
      <c r="AX139" s="39"/>
      <c r="AY139" s="39"/>
      <c r="AZ139" s="39"/>
      <c r="BA139" s="39">
        <f t="shared" ref="BA139" si="281">+AR139+AS139+AU139+AW139+AY139+AZ139</f>
        <v>0</v>
      </c>
      <c r="BB139" s="35"/>
      <c r="BC139" s="486"/>
      <c r="BD139" s="486"/>
      <c r="BE139" s="35"/>
      <c r="BF139" s="486"/>
    </row>
    <row r="140" spans="1:58" ht="12.95" customHeight="1">
      <c r="A140" s="42"/>
      <c r="B140" s="43"/>
      <c r="C140" s="402"/>
      <c r="D140" s="43"/>
      <c r="E140" s="44"/>
      <c r="F140" s="44"/>
      <c r="G140" s="415"/>
      <c r="H140" s="557"/>
      <c r="I140" s="47"/>
      <c r="J140" s="86"/>
      <c r="K140" s="86"/>
      <c r="L140" s="37"/>
      <c r="M140" s="37"/>
      <c r="N140" s="48"/>
      <c r="O140" s="49"/>
      <c r="P140" s="50"/>
      <c r="Q140" s="49"/>
      <c r="R140" s="371"/>
      <c r="S140" s="371"/>
      <c r="T140" s="39"/>
      <c r="U140" s="39"/>
      <c r="V140" s="39"/>
      <c r="W140" s="39"/>
      <c r="X140" s="370"/>
      <c r="Y140" s="39"/>
      <c r="Z140" s="39"/>
      <c r="AA140" s="51"/>
      <c r="AB140" s="51"/>
      <c r="AC140" s="39"/>
      <c r="AD140" s="39"/>
      <c r="AE140" s="230"/>
      <c r="AF140" s="39"/>
      <c r="AG140" s="39"/>
      <c r="AH140" s="39"/>
      <c r="AI140" s="485"/>
      <c r="AJ140" s="39"/>
      <c r="AK140" s="39"/>
      <c r="AL140" s="39"/>
      <c r="AM140" s="39"/>
      <c r="AN140" s="39"/>
      <c r="AO140" s="39"/>
      <c r="AP140" s="39"/>
      <c r="AQ140" s="39"/>
      <c r="AR140" s="39"/>
      <c r="AS140" s="39"/>
      <c r="AT140" s="39"/>
      <c r="AU140" s="39"/>
      <c r="AV140" s="39"/>
      <c r="AW140" s="39"/>
      <c r="AX140" s="39"/>
      <c r="AY140" s="39"/>
      <c r="AZ140" s="39"/>
      <c r="BA140" s="39"/>
      <c r="BB140" s="35"/>
      <c r="BC140" s="53"/>
      <c r="BD140" s="53"/>
      <c r="BE140" s="53"/>
      <c r="BF140" s="53"/>
    </row>
    <row r="141" spans="1:58" ht="12" customHeight="1">
      <c r="A141" s="42">
        <v>45960</v>
      </c>
      <c r="B141" s="43" t="s">
        <v>639</v>
      </c>
      <c r="C141" s="402">
        <f t="shared" ref="C141" si="282">(M141*E141*O141*Q141)/100000000</f>
        <v>2.699444475</v>
      </c>
      <c r="D141" s="43" t="s">
        <v>462</v>
      </c>
      <c r="E141" s="44">
        <v>13</v>
      </c>
      <c r="F141" s="44">
        <v>1</v>
      </c>
      <c r="G141" s="415">
        <v>1350</v>
      </c>
      <c r="H141" s="557">
        <f t="shared" ref="H141" si="283">+N141</f>
        <v>0.25</v>
      </c>
      <c r="I141" s="47">
        <v>0.88</v>
      </c>
      <c r="J141" s="86">
        <f t="shared" ref="J141" si="284">E141*G141*(1-H141)*1440/1000000*2.74</f>
        <v>51.933960000000006</v>
      </c>
      <c r="K141" s="86">
        <f t="shared" ref="K141" si="285">(IF(G141&lt;L141,L141,G141)*(1-IF(H141&lt;N141,H141,N141))*E141*O141*Q141)/100000000</f>
        <v>2.7400376249999998</v>
      </c>
      <c r="L141" s="37">
        <v>1330</v>
      </c>
      <c r="M141" s="37">
        <v>997.5</v>
      </c>
      <c r="N141" s="48">
        <f t="shared" ref="N141" si="286">1-(M141/L141)</f>
        <v>0.25</v>
      </c>
      <c r="O141" s="49">
        <f>+'Trim Rwd'!H88</f>
        <v>257</v>
      </c>
      <c r="P141" s="50">
        <f t="shared" ref="P141" si="287">O141*(Q141-R141-S141)</f>
        <v>15677</v>
      </c>
      <c r="Q141" s="49">
        <v>81</v>
      </c>
      <c r="R141" s="371">
        <v>0</v>
      </c>
      <c r="S141" s="371">
        <v>20</v>
      </c>
      <c r="T141" s="39">
        <f t="shared" ref="T141" si="288">E141*M141*O141*Q141/100000000</f>
        <v>2.699444475</v>
      </c>
      <c r="U141" s="39">
        <f t="shared" ref="U141" si="289">E141*M141*O141*(Q141-R141-S141)/100000000</f>
        <v>2.0329149750000002</v>
      </c>
      <c r="V141" s="39">
        <f t="shared" ref="V141" si="290">E141*G141*(1-N141)*O141/100*(R141+S141)/1000000</f>
        <v>0.6765525</v>
      </c>
      <c r="W141" s="39">
        <f>+'30'!K20/1000</f>
        <v>8.1660000000000004</v>
      </c>
      <c r="X141" s="370">
        <f>SUM(W141:W145)/SUM(K141:K145)</f>
        <v>0.73589135703641773</v>
      </c>
      <c r="Y141" s="39">
        <f>+SUM(RBP!AG92:AG93)</f>
        <v>0</v>
      </c>
      <c r="Z141" s="39">
        <v>0</v>
      </c>
      <c r="AA141" s="51">
        <f>SUM(U141:U145)-SUM(W141:W145)-SUM(Z141:Z145)-SUM(Y141:Y145)</f>
        <v>11.184815686706514</v>
      </c>
      <c r="AB141" s="51">
        <f>(SUM(K141:K145)-SUM(W141:W145)-SUM(Y141:Y145)-SUM(Z141:Z145)-SUM(AC141:AC145)-SUM(V141:V145))-AA141</f>
        <v>8.5343032239469707E-2</v>
      </c>
      <c r="AC141" s="39">
        <f>K141-T141</f>
        <v>4.0593149999999856E-2</v>
      </c>
      <c r="AD141" s="39">
        <f>+AM141+BA141</f>
        <v>24</v>
      </c>
      <c r="AE141" s="230" t="s">
        <v>782</v>
      </c>
      <c r="AF141" s="39">
        <v>24</v>
      </c>
      <c r="AG141" s="39"/>
      <c r="AH141" s="39"/>
      <c r="AI141" s="485"/>
      <c r="AJ141" s="39"/>
      <c r="AK141" s="39"/>
      <c r="AL141" s="39"/>
      <c r="AM141" s="39">
        <f>SUM(AF141:AL141)+AT141+AV141+AX141</f>
        <v>24</v>
      </c>
      <c r="AN141" s="39"/>
      <c r="AO141" s="39"/>
      <c r="AP141" s="39"/>
      <c r="AQ141" s="39"/>
      <c r="AR141" s="39">
        <f>SUM(AN141:AQ141)</f>
        <v>0</v>
      </c>
      <c r="AS141" s="39"/>
      <c r="AT141" s="39"/>
      <c r="AU141" s="39"/>
      <c r="AV141" s="39"/>
      <c r="AW141" s="39"/>
      <c r="AX141" s="39"/>
      <c r="AY141" s="39"/>
      <c r="AZ141" s="39"/>
      <c r="BA141" s="39">
        <f>+AR141+AS141+AU141+AW141+AY141+AZ141</f>
        <v>0</v>
      </c>
      <c r="BB141" s="35">
        <v>6</v>
      </c>
      <c r="BC141" s="53"/>
      <c r="BD141" s="53"/>
      <c r="BE141" s="35"/>
      <c r="BF141" s="53"/>
    </row>
    <row r="142" spans="1:58" ht="12.95" customHeight="1">
      <c r="A142" s="42"/>
      <c r="B142" s="43" t="s">
        <v>639</v>
      </c>
      <c r="C142" s="402">
        <f t="shared" ref="C142:C145" si="291">(M142*E142*O142*Q142)/100000000</f>
        <v>14.144193</v>
      </c>
      <c r="D142" s="43" t="s">
        <v>462</v>
      </c>
      <c r="E142" s="44">
        <v>12</v>
      </c>
      <c r="F142" s="44">
        <v>1</v>
      </c>
      <c r="G142" s="415">
        <v>1350</v>
      </c>
      <c r="H142" s="557">
        <f t="shared" ref="H142:H145" si="292">+N142</f>
        <v>0.23897156028609201</v>
      </c>
      <c r="I142" s="47">
        <v>0.88</v>
      </c>
      <c r="J142" s="86">
        <f t="shared" ref="J142:J145" si="293">E142*G142*(1-H142)*1440/1000000*2.74</f>
        <v>48.643963750110167</v>
      </c>
      <c r="K142" s="86">
        <f t="shared" ref="K142:K145" si="294">(IF(G142&lt;L142,L142,G142)*(1-IF(H142&lt;N142,H142,N142))*E142*O142*Q142)/100000000</f>
        <v>14.239603135486934</v>
      </c>
      <c r="L142" s="37">
        <v>1340.9545454545455</v>
      </c>
      <c r="M142" s="37">
        <v>1020.5045454545455</v>
      </c>
      <c r="N142" s="48">
        <f t="shared" ref="N142:N145" si="295">1-(M142/L142)</f>
        <v>0.23897156028609201</v>
      </c>
      <c r="O142" s="49">
        <f>+'Trim Rwd'!H89</f>
        <v>262.5</v>
      </c>
      <c r="P142" s="50">
        <f t="shared" ref="P142:P145" si="296">O142*(Q142-R142-S142)</f>
        <v>110775</v>
      </c>
      <c r="Q142" s="49">
        <v>440</v>
      </c>
      <c r="R142" s="371">
        <v>0</v>
      </c>
      <c r="S142" s="371">
        <f>73-S141-S143-S144-S145</f>
        <v>18</v>
      </c>
      <c r="T142" s="39">
        <f t="shared" ref="T142:T145" si="297">E142*M142*O142*Q142/100000000</f>
        <v>14.144193</v>
      </c>
      <c r="U142" s="39">
        <f t="shared" ref="U142:U145" si="298">E142*M142*O142*(Q142-R142-S142)/100000000</f>
        <v>13.565566922727273</v>
      </c>
      <c r="V142" s="39">
        <f t="shared" ref="V142:V145" si="299">E142*G142*(1-N142)*O142/100*(R142+S142)/1000000</f>
        <v>0.5825292191790109</v>
      </c>
      <c r="W142" s="39">
        <f>+'30'!K17/1000</f>
        <v>11.923</v>
      </c>
      <c r="X142" s="40"/>
      <c r="Y142" s="213"/>
      <c r="Z142" s="39"/>
      <c r="AA142" s="39"/>
      <c r="AB142" s="39"/>
      <c r="AC142" s="39">
        <f>K142-T142</f>
        <v>9.5410135486934777E-2</v>
      </c>
      <c r="AD142" s="39">
        <f t="shared" ref="AD142:AD143" si="300">+AM142+BA142</f>
        <v>8</v>
      </c>
      <c r="AE142" s="230" t="s">
        <v>482</v>
      </c>
      <c r="AF142" s="39"/>
      <c r="AG142" s="39">
        <v>8</v>
      </c>
      <c r="AH142" s="39"/>
      <c r="AI142" s="39"/>
      <c r="AJ142" s="39"/>
      <c r="AK142" s="39"/>
      <c r="AL142" s="39"/>
      <c r="AM142" s="39">
        <f t="shared" ref="AM142:AM143" si="301">SUM(AF142:AL142)+AT142+AV142+AX142</f>
        <v>8</v>
      </c>
      <c r="AN142" s="87"/>
      <c r="AO142" s="39"/>
      <c r="AP142" s="39"/>
      <c r="AQ142" s="39"/>
      <c r="AR142" s="39">
        <f t="shared" ref="AR142:AR143" si="302">SUM(AN142:AQ142)</f>
        <v>0</v>
      </c>
      <c r="AS142" s="39"/>
      <c r="AT142" s="39"/>
      <c r="AU142" s="39"/>
      <c r="AV142" s="39"/>
      <c r="AW142" s="39"/>
      <c r="AX142" s="39"/>
      <c r="AY142" s="39"/>
      <c r="AZ142" s="39"/>
      <c r="BA142" s="39">
        <f t="shared" ref="BA142:BA143" si="303">+AR142+AS142+AU142+AW142+AY142+AZ142</f>
        <v>0</v>
      </c>
      <c r="BB142" s="52"/>
      <c r="BC142" s="53">
        <v>6</v>
      </c>
      <c r="BD142" s="53"/>
      <c r="BE142" s="52"/>
      <c r="BF142" s="53"/>
    </row>
    <row r="143" spans="1:58" ht="12.95" customHeight="1">
      <c r="A143" s="42"/>
      <c r="B143" s="43" t="s">
        <v>639</v>
      </c>
      <c r="C143" s="402">
        <f t="shared" si="291"/>
        <v>8.6183999999999994</v>
      </c>
      <c r="D143" s="43" t="s">
        <v>462</v>
      </c>
      <c r="E143" s="44">
        <v>16</v>
      </c>
      <c r="F143" s="44">
        <v>1</v>
      </c>
      <c r="G143" s="415">
        <v>1165</v>
      </c>
      <c r="H143" s="557">
        <f t="shared" si="292"/>
        <v>0.25</v>
      </c>
      <c r="I143" s="47">
        <v>0.88</v>
      </c>
      <c r="J143" s="86">
        <f t="shared" si="293"/>
        <v>55.159488000000003</v>
      </c>
      <c r="K143" s="86">
        <f t="shared" si="294"/>
        <v>8.6183999999999994</v>
      </c>
      <c r="L143" s="37">
        <v>1330</v>
      </c>
      <c r="M143" s="37">
        <v>997.5</v>
      </c>
      <c r="N143" s="48">
        <f t="shared" si="295"/>
        <v>0.25</v>
      </c>
      <c r="O143" s="49">
        <f>+'Trim Rwd'!H87</f>
        <v>270</v>
      </c>
      <c r="P143" s="50">
        <f t="shared" si="296"/>
        <v>51300</v>
      </c>
      <c r="Q143" s="49">
        <v>200</v>
      </c>
      <c r="R143" s="371">
        <v>0</v>
      </c>
      <c r="S143" s="371">
        <v>10</v>
      </c>
      <c r="T143" s="39">
        <f t="shared" si="297"/>
        <v>8.6183999999999994</v>
      </c>
      <c r="U143" s="39">
        <f t="shared" si="298"/>
        <v>8.1874800000000008</v>
      </c>
      <c r="V143" s="39">
        <f t="shared" si="299"/>
        <v>0.37746000000000002</v>
      </c>
      <c r="W143" s="39">
        <f>+'30'!K18/1000</f>
        <v>5.5380000000000003</v>
      </c>
      <c r="X143" s="40"/>
      <c r="Y143" s="213"/>
      <c r="Z143" s="39"/>
      <c r="AA143" s="39"/>
      <c r="AB143" s="39"/>
      <c r="AC143" s="39">
        <f>K143-T143</f>
        <v>0</v>
      </c>
      <c r="AD143" s="39">
        <f t="shared" si="300"/>
        <v>21</v>
      </c>
      <c r="AE143" s="230" t="s">
        <v>754</v>
      </c>
      <c r="AF143" s="35"/>
      <c r="AG143" s="35"/>
      <c r="AH143" s="35">
        <v>21</v>
      </c>
      <c r="AI143" s="35"/>
      <c r="AJ143" s="39"/>
      <c r="AK143" s="39"/>
      <c r="AL143" s="39"/>
      <c r="AM143" s="39">
        <f t="shared" si="301"/>
        <v>21</v>
      </c>
      <c r="AN143" s="39"/>
      <c r="AO143" s="39"/>
      <c r="AP143" s="39"/>
      <c r="AQ143" s="39"/>
      <c r="AR143" s="39">
        <f t="shared" si="302"/>
        <v>0</v>
      </c>
      <c r="AS143" s="39"/>
      <c r="AT143" s="39"/>
      <c r="AU143" s="39"/>
      <c r="AV143" s="39"/>
      <c r="AW143" s="39"/>
      <c r="AX143" s="39"/>
      <c r="AY143" s="39"/>
      <c r="AZ143" s="39"/>
      <c r="BA143" s="39">
        <f t="shared" si="303"/>
        <v>0</v>
      </c>
      <c r="BB143" s="35"/>
      <c r="BC143" s="486"/>
      <c r="BD143" s="486"/>
      <c r="BE143" s="35"/>
      <c r="BF143" s="486"/>
    </row>
    <row r="144" spans="1:58" ht="12.95" customHeight="1">
      <c r="A144" s="42"/>
      <c r="B144" s="43" t="s">
        <v>460</v>
      </c>
      <c r="C144" s="402">
        <f t="shared" si="291"/>
        <v>10.879068200000001</v>
      </c>
      <c r="D144" s="43" t="s">
        <v>413</v>
      </c>
      <c r="E144" s="44">
        <v>14</v>
      </c>
      <c r="F144" s="44">
        <v>1</v>
      </c>
      <c r="G144" s="415">
        <v>1295</v>
      </c>
      <c r="H144" s="557">
        <f t="shared" si="292"/>
        <v>0.22999999999999998</v>
      </c>
      <c r="I144" s="47">
        <v>0.88</v>
      </c>
      <c r="J144" s="86">
        <f t="shared" si="293"/>
        <v>55.080970560000011</v>
      </c>
      <c r="K144" s="86">
        <f t="shared" si="294"/>
        <v>10.879068200000001</v>
      </c>
      <c r="L144" s="37">
        <v>1343.0795847750865</v>
      </c>
      <c r="M144" s="37">
        <v>1034.1712802768166</v>
      </c>
      <c r="N144" s="48">
        <f t="shared" si="295"/>
        <v>0.22999999999999998</v>
      </c>
      <c r="O144" s="49">
        <f>+'Trim Rwd'!H90</f>
        <v>260</v>
      </c>
      <c r="P144" s="50">
        <f t="shared" si="296"/>
        <v>72540</v>
      </c>
      <c r="Q144" s="49">
        <v>289</v>
      </c>
      <c r="R144" s="371">
        <v>0</v>
      </c>
      <c r="S144" s="371">
        <v>10</v>
      </c>
      <c r="T144" s="39">
        <f t="shared" si="297"/>
        <v>10.879068200000001</v>
      </c>
      <c r="U144" s="39">
        <f t="shared" si="298"/>
        <v>10.50262985397924</v>
      </c>
      <c r="V144" s="39">
        <f t="shared" si="299"/>
        <v>0.36296260000000002</v>
      </c>
      <c r="W144" s="39">
        <f>+'30'!K22/1000</f>
        <v>11.750999999999999</v>
      </c>
      <c r="X144" s="40"/>
      <c r="Y144" s="40"/>
      <c r="Z144" s="35"/>
      <c r="AA144" s="51"/>
      <c r="AB144" s="51"/>
      <c r="AC144" s="39">
        <f>K144-T144</f>
        <v>0</v>
      </c>
      <c r="AD144" s="39">
        <f t="shared" ref="AD144" si="304">+AM144+BA144</f>
        <v>20</v>
      </c>
      <c r="AE144" s="230" t="s">
        <v>781</v>
      </c>
      <c r="AF144" s="35"/>
      <c r="AG144" s="35"/>
      <c r="AH144" s="35"/>
      <c r="AI144" s="35"/>
      <c r="AJ144" s="39"/>
      <c r="AK144" s="39"/>
      <c r="AL144" s="39"/>
      <c r="AM144" s="39">
        <f t="shared" ref="AM144" si="305">SUM(AF144:AL144)+AT144+AV144+AX144</f>
        <v>20</v>
      </c>
      <c r="AN144" s="39"/>
      <c r="AO144" s="39"/>
      <c r="AP144" s="39"/>
      <c r="AQ144" s="39"/>
      <c r="AR144" s="39">
        <f t="shared" ref="AR144" si="306">SUM(AN144:AQ144)</f>
        <v>0</v>
      </c>
      <c r="AS144" s="39"/>
      <c r="AT144" s="39">
        <v>20</v>
      </c>
      <c r="AU144" s="39"/>
      <c r="AV144" s="39"/>
      <c r="AW144" s="39"/>
      <c r="AX144" s="39"/>
      <c r="AY144" s="39"/>
      <c r="AZ144" s="39"/>
      <c r="BA144" s="39">
        <f t="shared" ref="BA144" si="307">+AR144+AS144+AU144+AW144+AY144+AZ144</f>
        <v>0</v>
      </c>
      <c r="BB144" s="35"/>
      <c r="BC144" s="486"/>
      <c r="BD144" s="486"/>
      <c r="BE144" s="35"/>
      <c r="BF144" s="486"/>
    </row>
    <row r="145" spans="1:58" ht="12.95" customHeight="1">
      <c r="A145" s="42"/>
      <c r="B145" s="43" t="s">
        <v>460</v>
      </c>
      <c r="C145" s="402">
        <f t="shared" si="291"/>
        <v>16.313292269999998</v>
      </c>
      <c r="D145" s="43" t="s">
        <v>413</v>
      </c>
      <c r="E145" s="44">
        <v>13.5</v>
      </c>
      <c r="F145" s="44">
        <v>1</v>
      </c>
      <c r="G145" s="415">
        <v>1245</v>
      </c>
      <c r="H145" s="557">
        <f t="shared" si="292"/>
        <v>0.17000000000000004</v>
      </c>
      <c r="I145" s="47">
        <v>0.88</v>
      </c>
      <c r="J145" s="86">
        <f t="shared" si="293"/>
        <v>55.042007759999997</v>
      </c>
      <c r="K145" s="86">
        <f t="shared" si="294"/>
        <v>16.313292269999998</v>
      </c>
      <c r="L145" s="37">
        <v>1320</v>
      </c>
      <c r="M145" s="37">
        <v>1095.5999999999999</v>
      </c>
      <c r="N145" s="48">
        <f t="shared" si="295"/>
        <v>0.17000000000000004</v>
      </c>
      <c r="O145" s="49">
        <f>+'Trim Rwd'!H91</f>
        <v>256.5</v>
      </c>
      <c r="P145" s="50">
        <f t="shared" si="296"/>
        <v>106447.5</v>
      </c>
      <c r="Q145" s="49">
        <v>430</v>
      </c>
      <c r="R145" s="371">
        <v>0</v>
      </c>
      <c r="S145" s="371">
        <v>15</v>
      </c>
      <c r="T145" s="39">
        <f t="shared" si="297"/>
        <v>16.313292269999998</v>
      </c>
      <c r="U145" s="39">
        <f t="shared" si="298"/>
        <v>15.744223934999997</v>
      </c>
      <c r="V145" s="39">
        <f t="shared" si="299"/>
        <v>0.53673490687500003</v>
      </c>
      <c r="W145" s="39">
        <f>+'30'!K21/1000</f>
        <v>1.47</v>
      </c>
      <c r="X145" s="370"/>
      <c r="Y145" s="39"/>
      <c r="Z145" s="39"/>
      <c r="AA145" s="51"/>
      <c r="AB145" s="51"/>
      <c r="AC145" s="39">
        <f>K145-T145</f>
        <v>0</v>
      </c>
      <c r="AD145" s="39"/>
      <c r="AE145" s="230"/>
      <c r="AF145" s="39"/>
      <c r="AG145" s="39"/>
      <c r="AH145" s="39"/>
      <c r="AI145" s="485"/>
      <c r="AJ145" s="39"/>
      <c r="AK145" s="39"/>
      <c r="AL145" s="39"/>
      <c r="AM145" s="39"/>
      <c r="AN145" s="39"/>
      <c r="AO145" s="39"/>
      <c r="AP145" s="39"/>
      <c r="AQ145" s="39"/>
      <c r="AR145" s="39"/>
      <c r="AS145" s="39"/>
      <c r="AT145" s="39"/>
      <c r="AU145" s="39"/>
      <c r="AV145" s="39"/>
      <c r="AW145" s="39"/>
      <c r="AX145" s="39"/>
      <c r="AY145" s="39"/>
      <c r="AZ145" s="39"/>
      <c r="BA145" s="39"/>
      <c r="BB145" s="35"/>
      <c r="BC145" s="53"/>
      <c r="BD145" s="53"/>
      <c r="BE145" s="53"/>
      <c r="BF145" s="53"/>
    </row>
    <row r="146" spans="1:58" ht="12.95" customHeight="1">
      <c r="A146" s="42"/>
      <c r="B146" s="554"/>
      <c r="C146" s="555"/>
      <c r="D146" s="554"/>
      <c r="E146" s="44"/>
      <c r="F146" s="44"/>
      <c r="G146" s="556"/>
      <c r="H146" s="557"/>
      <c r="I146" s="47"/>
      <c r="J146" s="86"/>
      <c r="K146" s="86"/>
      <c r="L146" s="558"/>
      <c r="M146" s="558"/>
      <c r="N146" s="48"/>
      <c r="O146" s="49"/>
      <c r="P146" s="50"/>
      <c r="Q146" s="49"/>
      <c r="R146" s="559"/>
      <c r="S146" s="559"/>
      <c r="T146" s="39"/>
      <c r="U146" s="39"/>
      <c r="V146" s="39"/>
      <c r="W146" s="39"/>
      <c r="X146" s="370"/>
      <c r="Y146" s="213"/>
      <c r="Z146" s="39"/>
      <c r="AA146" s="39"/>
      <c r="AB146" s="39"/>
      <c r="AC146" s="39"/>
      <c r="AD146" s="39"/>
      <c r="AE146" s="230"/>
      <c r="AF146" s="39"/>
      <c r="AG146" s="39"/>
      <c r="AH146" s="39"/>
      <c r="AI146" s="485"/>
      <c r="AJ146" s="39"/>
      <c r="AK146" s="39"/>
      <c r="AL146" s="39"/>
      <c r="AM146" s="39"/>
      <c r="AN146" s="87"/>
      <c r="AO146" s="39"/>
      <c r="AP146" s="39"/>
      <c r="AQ146" s="39"/>
      <c r="AR146" s="39"/>
      <c r="AS146" s="39"/>
      <c r="AT146" s="39"/>
      <c r="AU146" s="39"/>
      <c r="AV146" s="39"/>
      <c r="AW146" s="39"/>
      <c r="AX146" s="39"/>
      <c r="AY146" s="39"/>
      <c r="AZ146" s="39"/>
      <c r="BA146" s="39"/>
      <c r="BB146" s="52"/>
      <c r="BC146" s="53"/>
      <c r="BD146" s="53"/>
      <c r="BE146" s="53"/>
      <c r="BF146" s="53"/>
    </row>
    <row r="147" spans="1:58" ht="12" customHeight="1">
      <c r="A147" s="42">
        <v>45961</v>
      </c>
      <c r="B147" s="43" t="s">
        <v>460</v>
      </c>
      <c r="C147" s="402">
        <f t="shared" ref="C147" si="308">(M147*E147*O147*Q147)/100000000</f>
        <v>52.552178827200002</v>
      </c>
      <c r="D147" s="43" t="s">
        <v>413</v>
      </c>
      <c r="E147" s="44">
        <v>13.5</v>
      </c>
      <c r="F147" s="44">
        <v>1</v>
      </c>
      <c r="G147" s="415">
        <v>1265</v>
      </c>
      <c r="H147" s="557">
        <f t="shared" ref="H147" si="309">+N147</f>
        <v>0.18368377568935246</v>
      </c>
      <c r="I147" s="47">
        <v>0.88</v>
      </c>
      <c r="J147" s="86">
        <f t="shared" ref="J147" si="310">E147*G147*(1-H147)*1440/1000000*2.74</f>
        <v>55.004190449216161</v>
      </c>
      <c r="K147" s="86">
        <f t="shared" ref="K147" si="311">(IF(G147&lt;L147,L147,G147)*(1-IF(H147&lt;N147,H147,N147))*E147*O147*Q147)/100000000</f>
        <v>52.552178827200002</v>
      </c>
      <c r="L147" s="37">
        <v>1291.0666666666666</v>
      </c>
      <c r="M147" s="37">
        <v>1053.9186666666667</v>
      </c>
      <c r="N147" s="48">
        <f t="shared" ref="N147" si="312">1-(M147/L147)</f>
        <v>0.18368377568935246</v>
      </c>
      <c r="O147" s="49">
        <f>+'Trim Rwd'!H93</f>
        <v>256.5</v>
      </c>
      <c r="P147" s="50">
        <f t="shared" ref="P147" si="313">O147*(Q147-R147-S147)</f>
        <v>283176</v>
      </c>
      <c r="Q147" s="49">
        <v>1440</v>
      </c>
      <c r="R147" s="371">
        <v>315</v>
      </c>
      <c r="S147" s="371">
        <v>21</v>
      </c>
      <c r="T147" s="39">
        <f t="shared" ref="T147" si="314">E147*M147*O147*Q147/100000000</f>
        <v>52.552178827200002</v>
      </c>
      <c r="U147" s="39">
        <f t="shared" ref="U147" si="315">E147*M147*O147*(Q147-R147-S147)/100000000</f>
        <v>40.290003767519998</v>
      </c>
      <c r="V147" s="39">
        <f t="shared" ref="V147" si="316">E147*G147*(1-N147)*O147/100*(R147+S147)/1000000</f>
        <v>12.014601453961994</v>
      </c>
      <c r="W147" s="39">
        <f>+'31'!K21/1000</f>
        <v>39.340000000000003</v>
      </c>
      <c r="X147" s="370">
        <f>SUM(W147:W150)/SUM(K147:K150)</f>
        <v>0.74858932356270591</v>
      </c>
      <c r="Y147" s="39">
        <f>+SUM(RBP!AG3:AG4)</f>
        <v>9.0179999999999989</v>
      </c>
      <c r="Z147" s="39">
        <f>+'31'!D25/1000</f>
        <v>0.76</v>
      </c>
      <c r="AA147" s="51">
        <f>SUM(U147:U150)-SUM(W147:W150)-SUM(Z147:Z150)-SUM(Y147:Y150)</f>
        <v>-8.8279962324800039</v>
      </c>
      <c r="AB147" s="51">
        <f>(SUM(K147:K150)-SUM(W147:W150)-SUM(Y147:Y150)-SUM(Z147:Z150)-SUM(AC147:AC150)-SUM(V147:V150))-AA147</f>
        <v>0.24757360571801001</v>
      </c>
      <c r="AC147" s="39">
        <f>K147-T147</f>
        <v>0</v>
      </c>
      <c r="AD147" s="39">
        <f>+AM147+BA147</f>
        <v>0</v>
      </c>
      <c r="AE147" s="230" t="s">
        <v>418</v>
      </c>
      <c r="AF147" s="39">
        <v>0</v>
      </c>
      <c r="AG147" s="39"/>
      <c r="AH147" s="39"/>
      <c r="AI147" s="485"/>
      <c r="AJ147" s="39"/>
      <c r="AK147" s="39"/>
      <c r="AL147" s="39"/>
      <c r="AM147" s="39">
        <f>SUM(AF147:AL147)+AT147+AV147+AX147</f>
        <v>0</v>
      </c>
      <c r="AN147" s="39"/>
      <c r="AO147" s="39"/>
      <c r="AP147" s="39"/>
      <c r="AQ147" s="39"/>
      <c r="AR147" s="39">
        <f>SUM(AN147:AQ147)</f>
        <v>0</v>
      </c>
      <c r="AS147" s="39"/>
      <c r="AT147" s="39"/>
      <c r="AU147" s="39"/>
      <c r="AV147" s="39"/>
      <c r="AW147" s="39"/>
      <c r="AX147" s="39"/>
      <c r="AY147" s="39"/>
      <c r="AZ147" s="39"/>
      <c r="BA147" s="39">
        <f>+AR147+AS147+AU147+AW147+AY147+AZ147</f>
        <v>0</v>
      </c>
      <c r="BB147" s="35"/>
      <c r="BC147" s="53"/>
      <c r="BD147" s="53"/>
      <c r="BE147" s="35"/>
      <c r="BF147" s="53"/>
    </row>
    <row r="148" spans="1:58" ht="12.95" customHeight="1">
      <c r="A148" s="42"/>
      <c r="B148" s="43"/>
      <c r="C148" s="402"/>
      <c r="D148" s="43"/>
      <c r="E148" s="44"/>
      <c r="F148" s="44"/>
      <c r="G148" s="415"/>
      <c r="H148" s="557"/>
      <c r="I148" s="47"/>
      <c r="J148" s="86"/>
      <c r="K148" s="86"/>
      <c r="L148" s="37"/>
      <c r="M148" s="37"/>
      <c r="N148" s="48"/>
      <c r="O148" s="49"/>
      <c r="P148" s="50"/>
      <c r="Q148" s="49"/>
      <c r="R148" s="371"/>
      <c r="S148" s="371"/>
      <c r="T148" s="39"/>
      <c r="U148" s="39"/>
      <c r="V148" s="39"/>
      <c r="W148" s="39"/>
      <c r="X148" s="40"/>
      <c r="Y148" s="213"/>
      <c r="Z148" s="39"/>
      <c r="AA148" s="39"/>
      <c r="AB148" s="39"/>
      <c r="AC148" s="39"/>
      <c r="AD148" s="39">
        <f t="shared" ref="AD148:AD149" si="317">+AM148+BA148</f>
        <v>3</v>
      </c>
      <c r="AE148" s="230" t="s">
        <v>571</v>
      </c>
      <c r="AF148" s="39"/>
      <c r="AG148" s="39">
        <v>3</v>
      </c>
      <c r="AH148" s="39"/>
      <c r="AI148" s="39"/>
      <c r="AJ148" s="39"/>
      <c r="AK148" s="39"/>
      <c r="AL148" s="39"/>
      <c r="AM148" s="39">
        <f t="shared" ref="AM148:AM149" si="318">SUM(AF148:AL148)+AT148+AV148+AX148</f>
        <v>3</v>
      </c>
      <c r="AN148" s="87"/>
      <c r="AO148" s="39"/>
      <c r="AP148" s="39"/>
      <c r="AQ148" s="39"/>
      <c r="AR148" s="39">
        <f t="shared" ref="AR148:AR149" si="319">SUM(AN148:AQ148)</f>
        <v>0</v>
      </c>
      <c r="AS148" s="39"/>
      <c r="AT148" s="39"/>
      <c r="AU148" s="39"/>
      <c r="AV148" s="39"/>
      <c r="AW148" s="39"/>
      <c r="AX148" s="39"/>
      <c r="AY148" s="39"/>
      <c r="AZ148" s="39"/>
      <c r="BA148" s="39">
        <f t="shared" ref="BA148:BA149" si="320">+AR148+AS148+AU148+AW148+AY148+AZ148</f>
        <v>0</v>
      </c>
      <c r="BB148" s="52"/>
      <c r="BC148" s="53"/>
      <c r="BD148" s="53"/>
      <c r="BE148" s="52"/>
      <c r="BF148" s="53"/>
    </row>
    <row r="149" spans="1:58" ht="12.95" customHeight="1">
      <c r="A149" s="42"/>
      <c r="B149" s="43"/>
      <c r="C149" s="402"/>
      <c r="D149" s="43"/>
      <c r="E149" s="44"/>
      <c r="F149" s="44"/>
      <c r="G149" s="45"/>
      <c r="H149" s="46"/>
      <c r="I149" s="47"/>
      <c r="J149" s="86"/>
      <c r="K149" s="86"/>
      <c r="L149" s="37"/>
      <c r="M149" s="37"/>
      <c r="N149" s="48"/>
      <c r="O149" s="49"/>
      <c r="P149" s="50"/>
      <c r="Q149" s="49"/>
      <c r="R149" s="371"/>
      <c r="S149" s="371"/>
      <c r="T149" s="39"/>
      <c r="U149" s="39"/>
      <c r="V149" s="39"/>
      <c r="W149" s="39"/>
      <c r="X149" s="40"/>
      <c r="Y149" s="213"/>
      <c r="Z149" s="39"/>
      <c r="AA149" s="39"/>
      <c r="AB149" s="39"/>
      <c r="AC149" s="39"/>
      <c r="AD149" s="39">
        <f t="shared" si="317"/>
        <v>12</v>
      </c>
      <c r="AE149" s="230" t="s">
        <v>514</v>
      </c>
      <c r="AF149" s="35"/>
      <c r="AG149" s="35"/>
      <c r="AH149" s="35">
        <v>12</v>
      </c>
      <c r="AI149" s="35"/>
      <c r="AJ149" s="39"/>
      <c r="AK149" s="39"/>
      <c r="AL149" s="39"/>
      <c r="AM149" s="39">
        <f t="shared" si="318"/>
        <v>12</v>
      </c>
      <c r="AN149" s="39"/>
      <c r="AO149" s="39"/>
      <c r="AP149" s="39"/>
      <c r="AQ149" s="39"/>
      <c r="AR149" s="39">
        <f t="shared" si="319"/>
        <v>0</v>
      </c>
      <c r="AS149" s="39"/>
      <c r="AT149" s="39"/>
      <c r="AU149" s="39"/>
      <c r="AV149" s="39"/>
      <c r="AW149" s="39"/>
      <c r="AX149" s="39"/>
      <c r="AY149" s="39"/>
      <c r="AZ149" s="39"/>
      <c r="BA149" s="39">
        <f t="shared" si="320"/>
        <v>0</v>
      </c>
      <c r="BB149" s="35"/>
      <c r="BC149" s="486"/>
      <c r="BD149" s="53"/>
      <c r="BE149" s="35"/>
      <c r="BF149" s="486"/>
    </row>
    <row r="150" spans="1:58" ht="12.95" customHeight="1">
      <c r="A150" s="42"/>
      <c r="B150" s="43"/>
      <c r="C150" s="402"/>
      <c r="D150" s="43"/>
      <c r="E150" s="44"/>
      <c r="F150" s="44"/>
      <c r="G150" s="45"/>
      <c r="H150" s="46"/>
      <c r="I150" s="47"/>
      <c r="J150" s="86"/>
      <c r="K150" s="86"/>
      <c r="L150" s="37"/>
      <c r="M150" s="37"/>
      <c r="N150" s="48"/>
      <c r="O150" s="49"/>
      <c r="P150" s="50"/>
      <c r="Q150" s="49"/>
      <c r="R150" s="371"/>
      <c r="S150" s="371"/>
      <c r="T150" s="39"/>
      <c r="U150" s="39"/>
      <c r="V150" s="39"/>
      <c r="W150" s="39"/>
      <c r="X150" s="40"/>
      <c r="Y150" s="213"/>
      <c r="Z150" s="39"/>
      <c r="AA150" s="39"/>
      <c r="AB150" s="39"/>
      <c r="AC150" s="39"/>
      <c r="AD150" s="39">
        <f t="shared" ref="AD150" si="321">+AM150+BA150</f>
        <v>6</v>
      </c>
      <c r="AE150" s="230" t="s">
        <v>804</v>
      </c>
      <c r="AF150" s="35"/>
      <c r="AG150" s="35"/>
      <c r="AH150" s="35"/>
      <c r="AI150" s="35">
        <v>6</v>
      </c>
      <c r="AJ150" s="39"/>
      <c r="AK150" s="39"/>
      <c r="AL150" s="39"/>
      <c r="AM150" s="39">
        <f t="shared" ref="AM150" si="322">SUM(AF150:AL150)+AT150+AV150+AX150</f>
        <v>6</v>
      </c>
      <c r="AN150" s="39"/>
      <c r="AO150" s="39"/>
      <c r="AP150" s="39"/>
      <c r="AQ150" s="39"/>
      <c r="AR150" s="39">
        <f t="shared" ref="AR150" si="323">SUM(AN150:AQ150)</f>
        <v>0</v>
      </c>
      <c r="AS150" s="39"/>
      <c r="AT150" s="39"/>
      <c r="AU150" s="39"/>
      <c r="AV150" s="39"/>
      <c r="AW150" s="39"/>
      <c r="AX150" s="39"/>
      <c r="AY150" s="39"/>
      <c r="AZ150" s="39"/>
      <c r="BA150" s="39">
        <f t="shared" ref="BA150" si="324">+AR150+AS150+AU150+AW150+AY150+AZ150</f>
        <v>0</v>
      </c>
      <c r="BB150" s="35"/>
      <c r="BC150" s="486"/>
      <c r="BD150" s="53"/>
      <c r="BE150" s="35"/>
      <c r="BF150" s="486"/>
    </row>
    <row r="151" spans="1:58" ht="12.95" customHeight="1">
      <c r="A151" s="42"/>
      <c r="B151" s="43"/>
      <c r="C151" s="402"/>
      <c r="D151" s="43"/>
      <c r="E151" s="44"/>
      <c r="F151" s="44"/>
      <c r="G151" s="45"/>
      <c r="H151" s="46"/>
      <c r="I151" s="47"/>
      <c r="J151" s="86"/>
      <c r="K151" s="86"/>
      <c r="L151" s="37"/>
      <c r="M151" s="37"/>
      <c r="N151" s="48"/>
      <c r="O151" s="49"/>
      <c r="P151" s="50"/>
      <c r="Q151" s="49"/>
      <c r="R151" s="371"/>
      <c r="S151" s="371"/>
      <c r="T151" s="39"/>
      <c r="U151" s="39"/>
      <c r="V151" s="39"/>
      <c r="W151" s="39"/>
      <c r="X151" s="40"/>
      <c r="Y151" s="213"/>
      <c r="Z151" s="39"/>
      <c r="AA151" s="39"/>
      <c r="AB151" s="39"/>
      <c r="AC151" s="39"/>
      <c r="AD151" s="39">
        <f t="shared" ref="AD151:AD152" si="325">+AM151+BA151</f>
        <v>285</v>
      </c>
      <c r="AE151" s="230" t="s">
        <v>805</v>
      </c>
      <c r="AF151" s="35"/>
      <c r="AG151" s="35"/>
      <c r="AH151" s="35"/>
      <c r="AI151" s="35"/>
      <c r="AJ151" s="39"/>
      <c r="AK151" s="39"/>
      <c r="AL151" s="39"/>
      <c r="AM151" s="39">
        <f t="shared" ref="AM151" si="326">SUM(AF151:AL151)+AT151+AV151+AX151</f>
        <v>0</v>
      </c>
      <c r="AN151" s="39">
        <f>315-30</f>
        <v>285</v>
      </c>
      <c r="AO151" s="39"/>
      <c r="AP151" s="39"/>
      <c r="AQ151" s="39"/>
      <c r="AR151" s="39">
        <f t="shared" ref="AR151:AR152" si="327">SUM(AN151:AQ151)</f>
        <v>285</v>
      </c>
      <c r="AS151" s="39"/>
      <c r="AT151" s="39"/>
      <c r="AU151" s="39"/>
      <c r="AV151" s="39"/>
      <c r="AW151" s="39"/>
      <c r="AX151" s="39"/>
      <c r="AY151" s="39"/>
      <c r="AZ151" s="39"/>
      <c r="BA151" s="39">
        <f t="shared" ref="BA151:BA152" si="328">+AR151+AS151+AU151+AW151+AY151+AZ151</f>
        <v>285</v>
      </c>
      <c r="BB151" s="35"/>
      <c r="BC151" s="486"/>
      <c r="BD151" s="53"/>
      <c r="BE151" s="35"/>
      <c r="BF151" s="486">
        <v>3</v>
      </c>
    </row>
    <row r="152" spans="1:58" ht="12.95" customHeight="1">
      <c r="A152" s="42"/>
      <c r="B152" s="3"/>
      <c r="C152" s="402"/>
      <c r="D152" s="43"/>
      <c r="E152" s="246"/>
      <c r="F152" s="44"/>
      <c r="G152" s="45"/>
      <c r="H152" s="46"/>
      <c r="I152" s="47"/>
      <c r="J152" s="86"/>
      <c r="K152" s="86"/>
      <c r="L152" s="37"/>
      <c r="M152" s="37"/>
      <c r="N152" s="48"/>
      <c r="O152" s="49"/>
      <c r="P152" s="50"/>
      <c r="Q152" s="319"/>
      <c r="R152" s="52"/>
      <c r="S152" s="52"/>
      <c r="T152" s="39"/>
      <c r="U152" s="39"/>
      <c r="V152" s="39"/>
      <c r="W152" s="35"/>
      <c r="X152" s="40"/>
      <c r="Y152" s="40"/>
      <c r="Z152" s="35"/>
      <c r="AA152" s="51"/>
      <c r="AB152" s="51"/>
      <c r="AC152" s="39"/>
      <c r="AD152" s="39">
        <f t="shared" si="325"/>
        <v>30</v>
      </c>
      <c r="AE152" s="22" t="s">
        <v>807</v>
      </c>
      <c r="AF152" s="39"/>
      <c r="AG152" s="39"/>
      <c r="AH152" s="39"/>
      <c r="AI152" s="39"/>
      <c r="AJ152" s="39"/>
      <c r="AK152" s="39"/>
      <c r="AL152" s="39"/>
      <c r="AM152" s="39"/>
      <c r="AN152" s="39"/>
      <c r="AO152" s="39"/>
      <c r="AP152" s="39">
        <v>30</v>
      </c>
      <c r="AQ152" s="39"/>
      <c r="AR152" s="39">
        <f t="shared" si="327"/>
        <v>30</v>
      </c>
      <c r="AS152" s="39"/>
      <c r="AT152" s="39"/>
      <c r="AU152" s="39"/>
      <c r="AV152" s="39"/>
      <c r="AW152" s="39"/>
      <c r="AX152" s="39"/>
      <c r="AY152" s="39"/>
      <c r="AZ152" s="39"/>
      <c r="BA152" s="39">
        <f t="shared" si="328"/>
        <v>30</v>
      </c>
      <c r="BB152" s="35"/>
      <c r="BC152" s="53"/>
      <c r="BD152" s="53"/>
      <c r="BE152" s="53"/>
      <c r="BF152" s="53"/>
    </row>
    <row r="153" spans="1:58" ht="12.95" customHeight="1">
      <c r="A153" s="42"/>
      <c r="B153" s="3"/>
      <c r="C153" s="402"/>
      <c r="D153" s="43"/>
      <c r="E153" s="246"/>
      <c r="F153" s="44"/>
      <c r="G153" s="45"/>
      <c r="H153" s="46"/>
      <c r="I153" s="47"/>
      <c r="J153" s="86"/>
      <c r="K153" s="86"/>
      <c r="L153" s="37"/>
      <c r="M153" s="37"/>
      <c r="N153" s="48"/>
      <c r="O153" s="49"/>
      <c r="P153" s="50"/>
      <c r="Q153" s="319"/>
      <c r="R153" s="52"/>
      <c r="S153" s="52"/>
      <c r="T153" s="39"/>
      <c r="U153" s="39"/>
      <c r="V153" s="39"/>
      <c r="W153" s="35"/>
      <c r="X153" s="40"/>
      <c r="Y153" s="40"/>
      <c r="Z153" s="35"/>
      <c r="AA153" s="51"/>
      <c r="AB153" s="51"/>
      <c r="AC153" s="39"/>
      <c r="AD153" s="39"/>
      <c r="AE153" s="22"/>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5"/>
      <c r="BC153" s="53"/>
      <c r="BD153" s="53"/>
      <c r="BE153" s="53"/>
      <c r="BF153" s="53"/>
    </row>
    <row r="154" spans="1:58" ht="12.95" customHeight="1">
      <c r="A154" s="42"/>
      <c r="B154" s="570"/>
      <c r="C154" s="402"/>
      <c r="D154" s="43"/>
      <c r="E154" s="246"/>
      <c r="F154" s="44"/>
      <c r="G154" s="45"/>
      <c r="H154" s="46"/>
      <c r="I154" s="47"/>
      <c r="J154" s="86"/>
      <c r="K154" s="86"/>
      <c r="L154" s="37"/>
      <c r="M154" s="37"/>
      <c r="N154" s="48"/>
      <c r="O154" s="49"/>
      <c r="P154" s="50"/>
      <c r="Q154" s="319"/>
      <c r="R154" s="52"/>
      <c r="S154" s="52"/>
      <c r="T154" s="39"/>
      <c r="U154" s="39"/>
      <c r="V154" s="39"/>
      <c r="W154" s="35"/>
      <c r="X154" s="40"/>
      <c r="Y154" s="40"/>
      <c r="Z154" s="35"/>
      <c r="AA154" s="51"/>
      <c r="AB154" s="51"/>
      <c r="AC154" s="39"/>
      <c r="AD154" s="39"/>
      <c r="AE154" s="22"/>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5"/>
      <c r="BC154" s="53"/>
      <c r="BD154" s="53"/>
      <c r="BE154" s="53"/>
      <c r="BF154" s="53"/>
    </row>
    <row r="155" spans="1:58" ht="12.95" customHeight="1">
      <c r="A155" s="42"/>
      <c r="B155" s="570"/>
      <c r="C155" s="402"/>
      <c r="D155" s="43"/>
      <c r="E155" s="246"/>
      <c r="F155" s="44"/>
      <c r="G155" s="45"/>
      <c r="H155" s="46"/>
      <c r="I155" s="47"/>
      <c r="J155" s="86"/>
      <c r="K155" s="86"/>
      <c r="L155" s="37"/>
      <c r="M155" s="37"/>
      <c r="N155" s="48"/>
      <c r="O155" s="49"/>
      <c r="P155" s="50"/>
      <c r="Q155" s="319"/>
      <c r="R155" s="52"/>
      <c r="S155" s="52"/>
      <c r="T155" s="39"/>
      <c r="U155" s="39"/>
      <c r="V155" s="39"/>
      <c r="W155" s="35"/>
      <c r="X155" s="40"/>
      <c r="Y155" s="40"/>
      <c r="Z155" s="35"/>
      <c r="AA155" s="51"/>
      <c r="AB155" s="51"/>
      <c r="AC155" s="39"/>
      <c r="AD155" s="39"/>
      <c r="AE155" s="22"/>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5"/>
      <c r="BC155" s="53"/>
      <c r="BD155" s="53"/>
      <c r="BE155" s="53"/>
      <c r="BF155" s="53"/>
    </row>
    <row r="156" spans="1:58" ht="12.95" customHeight="1">
      <c r="A156" s="42"/>
      <c r="B156" s="570"/>
      <c r="C156" s="402"/>
      <c r="D156" s="43"/>
      <c r="E156" s="246"/>
      <c r="F156" s="44"/>
      <c r="G156" s="45"/>
      <c r="H156" s="46"/>
      <c r="I156" s="47"/>
      <c r="J156" s="86"/>
      <c r="K156" s="86"/>
      <c r="L156" s="37"/>
      <c r="M156" s="37"/>
      <c r="N156" s="48"/>
      <c r="O156" s="49"/>
      <c r="P156" s="50"/>
      <c r="Q156" s="319"/>
      <c r="R156" s="52"/>
      <c r="S156" s="52"/>
      <c r="T156" s="39"/>
      <c r="U156" s="39"/>
      <c r="V156" s="39"/>
      <c r="W156" s="35"/>
      <c r="X156" s="40"/>
      <c r="Y156" s="40"/>
      <c r="Z156" s="35"/>
      <c r="AA156" s="51"/>
      <c r="AB156" s="51"/>
      <c r="AC156" s="39"/>
      <c r="AD156" s="39"/>
      <c r="AE156" s="22"/>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5"/>
      <c r="BC156" s="53"/>
      <c r="BD156" s="53"/>
      <c r="BE156" s="53"/>
      <c r="BF156" s="53"/>
    </row>
    <row r="157" spans="1:58" ht="12.95" customHeight="1">
      <c r="A157" s="42"/>
      <c r="B157" s="570"/>
      <c r="C157" s="402"/>
      <c r="D157" s="43"/>
      <c r="E157" s="246"/>
      <c r="F157" s="44"/>
      <c r="G157" s="45"/>
      <c r="H157" s="46"/>
      <c r="I157" s="47"/>
      <c r="J157" s="86"/>
      <c r="K157" s="86"/>
      <c r="L157" s="37"/>
      <c r="M157" s="37"/>
      <c r="N157" s="48"/>
      <c r="O157" s="49"/>
      <c r="P157" s="50"/>
      <c r="Q157" s="319"/>
      <c r="R157" s="52"/>
      <c r="S157" s="52"/>
      <c r="T157" s="39"/>
      <c r="U157" s="39"/>
      <c r="V157" s="39"/>
      <c r="W157" s="35"/>
      <c r="X157" s="40"/>
      <c r="Y157" s="40"/>
      <c r="Z157" s="35"/>
      <c r="AA157" s="51"/>
      <c r="AB157" s="51"/>
      <c r="AC157" s="39"/>
      <c r="AD157" s="39"/>
      <c r="AE157" s="22"/>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5"/>
      <c r="BC157" s="53"/>
      <c r="BD157" s="53"/>
      <c r="BE157" s="53"/>
      <c r="BF157" s="53"/>
    </row>
    <row r="158" spans="1:58" ht="12.95" customHeight="1">
      <c r="A158" s="42"/>
      <c r="B158" s="570"/>
      <c r="C158" s="402"/>
      <c r="D158" s="43"/>
      <c r="E158" s="246"/>
      <c r="F158" s="44"/>
      <c r="G158" s="45"/>
      <c r="H158" s="46"/>
      <c r="I158" s="47"/>
      <c r="J158" s="86"/>
      <c r="K158" s="86"/>
      <c r="L158" s="37"/>
      <c r="M158" s="37"/>
      <c r="N158" s="48"/>
      <c r="O158" s="49"/>
      <c r="P158" s="50"/>
      <c r="Q158" s="319"/>
      <c r="R158" s="52"/>
      <c r="S158" s="52"/>
      <c r="T158" s="39"/>
      <c r="U158" s="39"/>
      <c r="V158" s="39"/>
      <c r="W158" s="35"/>
      <c r="X158" s="40"/>
      <c r="Y158" s="40"/>
      <c r="Z158" s="35"/>
      <c r="AA158" s="51"/>
      <c r="AB158" s="51"/>
      <c r="AC158" s="39"/>
      <c r="AD158" s="39"/>
      <c r="AE158" s="22"/>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5"/>
      <c r="BC158" s="53"/>
      <c r="BD158" s="53"/>
      <c r="BE158" s="53"/>
      <c r="BF158" s="53"/>
    </row>
    <row r="159" spans="1:58" ht="12.95" customHeight="1">
      <c r="A159" s="42"/>
      <c r="B159" s="570"/>
      <c r="C159" s="402"/>
      <c r="D159" s="43"/>
      <c r="E159" s="246"/>
      <c r="F159" s="44"/>
      <c r="G159" s="45"/>
      <c r="H159" s="46"/>
      <c r="I159" s="47"/>
      <c r="J159" s="86"/>
      <c r="K159" s="86"/>
      <c r="L159" s="37"/>
      <c r="M159" s="37"/>
      <c r="N159" s="48"/>
      <c r="O159" s="49"/>
      <c r="P159" s="50"/>
      <c r="Q159" s="319"/>
      <c r="R159" s="52"/>
      <c r="S159" s="52"/>
      <c r="T159" s="39"/>
      <c r="U159" s="39"/>
      <c r="V159" s="39"/>
      <c r="W159" s="35"/>
      <c r="X159" s="40"/>
      <c r="Y159" s="40"/>
      <c r="Z159" s="35"/>
      <c r="AA159" s="51"/>
      <c r="AB159" s="51"/>
      <c r="AC159" s="39"/>
      <c r="AD159" s="39"/>
      <c r="AE159" s="22"/>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5"/>
      <c r="BC159" s="53"/>
      <c r="BD159" s="53"/>
      <c r="BE159" s="53"/>
      <c r="BF159" s="53"/>
    </row>
    <row r="160" spans="1:58" ht="12.95" customHeight="1">
      <c r="A160" s="42"/>
      <c r="B160" s="570"/>
      <c r="C160" s="402"/>
      <c r="D160" s="43"/>
      <c r="E160" s="246"/>
      <c r="F160" s="44"/>
      <c r="G160" s="45"/>
      <c r="H160" s="46"/>
      <c r="I160" s="47"/>
      <c r="J160" s="86"/>
      <c r="K160" s="86"/>
      <c r="L160" s="37"/>
      <c r="M160" s="37"/>
      <c r="N160" s="48"/>
      <c r="O160" s="49"/>
      <c r="P160" s="50"/>
      <c r="Q160" s="319"/>
      <c r="R160" s="52"/>
      <c r="S160" s="52"/>
      <c r="T160" s="39"/>
      <c r="U160" s="39"/>
      <c r="V160" s="39"/>
      <c r="W160" s="35"/>
      <c r="X160" s="40"/>
      <c r="Y160" s="40"/>
      <c r="Z160" s="35"/>
      <c r="AA160" s="51"/>
      <c r="AB160" s="51"/>
      <c r="AC160" s="39"/>
      <c r="AD160" s="39"/>
      <c r="AE160" s="22"/>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5"/>
      <c r="BC160" s="53"/>
      <c r="BD160" s="53"/>
      <c r="BE160" s="53"/>
      <c r="BF160" s="53"/>
    </row>
    <row r="161" spans="1:58" ht="12.95" customHeight="1">
      <c r="A161" s="42"/>
      <c r="B161" s="570"/>
      <c r="C161" s="402"/>
      <c r="D161" s="43"/>
      <c r="E161" s="246"/>
      <c r="F161" s="44"/>
      <c r="G161" s="45"/>
      <c r="H161" s="46"/>
      <c r="I161" s="47"/>
      <c r="J161" s="86"/>
      <c r="K161" s="86"/>
      <c r="L161" s="37"/>
      <c r="M161" s="37"/>
      <c r="N161" s="48"/>
      <c r="O161" s="49"/>
      <c r="P161" s="50"/>
      <c r="Q161" s="319"/>
      <c r="R161" s="52"/>
      <c r="S161" s="52"/>
      <c r="T161" s="39"/>
      <c r="U161" s="39"/>
      <c r="V161" s="39"/>
      <c r="W161" s="35"/>
      <c r="X161" s="40"/>
      <c r="Y161" s="40"/>
      <c r="Z161" s="35"/>
      <c r="AA161" s="51"/>
      <c r="AB161" s="51"/>
      <c r="AC161" s="39"/>
      <c r="AD161" s="39"/>
      <c r="AE161" s="22"/>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5"/>
      <c r="BC161" s="53"/>
      <c r="BD161" s="53"/>
      <c r="BE161" s="53"/>
      <c r="BF161" s="53"/>
    </row>
    <row r="162" spans="1:58" ht="12.95" customHeight="1">
      <c r="A162" s="42"/>
      <c r="B162" s="3"/>
      <c r="C162" s="402"/>
      <c r="D162" s="43"/>
      <c r="E162" s="246"/>
      <c r="F162" s="44"/>
      <c r="G162" s="45"/>
      <c r="H162" s="46"/>
      <c r="I162" s="47"/>
      <c r="J162" s="86"/>
      <c r="K162" s="86"/>
      <c r="L162" s="37"/>
      <c r="M162" s="37"/>
      <c r="N162" s="48"/>
      <c r="O162" s="49"/>
      <c r="P162" s="50"/>
      <c r="Q162" s="319"/>
      <c r="R162" s="52"/>
      <c r="S162" s="52"/>
      <c r="T162" s="39"/>
      <c r="U162" s="39"/>
      <c r="V162" s="39"/>
      <c r="W162" s="35"/>
      <c r="X162" s="40"/>
      <c r="Y162" s="40"/>
      <c r="Z162" s="35"/>
      <c r="AA162" s="51"/>
      <c r="AB162" s="51"/>
      <c r="AC162" s="39"/>
      <c r="AD162" s="39"/>
      <c r="AE162" s="22"/>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5"/>
      <c r="BC162" s="53"/>
      <c r="BD162" s="53"/>
      <c r="BE162" s="53"/>
      <c r="BF162" s="53"/>
    </row>
    <row r="163" spans="1:58" ht="12.95" customHeight="1">
      <c r="A163" s="42"/>
      <c r="B163" s="3"/>
      <c r="C163" s="402"/>
      <c r="D163" s="43"/>
      <c r="E163" s="246"/>
      <c r="F163" s="44"/>
      <c r="G163" s="45"/>
      <c r="H163" s="46"/>
      <c r="I163" s="47"/>
      <c r="J163" s="86"/>
      <c r="K163" s="86"/>
      <c r="L163" s="37"/>
      <c r="M163" s="37"/>
      <c r="N163" s="48"/>
      <c r="O163" s="49"/>
      <c r="P163" s="50"/>
      <c r="Q163" s="319"/>
      <c r="R163" s="52"/>
      <c r="S163" s="52"/>
      <c r="T163" s="39"/>
      <c r="U163" s="39"/>
      <c r="V163" s="39"/>
      <c r="W163" s="35"/>
      <c r="X163" s="40"/>
      <c r="Y163" s="40"/>
      <c r="Z163" s="35"/>
      <c r="AA163" s="51"/>
      <c r="AB163" s="51"/>
      <c r="AC163" s="39"/>
      <c r="AD163" s="39"/>
      <c r="AE163" s="22"/>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5"/>
      <c r="BC163" s="53"/>
      <c r="BD163" s="53"/>
      <c r="BE163" s="53"/>
      <c r="BF163" s="53"/>
    </row>
    <row r="164" spans="1:58" ht="12.95" customHeight="1">
      <c r="A164" s="42"/>
      <c r="B164" s="570"/>
      <c r="C164" s="402"/>
      <c r="D164" s="43"/>
      <c r="E164" s="246"/>
      <c r="F164" s="44"/>
      <c r="G164" s="45"/>
      <c r="H164" s="46"/>
      <c r="I164" s="47"/>
      <c r="J164" s="86"/>
      <c r="K164" s="86"/>
      <c r="L164" s="37"/>
      <c r="M164" s="37"/>
      <c r="N164" s="48"/>
      <c r="O164" s="49"/>
      <c r="P164" s="50"/>
      <c r="Q164" s="319"/>
      <c r="R164" s="52"/>
      <c r="S164" s="52"/>
      <c r="T164" s="39"/>
      <c r="U164" s="39"/>
      <c r="V164" s="39"/>
      <c r="W164" s="35"/>
      <c r="X164" s="40"/>
      <c r="Y164" s="40"/>
      <c r="Z164" s="35"/>
      <c r="AA164" s="51"/>
      <c r="AB164" s="51"/>
      <c r="AC164" s="39"/>
      <c r="AD164" s="39"/>
      <c r="AE164" s="22"/>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5"/>
      <c r="BC164" s="53"/>
      <c r="BD164" s="53"/>
      <c r="BE164" s="53"/>
      <c r="BF164" s="53"/>
    </row>
    <row r="165" spans="1:58" ht="12.95" customHeight="1">
      <c r="A165" s="42"/>
      <c r="B165" s="570"/>
      <c r="C165" s="402"/>
      <c r="D165" s="43"/>
      <c r="E165" s="246"/>
      <c r="F165" s="44"/>
      <c r="G165" s="45"/>
      <c r="H165" s="46"/>
      <c r="I165" s="47"/>
      <c r="J165" s="86"/>
      <c r="K165" s="86"/>
      <c r="L165" s="37"/>
      <c r="M165" s="37"/>
      <c r="N165" s="48"/>
      <c r="O165" s="49"/>
      <c r="P165" s="50"/>
      <c r="Q165" s="319"/>
      <c r="R165" s="52"/>
      <c r="S165" s="52"/>
      <c r="T165" s="39"/>
      <c r="U165" s="39"/>
      <c r="V165" s="39"/>
      <c r="W165" s="35"/>
      <c r="X165" s="40"/>
      <c r="Y165" s="40"/>
      <c r="Z165" s="35"/>
      <c r="AA165" s="51"/>
      <c r="AB165" s="51"/>
      <c r="AC165" s="39"/>
      <c r="AD165" s="39"/>
      <c r="AE165" s="22"/>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5"/>
      <c r="BC165" s="53"/>
      <c r="BD165" s="53"/>
      <c r="BE165" s="53"/>
      <c r="BF165" s="53"/>
    </row>
    <row r="166" spans="1:58" ht="12.95" customHeight="1">
      <c r="A166" s="42"/>
      <c r="B166" s="570"/>
      <c r="C166" s="402"/>
      <c r="D166" s="43"/>
      <c r="E166" s="246"/>
      <c r="F166" s="44"/>
      <c r="G166" s="45"/>
      <c r="H166" s="46"/>
      <c r="I166" s="47"/>
      <c r="J166" s="86"/>
      <c r="K166" s="86"/>
      <c r="L166" s="37"/>
      <c r="M166" s="37"/>
      <c r="N166" s="48"/>
      <c r="O166" s="49"/>
      <c r="P166" s="50"/>
      <c r="Q166" s="319"/>
      <c r="R166" s="52"/>
      <c r="S166" s="52"/>
      <c r="T166" s="39"/>
      <c r="U166" s="39"/>
      <c r="V166" s="39"/>
      <c r="W166" s="35"/>
      <c r="X166" s="40"/>
      <c r="Y166" s="40"/>
      <c r="Z166" s="35"/>
      <c r="AA166" s="51"/>
      <c r="AB166" s="51"/>
      <c r="AC166" s="39"/>
      <c r="AD166" s="39"/>
      <c r="AE166" s="22"/>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5"/>
      <c r="BC166" s="53"/>
      <c r="BD166" s="53"/>
      <c r="BE166" s="53"/>
      <c r="BF166" s="53"/>
    </row>
    <row r="167" spans="1:58" ht="12.95" customHeight="1">
      <c r="A167" s="42"/>
      <c r="B167" s="570"/>
      <c r="C167" s="402"/>
      <c r="D167" s="43"/>
      <c r="E167" s="246"/>
      <c r="F167" s="44"/>
      <c r="G167" s="45"/>
      <c r="H167" s="46"/>
      <c r="I167" s="47"/>
      <c r="J167" s="86"/>
      <c r="K167" s="86"/>
      <c r="L167" s="37"/>
      <c r="M167" s="37"/>
      <c r="N167" s="48"/>
      <c r="O167" s="49"/>
      <c r="P167" s="50"/>
      <c r="Q167" s="319"/>
      <c r="R167" s="52"/>
      <c r="S167" s="52"/>
      <c r="T167" s="39"/>
      <c r="U167" s="39"/>
      <c r="V167" s="39"/>
      <c r="W167" s="35"/>
      <c r="X167" s="40"/>
      <c r="Y167" s="40"/>
      <c r="Z167" s="35"/>
      <c r="AA167" s="51"/>
      <c r="AB167" s="51"/>
      <c r="AC167" s="39"/>
      <c r="AD167" s="39"/>
      <c r="AE167" s="22"/>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5"/>
      <c r="BC167" s="53"/>
      <c r="BD167" s="53"/>
      <c r="BE167" s="53"/>
      <c r="BF167" s="53"/>
    </row>
    <row r="168" spans="1:58" ht="12.95" customHeight="1">
      <c r="A168" s="42"/>
      <c r="B168" s="570"/>
      <c r="C168" s="402"/>
      <c r="D168" s="43"/>
      <c r="E168" s="246"/>
      <c r="F168" s="44"/>
      <c r="G168" s="45"/>
      <c r="H168" s="46"/>
      <c r="I168" s="47"/>
      <c r="J168" s="86"/>
      <c r="K168" s="86"/>
      <c r="L168" s="37"/>
      <c r="M168" s="37"/>
      <c r="N168" s="48"/>
      <c r="O168" s="49"/>
      <c r="P168" s="50"/>
      <c r="Q168" s="319"/>
      <c r="R168" s="52"/>
      <c r="S168" s="52"/>
      <c r="T168" s="39"/>
      <c r="U168" s="39"/>
      <c r="V168" s="39"/>
      <c r="W168" s="35"/>
      <c r="X168" s="40"/>
      <c r="Y168" s="40"/>
      <c r="Z168" s="35"/>
      <c r="AA168" s="51"/>
      <c r="AB168" s="51"/>
      <c r="AC168" s="39"/>
      <c r="AD168" s="39"/>
      <c r="AE168" s="22"/>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5"/>
      <c r="BC168" s="53"/>
      <c r="BD168" s="53"/>
      <c r="BE168" s="53"/>
      <c r="BF168" s="53"/>
    </row>
    <row r="169" spans="1:58" ht="12.95" customHeight="1">
      <c r="A169" s="42"/>
      <c r="B169" s="3"/>
      <c r="C169" s="402"/>
      <c r="D169" s="43"/>
      <c r="E169" s="246"/>
      <c r="F169" s="44"/>
      <c r="G169" s="45"/>
      <c r="H169" s="46"/>
      <c r="I169" s="47"/>
      <c r="J169" s="86"/>
      <c r="K169" s="86"/>
      <c r="L169" s="37"/>
      <c r="M169" s="37"/>
      <c r="N169" s="48"/>
      <c r="O169" s="49"/>
      <c r="P169" s="50"/>
      <c r="Q169" s="319"/>
      <c r="R169" s="52"/>
      <c r="S169" s="52"/>
      <c r="T169" s="39"/>
      <c r="U169" s="39"/>
      <c r="V169" s="39"/>
      <c r="W169" s="35"/>
      <c r="X169" s="40"/>
      <c r="Y169" s="40"/>
      <c r="Z169" s="35"/>
      <c r="AA169" s="51"/>
      <c r="AB169" s="51"/>
      <c r="AC169" s="39"/>
      <c r="AD169" s="39"/>
      <c r="AE169" s="22"/>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5"/>
      <c r="BC169" s="53"/>
      <c r="BD169" s="53"/>
      <c r="BE169" s="53"/>
      <c r="BF169" s="53"/>
    </row>
    <row r="170" spans="1:58" ht="12.95" customHeight="1">
      <c r="A170" s="42"/>
      <c r="B170" s="3"/>
      <c r="C170" s="402"/>
      <c r="D170" s="43"/>
      <c r="E170" s="246"/>
      <c r="F170" s="44"/>
      <c r="G170" s="45"/>
      <c r="H170" s="46"/>
      <c r="I170" s="47"/>
      <c r="J170" s="86"/>
      <c r="K170" s="86"/>
      <c r="L170" s="37"/>
      <c r="M170" s="37"/>
      <c r="N170" s="48"/>
      <c r="O170" s="49"/>
      <c r="P170" s="50"/>
      <c r="Q170" s="319"/>
      <c r="R170" s="52"/>
      <c r="S170" s="52"/>
      <c r="T170" s="39"/>
      <c r="U170" s="39"/>
      <c r="V170" s="39"/>
      <c r="W170" s="35"/>
      <c r="X170" s="40"/>
      <c r="Y170" s="40"/>
      <c r="Z170" s="35"/>
      <c r="AA170" s="51"/>
      <c r="AB170" s="51"/>
      <c r="AC170" s="39"/>
      <c r="AD170" s="39"/>
      <c r="AE170" s="22"/>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5"/>
      <c r="BC170" s="53"/>
      <c r="BD170" s="53"/>
      <c r="BE170" s="53"/>
      <c r="BF170" s="53"/>
    </row>
    <row r="171" spans="1:58" ht="12.95" customHeight="1">
      <c r="A171" s="42"/>
      <c r="B171" s="3"/>
      <c r="C171" s="402"/>
      <c r="D171" s="43"/>
      <c r="E171" s="44"/>
      <c r="F171" s="44"/>
      <c r="G171" s="45"/>
      <c r="H171" s="46"/>
      <c r="I171" s="47"/>
      <c r="J171" s="86"/>
      <c r="K171" s="86"/>
      <c r="L171" s="37"/>
      <c r="M171" s="37"/>
      <c r="N171" s="48"/>
      <c r="O171" s="49"/>
      <c r="P171" s="50"/>
      <c r="Q171" s="36"/>
      <c r="R171" s="371"/>
      <c r="S171" s="371"/>
      <c r="T171" s="39"/>
      <c r="U171" s="39"/>
      <c r="V171" s="39"/>
      <c r="W171" s="39"/>
      <c r="X171" s="40"/>
      <c r="Y171" s="40"/>
      <c r="Z171" s="39"/>
      <c r="AA171" s="51"/>
      <c r="AB171" s="51"/>
      <c r="AC171" s="39"/>
      <c r="AD171" s="39"/>
      <c r="AE171" s="22"/>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5"/>
      <c r="BC171" s="53"/>
      <c r="BD171" s="53"/>
      <c r="BE171" s="53"/>
      <c r="BF171" s="53"/>
    </row>
    <row r="172" spans="1:58" ht="12.95" customHeight="1">
      <c r="A172" s="42"/>
      <c r="B172" s="3"/>
      <c r="C172" s="402"/>
      <c r="D172" s="43"/>
      <c r="E172" s="246"/>
      <c r="F172" s="44"/>
      <c r="G172" s="45"/>
      <c r="H172" s="46"/>
      <c r="I172" s="47"/>
      <c r="J172" s="86"/>
      <c r="K172" s="86"/>
      <c r="L172" s="37"/>
      <c r="M172" s="37"/>
      <c r="N172" s="48"/>
      <c r="O172" s="49"/>
      <c r="P172" s="50"/>
      <c r="Q172" s="319"/>
      <c r="R172" s="52"/>
      <c r="S172" s="52"/>
      <c r="T172" s="39"/>
      <c r="U172" s="39"/>
      <c r="V172" s="39"/>
      <c r="W172" s="35"/>
      <c r="X172" s="40"/>
      <c r="Y172" s="40"/>
      <c r="Z172" s="35"/>
      <c r="AA172" s="51"/>
      <c r="AB172" s="51"/>
      <c r="AC172" s="39"/>
      <c r="AD172" s="39"/>
      <c r="AE172" s="22"/>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5"/>
      <c r="BC172" s="53"/>
      <c r="BD172" s="53"/>
      <c r="BE172" s="53"/>
      <c r="BF172" s="53"/>
    </row>
    <row r="173" spans="1:58" ht="12.95" customHeight="1">
      <c r="A173" s="42"/>
      <c r="B173" s="3"/>
      <c r="C173" s="402"/>
      <c r="D173" s="43"/>
      <c r="E173" s="246"/>
      <c r="F173" s="44"/>
      <c r="G173" s="45"/>
      <c r="H173" s="46"/>
      <c r="I173" s="47"/>
      <c r="J173" s="86"/>
      <c r="K173" s="86"/>
      <c r="L173" s="37"/>
      <c r="M173" s="37"/>
      <c r="N173" s="48"/>
      <c r="O173" s="49"/>
      <c r="P173" s="50"/>
      <c r="Q173" s="319"/>
      <c r="R173" s="52"/>
      <c r="S173" s="52"/>
      <c r="T173" s="39"/>
      <c r="U173" s="39"/>
      <c r="V173" s="39"/>
      <c r="W173" s="35"/>
      <c r="X173" s="40"/>
      <c r="Y173" s="40"/>
      <c r="Z173" s="35"/>
      <c r="AA173" s="51"/>
      <c r="AB173" s="51"/>
      <c r="AC173" s="39"/>
      <c r="AD173" s="39"/>
      <c r="AE173" s="22"/>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5"/>
      <c r="BC173" s="53"/>
      <c r="BD173" s="53"/>
      <c r="BE173" s="53"/>
      <c r="BF173" s="53"/>
    </row>
    <row r="174" spans="1:58" ht="12.95" customHeight="1">
      <c r="A174" s="42"/>
      <c r="B174" s="3"/>
      <c r="C174" s="402"/>
      <c r="D174" s="43"/>
      <c r="E174" s="246"/>
      <c r="F174" s="44"/>
      <c r="G174" s="45"/>
      <c r="H174" s="46"/>
      <c r="I174" s="47"/>
      <c r="J174" s="86"/>
      <c r="K174" s="86"/>
      <c r="L174" s="37"/>
      <c r="M174" s="37"/>
      <c r="N174" s="48"/>
      <c r="O174" s="49"/>
      <c r="P174" s="50"/>
      <c r="Q174" s="319"/>
      <c r="R174" s="52"/>
      <c r="S174" s="52"/>
      <c r="T174" s="39"/>
      <c r="U174" s="39"/>
      <c r="V174" s="39"/>
      <c r="W174" s="35"/>
      <c r="X174" s="40"/>
      <c r="Y174" s="40"/>
      <c r="Z174" s="35"/>
      <c r="AA174" s="51"/>
      <c r="AB174" s="51"/>
      <c r="AC174" s="39"/>
      <c r="AD174" s="39"/>
      <c r="AE174" s="22"/>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5"/>
      <c r="BC174" s="53"/>
      <c r="BD174" s="53"/>
      <c r="BE174" s="53"/>
      <c r="BF174" s="53"/>
    </row>
    <row r="175" spans="1:58" ht="12.95" customHeight="1">
      <c r="A175" s="42"/>
      <c r="B175" s="3"/>
      <c r="C175" s="402"/>
      <c r="D175" s="43"/>
      <c r="E175" s="44"/>
      <c r="F175" s="44"/>
      <c r="G175" s="45"/>
      <c r="H175" s="46"/>
      <c r="I175" s="47"/>
      <c r="J175" s="86"/>
      <c r="K175" s="86"/>
      <c r="L175" s="37"/>
      <c r="M175" s="37"/>
      <c r="N175" s="48"/>
      <c r="O175" s="49"/>
      <c r="P175" s="50"/>
      <c r="Q175" s="36"/>
      <c r="R175" s="371"/>
      <c r="S175" s="371"/>
      <c r="T175" s="39"/>
      <c r="U175" s="39"/>
      <c r="V175" s="39"/>
      <c r="W175" s="39"/>
      <c r="X175" s="40"/>
      <c r="Y175" s="40"/>
      <c r="Z175" s="39"/>
      <c r="AA175" s="51"/>
      <c r="AB175" s="51"/>
      <c r="AC175" s="39"/>
      <c r="AD175" s="39"/>
      <c r="AE175" s="22"/>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5"/>
      <c r="BC175" s="53"/>
      <c r="BD175" s="53"/>
      <c r="BE175" s="53"/>
      <c r="BF175" s="53"/>
    </row>
    <row r="176" spans="1:58" ht="12.95" customHeight="1">
      <c r="A176" s="42"/>
      <c r="B176" s="3"/>
      <c r="C176" s="402"/>
      <c r="D176" s="43"/>
      <c r="E176" s="44"/>
      <c r="F176" s="44"/>
      <c r="G176" s="45"/>
      <c r="H176" s="46"/>
      <c r="I176" s="47"/>
      <c r="J176" s="86"/>
      <c r="K176" s="86"/>
      <c r="L176" s="37"/>
      <c r="M176" s="37"/>
      <c r="N176" s="48"/>
      <c r="O176" s="49"/>
      <c r="P176" s="50"/>
      <c r="Q176" s="36"/>
      <c r="R176" s="371"/>
      <c r="S176" s="371"/>
      <c r="T176" s="39"/>
      <c r="U176" s="39"/>
      <c r="V176" s="39"/>
      <c r="W176" s="39"/>
      <c r="X176" s="40"/>
      <c r="Y176" s="40"/>
      <c r="Z176" s="39"/>
      <c r="AA176" s="51"/>
      <c r="AB176" s="51"/>
      <c r="AC176" s="39"/>
      <c r="AD176" s="39"/>
      <c r="AE176" s="22"/>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5"/>
      <c r="BC176" s="53"/>
      <c r="BD176" s="53"/>
      <c r="BE176" s="53"/>
      <c r="BF176" s="53"/>
    </row>
    <row r="177" spans="1:97" ht="12.95" customHeight="1">
      <c r="A177" s="42"/>
      <c r="B177" s="43"/>
      <c r="C177" s="402"/>
      <c r="D177" s="43"/>
      <c r="E177" s="44"/>
      <c r="F177" s="44"/>
      <c r="G177" s="55"/>
      <c r="H177" s="56"/>
      <c r="I177" s="47"/>
      <c r="J177" s="86"/>
      <c r="K177" s="86"/>
      <c r="L177" s="37"/>
      <c r="M177" s="37"/>
      <c r="N177" s="48"/>
      <c r="O177" s="49"/>
      <c r="P177" s="50"/>
      <c r="Q177" s="319"/>
      <c r="R177" s="52"/>
      <c r="S177" s="52"/>
      <c r="T177" s="39"/>
      <c r="U177" s="39"/>
      <c r="V177" s="39"/>
      <c r="W177" s="35"/>
      <c r="X177" s="40"/>
      <c r="Y177" s="40"/>
      <c r="Z177" s="35"/>
      <c r="AA177" s="51"/>
      <c r="AB177" s="51"/>
      <c r="AC177" s="39"/>
      <c r="AD177" s="39"/>
      <c r="AE177" s="22"/>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5"/>
      <c r="BC177" s="53"/>
      <c r="BD177" s="53"/>
      <c r="BE177" s="53"/>
      <c r="BF177" s="53"/>
    </row>
    <row r="178" spans="1:97" ht="12.95" customHeight="1">
      <c r="A178" s="42"/>
      <c r="B178" s="43"/>
      <c r="C178" s="402"/>
      <c r="D178" s="43"/>
      <c r="E178" s="44"/>
      <c r="F178" s="44"/>
      <c r="G178" s="55"/>
      <c r="H178" s="56"/>
      <c r="I178" s="47"/>
      <c r="J178" s="86"/>
      <c r="K178" s="86"/>
      <c r="L178" s="37"/>
      <c r="M178" s="37"/>
      <c r="N178" s="48"/>
      <c r="O178" s="49"/>
      <c r="P178" s="50"/>
      <c r="Q178" s="319"/>
      <c r="R178" s="52"/>
      <c r="S178" s="52"/>
      <c r="T178" s="39"/>
      <c r="U178" s="39"/>
      <c r="V178" s="39"/>
      <c r="W178" s="35"/>
      <c r="X178" s="40"/>
      <c r="Y178" s="40"/>
      <c r="Z178" s="35"/>
      <c r="AA178" s="51">
        <f>U178-W178-Z178</f>
        <v>0</v>
      </c>
      <c r="AB178" s="51"/>
      <c r="AC178" s="39">
        <f>K178-T178</f>
        <v>0</v>
      </c>
      <c r="AD178" s="39"/>
      <c r="AE178" s="487"/>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5"/>
      <c r="BC178" s="53"/>
      <c r="BD178" s="53"/>
      <c r="BE178" s="53"/>
      <c r="BF178" s="53"/>
    </row>
    <row r="179" spans="1:97" ht="12.95" customHeight="1">
      <c r="R179" s="372"/>
      <c r="S179" s="372"/>
      <c r="AA179" s="247">
        <f>U179-W179-Z179</f>
        <v>0</v>
      </c>
      <c r="AB179" s="247"/>
      <c r="AC179" s="248">
        <f>K179-T179</f>
        <v>0</v>
      </c>
      <c r="AD179" s="39"/>
      <c r="AF179" s="54"/>
      <c r="AG179" s="54"/>
      <c r="AH179" s="54"/>
      <c r="AI179" s="54"/>
      <c r="AJ179" s="54"/>
      <c r="AK179" s="54"/>
      <c r="AL179" s="54"/>
      <c r="AM179" s="39">
        <f t="shared" ref="AM179" si="329">SUM(AF179:AL179)</f>
        <v>0</v>
      </c>
      <c r="AN179" s="54"/>
      <c r="AO179" s="54"/>
      <c r="AP179" s="54"/>
      <c r="AQ179" s="54"/>
      <c r="AR179" s="39">
        <f t="shared" ref="AR179" si="330">SUM(AN179:AQ179)</f>
        <v>0</v>
      </c>
      <c r="AS179" s="54"/>
      <c r="AT179" s="54"/>
      <c r="AU179" s="54"/>
      <c r="AV179" s="54"/>
      <c r="AW179" s="54"/>
      <c r="AX179" s="54"/>
      <c r="AY179" s="54"/>
      <c r="AZ179" s="54"/>
      <c r="BA179" s="39"/>
      <c r="BB179" s="67"/>
      <c r="BC179" s="67"/>
      <c r="BD179" s="53"/>
      <c r="BE179" s="53"/>
      <c r="BF179" s="53"/>
    </row>
    <row r="180" spans="1:97" ht="12.95" customHeight="1">
      <c r="A180" s="60"/>
      <c r="B180" s="61"/>
      <c r="C180" s="403">
        <f>SUM(C6:C178)</f>
        <v>1531.6445840731237</v>
      </c>
      <c r="D180" s="61"/>
      <c r="E180" s="62"/>
      <c r="F180" s="62"/>
      <c r="G180" s="63"/>
      <c r="H180" s="63"/>
      <c r="I180" s="64">
        <v>0.85</v>
      </c>
      <c r="J180" s="86"/>
      <c r="K180" s="88">
        <f>SUM(K6:K178)</f>
        <v>1589.7042629732989</v>
      </c>
      <c r="L180" s="66"/>
      <c r="M180" s="66"/>
      <c r="N180" s="67"/>
      <c r="O180" s="68">
        <f>P180/(Q180-R180-S180)</f>
        <v>257.48234766858883</v>
      </c>
      <c r="P180" s="65">
        <f>SUM(P6:P178)</f>
        <v>7798625.3461862179</v>
      </c>
      <c r="Q180" s="321">
        <f>SUM(Q6:Q179)</f>
        <v>44640</v>
      </c>
      <c r="R180" s="65">
        <f t="shared" ref="R180:W180" si="331">SUM(R6:R178)</f>
        <v>12975</v>
      </c>
      <c r="S180" s="65">
        <f>SUM(S6:S178)</f>
        <v>1377</v>
      </c>
      <c r="T180" s="65">
        <f t="shared" si="331"/>
        <v>1531.6445840731237</v>
      </c>
      <c r="U180" s="65">
        <f t="shared" si="331"/>
        <v>1017.4473989821663</v>
      </c>
      <c r="V180" s="346">
        <f t="shared" si="331"/>
        <v>512.27842783750657</v>
      </c>
      <c r="W180" s="418">
        <f t="shared" si="331"/>
        <v>904.63800000000003</v>
      </c>
      <c r="X180" s="488">
        <f>W180/K180</f>
        <v>0.56906056118136894</v>
      </c>
      <c r="Y180" s="347">
        <f>SUM(Y6:Y178)</f>
        <v>9.0179999999999989</v>
      </c>
      <c r="Z180" s="418">
        <f>SUM(Z6:Z178)</f>
        <v>6.2119999999999997</v>
      </c>
      <c r="AA180" s="65">
        <f>SUM(AA6:AA178)</f>
        <v>97.579398982166154</v>
      </c>
      <c r="AB180" s="65">
        <f>SUM(AB6:AB178)</f>
        <v>1.9187572534511905</v>
      </c>
      <c r="AC180" s="65">
        <f>SUM(AC6:AC178)</f>
        <v>58.0596789001753</v>
      </c>
      <c r="AD180" s="39">
        <f>SUM(AD6:AD179)</f>
        <v>14352</v>
      </c>
      <c r="AE180" s="69"/>
      <c r="AF180" s="65">
        <f t="shared" ref="AF180:BC180" si="332">SUM(AF6:AF179)</f>
        <v>255</v>
      </c>
      <c r="AG180" s="65">
        <f t="shared" si="332"/>
        <v>303</v>
      </c>
      <c r="AH180" s="65">
        <f t="shared" si="332"/>
        <v>729</v>
      </c>
      <c r="AI180" s="65">
        <f t="shared" si="332"/>
        <v>6</v>
      </c>
      <c r="AJ180" s="65">
        <f t="shared" si="332"/>
        <v>0</v>
      </c>
      <c r="AK180" s="65">
        <f t="shared" si="332"/>
        <v>10</v>
      </c>
      <c r="AL180" s="65">
        <f t="shared" si="332"/>
        <v>0</v>
      </c>
      <c r="AM180" s="65">
        <f t="shared" si="332"/>
        <v>1377</v>
      </c>
      <c r="AN180" s="54">
        <f t="shared" si="332"/>
        <v>888</v>
      </c>
      <c r="AO180" s="54">
        <f t="shared" si="332"/>
        <v>152</v>
      </c>
      <c r="AP180" s="54">
        <f t="shared" si="332"/>
        <v>90</v>
      </c>
      <c r="AQ180" s="54">
        <f t="shared" si="332"/>
        <v>0</v>
      </c>
      <c r="AR180" s="65">
        <f t="shared" si="332"/>
        <v>1130</v>
      </c>
      <c r="AS180" s="65">
        <f t="shared" si="332"/>
        <v>0</v>
      </c>
      <c r="AT180" s="65">
        <f t="shared" si="332"/>
        <v>60</v>
      </c>
      <c r="AU180" s="65">
        <f t="shared" si="332"/>
        <v>11845</v>
      </c>
      <c r="AV180" s="65">
        <f t="shared" si="332"/>
        <v>14</v>
      </c>
      <c r="AW180" s="65">
        <f t="shared" si="332"/>
        <v>0</v>
      </c>
      <c r="AX180" s="65">
        <f t="shared" si="332"/>
        <v>0</v>
      </c>
      <c r="AY180" s="65">
        <f t="shared" si="332"/>
        <v>0</v>
      </c>
      <c r="AZ180" s="65">
        <f t="shared" si="332"/>
        <v>0</v>
      </c>
      <c r="BA180" s="65">
        <f t="shared" si="332"/>
        <v>12975</v>
      </c>
      <c r="BB180" s="54">
        <f t="shared" si="332"/>
        <v>68</v>
      </c>
      <c r="BC180" s="54">
        <f t="shared" si="332"/>
        <v>173</v>
      </c>
      <c r="BD180" s="54">
        <f>SUM(BD6:BD179)</f>
        <v>2</v>
      </c>
      <c r="BE180" s="54">
        <f>SUM(BE6:BE179)</f>
        <v>0</v>
      </c>
      <c r="BF180" s="54">
        <f>SUM(BF6:BF179)</f>
        <v>19</v>
      </c>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29"/>
      <c r="CG180" s="29"/>
      <c r="CH180" s="29"/>
      <c r="CI180" s="29"/>
      <c r="CJ180" s="29"/>
      <c r="CK180" s="29"/>
      <c r="CL180" s="29"/>
      <c r="CM180" s="29"/>
      <c r="CN180" s="29"/>
      <c r="CO180" s="29"/>
      <c r="CP180" s="29"/>
      <c r="CQ180" s="29"/>
      <c r="CR180" s="29"/>
      <c r="CS180" s="29"/>
    </row>
    <row r="181" spans="1:97" ht="12.95" customHeight="1">
      <c r="A181" s="60"/>
      <c r="B181" s="61"/>
      <c r="C181" s="61"/>
      <c r="D181" s="61"/>
      <c r="E181" s="62"/>
      <c r="F181" s="62"/>
      <c r="G181" s="63"/>
      <c r="H181" s="63"/>
      <c r="I181" s="63"/>
      <c r="J181" s="89"/>
      <c r="K181" s="89"/>
      <c r="L181" s="66"/>
      <c r="M181" s="66"/>
      <c r="N181" s="67"/>
      <c r="O181" s="703"/>
      <c r="P181" s="704"/>
      <c r="Q181" s="63">
        <f>31*1440-Q180</f>
        <v>0</v>
      </c>
      <c r="R181" s="70">
        <f>R180/Q180</f>
        <v>0.29065860215053763</v>
      </c>
      <c r="S181" s="70">
        <f>S180/Q180</f>
        <v>3.0846774193548386E-2</v>
      </c>
      <c r="T181" s="332"/>
      <c r="U181" s="332"/>
      <c r="V181" s="334">
        <f>V180/K180</f>
        <v>0.32224762792003087</v>
      </c>
      <c r="W181" s="351" t="s">
        <v>178</v>
      </c>
      <c r="X181" s="489">
        <v>0.85</v>
      </c>
      <c r="Y181" s="348">
        <f>Y180/K180</f>
        <v>5.6727532347011561E-3</v>
      </c>
      <c r="Z181" s="71">
        <f>Z180/K180</f>
        <v>3.907645053666399E-3</v>
      </c>
      <c r="AA181" s="71">
        <f>AA180/K180</f>
        <v>6.138210814108204E-2</v>
      </c>
      <c r="AB181" s="71">
        <f>AB180/K180</f>
        <v>1.2069900661035207E-3</v>
      </c>
      <c r="AC181" s="490">
        <f>AC180/K180</f>
        <v>3.6522314403047235E-2</v>
      </c>
      <c r="AD181" s="335"/>
      <c r="AE181" s="41"/>
      <c r="AF181" s="71">
        <f>AF180/$AD$180*$V$181</f>
        <v>5.7255535897162667E-3</v>
      </c>
      <c r="AG181" s="71">
        <f>AG180/$AD$180*$V$181</f>
        <v>6.8033048536628588E-3</v>
      </c>
      <c r="AH181" s="71">
        <f>AH180/$AD$180*$V$181</f>
        <v>1.6368347321188859E-2</v>
      </c>
      <c r="AI181" s="71">
        <f>AI180/$AD$180*$V$181</f>
        <v>1.3471890799332393E-4</v>
      </c>
      <c r="AJ181" s="71">
        <f t="shared" ref="AJ181:BA181" si="333">AJ180/$AD$180*$V$181</f>
        <v>0</v>
      </c>
      <c r="AK181" s="71">
        <f t="shared" si="333"/>
        <v>2.2453151332220658E-4</v>
      </c>
      <c r="AL181" s="71">
        <f t="shared" si="333"/>
        <v>0</v>
      </c>
      <c r="AM181" s="71">
        <f t="shared" si="333"/>
        <v>3.0917989384467846E-2</v>
      </c>
      <c r="AN181" s="71">
        <f t="shared" si="333"/>
        <v>1.9938398383011945E-2</v>
      </c>
      <c r="AO181" s="71">
        <f t="shared" si="333"/>
        <v>3.4128790024975401E-3</v>
      </c>
      <c r="AP181" s="71">
        <f t="shared" si="333"/>
        <v>2.0207836198998593E-3</v>
      </c>
      <c r="AQ181" s="71">
        <f t="shared" si="333"/>
        <v>0</v>
      </c>
      <c r="AR181" s="71">
        <f t="shared" si="333"/>
        <v>2.5372061005409341E-2</v>
      </c>
      <c r="AS181" s="71">
        <f t="shared" si="333"/>
        <v>0</v>
      </c>
      <c r="AT181" s="71">
        <f t="shared" si="333"/>
        <v>1.3471890799332394E-3</v>
      </c>
      <c r="AU181" s="71">
        <f t="shared" si="333"/>
        <v>0.26595757753015364</v>
      </c>
      <c r="AV181" s="71">
        <f t="shared" si="333"/>
        <v>3.1434411865108921E-4</v>
      </c>
      <c r="AW181" s="71">
        <f t="shared" si="333"/>
        <v>0</v>
      </c>
      <c r="AX181" s="71">
        <f t="shared" si="333"/>
        <v>0</v>
      </c>
      <c r="AY181" s="71">
        <f t="shared" si="333"/>
        <v>0</v>
      </c>
      <c r="AZ181" s="71">
        <f t="shared" si="333"/>
        <v>0</v>
      </c>
      <c r="BA181" s="71">
        <f t="shared" si="333"/>
        <v>0.29132963853556304</v>
      </c>
      <c r="BB181" s="36" t="s">
        <v>177</v>
      </c>
      <c r="BC181" s="36" t="s">
        <v>177</v>
      </c>
      <c r="BD181" s="36" t="s">
        <v>410</v>
      </c>
      <c r="BE181" s="36" t="s">
        <v>410</v>
      </c>
      <c r="BF181" s="36" t="s">
        <v>410</v>
      </c>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29"/>
      <c r="CG181" s="29"/>
      <c r="CH181" s="29"/>
      <c r="CI181" s="29"/>
      <c r="CJ181" s="29"/>
      <c r="CK181" s="29"/>
      <c r="CL181" s="29"/>
      <c r="CM181" s="29"/>
      <c r="CN181" s="29"/>
      <c r="CO181" s="29"/>
      <c r="CP181" s="29"/>
      <c r="CQ181" s="29"/>
      <c r="CR181" s="29"/>
      <c r="CS181" s="29"/>
    </row>
    <row r="182" spans="1:97" ht="12.95" customHeight="1">
      <c r="A182" s="60"/>
      <c r="B182" s="61"/>
      <c r="C182" s="61"/>
      <c r="D182" s="61"/>
      <c r="E182" s="62"/>
      <c r="F182" s="62"/>
      <c r="G182" s="36"/>
      <c r="H182" s="36"/>
      <c r="I182" s="36"/>
      <c r="J182" s="86"/>
      <c r="K182" s="86"/>
      <c r="L182" s="37"/>
      <c r="M182" s="37"/>
      <c r="N182" s="35"/>
      <c r="O182" s="38"/>
      <c r="P182" s="30"/>
      <c r="Q182" s="36"/>
      <c r="R182" s="39">
        <f>R180-(BA180)</f>
        <v>0</v>
      </c>
      <c r="S182" s="39">
        <f>+S180-AM180</f>
        <v>0</v>
      </c>
      <c r="T182" s="35"/>
      <c r="U182" s="35"/>
      <c r="V182" s="35"/>
      <c r="W182" s="349"/>
      <c r="X182" s="350"/>
      <c r="Y182" s="72">
        <f>+Y180-(SUM(RBP!AG3:AG4))</f>
        <v>0</v>
      </c>
      <c r="Z182" s="39"/>
      <c r="AA182" s="35"/>
      <c r="AB182" s="35"/>
      <c r="AC182" s="35"/>
      <c r="AD182" s="35"/>
      <c r="AE182" s="41"/>
      <c r="AF182" s="322"/>
      <c r="AG182" s="322"/>
      <c r="AH182" s="322"/>
      <c r="AI182" s="322"/>
      <c r="AJ182" s="81"/>
      <c r="AK182" s="81"/>
      <c r="AL182" s="81"/>
      <c r="AM182" s="81"/>
      <c r="AN182" s="81"/>
      <c r="AO182" s="81"/>
      <c r="AP182" s="81"/>
      <c r="AQ182" s="81"/>
      <c r="AR182" s="81"/>
      <c r="AS182" s="81"/>
      <c r="AT182" s="81"/>
      <c r="AU182" s="81"/>
      <c r="AV182" s="81"/>
      <c r="AW182" s="81"/>
      <c r="AX182" s="81"/>
      <c r="AY182" s="81"/>
      <c r="AZ182" s="81"/>
      <c r="BA182" s="81"/>
      <c r="BB182" s="491">
        <f>BB180/($Q$180/1440)/2</f>
        <v>1.096774193548387</v>
      </c>
      <c r="BC182" s="491">
        <f>BC180/($Q$180/1440)/2</f>
        <v>2.7903225806451615</v>
      </c>
      <c r="BD182" s="491">
        <f>BD180/($Q$180/1440)</f>
        <v>6.4516129032258063E-2</v>
      </c>
      <c r="BE182" s="491">
        <f>BE180/($Q$180/1440)</f>
        <v>0</v>
      </c>
      <c r="BF182" s="491">
        <f>BF180/($Q$180/1440)</f>
        <v>0.61290322580645162</v>
      </c>
    </row>
    <row r="183" spans="1:97" ht="12.95" customHeight="1">
      <c r="A183" s="73"/>
      <c r="B183" s="74"/>
      <c r="C183" s="74"/>
      <c r="D183" s="74"/>
      <c r="E183" s="75"/>
      <c r="F183" s="75"/>
      <c r="G183" s="76"/>
      <c r="H183" s="76"/>
      <c r="I183" s="76"/>
      <c r="J183" s="90"/>
      <c r="K183" s="90"/>
      <c r="O183" s="77"/>
      <c r="P183" s="78"/>
      <c r="Q183" s="76"/>
      <c r="R183" s="57"/>
      <c r="S183" s="57"/>
      <c r="U183" s="79"/>
      <c r="V183" s="79"/>
      <c r="W183" s="80" t="s">
        <v>130</v>
      </c>
      <c r="X183" s="492">
        <f>W180/U180</f>
        <v>0.88912507998446066</v>
      </c>
      <c r="Y183" s="492"/>
      <c r="Z183" s="57"/>
      <c r="AD183" s="87"/>
      <c r="AE183" s="82"/>
      <c r="AF183" s="83"/>
      <c r="AG183" s="83"/>
      <c r="AH183" s="83"/>
      <c r="AI183" s="83"/>
      <c r="AJ183" s="83"/>
      <c r="AK183" s="83"/>
      <c r="AL183" s="83"/>
      <c r="AM183" s="83"/>
      <c r="AN183" s="81"/>
      <c r="AO183" s="81"/>
      <c r="AP183" s="81"/>
      <c r="AQ183" s="81"/>
      <c r="AR183" s="81"/>
      <c r="AS183" s="83"/>
      <c r="AT183" s="83"/>
      <c r="AU183" s="83"/>
      <c r="AV183" s="83"/>
      <c r="AW183" s="83"/>
      <c r="AX183" s="83"/>
      <c r="AY183" s="83"/>
      <c r="AZ183" s="83"/>
      <c r="BA183" s="81"/>
      <c r="BB183" s="29"/>
      <c r="BC183" s="81"/>
      <c r="BD183" s="81"/>
      <c r="BE183" s="29"/>
      <c r="BF183" s="81"/>
    </row>
    <row r="184" spans="1:97" ht="12.95" customHeight="1">
      <c r="A184" s="73"/>
      <c r="B184" s="74"/>
      <c r="C184" s="74"/>
      <c r="D184" s="74"/>
      <c r="E184" s="75"/>
      <c r="F184" s="75"/>
      <c r="G184" s="76"/>
      <c r="H184" s="76"/>
      <c r="I184" s="76"/>
      <c r="J184" s="90"/>
      <c r="K184" s="90"/>
      <c r="O184" s="77"/>
      <c r="P184" s="78"/>
      <c r="Q184" s="76"/>
      <c r="R184" s="57"/>
      <c r="S184" s="57"/>
      <c r="U184" s="79"/>
      <c r="V184" s="79"/>
      <c r="W184" s="80"/>
      <c r="X184" s="81"/>
      <c r="Y184" s="81"/>
      <c r="Z184" s="57"/>
      <c r="AA184" s="93"/>
      <c r="AB184" s="93"/>
      <c r="AD184" s="87"/>
      <c r="AE184" s="82"/>
      <c r="AF184" s="83"/>
      <c r="AG184" s="83"/>
      <c r="AH184" s="83"/>
      <c r="AI184" s="83"/>
      <c r="AJ184" s="83"/>
      <c r="AK184" s="83"/>
      <c r="AL184" s="83"/>
      <c r="AM184" s="83"/>
      <c r="AN184" s="83"/>
      <c r="AO184" s="81"/>
      <c r="AP184" s="81"/>
      <c r="AQ184" s="81"/>
      <c r="AR184" s="83"/>
      <c r="AS184" s="81"/>
      <c r="AT184" s="81"/>
      <c r="AU184" s="81"/>
      <c r="AV184" s="81"/>
      <c r="AW184" s="81"/>
      <c r="AX184" s="81"/>
      <c r="AY184" s="81"/>
      <c r="AZ184" s="81"/>
      <c r="BA184" s="81"/>
      <c r="BB184" s="29"/>
      <c r="BC184" s="81"/>
      <c r="BD184" s="81"/>
      <c r="BE184" s="29"/>
      <c r="BF184" s="81"/>
    </row>
    <row r="185" spans="1:97" ht="12.95" customHeight="1">
      <c r="A185" s="73"/>
      <c r="B185" s="74"/>
      <c r="C185" s="74"/>
      <c r="D185" s="74"/>
      <c r="E185" s="75"/>
      <c r="F185" s="75"/>
      <c r="G185" s="76"/>
      <c r="H185" s="76"/>
      <c r="I185" s="76"/>
      <c r="J185" s="90"/>
      <c r="K185" s="90"/>
      <c r="O185" s="77"/>
      <c r="P185" s="78"/>
      <c r="Q185" s="76"/>
      <c r="R185" s="333"/>
      <c r="S185" s="57"/>
      <c r="U185" s="79"/>
      <c r="V185" s="79"/>
      <c r="W185" s="80" t="s">
        <v>153</v>
      </c>
      <c r="X185" s="322">
        <f>+W180+Y180</f>
        <v>913.65600000000006</v>
      </c>
      <c r="Y185" s="81"/>
      <c r="Z185" s="57"/>
      <c r="AD185" s="87"/>
      <c r="AE185" s="82"/>
      <c r="AF185" s="87"/>
      <c r="AG185" s="87"/>
      <c r="AH185" s="87"/>
      <c r="AI185" s="87"/>
      <c r="AJ185" s="81"/>
      <c r="AK185" s="81"/>
      <c r="AL185" s="81"/>
      <c r="AM185" s="83"/>
      <c r="AN185" s="81"/>
      <c r="AO185" s="81"/>
      <c r="AP185" s="81"/>
      <c r="AQ185" s="81"/>
      <c r="AR185" s="83"/>
      <c r="AS185" s="81"/>
      <c r="AT185" s="81"/>
      <c r="AU185" s="81"/>
      <c r="AV185" s="81"/>
      <c r="AW185" s="81"/>
      <c r="AX185" s="81"/>
      <c r="AY185" s="81"/>
      <c r="AZ185" s="81"/>
      <c r="BA185" s="81"/>
      <c r="BB185" s="29"/>
      <c r="BC185" s="81"/>
      <c r="BD185" s="81"/>
      <c r="BE185" s="29"/>
      <c r="BF185" s="81"/>
    </row>
    <row r="186" spans="1:97" ht="12.95" customHeight="1">
      <c r="A186" s="73"/>
      <c r="C186" s="74" t="s">
        <v>304</v>
      </c>
      <c r="D186" s="74"/>
      <c r="E186" s="75"/>
      <c r="F186" s="75"/>
      <c r="G186" s="76"/>
      <c r="H186" s="76"/>
      <c r="I186" s="76"/>
      <c r="J186" s="90"/>
      <c r="K186" s="90"/>
      <c r="O186" s="77"/>
      <c r="P186" s="78"/>
      <c r="Q186" s="76"/>
      <c r="R186" s="333"/>
      <c r="S186" s="57"/>
      <c r="U186" s="79"/>
      <c r="V186" s="344"/>
      <c r="W186" s="345"/>
      <c r="X186" s="338"/>
      <c r="Y186" s="345"/>
      <c r="Z186" s="338"/>
      <c r="AD186" s="331"/>
      <c r="AE186" s="82"/>
      <c r="AF186" s="331"/>
      <c r="AG186" s="331"/>
      <c r="AH186" s="331"/>
      <c r="AI186" s="331"/>
      <c r="AJ186" s="81"/>
      <c r="AK186" s="81"/>
      <c r="AL186" s="81"/>
      <c r="AM186" s="81"/>
      <c r="AN186" s="81"/>
      <c r="AO186" s="81"/>
      <c r="AP186" s="81"/>
      <c r="AQ186" s="81"/>
      <c r="AR186" s="81"/>
      <c r="AS186" s="81"/>
      <c r="AT186" s="81"/>
      <c r="AU186" s="81"/>
      <c r="AV186" s="81"/>
      <c r="AW186" s="81"/>
      <c r="AX186" s="81"/>
      <c r="AY186" s="81"/>
      <c r="AZ186" s="81"/>
      <c r="BA186" s="81"/>
      <c r="BB186" s="29"/>
      <c r="BC186" s="81"/>
      <c r="BD186" s="81"/>
      <c r="BE186" s="29"/>
      <c r="BF186" s="81"/>
    </row>
    <row r="187" spans="1:97" ht="12.95" customHeight="1">
      <c r="A187" s="73"/>
      <c r="B187" s="74"/>
      <c r="C187" s="74" t="s">
        <v>305</v>
      </c>
      <c r="D187" s="74"/>
      <c r="E187" s="75"/>
      <c r="F187" s="75"/>
      <c r="G187" s="76"/>
      <c r="H187" s="76"/>
      <c r="I187" s="76"/>
      <c r="J187" s="90"/>
      <c r="K187" s="90"/>
      <c r="O187" s="77"/>
      <c r="P187" s="78"/>
      <c r="Q187" s="76"/>
      <c r="R187" s="333"/>
      <c r="S187" s="57"/>
      <c r="V187" s="336"/>
      <c r="W187" s="337" t="s">
        <v>309</v>
      </c>
      <c r="X187" s="336"/>
      <c r="Y187" s="336"/>
      <c r="Z187" s="338"/>
      <c r="AE187" s="82"/>
      <c r="AF187" s="57"/>
      <c r="AG187" s="57"/>
      <c r="AH187" s="57"/>
      <c r="AI187" s="57"/>
      <c r="AJ187" s="57"/>
      <c r="AK187" s="57"/>
      <c r="AL187" s="57"/>
      <c r="AM187" s="57"/>
      <c r="AN187" s="57"/>
      <c r="AO187" s="57"/>
      <c r="AP187" s="57"/>
      <c r="AQ187" s="57"/>
      <c r="AS187" s="57"/>
      <c r="AT187" s="57"/>
      <c r="AU187" s="57"/>
      <c r="AV187" s="57"/>
      <c r="AW187" s="57"/>
      <c r="AX187" s="57"/>
      <c r="AY187" s="57"/>
      <c r="AZ187" s="57"/>
      <c r="BA187" s="57"/>
      <c r="BB187" s="29"/>
      <c r="BE187" s="29"/>
    </row>
    <row r="188" spans="1:97" ht="12.95" customHeight="1">
      <c r="A188" s="73"/>
      <c r="B188" s="74"/>
      <c r="C188" s="74"/>
      <c r="D188" s="74"/>
      <c r="E188" s="75"/>
      <c r="F188" s="75"/>
      <c r="G188" s="76"/>
      <c r="H188" s="76"/>
      <c r="I188" s="76"/>
      <c r="J188" s="90"/>
      <c r="K188" s="90"/>
      <c r="O188" s="77"/>
      <c r="P188" s="78"/>
      <c r="Q188" s="76"/>
      <c r="R188" s="333"/>
      <c r="S188" s="57"/>
      <c r="V188" s="336"/>
      <c r="W188" s="339" t="s">
        <v>303</v>
      </c>
      <c r="X188" s="343">
        <f>Y181</f>
        <v>5.6727532347011561E-3</v>
      </c>
      <c r="Y188" s="340"/>
      <c r="Z188" s="338"/>
      <c r="AE188" s="82"/>
      <c r="AF188" s="57"/>
      <c r="AG188" s="57"/>
      <c r="AH188" s="57"/>
      <c r="AI188" s="57"/>
      <c r="AJ188" s="57"/>
      <c r="AK188" s="57"/>
      <c r="AL188" s="57"/>
      <c r="AM188" s="57"/>
      <c r="AN188" s="57"/>
      <c r="AO188" s="57"/>
      <c r="AP188" s="57"/>
      <c r="AQ188" s="57"/>
      <c r="AS188" s="57"/>
      <c r="AT188" s="57"/>
      <c r="AU188" s="57"/>
      <c r="AV188" s="57"/>
      <c r="AW188" s="57"/>
      <c r="AX188" s="57"/>
      <c r="AY188" s="57"/>
      <c r="AZ188" s="57"/>
      <c r="BA188" s="57"/>
      <c r="BB188" s="29"/>
      <c r="BE188" s="29"/>
    </row>
    <row r="189" spans="1:97" ht="12.95" customHeight="1">
      <c r="R189" s="93"/>
      <c r="V189" s="336"/>
      <c r="W189" s="339" t="s">
        <v>157</v>
      </c>
      <c r="X189" s="342">
        <f>Z181</f>
        <v>3.907645053666399E-3</v>
      </c>
      <c r="Y189" s="341"/>
      <c r="Z189" s="336"/>
    </row>
    <row r="190" spans="1:97" ht="12.95" customHeight="1">
      <c r="R190" s="93"/>
      <c r="V190" s="336"/>
      <c r="W190" s="339" t="s">
        <v>158</v>
      </c>
      <c r="X190" s="342">
        <f>AC181</f>
        <v>3.6522314403047235E-2</v>
      </c>
      <c r="Y190" s="342"/>
      <c r="Z190" s="336"/>
    </row>
    <row r="191" spans="1:97" ht="12.95" customHeight="1">
      <c r="R191" s="93"/>
      <c r="V191" s="336"/>
      <c r="W191" s="339" t="s">
        <v>159</v>
      </c>
      <c r="X191" s="342">
        <f>AA181</f>
        <v>6.138210814108204E-2</v>
      </c>
      <c r="Y191" s="341"/>
      <c r="Z191" s="336"/>
    </row>
    <row r="192" spans="1:97">
      <c r="V192" s="336"/>
      <c r="W192" s="339" t="s">
        <v>175</v>
      </c>
      <c r="X192" s="342">
        <f>AB181</f>
        <v>1.2069900661035207E-3</v>
      </c>
      <c r="Y192" s="341" t="s">
        <v>173</v>
      </c>
      <c r="Z192" s="336"/>
    </row>
    <row r="193" spans="1:97" s="29" customFormat="1" ht="12.95" customHeight="1">
      <c r="A193" s="31"/>
      <c r="B193" s="31"/>
      <c r="C193" s="31"/>
      <c r="D193" s="31"/>
      <c r="E193" s="31"/>
      <c r="F193" s="58"/>
      <c r="G193" s="31"/>
      <c r="H193" s="31"/>
      <c r="I193" s="31"/>
      <c r="J193" s="87"/>
      <c r="K193" s="87"/>
      <c r="L193" s="59"/>
      <c r="M193" s="59"/>
      <c r="N193" s="31"/>
      <c r="O193" s="31"/>
      <c r="P193" s="31"/>
      <c r="Q193" s="320"/>
      <c r="R193" s="31"/>
      <c r="S193" s="31"/>
      <c r="T193" s="31"/>
      <c r="U193" s="31"/>
      <c r="V193" s="336"/>
      <c r="W193" s="339" t="s">
        <v>225</v>
      </c>
      <c r="X193" s="342">
        <f>AF181</f>
        <v>5.7255535897162667E-3</v>
      </c>
      <c r="Y193" s="341"/>
      <c r="Z193" s="336"/>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row>
    <row r="194" spans="1:97" s="29" customFormat="1" ht="12.95" customHeight="1">
      <c r="A194" s="31"/>
      <c r="B194" s="31"/>
      <c r="C194" s="31"/>
      <c r="D194" s="31"/>
      <c r="E194" s="31"/>
      <c r="F194" s="58"/>
      <c r="G194" s="31"/>
      <c r="H194" s="31"/>
      <c r="I194" s="31"/>
      <c r="J194" s="87"/>
      <c r="K194" s="87"/>
      <c r="L194" s="59"/>
      <c r="M194" s="59"/>
      <c r="N194" s="31"/>
      <c r="O194" s="31"/>
      <c r="P194" s="31"/>
      <c r="Q194" s="320"/>
      <c r="R194" s="31"/>
      <c r="S194" s="31"/>
      <c r="T194" s="31"/>
      <c r="U194" s="31"/>
      <c r="V194" s="336"/>
      <c r="W194" s="339" t="s">
        <v>226</v>
      </c>
      <c r="X194" s="342">
        <f>+AG181</f>
        <v>6.8033048536628588E-3</v>
      </c>
      <c r="Y194" s="341"/>
      <c r="Z194" s="336"/>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row>
    <row r="195" spans="1:97" ht="12.95" customHeight="1">
      <c r="V195" s="336"/>
      <c r="W195" s="339" t="s">
        <v>227</v>
      </c>
      <c r="X195" s="342">
        <f>+AH181</f>
        <v>1.6368347321188859E-2</v>
      </c>
      <c r="Y195" s="341"/>
      <c r="Z195" s="336"/>
    </row>
    <row r="196" spans="1:97">
      <c r="V196" s="336"/>
      <c r="W196" s="339" t="s">
        <v>228</v>
      </c>
      <c r="X196" s="342">
        <f>+AI181</f>
        <v>1.3471890799332393E-4</v>
      </c>
      <c r="Y196" s="341"/>
      <c r="Z196" s="336"/>
    </row>
    <row r="197" spans="1:97">
      <c r="V197" s="336"/>
      <c r="W197" s="339" t="s">
        <v>166</v>
      </c>
      <c r="X197" s="342">
        <f>+AJ181</f>
        <v>0</v>
      </c>
      <c r="Y197" s="341"/>
      <c r="Z197" s="336"/>
    </row>
    <row r="198" spans="1:97">
      <c r="V198" s="336"/>
      <c r="W198" s="339" t="s">
        <v>168</v>
      </c>
      <c r="X198" s="342">
        <f>+AK181</f>
        <v>2.2453151332220658E-4</v>
      </c>
      <c r="Y198" s="341"/>
      <c r="Z198" s="336"/>
    </row>
    <row r="199" spans="1:97">
      <c r="V199" s="336"/>
      <c r="W199" s="339" t="s">
        <v>167</v>
      </c>
      <c r="X199" s="342">
        <f>+AL181</f>
        <v>0</v>
      </c>
      <c r="Y199" s="341"/>
      <c r="Z199" s="336"/>
    </row>
    <row r="200" spans="1:97">
      <c r="V200" s="336"/>
      <c r="W200" s="339" t="s">
        <v>160</v>
      </c>
      <c r="X200" s="342">
        <f>+AN181</f>
        <v>1.9938398383011945E-2</v>
      </c>
      <c r="Y200" s="341"/>
      <c r="Z200" s="336"/>
    </row>
    <row r="201" spans="1:97">
      <c r="V201" s="336"/>
      <c r="W201" s="339" t="s">
        <v>170</v>
      </c>
      <c r="X201" s="342">
        <f>+AO181</f>
        <v>3.4128790024975401E-3</v>
      </c>
      <c r="Y201" s="341"/>
      <c r="Z201" s="336"/>
    </row>
    <row r="202" spans="1:97">
      <c r="V202" s="336"/>
      <c r="W202" s="339" t="s">
        <v>161</v>
      </c>
      <c r="X202" s="342">
        <f>+AP181</f>
        <v>2.0207836198998593E-3</v>
      </c>
      <c r="Y202" s="341"/>
      <c r="Z202" s="336"/>
    </row>
    <row r="203" spans="1:97">
      <c r="V203" s="336"/>
      <c r="W203" s="339" t="s">
        <v>169</v>
      </c>
      <c r="X203" s="342">
        <f>+AQ181</f>
        <v>0</v>
      </c>
      <c r="Y203" s="341"/>
      <c r="Z203" s="336"/>
    </row>
    <row r="204" spans="1:97">
      <c r="V204" s="336"/>
      <c r="W204" s="339" t="s">
        <v>172</v>
      </c>
      <c r="X204" s="342">
        <f>+AS181</f>
        <v>0</v>
      </c>
      <c r="Y204" s="341"/>
      <c r="Z204" s="336"/>
    </row>
    <row r="205" spans="1:97">
      <c r="V205" s="336"/>
      <c r="W205" s="339" t="s">
        <v>306</v>
      </c>
      <c r="X205" s="342">
        <f>+AT181</f>
        <v>1.3471890799332394E-3</v>
      </c>
      <c r="Y205" s="341"/>
      <c r="Z205" s="336"/>
    </row>
    <row r="206" spans="1:97">
      <c r="V206" s="336"/>
      <c r="W206" s="339" t="s">
        <v>263</v>
      </c>
      <c r="X206" s="342">
        <f>+AU181</f>
        <v>0.26595757753015364</v>
      </c>
      <c r="Y206" s="341"/>
      <c r="Z206" s="336"/>
    </row>
    <row r="207" spans="1:97">
      <c r="V207" s="336"/>
      <c r="W207" s="339" t="s">
        <v>310</v>
      </c>
      <c r="X207" s="342">
        <f>+AW181</f>
        <v>0</v>
      </c>
      <c r="Y207" s="341"/>
      <c r="Z207" s="336"/>
    </row>
    <row r="208" spans="1:97">
      <c r="V208" s="336"/>
      <c r="W208" s="339" t="s">
        <v>311</v>
      </c>
      <c r="X208" s="342">
        <f>+AV181</f>
        <v>3.1434411865108921E-4</v>
      </c>
      <c r="Y208" s="341"/>
      <c r="Z208" s="336"/>
    </row>
    <row r="209" spans="22:26" s="31" customFormat="1">
      <c r="V209" s="336"/>
      <c r="W209" s="336" t="s">
        <v>171</v>
      </c>
      <c r="X209" s="342">
        <f>+AX181+AY181</f>
        <v>0</v>
      </c>
      <c r="Y209" s="342"/>
      <c r="Z209" s="336"/>
    </row>
    <row r="210" spans="22:26" s="31" customFormat="1">
      <c r="V210" s="336"/>
      <c r="W210" s="336" t="s">
        <v>312</v>
      </c>
      <c r="X210" s="342">
        <f>+AZ181</f>
        <v>0</v>
      </c>
      <c r="Y210" s="336"/>
      <c r="Z210" s="336"/>
    </row>
    <row r="211" spans="22:26" s="31" customFormat="1">
      <c r="V211" s="336"/>
      <c r="W211" s="336"/>
      <c r="X211" s="506">
        <f>SUM(X188:X210)</f>
        <v>0.43093943881863123</v>
      </c>
      <c r="Y211" s="336"/>
      <c r="Z211" s="336"/>
    </row>
    <row r="213" spans="22:26" s="31" customFormat="1">
      <c r="X213" s="93">
        <f>+X211+X180</f>
        <v>1.0000000000000002</v>
      </c>
    </row>
    <row r="219" spans="22:26" s="31" customFormat="1" ht="12" customHeight="1"/>
    <row r="220" spans="22:26" s="31" customFormat="1" ht="12" customHeight="1"/>
    <row r="222" spans="22:26" s="31" customFormat="1" ht="12" customHeight="1"/>
    <row r="223" spans="22:26" s="31" customFormat="1" ht="12" customHeight="1"/>
  </sheetData>
  <mergeCells count="50">
    <mergeCell ref="BD3:BD5"/>
    <mergeCell ref="BE3:BE5"/>
    <mergeCell ref="BF3:BF5"/>
    <mergeCell ref="O181:P181"/>
    <mergeCell ref="F3:F5"/>
    <mergeCell ref="Y3:Y5"/>
    <mergeCell ref="AA3:AA5"/>
    <mergeCell ref="AB3:AB5"/>
    <mergeCell ref="L3:N4"/>
    <mergeCell ref="O3:O5"/>
    <mergeCell ref="Q3:Q5"/>
    <mergeCell ref="R3:R5"/>
    <mergeCell ref="X3:X5"/>
    <mergeCell ref="Z3:Z5"/>
    <mergeCell ref="S3:S5"/>
    <mergeCell ref="T3:T5"/>
    <mergeCell ref="P3:P5"/>
    <mergeCell ref="C3:C5"/>
    <mergeCell ref="A3:A5"/>
    <mergeCell ref="B3:B5"/>
    <mergeCell ref="D3:D5"/>
    <mergeCell ref="E3:E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BB3:BB5"/>
    <mergeCell ref="BC3:BC5"/>
    <mergeCell ref="AN4:AN5"/>
    <mergeCell ref="AO4:AO5"/>
    <mergeCell ref="AP4:AP5"/>
    <mergeCell ref="AQ4:AQ5"/>
    <mergeCell ref="AR4:AR5"/>
    <mergeCell ref="AN3:AR3"/>
    <mergeCell ref="AS3:AS5"/>
    <mergeCell ref="AV3:AW3"/>
    <mergeCell ref="AX3:AY3"/>
    <mergeCell ref="AZ3:AZ5"/>
  </mergeCells>
  <phoneticPr fontId="30" type="noConversion"/>
  <conditionalFormatting sqref="B86:C86 B131:C131 C181 C152:C179 B152:B181 B8:C9">
    <cfRule type="cellIs" dxfId="5227" priority="5283" stopIfTrue="1" operator="equal">
      <formula>"Towel"</formula>
    </cfRule>
    <cfRule type="cellIs" dxfId="5226" priority="5284" stopIfTrue="1" operator="equal">
      <formula>"Napkin Hs"</formula>
    </cfRule>
  </conditionalFormatting>
  <conditionalFormatting sqref="B40:C40">
    <cfRule type="cellIs" dxfId="5225" priority="5193" stopIfTrue="1" operator="equal">
      <formula>"Towel"</formula>
    </cfRule>
    <cfRule type="cellIs" dxfId="5224" priority="5194" stopIfTrue="1" operator="equal">
      <formula>"Napkin Hs"</formula>
    </cfRule>
  </conditionalFormatting>
  <conditionalFormatting sqref="B65:C65">
    <cfRule type="cellIs" dxfId="5223" priority="5121" stopIfTrue="1" operator="equal">
      <formula>"Towel"</formula>
    </cfRule>
    <cfRule type="cellIs" dxfId="5222" priority="5122" stopIfTrue="1" operator="equal">
      <formula>"Napkin Hs"</formula>
    </cfRule>
  </conditionalFormatting>
  <conditionalFormatting sqref="B69:C69">
    <cfRule type="cellIs" dxfId="5221" priority="5095" stopIfTrue="1" operator="equal">
      <formula>"Towel"</formula>
    </cfRule>
    <cfRule type="cellIs" dxfId="5220" priority="5096" stopIfTrue="1" operator="equal">
      <formula>"Napkin Hs"</formula>
    </cfRule>
  </conditionalFormatting>
  <conditionalFormatting sqref="B82:C82">
    <cfRule type="cellIs" dxfId="5219" priority="5059" stopIfTrue="1" operator="equal">
      <formula>"Towel"</formula>
    </cfRule>
    <cfRule type="cellIs" dxfId="5218" priority="5060" stopIfTrue="1" operator="equal">
      <formula>"Napkin Hs"</formula>
    </cfRule>
  </conditionalFormatting>
  <conditionalFormatting sqref="C86 C131 C152:C178 C8:C9">
    <cfRule type="cellIs" dxfId="5217" priority="5282" stopIfTrue="1" operator="equal">
      <formula>"Napkin Hs"</formula>
    </cfRule>
  </conditionalFormatting>
  <conditionalFormatting sqref="C8:C9">
    <cfRule type="cellIs" dxfId="5216" priority="4821" stopIfTrue="1" operator="equal">
      <formula>"Towel"</formula>
    </cfRule>
    <cfRule type="cellIs" dxfId="5215" priority="4822" stopIfTrue="1" operator="equal">
      <formula>"Napkin Hs"</formula>
    </cfRule>
  </conditionalFormatting>
  <conditionalFormatting sqref="C86 C131 C152:C178 C8:C9">
    <cfRule type="cellIs" dxfId="5214" priority="5281" stopIfTrue="1" operator="equal">
      <formula>"Towel"</formula>
    </cfRule>
  </conditionalFormatting>
  <conditionalFormatting sqref="C40">
    <cfRule type="cellIs" dxfId="5213" priority="5191" stopIfTrue="1" operator="equal">
      <formula>"Towel"</formula>
    </cfRule>
    <cfRule type="cellIs" dxfId="5212" priority="5192" stopIfTrue="1" operator="equal">
      <formula>"Napkin Hs"</formula>
    </cfRule>
  </conditionalFormatting>
  <conditionalFormatting sqref="C40">
    <cfRule type="cellIs" dxfId="5211" priority="5185" stopIfTrue="1" operator="equal">
      <formula>"Towel"</formula>
    </cfRule>
    <cfRule type="cellIs" dxfId="5210" priority="5186" stopIfTrue="1" operator="equal">
      <formula>"Napkin Hs"</formula>
    </cfRule>
  </conditionalFormatting>
  <conditionalFormatting sqref="C65">
    <cfRule type="cellIs" dxfId="5209" priority="5119" stopIfTrue="1" operator="equal">
      <formula>"Towel"</formula>
    </cfRule>
    <cfRule type="cellIs" dxfId="5208" priority="5120" stopIfTrue="1" operator="equal">
      <formula>"Napkin Hs"</formula>
    </cfRule>
  </conditionalFormatting>
  <conditionalFormatting sqref="C65">
    <cfRule type="cellIs" dxfId="5207" priority="5115" stopIfTrue="1" operator="equal">
      <formula>"Towel"</formula>
    </cfRule>
    <cfRule type="cellIs" dxfId="5206" priority="5116" stopIfTrue="1" operator="equal">
      <formula>"Napkin Hs"</formula>
    </cfRule>
  </conditionalFormatting>
  <conditionalFormatting sqref="C69">
    <cfRule type="cellIs" dxfId="5205" priority="5091" stopIfTrue="1" operator="equal">
      <formula>"Towel"</formula>
    </cfRule>
    <cfRule type="cellIs" dxfId="5204" priority="5092" stopIfTrue="1" operator="equal">
      <formula>"Napkin Hs"</formula>
    </cfRule>
  </conditionalFormatting>
  <conditionalFormatting sqref="C69">
    <cfRule type="cellIs" dxfId="5203" priority="5093" stopIfTrue="1" operator="equal">
      <formula>"Towel"</formula>
    </cfRule>
    <cfRule type="cellIs" dxfId="5202" priority="5094" stopIfTrue="1" operator="equal">
      <formula>"Napkin Hs"</formula>
    </cfRule>
  </conditionalFormatting>
  <conditionalFormatting sqref="C82">
    <cfRule type="cellIs" dxfId="5201" priority="5057" stopIfTrue="1" operator="equal">
      <formula>"Towel"</formula>
    </cfRule>
    <cfRule type="cellIs" dxfId="5200" priority="5058" stopIfTrue="1" operator="equal">
      <formula>"Napkin Hs"</formula>
    </cfRule>
  </conditionalFormatting>
  <conditionalFormatting sqref="C82">
    <cfRule type="cellIs" dxfId="5199" priority="5051" stopIfTrue="1" operator="equal">
      <formula>"Towel"</formula>
    </cfRule>
    <cfRule type="cellIs" dxfId="5198" priority="5052" stopIfTrue="1" operator="equal">
      <formula>"Napkin Hs"</formula>
    </cfRule>
  </conditionalFormatting>
  <conditionalFormatting sqref="C86">
    <cfRule type="cellIs" dxfId="5197" priority="5039" stopIfTrue="1" operator="equal">
      <formula>"Towel"</formula>
    </cfRule>
    <cfRule type="cellIs" dxfId="5196" priority="5040" stopIfTrue="1" operator="equal">
      <formula>"Napkin Hs"</formula>
    </cfRule>
  </conditionalFormatting>
  <conditionalFormatting sqref="C131 C152:C178">
    <cfRule type="cellIs" dxfId="5195" priority="4857" stopIfTrue="1" operator="equal">
      <formula>"Towel"</formula>
    </cfRule>
    <cfRule type="cellIs" dxfId="5194" priority="4858" stopIfTrue="1" operator="equal">
      <formula>"Napkin Hs"</formula>
    </cfRule>
  </conditionalFormatting>
  <conditionalFormatting sqref="C7">
    <cfRule type="cellIs" dxfId="5193" priority="4777" stopIfTrue="1" operator="equal">
      <formula>"Towel"</formula>
    </cfRule>
    <cfRule type="cellIs" dxfId="5192" priority="4778" stopIfTrue="1" operator="equal">
      <formula>"Napkin Hs"</formula>
    </cfRule>
  </conditionalFormatting>
  <conditionalFormatting sqref="C7">
    <cfRule type="cellIs" dxfId="5191" priority="4773" stopIfTrue="1" operator="equal">
      <formula>"Towel"</formula>
    </cfRule>
    <cfRule type="cellIs" dxfId="5190" priority="4774" stopIfTrue="1" operator="equal">
      <formula>"Napkin Hs"</formula>
    </cfRule>
  </conditionalFormatting>
  <conditionalFormatting sqref="B7">
    <cfRule type="cellIs" dxfId="5189" priority="4763" stopIfTrue="1" operator="equal">
      <formula>"Towel"</formula>
    </cfRule>
    <cfRule type="cellIs" dxfId="5188" priority="4764" stopIfTrue="1" operator="equal">
      <formula>"Napkin Hs"</formula>
    </cfRule>
  </conditionalFormatting>
  <conditionalFormatting sqref="B7">
    <cfRule type="cellIs" dxfId="5187" priority="4765" stopIfTrue="1" operator="equal">
      <formula>"Towel"</formula>
    </cfRule>
    <cfRule type="cellIs" dxfId="5186" priority="4766" stopIfTrue="1" operator="equal">
      <formula>"Napkin Hs"</formula>
    </cfRule>
  </conditionalFormatting>
  <conditionalFormatting sqref="C7">
    <cfRule type="cellIs" dxfId="5185" priority="4767" stopIfTrue="1" operator="equal">
      <formula>"Towel"</formula>
    </cfRule>
    <cfRule type="cellIs" dxfId="5184" priority="4768" stopIfTrue="1" operator="equal">
      <formula>"Napkin Hs"</formula>
    </cfRule>
  </conditionalFormatting>
  <conditionalFormatting sqref="C7">
    <cfRule type="cellIs" dxfId="5183" priority="4776" stopIfTrue="1" operator="equal">
      <formula>"Napkin Hs"</formula>
    </cfRule>
  </conditionalFormatting>
  <conditionalFormatting sqref="C7">
    <cfRule type="cellIs" dxfId="5182" priority="4775" stopIfTrue="1" operator="equal">
      <formula>"Towel"</formula>
    </cfRule>
  </conditionalFormatting>
  <conditionalFormatting sqref="C7">
    <cfRule type="cellIs" dxfId="5181" priority="4771" stopIfTrue="1" operator="equal">
      <formula>"Towel"</formula>
    </cfRule>
    <cfRule type="cellIs" dxfId="5180" priority="4772" stopIfTrue="1" operator="equal">
      <formula>"Napkin Hs"</formula>
    </cfRule>
  </conditionalFormatting>
  <conditionalFormatting sqref="C7">
    <cfRule type="cellIs" dxfId="5179" priority="4770" stopIfTrue="1" operator="equal">
      <formula>"Napkin Hs"</formula>
    </cfRule>
  </conditionalFormatting>
  <conditionalFormatting sqref="C7">
    <cfRule type="cellIs" dxfId="5178" priority="4769" stopIfTrue="1" operator="equal">
      <formula>"Towel"</formula>
    </cfRule>
  </conditionalFormatting>
  <conditionalFormatting sqref="B30:C30">
    <cfRule type="cellIs" dxfId="5177" priority="4443" stopIfTrue="1" operator="equal">
      <formula>"Towel"</formula>
    </cfRule>
    <cfRule type="cellIs" dxfId="5176" priority="4444" stopIfTrue="1" operator="equal">
      <formula>"Napkin Hs"</formula>
    </cfRule>
  </conditionalFormatting>
  <conditionalFormatting sqref="C30">
    <cfRule type="cellIs" dxfId="5175" priority="4442" stopIfTrue="1" operator="equal">
      <formula>"Napkin Hs"</formula>
    </cfRule>
  </conditionalFormatting>
  <conditionalFormatting sqref="C30">
    <cfRule type="cellIs" dxfId="5174" priority="4439" stopIfTrue="1" operator="equal">
      <formula>"Towel"</formula>
    </cfRule>
    <cfRule type="cellIs" dxfId="5173" priority="4440" stopIfTrue="1" operator="equal">
      <formula>"Napkin Hs"</formula>
    </cfRule>
  </conditionalFormatting>
  <conditionalFormatting sqref="C30">
    <cfRule type="cellIs" dxfId="5172" priority="4441" stopIfTrue="1" operator="equal">
      <formula>"Towel"</formula>
    </cfRule>
  </conditionalFormatting>
  <conditionalFormatting sqref="B35:C35">
    <cfRule type="cellIs" dxfId="5171" priority="4431" stopIfTrue="1" operator="equal">
      <formula>"Towel"</formula>
    </cfRule>
    <cfRule type="cellIs" dxfId="5170" priority="4432" stopIfTrue="1" operator="equal">
      <formula>"Napkin Hs"</formula>
    </cfRule>
  </conditionalFormatting>
  <conditionalFormatting sqref="C35">
    <cfRule type="cellIs" dxfId="5169" priority="4421" stopIfTrue="1" operator="equal">
      <formula>"Towel"</formula>
    </cfRule>
    <cfRule type="cellIs" dxfId="5168" priority="4422" stopIfTrue="1" operator="equal">
      <formula>"Napkin Hs"</formula>
    </cfRule>
  </conditionalFormatting>
  <conditionalFormatting sqref="C35">
    <cfRule type="cellIs" dxfId="5167" priority="4425" stopIfTrue="1" operator="equal">
      <formula>"Towel"</formula>
    </cfRule>
    <cfRule type="cellIs" dxfId="5166" priority="4426" stopIfTrue="1" operator="equal">
      <formula>"Napkin Hs"</formula>
    </cfRule>
  </conditionalFormatting>
  <conditionalFormatting sqref="C35">
    <cfRule type="cellIs" dxfId="5165" priority="4429" stopIfTrue="1" operator="equal">
      <formula>"Towel"</formula>
    </cfRule>
    <cfRule type="cellIs" dxfId="5164" priority="4430" stopIfTrue="1" operator="equal">
      <formula>"Napkin Hs"</formula>
    </cfRule>
  </conditionalFormatting>
  <conditionalFormatting sqref="B35">
    <cfRule type="cellIs" dxfId="5163" priority="4413" stopIfTrue="1" operator="equal">
      <formula>"Towel"</formula>
    </cfRule>
    <cfRule type="cellIs" dxfId="5162" priority="4414" stopIfTrue="1" operator="equal">
      <formula>"Napkin Hs"</formula>
    </cfRule>
  </conditionalFormatting>
  <conditionalFormatting sqref="C35">
    <cfRule type="cellIs" dxfId="5161" priority="4427" stopIfTrue="1" operator="equal">
      <formula>"Towel"</formula>
    </cfRule>
    <cfRule type="cellIs" dxfId="5160" priority="4428" stopIfTrue="1" operator="equal">
      <formula>"Napkin Hs"</formula>
    </cfRule>
  </conditionalFormatting>
  <conditionalFormatting sqref="B35">
    <cfRule type="cellIs" dxfId="5159" priority="4411" stopIfTrue="1" operator="equal">
      <formula>"Towel"</formula>
    </cfRule>
    <cfRule type="cellIs" dxfId="5158" priority="4412" stopIfTrue="1" operator="equal">
      <formula>"Napkin Hs"</formula>
    </cfRule>
  </conditionalFormatting>
  <conditionalFormatting sqref="C35">
    <cfRule type="cellIs" dxfId="5157" priority="4415" stopIfTrue="1" operator="equal">
      <formula>"Towel"</formula>
    </cfRule>
    <cfRule type="cellIs" dxfId="5156" priority="4416" stopIfTrue="1" operator="equal">
      <formula>"Napkin Hs"</formula>
    </cfRule>
  </conditionalFormatting>
  <conditionalFormatting sqref="C35">
    <cfRule type="cellIs" dxfId="5155" priority="4424" stopIfTrue="1" operator="equal">
      <formula>"Napkin Hs"</formula>
    </cfRule>
  </conditionalFormatting>
  <conditionalFormatting sqref="C35">
    <cfRule type="cellIs" dxfId="5154" priority="4423" stopIfTrue="1" operator="equal">
      <formula>"Towel"</formula>
    </cfRule>
  </conditionalFormatting>
  <conditionalFormatting sqref="C35">
    <cfRule type="cellIs" dxfId="5153" priority="4419" stopIfTrue="1" operator="equal">
      <formula>"Towel"</formula>
    </cfRule>
    <cfRule type="cellIs" dxfId="5152" priority="4420" stopIfTrue="1" operator="equal">
      <formula>"Napkin Hs"</formula>
    </cfRule>
  </conditionalFormatting>
  <conditionalFormatting sqref="C35">
    <cfRule type="cellIs" dxfId="5151" priority="4418" stopIfTrue="1" operator="equal">
      <formula>"Napkin Hs"</formula>
    </cfRule>
  </conditionalFormatting>
  <conditionalFormatting sqref="C35">
    <cfRule type="cellIs" dxfId="5150" priority="4417" stopIfTrue="1" operator="equal">
      <formula>"Towel"</formula>
    </cfRule>
  </conditionalFormatting>
  <conditionalFormatting sqref="B45">
    <cfRule type="cellIs" dxfId="5149" priority="4163" stopIfTrue="1" operator="equal">
      <formula>"Towel"</formula>
    </cfRule>
    <cfRule type="cellIs" dxfId="5148" priority="4164" stopIfTrue="1" operator="equal">
      <formula>"Napkin Hs"</formula>
    </cfRule>
  </conditionalFormatting>
  <conditionalFormatting sqref="C45">
    <cfRule type="cellIs" dxfId="5147" priority="4177" stopIfTrue="1" operator="equal">
      <formula>"Towel"</formula>
    </cfRule>
    <cfRule type="cellIs" dxfId="5146" priority="4178" stopIfTrue="1" operator="equal">
      <formula>"Napkin Hs"</formula>
    </cfRule>
  </conditionalFormatting>
  <conditionalFormatting sqref="C45">
    <cfRule type="cellIs" dxfId="5145" priority="4173" stopIfTrue="1" operator="equal">
      <formula>"Towel"</formula>
    </cfRule>
    <cfRule type="cellIs" dxfId="5144" priority="4174" stopIfTrue="1" operator="equal">
      <formula>"Napkin Hs"</formula>
    </cfRule>
  </conditionalFormatting>
  <conditionalFormatting sqref="B45">
    <cfRule type="cellIs" dxfId="5143" priority="4165" stopIfTrue="1" operator="equal">
      <formula>"Towel"</formula>
    </cfRule>
    <cfRule type="cellIs" dxfId="5142" priority="4166" stopIfTrue="1" operator="equal">
      <formula>"Napkin Hs"</formula>
    </cfRule>
  </conditionalFormatting>
  <conditionalFormatting sqref="C45">
    <cfRule type="cellIs" dxfId="5141" priority="4167" stopIfTrue="1" operator="equal">
      <formula>"Towel"</formula>
    </cfRule>
    <cfRule type="cellIs" dxfId="5140" priority="4168" stopIfTrue="1" operator="equal">
      <formula>"Napkin Hs"</formula>
    </cfRule>
  </conditionalFormatting>
  <conditionalFormatting sqref="C45">
    <cfRule type="cellIs" dxfId="5139" priority="4176" stopIfTrue="1" operator="equal">
      <formula>"Napkin Hs"</formula>
    </cfRule>
  </conditionalFormatting>
  <conditionalFormatting sqref="C45">
    <cfRule type="cellIs" dxfId="5138" priority="4175" stopIfTrue="1" operator="equal">
      <formula>"Towel"</formula>
    </cfRule>
  </conditionalFormatting>
  <conditionalFormatting sqref="C45">
    <cfRule type="cellIs" dxfId="5137" priority="4171" stopIfTrue="1" operator="equal">
      <formula>"Towel"</formula>
    </cfRule>
    <cfRule type="cellIs" dxfId="5136" priority="4172" stopIfTrue="1" operator="equal">
      <formula>"Napkin Hs"</formula>
    </cfRule>
  </conditionalFormatting>
  <conditionalFormatting sqref="C45">
    <cfRule type="cellIs" dxfId="5135" priority="4170" stopIfTrue="1" operator="equal">
      <formula>"Napkin Hs"</formula>
    </cfRule>
  </conditionalFormatting>
  <conditionalFormatting sqref="C45">
    <cfRule type="cellIs" dxfId="5134" priority="4169" stopIfTrue="1" operator="equal">
      <formula>"Towel"</formula>
    </cfRule>
  </conditionalFormatting>
  <conditionalFormatting sqref="B51">
    <cfRule type="cellIs" dxfId="5133" priority="4119" stopIfTrue="1" operator="equal">
      <formula>"Towel"</formula>
    </cfRule>
    <cfRule type="cellIs" dxfId="5132" priority="4120" stopIfTrue="1" operator="equal">
      <formula>"Napkin Hs"</formula>
    </cfRule>
  </conditionalFormatting>
  <conditionalFormatting sqref="C51">
    <cfRule type="cellIs" dxfId="5131" priority="4133" stopIfTrue="1" operator="equal">
      <formula>"Towel"</formula>
    </cfRule>
    <cfRule type="cellIs" dxfId="5130" priority="4134" stopIfTrue="1" operator="equal">
      <formula>"Napkin Hs"</formula>
    </cfRule>
  </conditionalFormatting>
  <conditionalFormatting sqref="C51">
    <cfRule type="cellIs" dxfId="5129" priority="4129" stopIfTrue="1" operator="equal">
      <formula>"Towel"</formula>
    </cfRule>
    <cfRule type="cellIs" dxfId="5128" priority="4130" stopIfTrue="1" operator="equal">
      <formula>"Napkin Hs"</formula>
    </cfRule>
  </conditionalFormatting>
  <conditionalFormatting sqref="B51">
    <cfRule type="cellIs" dxfId="5127" priority="4121" stopIfTrue="1" operator="equal">
      <formula>"Towel"</formula>
    </cfRule>
    <cfRule type="cellIs" dxfId="5126" priority="4122" stopIfTrue="1" operator="equal">
      <formula>"Napkin Hs"</formula>
    </cfRule>
  </conditionalFormatting>
  <conditionalFormatting sqref="C51">
    <cfRule type="cellIs" dxfId="5125" priority="4123" stopIfTrue="1" operator="equal">
      <formula>"Towel"</formula>
    </cfRule>
    <cfRule type="cellIs" dxfId="5124" priority="4124" stopIfTrue="1" operator="equal">
      <formula>"Napkin Hs"</formula>
    </cfRule>
  </conditionalFormatting>
  <conditionalFormatting sqref="C51">
    <cfRule type="cellIs" dxfId="5123" priority="4132" stopIfTrue="1" operator="equal">
      <formula>"Napkin Hs"</formula>
    </cfRule>
  </conditionalFormatting>
  <conditionalFormatting sqref="C51">
    <cfRule type="cellIs" dxfId="5122" priority="4131" stopIfTrue="1" operator="equal">
      <formula>"Towel"</formula>
    </cfRule>
  </conditionalFormatting>
  <conditionalFormatting sqref="C51">
    <cfRule type="cellIs" dxfId="5121" priority="4127" stopIfTrue="1" operator="equal">
      <formula>"Towel"</formula>
    </cfRule>
    <cfRule type="cellIs" dxfId="5120" priority="4128" stopIfTrue="1" operator="equal">
      <formula>"Napkin Hs"</formula>
    </cfRule>
  </conditionalFormatting>
  <conditionalFormatting sqref="C51">
    <cfRule type="cellIs" dxfId="5119" priority="4126" stopIfTrue="1" operator="equal">
      <formula>"Napkin Hs"</formula>
    </cfRule>
  </conditionalFormatting>
  <conditionalFormatting sqref="C51">
    <cfRule type="cellIs" dxfId="5118" priority="4125" stopIfTrue="1" operator="equal">
      <formula>"Towel"</formula>
    </cfRule>
  </conditionalFormatting>
  <conditionalFormatting sqref="B50">
    <cfRule type="cellIs" dxfId="5117" priority="4103" stopIfTrue="1" operator="equal">
      <formula>"Towel"</formula>
    </cfRule>
    <cfRule type="cellIs" dxfId="5116" priority="4104" stopIfTrue="1" operator="equal">
      <formula>"Napkin Hs"</formula>
    </cfRule>
  </conditionalFormatting>
  <conditionalFormatting sqref="C50">
    <cfRule type="cellIs" dxfId="5115" priority="4117" stopIfTrue="1" operator="equal">
      <formula>"Towel"</formula>
    </cfRule>
    <cfRule type="cellIs" dxfId="5114" priority="4118" stopIfTrue="1" operator="equal">
      <formula>"Napkin Hs"</formula>
    </cfRule>
  </conditionalFormatting>
  <conditionalFormatting sqref="C50">
    <cfRule type="cellIs" dxfId="5113" priority="4113" stopIfTrue="1" operator="equal">
      <formula>"Towel"</formula>
    </cfRule>
    <cfRule type="cellIs" dxfId="5112" priority="4114" stopIfTrue="1" operator="equal">
      <formula>"Napkin Hs"</formula>
    </cfRule>
  </conditionalFormatting>
  <conditionalFormatting sqref="B50">
    <cfRule type="cellIs" dxfId="5111" priority="4105" stopIfTrue="1" operator="equal">
      <formula>"Towel"</formula>
    </cfRule>
    <cfRule type="cellIs" dxfId="5110" priority="4106" stopIfTrue="1" operator="equal">
      <formula>"Napkin Hs"</formula>
    </cfRule>
  </conditionalFormatting>
  <conditionalFormatting sqref="C50">
    <cfRule type="cellIs" dxfId="5109" priority="4107" stopIfTrue="1" operator="equal">
      <formula>"Towel"</formula>
    </cfRule>
    <cfRule type="cellIs" dxfId="5108" priority="4108" stopIfTrue="1" operator="equal">
      <formula>"Napkin Hs"</formula>
    </cfRule>
  </conditionalFormatting>
  <conditionalFormatting sqref="C50">
    <cfRule type="cellIs" dxfId="5107" priority="4116" stopIfTrue="1" operator="equal">
      <formula>"Napkin Hs"</formula>
    </cfRule>
  </conditionalFormatting>
  <conditionalFormatting sqref="C50">
    <cfRule type="cellIs" dxfId="5106" priority="4115" stopIfTrue="1" operator="equal">
      <formula>"Towel"</formula>
    </cfRule>
  </conditionalFormatting>
  <conditionalFormatting sqref="C50">
    <cfRule type="cellIs" dxfId="5105" priority="4111" stopIfTrue="1" operator="equal">
      <formula>"Towel"</formula>
    </cfRule>
    <cfRule type="cellIs" dxfId="5104" priority="4112" stopIfTrue="1" operator="equal">
      <formula>"Napkin Hs"</formula>
    </cfRule>
  </conditionalFormatting>
  <conditionalFormatting sqref="C50">
    <cfRule type="cellIs" dxfId="5103" priority="4110" stopIfTrue="1" operator="equal">
      <formula>"Napkin Hs"</formula>
    </cfRule>
  </conditionalFormatting>
  <conditionalFormatting sqref="C50">
    <cfRule type="cellIs" dxfId="5102" priority="4109" stopIfTrue="1" operator="equal">
      <formula>"Towel"</formula>
    </cfRule>
  </conditionalFormatting>
  <conditionalFormatting sqref="B56">
    <cfRule type="cellIs" dxfId="5101" priority="4059" stopIfTrue="1" operator="equal">
      <formula>"Towel"</formula>
    </cfRule>
    <cfRule type="cellIs" dxfId="5100" priority="4060" stopIfTrue="1" operator="equal">
      <formula>"Napkin Hs"</formula>
    </cfRule>
  </conditionalFormatting>
  <conditionalFormatting sqref="C56">
    <cfRule type="cellIs" dxfId="5099" priority="4073" stopIfTrue="1" operator="equal">
      <formula>"Towel"</formula>
    </cfRule>
    <cfRule type="cellIs" dxfId="5098" priority="4074" stopIfTrue="1" operator="equal">
      <formula>"Napkin Hs"</formula>
    </cfRule>
  </conditionalFormatting>
  <conditionalFormatting sqref="C56">
    <cfRule type="cellIs" dxfId="5097" priority="4069" stopIfTrue="1" operator="equal">
      <formula>"Towel"</formula>
    </cfRule>
    <cfRule type="cellIs" dxfId="5096" priority="4070" stopIfTrue="1" operator="equal">
      <formula>"Napkin Hs"</formula>
    </cfRule>
  </conditionalFormatting>
  <conditionalFormatting sqref="B56">
    <cfRule type="cellIs" dxfId="5095" priority="4061" stopIfTrue="1" operator="equal">
      <formula>"Towel"</formula>
    </cfRule>
    <cfRule type="cellIs" dxfId="5094" priority="4062" stopIfTrue="1" operator="equal">
      <formula>"Napkin Hs"</formula>
    </cfRule>
  </conditionalFormatting>
  <conditionalFormatting sqref="C56">
    <cfRule type="cellIs" dxfId="5093" priority="4063" stopIfTrue="1" operator="equal">
      <formula>"Towel"</formula>
    </cfRule>
    <cfRule type="cellIs" dxfId="5092" priority="4064" stopIfTrue="1" operator="equal">
      <formula>"Napkin Hs"</formula>
    </cfRule>
  </conditionalFormatting>
  <conditionalFormatting sqref="C56">
    <cfRule type="cellIs" dxfId="5091" priority="4072" stopIfTrue="1" operator="equal">
      <formula>"Napkin Hs"</formula>
    </cfRule>
  </conditionalFormatting>
  <conditionalFormatting sqref="C56">
    <cfRule type="cellIs" dxfId="5090" priority="4071" stopIfTrue="1" operator="equal">
      <formula>"Towel"</formula>
    </cfRule>
  </conditionalFormatting>
  <conditionalFormatting sqref="C56">
    <cfRule type="cellIs" dxfId="5089" priority="4067" stopIfTrue="1" operator="equal">
      <formula>"Towel"</formula>
    </cfRule>
    <cfRule type="cellIs" dxfId="5088" priority="4068" stopIfTrue="1" operator="equal">
      <formula>"Napkin Hs"</formula>
    </cfRule>
  </conditionalFormatting>
  <conditionalFormatting sqref="C56">
    <cfRule type="cellIs" dxfId="5087" priority="4066" stopIfTrue="1" operator="equal">
      <formula>"Napkin Hs"</formula>
    </cfRule>
  </conditionalFormatting>
  <conditionalFormatting sqref="C56">
    <cfRule type="cellIs" dxfId="5086" priority="4065" stopIfTrue="1" operator="equal">
      <formula>"Towel"</formula>
    </cfRule>
  </conditionalFormatting>
  <conditionalFormatting sqref="C73">
    <cfRule type="cellIs" dxfId="5085" priority="3885" stopIfTrue="1" operator="equal">
      <formula>"Towel"</formula>
    </cfRule>
    <cfRule type="cellIs" dxfId="5084" priority="3886" stopIfTrue="1" operator="equal">
      <formula>"Napkin Hs"</formula>
    </cfRule>
  </conditionalFormatting>
  <conditionalFormatting sqref="B73:C73">
    <cfRule type="cellIs" dxfId="5083" priority="3889" stopIfTrue="1" operator="equal">
      <formula>"Towel"</formula>
    </cfRule>
    <cfRule type="cellIs" dxfId="5082" priority="3890" stopIfTrue="1" operator="equal">
      <formula>"Napkin Hs"</formula>
    </cfRule>
  </conditionalFormatting>
  <conditionalFormatting sqref="C73">
    <cfRule type="cellIs" dxfId="5081" priority="3888" stopIfTrue="1" operator="equal">
      <formula>"Napkin Hs"</formula>
    </cfRule>
  </conditionalFormatting>
  <conditionalFormatting sqref="C73">
    <cfRule type="cellIs" dxfId="5080" priority="3887" stopIfTrue="1" operator="equal">
      <formula>"Towel"</formula>
    </cfRule>
  </conditionalFormatting>
  <conditionalFormatting sqref="B90:C90">
    <cfRule type="cellIs" dxfId="5079" priority="3665" stopIfTrue="1" operator="equal">
      <formula>"Towel"</formula>
    </cfRule>
    <cfRule type="cellIs" dxfId="5078" priority="3666" stopIfTrue="1" operator="equal">
      <formula>"Napkin Hs"</formula>
    </cfRule>
  </conditionalFormatting>
  <conditionalFormatting sqref="C90">
    <cfRule type="cellIs" dxfId="5077" priority="3663" stopIfTrue="1" operator="equal">
      <formula>"Towel"</formula>
    </cfRule>
    <cfRule type="cellIs" dxfId="5076" priority="3664" stopIfTrue="1" operator="equal">
      <formula>"Napkin Hs"</formula>
    </cfRule>
  </conditionalFormatting>
  <conditionalFormatting sqref="C90">
    <cfRule type="cellIs" dxfId="5075" priority="3661" stopIfTrue="1" operator="equal">
      <formula>"Towel"</formula>
    </cfRule>
    <cfRule type="cellIs" dxfId="5074" priority="3662" stopIfTrue="1" operator="equal">
      <formula>"Napkin Hs"</formula>
    </cfRule>
  </conditionalFormatting>
  <conditionalFormatting sqref="C90">
    <cfRule type="cellIs" dxfId="5073" priority="3655" stopIfTrue="1" operator="equal">
      <formula>"Towel"</formula>
    </cfRule>
    <cfRule type="cellIs" dxfId="5072" priority="3656" stopIfTrue="1" operator="equal">
      <formula>"Napkin Hs"</formula>
    </cfRule>
  </conditionalFormatting>
  <conditionalFormatting sqref="B90">
    <cfRule type="cellIs" dxfId="5071" priority="3645" stopIfTrue="1" operator="equal">
      <formula>"Towel"</formula>
    </cfRule>
    <cfRule type="cellIs" dxfId="5070" priority="3646" stopIfTrue="1" operator="equal">
      <formula>"Napkin Hs"</formula>
    </cfRule>
  </conditionalFormatting>
  <conditionalFormatting sqref="C90">
    <cfRule type="cellIs" dxfId="5069" priority="3649" stopIfTrue="1" operator="equal">
      <formula>"Towel"</formula>
    </cfRule>
    <cfRule type="cellIs" dxfId="5068" priority="3650" stopIfTrue="1" operator="equal">
      <formula>"Napkin Hs"</formula>
    </cfRule>
  </conditionalFormatting>
  <conditionalFormatting sqref="C90">
    <cfRule type="cellIs" dxfId="5067" priority="3659" stopIfTrue="1" operator="equal">
      <formula>"Towel"</formula>
    </cfRule>
    <cfRule type="cellIs" dxfId="5066" priority="3660" stopIfTrue="1" operator="equal">
      <formula>"Napkin Hs"</formula>
    </cfRule>
  </conditionalFormatting>
  <conditionalFormatting sqref="B90">
    <cfRule type="cellIs" dxfId="5065" priority="3647" stopIfTrue="1" operator="equal">
      <formula>"Towel"</formula>
    </cfRule>
    <cfRule type="cellIs" dxfId="5064" priority="3648" stopIfTrue="1" operator="equal">
      <formula>"Napkin Hs"</formula>
    </cfRule>
  </conditionalFormatting>
  <conditionalFormatting sqref="C90">
    <cfRule type="cellIs" dxfId="5063" priority="3658" stopIfTrue="1" operator="equal">
      <formula>"Napkin Hs"</formula>
    </cfRule>
  </conditionalFormatting>
  <conditionalFormatting sqref="C90">
    <cfRule type="cellIs" dxfId="5062" priority="3657" stopIfTrue="1" operator="equal">
      <formula>"Towel"</formula>
    </cfRule>
  </conditionalFormatting>
  <conditionalFormatting sqref="C90">
    <cfRule type="cellIs" dxfId="5061" priority="3653" stopIfTrue="1" operator="equal">
      <formula>"Towel"</formula>
    </cfRule>
    <cfRule type="cellIs" dxfId="5060" priority="3654" stopIfTrue="1" operator="equal">
      <formula>"Napkin Hs"</formula>
    </cfRule>
  </conditionalFormatting>
  <conditionalFormatting sqref="C90">
    <cfRule type="cellIs" dxfId="5059" priority="3652" stopIfTrue="1" operator="equal">
      <formula>"Napkin Hs"</formula>
    </cfRule>
  </conditionalFormatting>
  <conditionalFormatting sqref="C90">
    <cfRule type="cellIs" dxfId="5058" priority="3651" stopIfTrue="1" operator="equal">
      <formula>"Towel"</formula>
    </cfRule>
  </conditionalFormatting>
  <conditionalFormatting sqref="C103">
    <cfRule type="cellIs" dxfId="5057" priority="3437" stopIfTrue="1" operator="equal">
      <formula>"Towel"</formula>
    </cfRule>
    <cfRule type="cellIs" dxfId="5056" priority="3438" stopIfTrue="1" operator="equal">
      <formula>"Napkin Hs"</formula>
    </cfRule>
  </conditionalFormatting>
  <conditionalFormatting sqref="C103">
    <cfRule type="cellIs" dxfId="5055" priority="3431" stopIfTrue="1" operator="equal">
      <formula>"Towel"</formula>
    </cfRule>
    <cfRule type="cellIs" dxfId="5054" priority="3432" stopIfTrue="1" operator="equal">
      <formula>"Napkin Hs"</formula>
    </cfRule>
  </conditionalFormatting>
  <conditionalFormatting sqref="B103:C103">
    <cfRule type="cellIs" dxfId="5053" priority="3441" stopIfTrue="1" operator="equal">
      <formula>"Towel"</formula>
    </cfRule>
    <cfRule type="cellIs" dxfId="5052" priority="3442" stopIfTrue="1" operator="equal">
      <formula>"Napkin Hs"</formula>
    </cfRule>
  </conditionalFormatting>
  <conditionalFormatting sqref="C103">
    <cfRule type="cellIs" dxfId="5051" priority="3429" stopIfTrue="1" operator="equal">
      <formula>"Towel"</formula>
    </cfRule>
    <cfRule type="cellIs" dxfId="5050" priority="3430" stopIfTrue="1" operator="equal">
      <formula>"Napkin Hs"</formula>
    </cfRule>
  </conditionalFormatting>
  <conditionalFormatting sqref="C103">
    <cfRule type="cellIs" dxfId="5049" priority="3435" stopIfTrue="1" operator="equal">
      <formula>"Towel"</formula>
    </cfRule>
    <cfRule type="cellIs" dxfId="5048" priority="3436" stopIfTrue="1" operator="equal">
      <formula>"Napkin Hs"</formula>
    </cfRule>
  </conditionalFormatting>
  <conditionalFormatting sqref="C103">
    <cfRule type="cellIs" dxfId="5047" priority="3434" stopIfTrue="1" operator="equal">
      <formula>"Napkin Hs"</formula>
    </cfRule>
  </conditionalFormatting>
  <conditionalFormatting sqref="C103">
    <cfRule type="cellIs" dxfId="5046" priority="3433" stopIfTrue="1" operator="equal">
      <formula>"Towel"</formula>
    </cfRule>
  </conditionalFormatting>
  <conditionalFormatting sqref="C103">
    <cfRule type="cellIs" dxfId="5045" priority="3439" stopIfTrue="1" operator="equal">
      <formula>"Towel"</formula>
    </cfRule>
    <cfRule type="cellIs" dxfId="5044" priority="3440" stopIfTrue="1" operator="equal">
      <formula>"Napkin Hs"</formula>
    </cfRule>
  </conditionalFormatting>
  <conditionalFormatting sqref="B103">
    <cfRule type="cellIs" dxfId="5043" priority="3421" stopIfTrue="1" operator="equal">
      <formula>"Towel"</formula>
    </cfRule>
    <cfRule type="cellIs" dxfId="5042" priority="3422" stopIfTrue="1" operator="equal">
      <formula>"Napkin Hs"</formula>
    </cfRule>
  </conditionalFormatting>
  <conditionalFormatting sqref="C103">
    <cfRule type="cellIs" dxfId="5041" priority="3425" stopIfTrue="1" operator="equal">
      <formula>"Towel"</formula>
    </cfRule>
    <cfRule type="cellIs" dxfId="5040" priority="3426" stopIfTrue="1" operator="equal">
      <formula>"Napkin Hs"</formula>
    </cfRule>
  </conditionalFormatting>
  <conditionalFormatting sqref="B103">
    <cfRule type="cellIs" dxfId="5039" priority="3423" stopIfTrue="1" operator="equal">
      <formula>"Towel"</formula>
    </cfRule>
    <cfRule type="cellIs" dxfId="5038" priority="3424" stopIfTrue="1" operator="equal">
      <formula>"Napkin Hs"</formula>
    </cfRule>
  </conditionalFormatting>
  <conditionalFormatting sqref="C103">
    <cfRule type="cellIs" dxfId="5037" priority="3428" stopIfTrue="1" operator="equal">
      <formula>"Napkin Hs"</formula>
    </cfRule>
  </conditionalFormatting>
  <conditionalFormatting sqref="C103">
    <cfRule type="cellIs" dxfId="5036" priority="3427" stopIfTrue="1" operator="equal">
      <formula>"Towel"</formula>
    </cfRule>
  </conditionalFormatting>
  <conditionalFormatting sqref="C107">
    <cfRule type="cellIs" dxfId="5035" priority="3263" stopIfTrue="1" operator="equal">
      <formula>"Towel"</formula>
    </cfRule>
    <cfRule type="cellIs" dxfId="5034" priority="3264" stopIfTrue="1" operator="equal">
      <formula>"Napkin Hs"</formula>
    </cfRule>
  </conditionalFormatting>
  <conditionalFormatting sqref="B107:C107">
    <cfRule type="cellIs" dxfId="5033" priority="3267" stopIfTrue="1" operator="equal">
      <formula>"Towel"</formula>
    </cfRule>
    <cfRule type="cellIs" dxfId="5032" priority="3268" stopIfTrue="1" operator="equal">
      <formula>"Napkin Hs"</formula>
    </cfRule>
  </conditionalFormatting>
  <conditionalFormatting sqref="C107">
    <cfRule type="cellIs" dxfId="5031" priority="3266" stopIfTrue="1" operator="equal">
      <formula>"Napkin Hs"</formula>
    </cfRule>
  </conditionalFormatting>
  <conditionalFormatting sqref="C107">
    <cfRule type="cellIs" dxfId="5030" priority="3265" stopIfTrue="1" operator="equal">
      <formula>"Towel"</formula>
    </cfRule>
  </conditionalFormatting>
  <conditionalFormatting sqref="C116">
    <cfRule type="cellIs" dxfId="5029" priority="3167" stopIfTrue="1" operator="equal">
      <formula>"Towel"</formula>
    </cfRule>
    <cfRule type="cellIs" dxfId="5028" priority="3168" stopIfTrue="1" operator="equal">
      <formula>"Napkin Hs"</formula>
    </cfRule>
  </conditionalFormatting>
  <conditionalFormatting sqref="B116:C116">
    <cfRule type="cellIs" dxfId="5027" priority="3171" stopIfTrue="1" operator="equal">
      <formula>"Towel"</formula>
    </cfRule>
    <cfRule type="cellIs" dxfId="5026" priority="3172" stopIfTrue="1" operator="equal">
      <formula>"Napkin Hs"</formula>
    </cfRule>
  </conditionalFormatting>
  <conditionalFormatting sqref="C116">
    <cfRule type="cellIs" dxfId="5025" priority="3170" stopIfTrue="1" operator="equal">
      <formula>"Napkin Hs"</formula>
    </cfRule>
  </conditionalFormatting>
  <conditionalFormatting sqref="C116">
    <cfRule type="cellIs" dxfId="5024" priority="3169" stopIfTrue="1" operator="equal">
      <formula>"Towel"</formula>
    </cfRule>
  </conditionalFormatting>
  <conditionalFormatting sqref="B121">
    <cfRule type="cellIs" dxfId="5023" priority="3141" stopIfTrue="1" operator="equal">
      <formula>"Towel"</formula>
    </cfRule>
    <cfRule type="cellIs" dxfId="5022" priority="3142" stopIfTrue="1" operator="equal">
      <formula>"Napkin Hs"</formula>
    </cfRule>
  </conditionalFormatting>
  <conditionalFormatting sqref="C121">
    <cfRule type="cellIs" dxfId="5021" priority="3149" stopIfTrue="1" operator="equal">
      <formula>"Towel"</formula>
    </cfRule>
    <cfRule type="cellIs" dxfId="5020" priority="3150" stopIfTrue="1" operator="equal">
      <formula>"Napkin Hs"</formula>
    </cfRule>
  </conditionalFormatting>
  <conditionalFormatting sqref="B121">
    <cfRule type="cellIs" dxfId="5019" priority="3139" stopIfTrue="1" operator="equal">
      <formula>"Towel"</formula>
    </cfRule>
    <cfRule type="cellIs" dxfId="5018" priority="3140" stopIfTrue="1" operator="equal">
      <formula>"Napkin Hs"</formula>
    </cfRule>
  </conditionalFormatting>
  <conditionalFormatting sqref="C121">
    <cfRule type="cellIs" dxfId="5017" priority="3143" stopIfTrue="1" operator="equal">
      <formula>"Towel"</formula>
    </cfRule>
    <cfRule type="cellIs" dxfId="5016" priority="3144" stopIfTrue="1" operator="equal">
      <formula>"Napkin Hs"</formula>
    </cfRule>
  </conditionalFormatting>
  <conditionalFormatting sqref="C121">
    <cfRule type="cellIs" dxfId="5015" priority="3153" stopIfTrue="1" operator="equal">
      <formula>"Towel"</formula>
    </cfRule>
    <cfRule type="cellIs" dxfId="5014" priority="3154" stopIfTrue="1" operator="equal">
      <formula>"Napkin Hs"</formula>
    </cfRule>
  </conditionalFormatting>
  <conditionalFormatting sqref="C121">
    <cfRule type="cellIs" dxfId="5013" priority="3152" stopIfTrue="1" operator="equal">
      <formula>"Napkin Hs"</formula>
    </cfRule>
  </conditionalFormatting>
  <conditionalFormatting sqref="C121">
    <cfRule type="cellIs" dxfId="5012" priority="3151" stopIfTrue="1" operator="equal">
      <formula>"Towel"</formula>
    </cfRule>
  </conditionalFormatting>
  <conditionalFormatting sqref="C121">
    <cfRule type="cellIs" dxfId="5011" priority="3147" stopIfTrue="1" operator="equal">
      <formula>"Towel"</formula>
    </cfRule>
    <cfRule type="cellIs" dxfId="5010" priority="3148" stopIfTrue="1" operator="equal">
      <formula>"Napkin Hs"</formula>
    </cfRule>
  </conditionalFormatting>
  <conditionalFormatting sqref="C121">
    <cfRule type="cellIs" dxfId="5009" priority="3146" stopIfTrue="1" operator="equal">
      <formula>"Napkin Hs"</formula>
    </cfRule>
  </conditionalFormatting>
  <conditionalFormatting sqref="C121">
    <cfRule type="cellIs" dxfId="5008" priority="3145" stopIfTrue="1" operator="equal">
      <formula>"Towel"</formula>
    </cfRule>
  </conditionalFormatting>
  <conditionalFormatting sqref="B121:C121">
    <cfRule type="cellIs" dxfId="5007" priority="3159" stopIfTrue="1" operator="equal">
      <formula>"Towel"</formula>
    </cfRule>
    <cfRule type="cellIs" dxfId="5006" priority="3160" stopIfTrue="1" operator="equal">
      <formula>"Napkin Hs"</formula>
    </cfRule>
  </conditionalFormatting>
  <conditionalFormatting sqref="C121">
    <cfRule type="cellIs" dxfId="5005" priority="3157" stopIfTrue="1" operator="equal">
      <formula>"Towel"</formula>
    </cfRule>
    <cfRule type="cellIs" dxfId="5004" priority="3158" stopIfTrue="1" operator="equal">
      <formula>"Napkin Hs"</formula>
    </cfRule>
  </conditionalFormatting>
  <conditionalFormatting sqref="C121">
    <cfRule type="cellIs" dxfId="5003" priority="3155" stopIfTrue="1" operator="equal">
      <formula>"Towel"</formula>
    </cfRule>
    <cfRule type="cellIs" dxfId="5002" priority="3156" stopIfTrue="1" operator="equal">
      <formula>"Napkin Hs"</formula>
    </cfRule>
  </conditionalFormatting>
  <conditionalFormatting sqref="C135">
    <cfRule type="cellIs" dxfId="5001" priority="3079" stopIfTrue="1" operator="equal">
      <formula>"Towel"</formula>
    </cfRule>
    <cfRule type="cellIs" dxfId="5000" priority="3080" stopIfTrue="1" operator="equal">
      <formula>"Napkin Hs"</formula>
    </cfRule>
  </conditionalFormatting>
  <conditionalFormatting sqref="B135:C135">
    <cfRule type="cellIs" dxfId="4999" priority="3077" stopIfTrue="1" operator="equal">
      <formula>"Towel"</formula>
    </cfRule>
    <cfRule type="cellIs" dxfId="4998" priority="3078" stopIfTrue="1" operator="equal">
      <formula>"Napkin Hs"</formula>
    </cfRule>
  </conditionalFormatting>
  <conditionalFormatting sqref="C135">
    <cfRule type="cellIs" dxfId="4997" priority="3075" stopIfTrue="1" operator="equal">
      <formula>"Towel"</formula>
    </cfRule>
    <cfRule type="cellIs" dxfId="4996" priority="3076" stopIfTrue="1" operator="equal">
      <formula>"Napkin Hs"</formula>
    </cfRule>
  </conditionalFormatting>
  <conditionalFormatting sqref="C140">
    <cfRule type="cellIs" dxfId="4995" priority="3007" stopIfTrue="1" operator="equal">
      <formula>"Towel"</formula>
    </cfRule>
    <cfRule type="cellIs" dxfId="4994" priority="3008" stopIfTrue="1" operator="equal">
      <formula>"Napkin Hs"</formula>
    </cfRule>
  </conditionalFormatting>
  <conditionalFormatting sqref="B140:C140">
    <cfRule type="cellIs" dxfId="4993" priority="3011" stopIfTrue="1" operator="equal">
      <formula>"Towel"</formula>
    </cfRule>
    <cfRule type="cellIs" dxfId="4992" priority="3012" stopIfTrue="1" operator="equal">
      <formula>"Napkin Hs"</formula>
    </cfRule>
  </conditionalFormatting>
  <conditionalFormatting sqref="C140">
    <cfRule type="cellIs" dxfId="4991" priority="3010" stopIfTrue="1" operator="equal">
      <formula>"Napkin Hs"</formula>
    </cfRule>
  </conditionalFormatting>
  <conditionalFormatting sqref="C140">
    <cfRule type="cellIs" dxfId="4990" priority="3009" stopIfTrue="1" operator="equal">
      <formula>"Towel"</formula>
    </cfRule>
  </conditionalFormatting>
  <conditionalFormatting sqref="B146">
    <cfRule type="cellIs" dxfId="4989" priority="2987" stopIfTrue="1" operator="equal">
      <formula>"Towel"</formula>
    </cfRule>
    <cfRule type="cellIs" dxfId="4988" priority="2988" stopIfTrue="1" operator="equal">
      <formula>"Napkin Hs"</formula>
    </cfRule>
  </conditionalFormatting>
  <conditionalFormatting sqref="C146">
    <cfRule type="cellIs" dxfId="4987" priority="2995" stopIfTrue="1" operator="equal">
      <formula>"Towel"</formula>
    </cfRule>
    <cfRule type="cellIs" dxfId="4986" priority="2996" stopIfTrue="1" operator="equal">
      <formula>"Napkin Hs"</formula>
    </cfRule>
  </conditionalFormatting>
  <conditionalFormatting sqref="B146">
    <cfRule type="cellIs" dxfId="4985" priority="2985" stopIfTrue="1" operator="equal">
      <formula>"Towel"</formula>
    </cfRule>
    <cfRule type="cellIs" dxfId="4984" priority="2986" stopIfTrue="1" operator="equal">
      <formula>"Napkin Hs"</formula>
    </cfRule>
  </conditionalFormatting>
  <conditionalFormatting sqref="C146">
    <cfRule type="cellIs" dxfId="4983" priority="2989" stopIfTrue="1" operator="equal">
      <formula>"Towel"</formula>
    </cfRule>
    <cfRule type="cellIs" dxfId="4982" priority="2990" stopIfTrue="1" operator="equal">
      <formula>"Napkin Hs"</formula>
    </cfRule>
  </conditionalFormatting>
  <conditionalFormatting sqref="C146">
    <cfRule type="cellIs" dxfId="4981" priority="2999" stopIfTrue="1" operator="equal">
      <formula>"Towel"</formula>
    </cfRule>
    <cfRule type="cellIs" dxfId="4980" priority="3000" stopIfTrue="1" operator="equal">
      <formula>"Napkin Hs"</formula>
    </cfRule>
  </conditionalFormatting>
  <conditionalFormatting sqref="C146">
    <cfRule type="cellIs" dxfId="4979" priority="2998" stopIfTrue="1" operator="equal">
      <formula>"Napkin Hs"</formula>
    </cfRule>
  </conditionalFormatting>
  <conditionalFormatting sqref="C146">
    <cfRule type="cellIs" dxfId="4978" priority="2997" stopIfTrue="1" operator="equal">
      <formula>"Towel"</formula>
    </cfRule>
  </conditionalFormatting>
  <conditionalFormatting sqref="C146">
    <cfRule type="cellIs" dxfId="4977" priority="2993" stopIfTrue="1" operator="equal">
      <formula>"Towel"</formula>
    </cfRule>
    <cfRule type="cellIs" dxfId="4976" priority="2994" stopIfTrue="1" operator="equal">
      <formula>"Napkin Hs"</formula>
    </cfRule>
  </conditionalFormatting>
  <conditionalFormatting sqref="C146">
    <cfRule type="cellIs" dxfId="4975" priority="2992" stopIfTrue="1" operator="equal">
      <formula>"Napkin Hs"</formula>
    </cfRule>
  </conditionalFormatting>
  <conditionalFormatting sqref="C146">
    <cfRule type="cellIs" dxfId="4974" priority="2991" stopIfTrue="1" operator="equal">
      <formula>"Towel"</formula>
    </cfRule>
  </conditionalFormatting>
  <conditionalFormatting sqref="B146:C146">
    <cfRule type="cellIs" dxfId="4973" priority="3005" stopIfTrue="1" operator="equal">
      <formula>"Towel"</formula>
    </cfRule>
    <cfRule type="cellIs" dxfId="4972" priority="3006" stopIfTrue="1" operator="equal">
      <formula>"Napkin Hs"</formula>
    </cfRule>
  </conditionalFormatting>
  <conditionalFormatting sqref="C146">
    <cfRule type="cellIs" dxfId="4971" priority="3003" stopIfTrue="1" operator="equal">
      <formula>"Towel"</formula>
    </cfRule>
    <cfRule type="cellIs" dxfId="4970" priority="3004" stopIfTrue="1" operator="equal">
      <formula>"Napkin Hs"</formula>
    </cfRule>
  </conditionalFormatting>
  <conditionalFormatting sqref="C146">
    <cfRule type="cellIs" dxfId="4969" priority="3001" stopIfTrue="1" operator="equal">
      <formula>"Towel"</formula>
    </cfRule>
    <cfRule type="cellIs" dxfId="4968" priority="3002" stopIfTrue="1" operator="equal">
      <formula>"Napkin Hs"</formula>
    </cfRule>
  </conditionalFormatting>
  <conditionalFormatting sqref="C10">
    <cfRule type="cellIs" dxfId="4967" priority="2948" stopIfTrue="1" operator="equal">
      <formula>"Napkin Hs"</formula>
    </cfRule>
  </conditionalFormatting>
  <conditionalFormatting sqref="C10">
    <cfRule type="cellIs" dxfId="4966" priority="2947" stopIfTrue="1" operator="equal">
      <formula>"Napkin Hs"</formula>
    </cfRule>
  </conditionalFormatting>
  <conditionalFormatting sqref="C15">
    <cfRule type="cellIs" dxfId="4965" priority="2934" stopIfTrue="1" operator="equal">
      <formula>"Napkin Hs"</formula>
    </cfRule>
  </conditionalFormatting>
  <conditionalFormatting sqref="C15">
    <cfRule type="cellIs" dxfId="4964" priority="2933" stopIfTrue="1" operator="equal">
      <formula>"Napkin Hs"</formula>
    </cfRule>
  </conditionalFormatting>
  <conditionalFormatting sqref="C25">
    <cfRule type="cellIs" dxfId="4963" priority="2912" stopIfTrue="1" operator="equal">
      <formula>"Napkin Hs"</formula>
    </cfRule>
  </conditionalFormatting>
  <conditionalFormatting sqref="C25">
    <cfRule type="cellIs" dxfId="4962" priority="2911" stopIfTrue="1" operator="equal">
      <formula>"Napkin Hs"</formula>
    </cfRule>
  </conditionalFormatting>
  <conditionalFormatting sqref="B6">
    <cfRule type="cellIs" dxfId="4961" priority="2845" stopIfTrue="1" operator="equal">
      <formula>"Towel"</formula>
    </cfRule>
    <cfRule type="cellIs" dxfId="4960" priority="2846" stopIfTrue="1" operator="equal">
      <formula>"Napkin Hs"</formula>
    </cfRule>
  </conditionalFormatting>
  <conditionalFormatting sqref="C6">
    <cfRule type="cellIs" dxfId="4959" priority="2859" stopIfTrue="1" operator="equal">
      <formula>"Towel"</formula>
    </cfRule>
    <cfRule type="cellIs" dxfId="4958" priority="2860" stopIfTrue="1" operator="equal">
      <formula>"Napkin Hs"</formula>
    </cfRule>
  </conditionalFormatting>
  <conditionalFormatting sqref="C6">
    <cfRule type="cellIs" dxfId="4957" priority="2855" stopIfTrue="1" operator="equal">
      <formula>"Towel"</formula>
    </cfRule>
    <cfRule type="cellIs" dxfId="4956" priority="2856" stopIfTrue="1" operator="equal">
      <formula>"Napkin Hs"</formula>
    </cfRule>
  </conditionalFormatting>
  <conditionalFormatting sqref="B6">
    <cfRule type="cellIs" dxfId="4955" priority="2847" stopIfTrue="1" operator="equal">
      <formula>"Towel"</formula>
    </cfRule>
    <cfRule type="cellIs" dxfId="4954" priority="2848" stopIfTrue="1" operator="equal">
      <formula>"Napkin Hs"</formula>
    </cfRule>
  </conditionalFormatting>
  <conditionalFormatting sqref="C6">
    <cfRule type="cellIs" dxfId="4953" priority="2849" stopIfTrue="1" operator="equal">
      <formula>"Towel"</formula>
    </cfRule>
    <cfRule type="cellIs" dxfId="4952" priority="2850" stopIfTrue="1" operator="equal">
      <formula>"Napkin Hs"</formula>
    </cfRule>
  </conditionalFormatting>
  <conditionalFormatting sqref="C6">
    <cfRule type="cellIs" dxfId="4951" priority="2858" stopIfTrue="1" operator="equal">
      <formula>"Napkin Hs"</formula>
    </cfRule>
  </conditionalFormatting>
  <conditionalFormatting sqref="C6">
    <cfRule type="cellIs" dxfId="4950" priority="2857" stopIfTrue="1" operator="equal">
      <formula>"Towel"</formula>
    </cfRule>
  </conditionalFormatting>
  <conditionalFormatting sqref="C6">
    <cfRule type="cellIs" dxfId="4949" priority="2853" stopIfTrue="1" operator="equal">
      <formula>"Towel"</formula>
    </cfRule>
    <cfRule type="cellIs" dxfId="4948" priority="2854" stopIfTrue="1" operator="equal">
      <formula>"Napkin Hs"</formula>
    </cfRule>
  </conditionalFormatting>
  <conditionalFormatting sqref="C6">
    <cfRule type="cellIs" dxfId="4947" priority="2852" stopIfTrue="1" operator="equal">
      <formula>"Napkin Hs"</formula>
    </cfRule>
  </conditionalFormatting>
  <conditionalFormatting sqref="C6">
    <cfRule type="cellIs" dxfId="4946" priority="2851" stopIfTrue="1" operator="equal">
      <formula>"Towel"</formula>
    </cfRule>
  </conditionalFormatting>
  <conditionalFormatting sqref="B6:C6">
    <cfRule type="cellIs" dxfId="4945" priority="2843" stopIfTrue="1" operator="equal">
      <formula>"Towel"</formula>
    </cfRule>
    <cfRule type="cellIs" dxfId="4944" priority="2844" stopIfTrue="1" operator="equal">
      <formula>"Napkin Hs"</formula>
    </cfRule>
  </conditionalFormatting>
  <conditionalFormatting sqref="C6">
    <cfRule type="cellIs" dxfId="4943" priority="2842" stopIfTrue="1" operator="equal">
      <formula>"Napkin Hs"</formula>
    </cfRule>
  </conditionalFormatting>
  <conditionalFormatting sqref="C6">
    <cfRule type="cellIs" dxfId="4942" priority="2841" stopIfTrue="1" operator="equal">
      <formula>"Towel"</formula>
    </cfRule>
  </conditionalFormatting>
  <conditionalFormatting sqref="C6">
    <cfRule type="cellIs" dxfId="4941" priority="2839" stopIfTrue="1" operator="equal">
      <formula>"Towel"</formula>
    </cfRule>
    <cfRule type="cellIs" dxfId="4940" priority="2840" stopIfTrue="1" operator="equal">
      <formula>"Napkin Hs"</formula>
    </cfRule>
  </conditionalFormatting>
  <conditionalFormatting sqref="B6:C6">
    <cfRule type="cellIs" dxfId="4939" priority="2837" stopIfTrue="1" operator="equal">
      <formula>"Towel"</formula>
    </cfRule>
    <cfRule type="cellIs" dxfId="4938" priority="2838" stopIfTrue="1" operator="equal">
      <formula>"Napkin Hs"</formula>
    </cfRule>
  </conditionalFormatting>
  <conditionalFormatting sqref="C6">
    <cfRule type="cellIs" dxfId="4937" priority="2835" stopIfTrue="1" operator="equal">
      <formula>"Towel"</formula>
    </cfRule>
    <cfRule type="cellIs" dxfId="4936" priority="2836" stopIfTrue="1" operator="equal">
      <formula>"Napkin Hs"</formula>
    </cfRule>
  </conditionalFormatting>
  <conditionalFormatting sqref="C6">
    <cfRule type="cellIs" dxfId="4935" priority="2833" stopIfTrue="1" operator="equal">
      <formula>"Towel"</formula>
    </cfRule>
    <cfRule type="cellIs" dxfId="4934" priority="2834" stopIfTrue="1" operator="equal">
      <formula>"Napkin Hs"</formula>
    </cfRule>
  </conditionalFormatting>
  <conditionalFormatting sqref="C6">
    <cfRule type="cellIs" dxfId="4933" priority="2827" stopIfTrue="1" operator="equal">
      <formula>"Towel"</formula>
    </cfRule>
    <cfRule type="cellIs" dxfId="4932" priority="2828" stopIfTrue="1" operator="equal">
      <formula>"Napkin Hs"</formula>
    </cfRule>
  </conditionalFormatting>
  <conditionalFormatting sqref="B6">
    <cfRule type="cellIs" dxfId="4931" priority="2817" stopIfTrue="1" operator="equal">
      <formula>"Towel"</formula>
    </cfRule>
    <cfRule type="cellIs" dxfId="4930" priority="2818" stopIfTrue="1" operator="equal">
      <formula>"Napkin Hs"</formula>
    </cfRule>
  </conditionalFormatting>
  <conditionalFormatting sqref="C6">
    <cfRule type="cellIs" dxfId="4929" priority="2821" stopIfTrue="1" operator="equal">
      <formula>"Towel"</formula>
    </cfRule>
    <cfRule type="cellIs" dxfId="4928" priority="2822" stopIfTrue="1" operator="equal">
      <formula>"Napkin Hs"</formula>
    </cfRule>
  </conditionalFormatting>
  <conditionalFormatting sqref="C6">
    <cfRule type="cellIs" dxfId="4927" priority="2831" stopIfTrue="1" operator="equal">
      <formula>"Towel"</formula>
    </cfRule>
    <cfRule type="cellIs" dxfId="4926" priority="2832" stopIfTrue="1" operator="equal">
      <formula>"Napkin Hs"</formula>
    </cfRule>
  </conditionalFormatting>
  <conditionalFormatting sqref="B6">
    <cfRule type="cellIs" dxfId="4925" priority="2819" stopIfTrue="1" operator="equal">
      <formula>"Towel"</formula>
    </cfRule>
    <cfRule type="cellIs" dxfId="4924" priority="2820" stopIfTrue="1" operator="equal">
      <formula>"Napkin Hs"</formula>
    </cfRule>
  </conditionalFormatting>
  <conditionalFormatting sqref="C6">
    <cfRule type="cellIs" dxfId="4923" priority="2830" stopIfTrue="1" operator="equal">
      <formula>"Napkin Hs"</formula>
    </cfRule>
  </conditionalFormatting>
  <conditionalFormatting sqref="C6">
    <cfRule type="cellIs" dxfId="4922" priority="2829" stopIfTrue="1" operator="equal">
      <formula>"Towel"</formula>
    </cfRule>
  </conditionalFormatting>
  <conditionalFormatting sqref="C6">
    <cfRule type="cellIs" dxfId="4921" priority="2825" stopIfTrue="1" operator="equal">
      <formula>"Towel"</formula>
    </cfRule>
    <cfRule type="cellIs" dxfId="4920" priority="2826" stopIfTrue="1" operator="equal">
      <formula>"Napkin Hs"</formula>
    </cfRule>
  </conditionalFormatting>
  <conditionalFormatting sqref="C6">
    <cfRule type="cellIs" dxfId="4919" priority="2824" stopIfTrue="1" operator="equal">
      <formula>"Napkin Hs"</formula>
    </cfRule>
  </conditionalFormatting>
  <conditionalFormatting sqref="C6">
    <cfRule type="cellIs" dxfId="4918" priority="2823" stopIfTrue="1" operator="equal">
      <formula>"Towel"</formula>
    </cfRule>
  </conditionalFormatting>
  <conditionalFormatting sqref="C6">
    <cfRule type="cellIs" dxfId="4917" priority="2816" stopIfTrue="1" operator="equal">
      <formula>"Napkin Hs"</formula>
    </cfRule>
  </conditionalFormatting>
  <conditionalFormatting sqref="C6">
    <cfRule type="cellIs" dxfId="4916" priority="2815" stopIfTrue="1" operator="equal">
      <formula>"Napkin Hs"</formula>
    </cfRule>
  </conditionalFormatting>
  <conditionalFormatting sqref="B13:C14">
    <cfRule type="cellIs" dxfId="4915" priority="2813" stopIfTrue="1" operator="equal">
      <formula>"Towel"</formula>
    </cfRule>
    <cfRule type="cellIs" dxfId="4914" priority="2814" stopIfTrue="1" operator="equal">
      <formula>"Napkin Hs"</formula>
    </cfRule>
  </conditionalFormatting>
  <conditionalFormatting sqref="C13:C14">
    <cfRule type="cellIs" dxfId="4913" priority="2812" stopIfTrue="1" operator="equal">
      <formula>"Napkin Hs"</formula>
    </cfRule>
  </conditionalFormatting>
  <conditionalFormatting sqref="C13:C14">
    <cfRule type="cellIs" dxfId="4912" priority="2809" stopIfTrue="1" operator="equal">
      <formula>"Towel"</formula>
    </cfRule>
    <cfRule type="cellIs" dxfId="4911" priority="2810" stopIfTrue="1" operator="equal">
      <formula>"Napkin Hs"</formula>
    </cfRule>
  </conditionalFormatting>
  <conditionalFormatting sqref="C13:C14">
    <cfRule type="cellIs" dxfId="4910" priority="2811" stopIfTrue="1" operator="equal">
      <formula>"Towel"</formula>
    </cfRule>
  </conditionalFormatting>
  <conditionalFormatting sqref="C12">
    <cfRule type="cellIs" dxfId="4909" priority="2807" stopIfTrue="1" operator="equal">
      <formula>"Towel"</formula>
    </cfRule>
    <cfRule type="cellIs" dxfId="4908" priority="2808" stopIfTrue="1" operator="equal">
      <formula>"Napkin Hs"</formula>
    </cfRule>
  </conditionalFormatting>
  <conditionalFormatting sqref="C12">
    <cfRule type="cellIs" dxfId="4907" priority="2803" stopIfTrue="1" operator="equal">
      <formula>"Towel"</formula>
    </cfRule>
    <cfRule type="cellIs" dxfId="4906" priority="2804" stopIfTrue="1" operator="equal">
      <formula>"Napkin Hs"</formula>
    </cfRule>
  </conditionalFormatting>
  <conditionalFormatting sqref="B12">
    <cfRule type="cellIs" dxfId="4905" priority="2793" stopIfTrue="1" operator="equal">
      <formula>"Towel"</formula>
    </cfRule>
    <cfRule type="cellIs" dxfId="4904" priority="2794" stopIfTrue="1" operator="equal">
      <formula>"Napkin Hs"</formula>
    </cfRule>
  </conditionalFormatting>
  <conditionalFormatting sqref="B12">
    <cfRule type="cellIs" dxfId="4903" priority="2795" stopIfTrue="1" operator="equal">
      <formula>"Towel"</formula>
    </cfRule>
    <cfRule type="cellIs" dxfId="4902" priority="2796" stopIfTrue="1" operator="equal">
      <formula>"Napkin Hs"</formula>
    </cfRule>
  </conditionalFormatting>
  <conditionalFormatting sqref="C12">
    <cfRule type="cellIs" dxfId="4901" priority="2797" stopIfTrue="1" operator="equal">
      <formula>"Towel"</formula>
    </cfRule>
    <cfRule type="cellIs" dxfId="4900" priority="2798" stopIfTrue="1" operator="equal">
      <formula>"Napkin Hs"</formula>
    </cfRule>
  </conditionalFormatting>
  <conditionalFormatting sqref="C12">
    <cfRule type="cellIs" dxfId="4899" priority="2806" stopIfTrue="1" operator="equal">
      <formula>"Napkin Hs"</formula>
    </cfRule>
  </conditionalFormatting>
  <conditionalFormatting sqref="C12">
    <cfRule type="cellIs" dxfId="4898" priority="2805" stopIfTrue="1" operator="equal">
      <formula>"Towel"</formula>
    </cfRule>
  </conditionalFormatting>
  <conditionalFormatting sqref="C12">
    <cfRule type="cellIs" dxfId="4897" priority="2801" stopIfTrue="1" operator="equal">
      <formula>"Towel"</formula>
    </cfRule>
    <cfRule type="cellIs" dxfId="4896" priority="2802" stopIfTrue="1" operator="equal">
      <formula>"Napkin Hs"</formula>
    </cfRule>
  </conditionalFormatting>
  <conditionalFormatting sqref="C12">
    <cfRule type="cellIs" dxfId="4895" priority="2800" stopIfTrue="1" operator="equal">
      <formula>"Napkin Hs"</formula>
    </cfRule>
  </conditionalFormatting>
  <conditionalFormatting sqref="C12">
    <cfRule type="cellIs" dxfId="4894" priority="2799" stopIfTrue="1" operator="equal">
      <formula>"Towel"</formula>
    </cfRule>
  </conditionalFormatting>
  <conditionalFormatting sqref="B11">
    <cfRule type="cellIs" dxfId="4893" priority="2777" stopIfTrue="1" operator="equal">
      <formula>"Towel"</formula>
    </cfRule>
    <cfRule type="cellIs" dxfId="4892" priority="2778" stopIfTrue="1" operator="equal">
      <formula>"Napkin Hs"</formula>
    </cfRule>
  </conditionalFormatting>
  <conditionalFormatting sqref="C11">
    <cfRule type="cellIs" dxfId="4891" priority="2791" stopIfTrue="1" operator="equal">
      <formula>"Towel"</formula>
    </cfRule>
    <cfRule type="cellIs" dxfId="4890" priority="2792" stopIfTrue="1" operator="equal">
      <formula>"Napkin Hs"</formula>
    </cfRule>
  </conditionalFormatting>
  <conditionalFormatting sqref="C11">
    <cfRule type="cellIs" dxfId="4889" priority="2787" stopIfTrue="1" operator="equal">
      <formula>"Towel"</formula>
    </cfRule>
    <cfRule type="cellIs" dxfId="4888" priority="2788" stopIfTrue="1" operator="equal">
      <formula>"Napkin Hs"</formula>
    </cfRule>
  </conditionalFormatting>
  <conditionalFormatting sqref="B11">
    <cfRule type="cellIs" dxfId="4887" priority="2779" stopIfTrue="1" operator="equal">
      <formula>"Towel"</formula>
    </cfRule>
    <cfRule type="cellIs" dxfId="4886" priority="2780" stopIfTrue="1" operator="equal">
      <formula>"Napkin Hs"</formula>
    </cfRule>
  </conditionalFormatting>
  <conditionalFormatting sqref="C11">
    <cfRule type="cellIs" dxfId="4885" priority="2781" stopIfTrue="1" operator="equal">
      <formula>"Towel"</formula>
    </cfRule>
    <cfRule type="cellIs" dxfId="4884" priority="2782" stopIfTrue="1" operator="equal">
      <formula>"Napkin Hs"</formula>
    </cfRule>
  </conditionalFormatting>
  <conditionalFormatting sqref="C11">
    <cfRule type="cellIs" dxfId="4883" priority="2790" stopIfTrue="1" operator="equal">
      <formula>"Napkin Hs"</formula>
    </cfRule>
  </conditionalFormatting>
  <conditionalFormatting sqref="C11">
    <cfRule type="cellIs" dxfId="4882" priority="2789" stopIfTrue="1" operator="equal">
      <formula>"Towel"</formula>
    </cfRule>
  </conditionalFormatting>
  <conditionalFormatting sqref="C11">
    <cfRule type="cellIs" dxfId="4881" priority="2785" stopIfTrue="1" operator="equal">
      <formula>"Towel"</formula>
    </cfRule>
    <cfRule type="cellIs" dxfId="4880" priority="2786" stopIfTrue="1" operator="equal">
      <formula>"Napkin Hs"</formula>
    </cfRule>
  </conditionalFormatting>
  <conditionalFormatting sqref="C11">
    <cfRule type="cellIs" dxfId="4879" priority="2784" stopIfTrue="1" operator="equal">
      <formula>"Napkin Hs"</formula>
    </cfRule>
  </conditionalFormatting>
  <conditionalFormatting sqref="C11">
    <cfRule type="cellIs" dxfId="4878" priority="2783" stopIfTrue="1" operator="equal">
      <formula>"Towel"</formula>
    </cfRule>
  </conditionalFormatting>
  <conditionalFormatting sqref="B11:C11">
    <cfRule type="cellIs" dxfId="4877" priority="2775" stopIfTrue="1" operator="equal">
      <formula>"Towel"</formula>
    </cfRule>
    <cfRule type="cellIs" dxfId="4876" priority="2776" stopIfTrue="1" operator="equal">
      <formula>"Napkin Hs"</formula>
    </cfRule>
  </conditionalFormatting>
  <conditionalFormatting sqref="C11">
    <cfRule type="cellIs" dxfId="4875" priority="2774" stopIfTrue="1" operator="equal">
      <formula>"Napkin Hs"</formula>
    </cfRule>
  </conditionalFormatting>
  <conditionalFormatting sqref="C11">
    <cfRule type="cellIs" dxfId="4874" priority="2773" stopIfTrue="1" operator="equal">
      <formula>"Towel"</formula>
    </cfRule>
  </conditionalFormatting>
  <conditionalFormatting sqref="C11">
    <cfRule type="cellIs" dxfId="4873" priority="2771" stopIfTrue="1" operator="equal">
      <formula>"Towel"</formula>
    </cfRule>
    <cfRule type="cellIs" dxfId="4872" priority="2772" stopIfTrue="1" operator="equal">
      <formula>"Napkin Hs"</formula>
    </cfRule>
  </conditionalFormatting>
  <conditionalFormatting sqref="B11:C11">
    <cfRule type="cellIs" dxfId="4871" priority="2769" stopIfTrue="1" operator="equal">
      <formula>"Towel"</formula>
    </cfRule>
    <cfRule type="cellIs" dxfId="4870" priority="2770" stopIfTrue="1" operator="equal">
      <formula>"Napkin Hs"</formula>
    </cfRule>
  </conditionalFormatting>
  <conditionalFormatting sqref="C11">
    <cfRule type="cellIs" dxfId="4869" priority="2767" stopIfTrue="1" operator="equal">
      <formula>"Towel"</formula>
    </cfRule>
    <cfRule type="cellIs" dxfId="4868" priority="2768" stopIfTrue="1" operator="equal">
      <formula>"Napkin Hs"</formula>
    </cfRule>
  </conditionalFormatting>
  <conditionalFormatting sqref="C11">
    <cfRule type="cellIs" dxfId="4867" priority="2765" stopIfTrue="1" operator="equal">
      <formula>"Towel"</formula>
    </cfRule>
    <cfRule type="cellIs" dxfId="4866" priority="2766" stopIfTrue="1" operator="equal">
      <formula>"Napkin Hs"</formula>
    </cfRule>
  </conditionalFormatting>
  <conditionalFormatting sqref="C11">
    <cfRule type="cellIs" dxfId="4865" priority="2759" stopIfTrue="1" operator="equal">
      <formula>"Towel"</formula>
    </cfRule>
    <cfRule type="cellIs" dxfId="4864" priority="2760" stopIfTrue="1" operator="equal">
      <formula>"Napkin Hs"</formula>
    </cfRule>
  </conditionalFormatting>
  <conditionalFormatting sqref="B11">
    <cfRule type="cellIs" dxfId="4863" priority="2749" stopIfTrue="1" operator="equal">
      <formula>"Towel"</formula>
    </cfRule>
    <cfRule type="cellIs" dxfId="4862" priority="2750" stopIfTrue="1" operator="equal">
      <formula>"Napkin Hs"</formula>
    </cfRule>
  </conditionalFormatting>
  <conditionalFormatting sqref="C11">
    <cfRule type="cellIs" dxfId="4861" priority="2753" stopIfTrue="1" operator="equal">
      <formula>"Towel"</formula>
    </cfRule>
    <cfRule type="cellIs" dxfId="4860" priority="2754" stopIfTrue="1" operator="equal">
      <formula>"Napkin Hs"</formula>
    </cfRule>
  </conditionalFormatting>
  <conditionalFormatting sqref="C11">
    <cfRule type="cellIs" dxfId="4859" priority="2763" stopIfTrue="1" operator="equal">
      <formula>"Towel"</formula>
    </cfRule>
    <cfRule type="cellIs" dxfId="4858" priority="2764" stopIfTrue="1" operator="equal">
      <formula>"Napkin Hs"</formula>
    </cfRule>
  </conditionalFormatting>
  <conditionalFormatting sqref="B11">
    <cfRule type="cellIs" dxfId="4857" priority="2751" stopIfTrue="1" operator="equal">
      <formula>"Towel"</formula>
    </cfRule>
    <cfRule type="cellIs" dxfId="4856" priority="2752" stopIfTrue="1" operator="equal">
      <formula>"Napkin Hs"</formula>
    </cfRule>
  </conditionalFormatting>
  <conditionalFormatting sqref="C11">
    <cfRule type="cellIs" dxfId="4855" priority="2762" stopIfTrue="1" operator="equal">
      <formula>"Napkin Hs"</formula>
    </cfRule>
  </conditionalFormatting>
  <conditionalFormatting sqref="C11">
    <cfRule type="cellIs" dxfId="4854" priority="2761" stopIfTrue="1" operator="equal">
      <formula>"Towel"</formula>
    </cfRule>
  </conditionalFormatting>
  <conditionalFormatting sqref="C11">
    <cfRule type="cellIs" dxfId="4853" priority="2757" stopIfTrue="1" operator="equal">
      <formula>"Towel"</formula>
    </cfRule>
    <cfRule type="cellIs" dxfId="4852" priority="2758" stopIfTrue="1" operator="equal">
      <formula>"Napkin Hs"</formula>
    </cfRule>
  </conditionalFormatting>
  <conditionalFormatting sqref="C11">
    <cfRule type="cellIs" dxfId="4851" priority="2756" stopIfTrue="1" operator="equal">
      <formula>"Napkin Hs"</formula>
    </cfRule>
  </conditionalFormatting>
  <conditionalFormatting sqref="C11">
    <cfRule type="cellIs" dxfId="4850" priority="2755" stopIfTrue="1" operator="equal">
      <formula>"Towel"</formula>
    </cfRule>
  </conditionalFormatting>
  <conditionalFormatting sqref="C11">
    <cfRule type="cellIs" dxfId="4849" priority="2748" stopIfTrue="1" operator="equal">
      <formula>"Napkin Hs"</formula>
    </cfRule>
  </conditionalFormatting>
  <conditionalFormatting sqref="C11">
    <cfRule type="cellIs" dxfId="4848" priority="2747" stopIfTrue="1" operator="equal">
      <formula>"Napkin Hs"</formula>
    </cfRule>
  </conditionalFormatting>
  <conditionalFormatting sqref="B18:C19">
    <cfRule type="cellIs" dxfId="4847" priority="2745" stopIfTrue="1" operator="equal">
      <formula>"Towel"</formula>
    </cfRule>
    <cfRule type="cellIs" dxfId="4846" priority="2746" stopIfTrue="1" operator="equal">
      <formula>"Napkin Hs"</formula>
    </cfRule>
  </conditionalFormatting>
  <conditionalFormatting sqref="C18:C19">
    <cfRule type="cellIs" dxfId="4845" priority="2744" stopIfTrue="1" operator="equal">
      <formula>"Napkin Hs"</formula>
    </cfRule>
  </conditionalFormatting>
  <conditionalFormatting sqref="C18:C19">
    <cfRule type="cellIs" dxfId="4844" priority="2741" stopIfTrue="1" operator="equal">
      <formula>"Towel"</formula>
    </cfRule>
    <cfRule type="cellIs" dxfId="4843" priority="2742" stopIfTrue="1" operator="equal">
      <formula>"Napkin Hs"</formula>
    </cfRule>
  </conditionalFormatting>
  <conditionalFormatting sqref="C18:C19">
    <cfRule type="cellIs" dxfId="4842" priority="2743" stopIfTrue="1" operator="equal">
      <formula>"Towel"</formula>
    </cfRule>
  </conditionalFormatting>
  <conditionalFormatting sqref="C17">
    <cfRule type="cellIs" dxfId="4841" priority="2739" stopIfTrue="1" operator="equal">
      <formula>"Towel"</formula>
    </cfRule>
    <cfRule type="cellIs" dxfId="4840" priority="2740" stopIfTrue="1" operator="equal">
      <formula>"Napkin Hs"</formula>
    </cfRule>
  </conditionalFormatting>
  <conditionalFormatting sqref="C17">
    <cfRule type="cellIs" dxfId="4839" priority="2735" stopIfTrue="1" operator="equal">
      <formula>"Towel"</formula>
    </cfRule>
    <cfRule type="cellIs" dxfId="4838" priority="2736" stopIfTrue="1" operator="equal">
      <formula>"Napkin Hs"</formula>
    </cfRule>
  </conditionalFormatting>
  <conditionalFormatting sqref="B17">
    <cfRule type="cellIs" dxfId="4837" priority="2725" stopIfTrue="1" operator="equal">
      <formula>"Towel"</formula>
    </cfRule>
    <cfRule type="cellIs" dxfId="4836" priority="2726" stopIfTrue="1" operator="equal">
      <formula>"Napkin Hs"</formula>
    </cfRule>
  </conditionalFormatting>
  <conditionalFormatting sqref="B17">
    <cfRule type="cellIs" dxfId="4835" priority="2727" stopIfTrue="1" operator="equal">
      <formula>"Towel"</formula>
    </cfRule>
    <cfRule type="cellIs" dxfId="4834" priority="2728" stopIfTrue="1" operator="equal">
      <formula>"Napkin Hs"</formula>
    </cfRule>
  </conditionalFormatting>
  <conditionalFormatting sqref="C17">
    <cfRule type="cellIs" dxfId="4833" priority="2729" stopIfTrue="1" operator="equal">
      <formula>"Towel"</formula>
    </cfRule>
    <cfRule type="cellIs" dxfId="4832" priority="2730" stopIfTrue="1" operator="equal">
      <formula>"Napkin Hs"</formula>
    </cfRule>
  </conditionalFormatting>
  <conditionalFormatting sqref="C17">
    <cfRule type="cellIs" dxfId="4831" priority="2738" stopIfTrue="1" operator="equal">
      <formula>"Napkin Hs"</formula>
    </cfRule>
  </conditionalFormatting>
  <conditionalFormatting sqref="C17">
    <cfRule type="cellIs" dxfId="4830" priority="2737" stopIfTrue="1" operator="equal">
      <formula>"Towel"</formula>
    </cfRule>
  </conditionalFormatting>
  <conditionalFormatting sqref="C17">
    <cfRule type="cellIs" dxfId="4829" priority="2733" stopIfTrue="1" operator="equal">
      <formula>"Towel"</formula>
    </cfRule>
    <cfRule type="cellIs" dxfId="4828" priority="2734" stopIfTrue="1" operator="equal">
      <formula>"Napkin Hs"</formula>
    </cfRule>
  </conditionalFormatting>
  <conditionalFormatting sqref="C17">
    <cfRule type="cellIs" dxfId="4827" priority="2732" stopIfTrue="1" operator="equal">
      <formula>"Napkin Hs"</formula>
    </cfRule>
  </conditionalFormatting>
  <conditionalFormatting sqref="C17">
    <cfRule type="cellIs" dxfId="4826" priority="2731" stopIfTrue="1" operator="equal">
      <formula>"Towel"</formula>
    </cfRule>
  </conditionalFormatting>
  <conditionalFormatting sqref="B16">
    <cfRule type="cellIs" dxfId="4825" priority="2709" stopIfTrue="1" operator="equal">
      <formula>"Towel"</formula>
    </cfRule>
    <cfRule type="cellIs" dxfId="4824" priority="2710" stopIfTrue="1" operator="equal">
      <formula>"Napkin Hs"</formula>
    </cfRule>
  </conditionalFormatting>
  <conditionalFormatting sqref="C16">
    <cfRule type="cellIs" dxfId="4823" priority="2723" stopIfTrue="1" operator="equal">
      <formula>"Towel"</formula>
    </cfRule>
    <cfRule type="cellIs" dxfId="4822" priority="2724" stopIfTrue="1" operator="equal">
      <formula>"Napkin Hs"</formula>
    </cfRule>
  </conditionalFormatting>
  <conditionalFormatting sqref="C16">
    <cfRule type="cellIs" dxfId="4821" priority="2719" stopIfTrue="1" operator="equal">
      <formula>"Towel"</formula>
    </cfRule>
    <cfRule type="cellIs" dxfId="4820" priority="2720" stopIfTrue="1" operator="equal">
      <formula>"Napkin Hs"</formula>
    </cfRule>
  </conditionalFormatting>
  <conditionalFormatting sqref="B16">
    <cfRule type="cellIs" dxfId="4819" priority="2711" stopIfTrue="1" operator="equal">
      <formula>"Towel"</formula>
    </cfRule>
    <cfRule type="cellIs" dxfId="4818" priority="2712" stopIfTrue="1" operator="equal">
      <formula>"Napkin Hs"</formula>
    </cfRule>
  </conditionalFormatting>
  <conditionalFormatting sqref="C16">
    <cfRule type="cellIs" dxfId="4817" priority="2713" stopIfTrue="1" operator="equal">
      <formula>"Towel"</formula>
    </cfRule>
    <cfRule type="cellIs" dxfId="4816" priority="2714" stopIfTrue="1" operator="equal">
      <formula>"Napkin Hs"</formula>
    </cfRule>
  </conditionalFormatting>
  <conditionalFormatting sqref="C16">
    <cfRule type="cellIs" dxfId="4815" priority="2722" stopIfTrue="1" operator="equal">
      <formula>"Napkin Hs"</formula>
    </cfRule>
  </conditionalFormatting>
  <conditionalFormatting sqref="C16">
    <cfRule type="cellIs" dxfId="4814" priority="2721" stopIfTrue="1" operator="equal">
      <formula>"Towel"</formula>
    </cfRule>
  </conditionalFormatting>
  <conditionalFormatting sqref="C16">
    <cfRule type="cellIs" dxfId="4813" priority="2717" stopIfTrue="1" operator="equal">
      <formula>"Towel"</formula>
    </cfRule>
    <cfRule type="cellIs" dxfId="4812" priority="2718" stopIfTrue="1" operator="equal">
      <formula>"Napkin Hs"</formula>
    </cfRule>
  </conditionalFormatting>
  <conditionalFormatting sqref="C16">
    <cfRule type="cellIs" dxfId="4811" priority="2716" stopIfTrue="1" operator="equal">
      <formula>"Napkin Hs"</formula>
    </cfRule>
  </conditionalFormatting>
  <conditionalFormatting sqref="C16">
    <cfRule type="cellIs" dxfId="4810" priority="2715" stopIfTrue="1" operator="equal">
      <formula>"Towel"</formula>
    </cfRule>
  </conditionalFormatting>
  <conditionalFormatting sqref="B16:C16">
    <cfRule type="cellIs" dxfId="4809" priority="2707" stopIfTrue="1" operator="equal">
      <formula>"Towel"</formula>
    </cfRule>
    <cfRule type="cellIs" dxfId="4808" priority="2708" stopIfTrue="1" operator="equal">
      <formula>"Napkin Hs"</formula>
    </cfRule>
  </conditionalFormatting>
  <conditionalFormatting sqref="C16">
    <cfRule type="cellIs" dxfId="4807" priority="2706" stopIfTrue="1" operator="equal">
      <formula>"Napkin Hs"</formula>
    </cfRule>
  </conditionalFormatting>
  <conditionalFormatting sqref="C16">
    <cfRule type="cellIs" dxfId="4806" priority="2705" stopIfTrue="1" operator="equal">
      <formula>"Towel"</formula>
    </cfRule>
  </conditionalFormatting>
  <conditionalFormatting sqref="C16">
    <cfRule type="cellIs" dxfId="4805" priority="2703" stopIfTrue="1" operator="equal">
      <formula>"Towel"</formula>
    </cfRule>
    <cfRule type="cellIs" dxfId="4804" priority="2704" stopIfTrue="1" operator="equal">
      <formula>"Napkin Hs"</formula>
    </cfRule>
  </conditionalFormatting>
  <conditionalFormatting sqref="B16:C16">
    <cfRule type="cellIs" dxfId="4803" priority="2701" stopIfTrue="1" operator="equal">
      <formula>"Towel"</formula>
    </cfRule>
    <cfRule type="cellIs" dxfId="4802" priority="2702" stopIfTrue="1" operator="equal">
      <formula>"Napkin Hs"</formula>
    </cfRule>
  </conditionalFormatting>
  <conditionalFormatting sqref="C16">
    <cfRule type="cellIs" dxfId="4801" priority="2699" stopIfTrue="1" operator="equal">
      <formula>"Towel"</formula>
    </cfRule>
    <cfRule type="cellIs" dxfId="4800" priority="2700" stopIfTrue="1" operator="equal">
      <formula>"Napkin Hs"</formula>
    </cfRule>
  </conditionalFormatting>
  <conditionalFormatting sqref="C16">
    <cfRule type="cellIs" dxfId="4799" priority="2697" stopIfTrue="1" operator="equal">
      <formula>"Towel"</formula>
    </cfRule>
    <cfRule type="cellIs" dxfId="4798" priority="2698" stopIfTrue="1" operator="equal">
      <formula>"Napkin Hs"</formula>
    </cfRule>
  </conditionalFormatting>
  <conditionalFormatting sqref="C16">
    <cfRule type="cellIs" dxfId="4797" priority="2691" stopIfTrue="1" operator="equal">
      <formula>"Towel"</formula>
    </cfRule>
    <cfRule type="cellIs" dxfId="4796" priority="2692" stopIfTrue="1" operator="equal">
      <formula>"Napkin Hs"</formula>
    </cfRule>
  </conditionalFormatting>
  <conditionalFormatting sqref="B16">
    <cfRule type="cellIs" dxfId="4795" priority="2681" stopIfTrue="1" operator="equal">
      <formula>"Towel"</formula>
    </cfRule>
    <cfRule type="cellIs" dxfId="4794" priority="2682" stopIfTrue="1" operator="equal">
      <formula>"Napkin Hs"</formula>
    </cfRule>
  </conditionalFormatting>
  <conditionalFormatting sqref="C16">
    <cfRule type="cellIs" dxfId="4793" priority="2685" stopIfTrue="1" operator="equal">
      <formula>"Towel"</formula>
    </cfRule>
    <cfRule type="cellIs" dxfId="4792" priority="2686" stopIfTrue="1" operator="equal">
      <formula>"Napkin Hs"</formula>
    </cfRule>
  </conditionalFormatting>
  <conditionalFormatting sqref="C16">
    <cfRule type="cellIs" dxfId="4791" priority="2695" stopIfTrue="1" operator="equal">
      <formula>"Towel"</formula>
    </cfRule>
    <cfRule type="cellIs" dxfId="4790" priority="2696" stopIfTrue="1" operator="equal">
      <formula>"Napkin Hs"</formula>
    </cfRule>
  </conditionalFormatting>
  <conditionalFormatting sqref="B16">
    <cfRule type="cellIs" dxfId="4789" priority="2683" stopIfTrue="1" operator="equal">
      <formula>"Towel"</formula>
    </cfRule>
    <cfRule type="cellIs" dxfId="4788" priority="2684" stopIfTrue="1" operator="equal">
      <formula>"Napkin Hs"</formula>
    </cfRule>
  </conditionalFormatting>
  <conditionalFormatting sqref="C16">
    <cfRule type="cellIs" dxfId="4787" priority="2694" stopIfTrue="1" operator="equal">
      <formula>"Napkin Hs"</formula>
    </cfRule>
  </conditionalFormatting>
  <conditionalFormatting sqref="C16">
    <cfRule type="cellIs" dxfId="4786" priority="2693" stopIfTrue="1" operator="equal">
      <formula>"Towel"</formula>
    </cfRule>
  </conditionalFormatting>
  <conditionalFormatting sqref="C16">
    <cfRule type="cellIs" dxfId="4785" priority="2689" stopIfTrue="1" operator="equal">
      <formula>"Towel"</formula>
    </cfRule>
    <cfRule type="cellIs" dxfId="4784" priority="2690" stopIfTrue="1" operator="equal">
      <formula>"Napkin Hs"</formula>
    </cfRule>
  </conditionalFormatting>
  <conditionalFormatting sqref="C16">
    <cfRule type="cellIs" dxfId="4783" priority="2688" stopIfTrue="1" operator="equal">
      <formula>"Napkin Hs"</formula>
    </cfRule>
  </conditionalFormatting>
  <conditionalFormatting sqref="C16">
    <cfRule type="cellIs" dxfId="4782" priority="2687" stopIfTrue="1" operator="equal">
      <formula>"Towel"</formula>
    </cfRule>
  </conditionalFormatting>
  <conditionalFormatting sqref="C16">
    <cfRule type="cellIs" dxfId="4781" priority="2680" stopIfTrue="1" operator="equal">
      <formula>"Napkin Hs"</formula>
    </cfRule>
  </conditionalFormatting>
  <conditionalFormatting sqref="C16">
    <cfRule type="cellIs" dxfId="4780" priority="2679" stopIfTrue="1" operator="equal">
      <formula>"Napkin Hs"</formula>
    </cfRule>
  </conditionalFormatting>
  <conditionalFormatting sqref="B23:C24">
    <cfRule type="cellIs" dxfId="4779" priority="2677" stopIfTrue="1" operator="equal">
      <formula>"Towel"</formula>
    </cfRule>
    <cfRule type="cellIs" dxfId="4778" priority="2678" stopIfTrue="1" operator="equal">
      <formula>"Napkin Hs"</formula>
    </cfRule>
  </conditionalFormatting>
  <conditionalFormatting sqref="C23:C24">
    <cfRule type="cellIs" dxfId="4777" priority="2676" stopIfTrue="1" operator="equal">
      <formula>"Napkin Hs"</formula>
    </cfRule>
  </conditionalFormatting>
  <conditionalFormatting sqref="C23:C24">
    <cfRule type="cellIs" dxfId="4776" priority="2673" stopIfTrue="1" operator="equal">
      <formula>"Towel"</formula>
    </cfRule>
    <cfRule type="cellIs" dxfId="4775" priority="2674" stopIfTrue="1" operator="equal">
      <formula>"Napkin Hs"</formula>
    </cfRule>
  </conditionalFormatting>
  <conditionalFormatting sqref="C23:C24">
    <cfRule type="cellIs" dxfId="4774" priority="2675" stopIfTrue="1" operator="equal">
      <formula>"Towel"</formula>
    </cfRule>
  </conditionalFormatting>
  <conditionalFormatting sqref="C22">
    <cfRule type="cellIs" dxfId="4773" priority="2671" stopIfTrue="1" operator="equal">
      <formula>"Towel"</formula>
    </cfRule>
    <cfRule type="cellIs" dxfId="4772" priority="2672" stopIfTrue="1" operator="equal">
      <formula>"Napkin Hs"</formula>
    </cfRule>
  </conditionalFormatting>
  <conditionalFormatting sqref="C22">
    <cfRule type="cellIs" dxfId="4771" priority="2667" stopIfTrue="1" operator="equal">
      <formula>"Towel"</formula>
    </cfRule>
    <cfRule type="cellIs" dxfId="4770" priority="2668" stopIfTrue="1" operator="equal">
      <formula>"Napkin Hs"</formula>
    </cfRule>
  </conditionalFormatting>
  <conditionalFormatting sqref="B22">
    <cfRule type="cellIs" dxfId="4769" priority="2657" stopIfTrue="1" operator="equal">
      <formula>"Towel"</formula>
    </cfRule>
    <cfRule type="cellIs" dxfId="4768" priority="2658" stopIfTrue="1" operator="equal">
      <formula>"Napkin Hs"</formula>
    </cfRule>
  </conditionalFormatting>
  <conditionalFormatting sqref="B22">
    <cfRule type="cellIs" dxfId="4767" priority="2659" stopIfTrue="1" operator="equal">
      <formula>"Towel"</formula>
    </cfRule>
    <cfRule type="cellIs" dxfId="4766" priority="2660" stopIfTrue="1" operator="equal">
      <formula>"Napkin Hs"</formula>
    </cfRule>
  </conditionalFormatting>
  <conditionalFormatting sqref="C22">
    <cfRule type="cellIs" dxfId="4765" priority="2661" stopIfTrue="1" operator="equal">
      <formula>"Towel"</formula>
    </cfRule>
    <cfRule type="cellIs" dxfId="4764" priority="2662" stopIfTrue="1" operator="equal">
      <formula>"Napkin Hs"</formula>
    </cfRule>
  </conditionalFormatting>
  <conditionalFormatting sqref="C22">
    <cfRule type="cellIs" dxfId="4763" priority="2670" stopIfTrue="1" operator="equal">
      <formula>"Napkin Hs"</formula>
    </cfRule>
  </conditionalFormatting>
  <conditionalFormatting sqref="C22">
    <cfRule type="cellIs" dxfId="4762" priority="2669" stopIfTrue="1" operator="equal">
      <formula>"Towel"</formula>
    </cfRule>
  </conditionalFormatting>
  <conditionalFormatting sqref="C22">
    <cfRule type="cellIs" dxfId="4761" priority="2665" stopIfTrue="1" operator="equal">
      <formula>"Towel"</formula>
    </cfRule>
    <cfRule type="cellIs" dxfId="4760" priority="2666" stopIfTrue="1" operator="equal">
      <formula>"Napkin Hs"</formula>
    </cfRule>
  </conditionalFormatting>
  <conditionalFormatting sqref="C22">
    <cfRule type="cellIs" dxfId="4759" priority="2664" stopIfTrue="1" operator="equal">
      <formula>"Napkin Hs"</formula>
    </cfRule>
  </conditionalFormatting>
  <conditionalFormatting sqref="C22">
    <cfRule type="cellIs" dxfId="4758" priority="2663" stopIfTrue="1" operator="equal">
      <formula>"Towel"</formula>
    </cfRule>
  </conditionalFormatting>
  <conditionalFormatting sqref="B21">
    <cfRule type="cellIs" dxfId="4757" priority="2641" stopIfTrue="1" operator="equal">
      <formula>"Towel"</formula>
    </cfRule>
    <cfRule type="cellIs" dxfId="4756" priority="2642" stopIfTrue="1" operator="equal">
      <formula>"Napkin Hs"</formula>
    </cfRule>
  </conditionalFormatting>
  <conditionalFormatting sqref="C21">
    <cfRule type="cellIs" dxfId="4755" priority="2655" stopIfTrue="1" operator="equal">
      <formula>"Towel"</formula>
    </cfRule>
    <cfRule type="cellIs" dxfId="4754" priority="2656" stopIfTrue="1" operator="equal">
      <formula>"Napkin Hs"</formula>
    </cfRule>
  </conditionalFormatting>
  <conditionalFormatting sqref="C21">
    <cfRule type="cellIs" dxfId="4753" priority="2651" stopIfTrue="1" operator="equal">
      <formula>"Towel"</formula>
    </cfRule>
    <cfRule type="cellIs" dxfId="4752" priority="2652" stopIfTrue="1" operator="equal">
      <formula>"Napkin Hs"</formula>
    </cfRule>
  </conditionalFormatting>
  <conditionalFormatting sqref="B21">
    <cfRule type="cellIs" dxfId="4751" priority="2643" stopIfTrue="1" operator="equal">
      <formula>"Towel"</formula>
    </cfRule>
    <cfRule type="cellIs" dxfId="4750" priority="2644" stopIfTrue="1" operator="equal">
      <formula>"Napkin Hs"</formula>
    </cfRule>
  </conditionalFormatting>
  <conditionalFormatting sqref="C21">
    <cfRule type="cellIs" dxfId="4749" priority="2645" stopIfTrue="1" operator="equal">
      <formula>"Towel"</formula>
    </cfRule>
    <cfRule type="cellIs" dxfId="4748" priority="2646" stopIfTrue="1" operator="equal">
      <formula>"Napkin Hs"</formula>
    </cfRule>
  </conditionalFormatting>
  <conditionalFormatting sqref="C21">
    <cfRule type="cellIs" dxfId="4747" priority="2654" stopIfTrue="1" operator="equal">
      <formula>"Napkin Hs"</formula>
    </cfRule>
  </conditionalFormatting>
  <conditionalFormatting sqref="C21">
    <cfRule type="cellIs" dxfId="4746" priority="2653" stopIfTrue="1" operator="equal">
      <formula>"Towel"</formula>
    </cfRule>
  </conditionalFormatting>
  <conditionalFormatting sqref="C21">
    <cfRule type="cellIs" dxfId="4745" priority="2649" stopIfTrue="1" operator="equal">
      <formula>"Towel"</formula>
    </cfRule>
    <cfRule type="cellIs" dxfId="4744" priority="2650" stopIfTrue="1" operator="equal">
      <formula>"Napkin Hs"</formula>
    </cfRule>
  </conditionalFormatting>
  <conditionalFormatting sqref="C21">
    <cfRule type="cellIs" dxfId="4743" priority="2648" stopIfTrue="1" operator="equal">
      <formula>"Napkin Hs"</formula>
    </cfRule>
  </conditionalFormatting>
  <conditionalFormatting sqref="C21">
    <cfRule type="cellIs" dxfId="4742" priority="2647" stopIfTrue="1" operator="equal">
      <formula>"Towel"</formula>
    </cfRule>
  </conditionalFormatting>
  <conditionalFormatting sqref="B21:C21">
    <cfRule type="cellIs" dxfId="4741" priority="2639" stopIfTrue="1" operator="equal">
      <formula>"Towel"</formula>
    </cfRule>
    <cfRule type="cellIs" dxfId="4740" priority="2640" stopIfTrue="1" operator="equal">
      <formula>"Napkin Hs"</formula>
    </cfRule>
  </conditionalFormatting>
  <conditionalFormatting sqref="C21">
    <cfRule type="cellIs" dxfId="4739" priority="2638" stopIfTrue="1" operator="equal">
      <formula>"Napkin Hs"</formula>
    </cfRule>
  </conditionalFormatting>
  <conditionalFormatting sqref="C21">
    <cfRule type="cellIs" dxfId="4738" priority="2637" stopIfTrue="1" operator="equal">
      <formula>"Towel"</formula>
    </cfRule>
  </conditionalFormatting>
  <conditionalFormatting sqref="C21">
    <cfRule type="cellIs" dxfId="4737" priority="2635" stopIfTrue="1" operator="equal">
      <formula>"Towel"</formula>
    </cfRule>
    <cfRule type="cellIs" dxfId="4736" priority="2636" stopIfTrue="1" operator="equal">
      <formula>"Napkin Hs"</formula>
    </cfRule>
  </conditionalFormatting>
  <conditionalFormatting sqref="B21:C21">
    <cfRule type="cellIs" dxfId="4735" priority="2633" stopIfTrue="1" operator="equal">
      <formula>"Towel"</formula>
    </cfRule>
    <cfRule type="cellIs" dxfId="4734" priority="2634" stopIfTrue="1" operator="equal">
      <formula>"Napkin Hs"</formula>
    </cfRule>
  </conditionalFormatting>
  <conditionalFormatting sqref="C21">
    <cfRule type="cellIs" dxfId="4733" priority="2631" stopIfTrue="1" operator="equal">
      <formula>"Towel"</formula>
    </cfRule>
    <cfRule type="cellIs" dxfId="4732" priority="2632" stopIfTrue="1" operator="equal">
      <formula>"Napkin Hs"</formula>
    </cfRule>
  </conditionalFormatting>
  <conditionalFormatting sqref="C21">
    <cfRule type="cellIs" dxfId="4731" priority="2629" stopIfTrue="1" operator="equal">
      <formula>"Towel"</formula>
    </cfRule>
    <cfRule type="cellIs" dxfId="4730" priority="2630" stopIfTrue="1" operator="equal">
      <formula>"Napkin Hs"</formula>
    </cfRule>
  </conditionalFormatting>
  <conditionalFormatting sqref="C21">
    <cfRule type="cellIs" dxfId="4729" priority="2623" stopIfTrue="1" operator="equal">
      <formula>"Towel"</formula>
    </cfRule>
    <cfRule type="cellIs" dxfId="4728" priority="2624" stopIfTrue="1" operator="equal">
      <formula>"Napkin Hs"</formula>
    </cfRule>
  </conditionalFormatting>
  <conditionalFormatting sqref="B21">
    <cfRule type="cellIs" dxfId="4727" priority="2613" stopIfTrue="1" operator="equal">
      <formula>"Towel"</formula>
    </cfRule>
    <cfRule type="cellIs" dxfId="4726" priority="2614" stopIfTrue="1" operator="equal">
      <formula>"Napkin Hs"</formula>
    </cfRule>
  </conditionalFormatting>
  <conditionalFormatting sqref="C21">
    <cfRule type="cellIs" dxfId="4725" priority="2617" stopIfTrue="1" operator="equal">
      <formula>"Towel"</formula>
    </cfRule>
    <cfRule type="cellIs" dxfId="4724" priority="2618" stopIfTrue="1" operator="equal">
      <formula>"Napkin Hs"</formula>
    </cfRule>
  </conditionalFormatting>
  <conditionalFormatting sqref="C21">
    <cfRule type="cellIs" dxfId="4723" priority="2627" stopIfTrue="1" operator="equal">
      <formula>"Towel"</formula>
    </cfRule>
    <cfRule type="cellIs" dxfId="4722" priority="2628" stopIfTrue="1" operator="equal">
      <formula>"Napkin Hs"</formula>
    </cfRule>
  </conditionalFormatting>
  <conditionalFormatting sqref="B21">
    <cfRule type="cellIs" dxfId="4721" priority="2615" stopIfTrue="1" operator="equal">
      <formula>"Towel"</formula>
    </cfRule>
    <cfRule type="cellIs" dxfId="4720" priority="2616" stopIfTrue="1" operator="equal">
      <formula>"Napkin Hs"</formula>
    </cfRule>
  </conditionalFormatting>
  <conditionalFormatting sqref="C21">
    <cfRule type="cellIs" dxfId="4719" priority="2626" stopIfTrue="1" operator="equal">
      <formula>"Napkin Hs"</formula>
    </cfRule>
  </conditionalFormatting>
  <conditionalFormatting sqref="C21">
    <cfRule type="cellIs" dxfId="4718" priority="2625" stopIfTrue="1" operator="equal">
      <formula>"Towel"</formula>
    </cfRule>
  </conditionalFormatting>
  <conditionalFormatting sqref="C21">
    <cfRule type="cellIs" dxfId="4717" priority="2621" stopIfTrue="1" operator="equal">
      <formula>"Towel"</formula>
    </cfRule>
    <cfRule type="cellIs" dxfId="4716" priority="2622" stopIfTrue="1" operator="equal">
      <formula>"Napkin Hs"</formula>
    </cfRule>
  </conditionalFormatting>
  <conditionalFormatting sqref="C21">
    <cfRule type="cellIs" dxfId="4715" priority="2620" stopIfTrue="1" operator="equal">
      <formula>"Napkin Hs"</formula>
    </cfRule>
  </conditionalFormatting>
  <conditionalFormatting sqref="C21">
    <cfRule type="cellIs" dxfId="4714" priority="2619" stopIfTrue="1" operator="equal">
      <formula>"Towel"</formula>
    </cfRule>
  </conditionalFormatting>
  <conditionalFormatting sqref="C21">
    <cfRule type="cellIs" dxfId="4713" priority="2612" stopIfTrue="1" operator="equal">
      <formula>"Napkin Hs"</formula>
    </cfRule>
  </conditionalFormatting>
  <conditionalFormatting sqref="C21">
    <cfRule type="cellIs" dxfId="4712" priority="2611" stopIfTrue="1" operator="equal">
      <formula>"Napkin Hs"</formula>
    </cfRule>
  </conditionalFormatting>
  <conditionalFormatting sqref="B28:C29">
    <cfRule type="cellIs" dxfId="4711" priority="2609" stopIfTrue="1" operator="equal">
      <formula>"Towel"</formula>
    </cfRule>
    <cfRule type="cellIs" dxfId="4710" priority="2610" stopIfTrue="1" operator="equal">
      <formula>"Napkin Hs"</formula>
    </cfRule>
  </conditionalFormatting>
  <conditionalFormatting sqref="C28:C29">
    <cfRule type="cellIs" dxfId="4709" priority="2608" stopIfTrue="1" operator="equal">
      <formula>"Napkin Hs"</formula>
    </cfRule>
  </conditionalFormatting>
  <conditionalFormatting sqref="C28:C29">
    <cfRule type="cellIs" dxfId="4708" priority="2605" stopIfTrue="1" operator="equal">
      <formula>"Towel"</formula>
    </cfRule>
    <cfRule type="cellIs" dxfId="4707" priority="2606" stopIfTrue="1" operator="equal">
      <formula>"Napkin Hs"</formula>
    </cfRule>
  </conditionalFormatting>
  <conditionalFormatting sqref="C28:C29">
    <cfRule type="cellIs" dxfId="4706" priority="2607" stopIfTrue="1" operator="equal">
      <formula>"Towel"</formula>
    </cfRule>
  </conditionalFormatting>
  <conditionalFormatting sqref="C27">
    <cfRule type="cellIs" dxfId="4705" priority="2603" stopIfTrue="1" operator="equal">
      <formula>"Towel"</formula>
    </cfRule>
    <cfRule type="cellIs" dxfId="4704" priority="2604" stopIfTrue="1" operator="equal">
      <formula>"Napkin Hs"</formula>
    </cfRule>
  </conditionalFormatting>
  <conditionalFormatting sqref="C27">
    <cfRule type="cellIs" dxfId="4703" priority="2599" stopIfTrue="1" operator="equal">
      <formula>"Towel"</formula>
    </cfRule>
    <cfRule type="cellIs" dxfId="4702" priority="2600" stopIfTrue="1" operator="equal">
      <formula>"Napkin Hs"</formula>
    </cfRule>
  </conditionalFormatting>
  <conditionalFormatting sqref="B27">
    <cfRule type="cellIs" dxfId="4701" priority="2589" stopIfTrue="1" operator="equal">
      <formula>"Towel"</formula>
    </cfRule>
    <cfRule type="cellIs" dxfId="4700" priority="2590" stopIfTrue="1" operator="equal">
      <formula>"Napkin Hs"</formula>
    </cfRule>
  </conditionalFormatting>
  <conditionalFormatting sqref="B27">
    <cfRule type="cellIs" dxfId="4699" priority="2591" stopIfTrue="1" operator="equal">
      <formula>"Towel"</formula>
    </cfRule>
    <cfRule type="cellIs" dxfId="4698" priority="2592" stopIfTrue="1" operator="equal">
      <formula>"Napkin Hs"</formula>
    </cfRule>
  </conditionalFormatting>
  <conditionalFormatting sqref="C27">
    <cfRule type="cellIs" dxfId="4697" priority="2593" stopIfTrue="1" operator="equal">
      <formula>"Towel"</formula>
    </cfRule>
    <cfRule type="cellIs" dxfId="4696" priority="2594" stopIfTrue="1" operator="equal">
      <formula>"Napkin Hs"</formula>
    </cfRule>
  </conditionalFormatting>
  <conditionalFormatting sqref="C27">
    <cfRule type="cellIs" dxfId="4695" priority="2602" stopIfTrue="1" operator="equal">
      <formula>"Napkin Hs"</formula>
    </cfRule>
  </conditionalFormatting>
  <conditionalFormatting sqref="C27">
    <cfRule type="cellIs" dxfId="4694" priority="2601" stopIfTrue="1" operator="equal">
      <formula>"Towel"</formula>
    </cfRule>
  </conditionalFormatting>
  <conditionalFormatting sqref="C27">
    <cfRule type="cellIs" dxfId="4693" priority="2597" stopIfTrue="1" operator="equal">
      <formula>"Towel"</formula>
    </cfRule>
    <cfRule type="cellIs" dxfId="4692" priority="2598" stopIfTrue="1" operator="equal">
      <formula>"Napkin Hs"</formula>
    </cfRule>
  </conditionalFormatting>
  <conditionalFormatting sqref="C27">
    <cfRule type="cellIs" dxfId="4691" priority="2596" stopIfTrue="1" operator="equal">
      <formula>"Napkin Hs"</formula>
    </cfRule>
  </conditionalFormatting>
  <conditionalFormatting sqref="C27">
    <cfRule type="cellIs" dxfId="4690" priority="2595" stopIfTrue="1" operator="equal">
      <formula>"Towel"</formula>
    </cfRule>
  </conditionalFormatting>
  <conditionalFormatting sqref="B26">
    <cfRule type="cellIs" dxfId="4689" priority="2573" stopIfTrue="1" operator="equal">
      <formula>"Towel"</formula>
    </cfRule>
    <cfRule type="cellIs" dxfId="4688" priority="2574" stopIfTrue="1" operator="equal">
      <formula>"Napkin Hs"</formula>
    </cfRule>
  </conditionalFormatting>
  <conditionalFormatting sqref="C26">
    <cfRule type="cellIs" dxfId="4687" priority="2587" stopIfTrue="1" operator="equal">
      <formula>"Towel"</formula>
    </cfRule>
    <cfRule type="cellIs" dxfId="4686" priority="2588" stopIfTrue="1" operator="equal">
      <formula>"Napkin Hs"</formula>
    </cfRule>
  </conditionalFormatting>
  <conditionalFormatting sqref="C26">
    <cfRule type="cellIs" dxfId="4685" priority="2583" stopIfTrue="1" operator="equal">
      <formula>"Towel"</formula>
    </cfRule>
    <cfRule type="cellIs" dxfId="4684" priority="2584" stopIfTrue="1" operator="equal">
      <formula>"Napkin Hs"</formula>
    </cfRule>
  </conditionalFormatting>
  <conditionalFormatting sqref="B26">
    <cfRule type="cellIs" dxfId="4683" priority="2575" stopIfTrue="1" operator="equal">
      <formula>"Towel"</formula>
    </cfRule>
    <cfRule type="cellIs" dxfId="4682" priority="2576" stopIfTrue="1" operator="equal">
      <formula>"Napkin Hs"</formula>
    </cfRule>
  </conditionalFormatting>
  <conditionalFormatting sqref="C26">
    <cfRule type="cellIs" dxfId="4681" priority="2577" stopIfTrue="1" operator="equal">
      <formula>"Towel"</formula>
    </cfRule>
    <cfRule type="cellIs" dxfId="4680" priority="2578" stopIfTrue="1" operator="equal">
      <formula>"Napkin Hs"</formula>
    </cfRule>
  </conditionalFormatting>
  <conditionalFormatting sqref="C26">
    <cfRule type="cellIs" dxfId="4679" priority="2586" stopIfTrue="1" operator="equal">
      <formula>"Napkin Hs"</formula>
    </cfRule>
  </conditionalFormatting>
  <conditionalFormatting sqref="C26">
    <cfRule type="cellIs" dxfId="4678" priority="2585" stopIfTrue="1" operator="equal">
      <formula>"Towel"</formula>
    </cfRule>
  </conditionalFormatting>
  <conditionalFormatting sqref="C26">
    <cfRule type="cellIs" dxfId="4677" priority="2581" stopIfTrue="1" operator="equal">
      <formula>"Towel"</formula>
    </cfRule>
    <cfRule type="cellIs" dxfId="4676" priority="2582" stopIfTrue="1" operator="equal">
      <formula>"Napkin Hs"</formula>
    </cfRule>
  </conditionalFormatting>
  <conditionalFormatting sqref="C26">
    <cfRule type="cellIs" dxfId="4675" priority="2580" stopIfTrue="1" operator="equal">
      <formula>"Napkin Hs"</formula>
    </cfRule>
  </conditionalFormatting>
  <conditionalFormatting sqref="C26">
    <cfRule type="cellIs" dxfId="4674" priority="2579" stopIfTrue="1" operator="equal">
      <formula>"Towel"</formula>
    </cfRule>
  </conditionalFormatting>
  <conditionalFormatting sqref="B26:C26">
    <cfRule type="cellIs" dxfId="4673" priority="2571" stopIfTrue="1" operator="equal">
      <formula>"Towel"</formula>
    </cfRule>
    <cfRule type="cellIs" dxfId="4672" priority="2572" stopIfTrue="1" operator="equal">
      <formula>"Napkin Hs"</formula>
    </cfRule>
  </conditionalFormatting>
  <conditionalFormatting sqref="C26">
    <cfRule type="cellIs" dxfId="4671" priority="2570" stopIfTrue="1" operator="equal">
      <formula>"Napkin Hs"</formula>
    </cfRule>
  </conditionalFormatting>
  <conditionalFormatting sqref="C26">
    <cfRule type="cellIs" dxfId="4670" priority="2569" stopIfTrue="1" operator="equal">
      <formula>"Towel"</formula>
    </cfRule>
  </conditionalFormatting>
  <conditionalFormatting sqref="C26">
    <cfRule type="cellIs" dxfId="4669" priority="2567" stopIfTrue="1" operator="equal">
      <formula>"Towel"</formula>
    </cfRule>
    <cfRule type="cellIs" dxfId="4668" priority="2568" stopIfTrue="1" operator="equal">
      <formula>"Napkin Hs"</formula>
    </cfRule>
  </conditionalFormatting>
  <conditionalFormatting sqref="B26:C26">
    <cfRule type="cellIs" dxfId="4667" priority="2565" stopIfTrue="1" operator="equal">
      <formula>"Towel"</formula>
    </cfRule>
    <cfRule type="cellIs" dxfId="4666" priority="2566" stopIfTrue="1" operator="equal">
      <formula>"Napkin Hs"</formula>
    </cfRule>
  </conditionalFormatting>
  <conditionalFormatting sqref="C26">
    <cfRule type="cellIs" dxfId="4665" priority="2563" stopIfTrue="1" operator="equal">
      <formula>"Towel"</formula>
    </cfRule>
    <cfRule type="cellIs" dxfId="4664" priority="2564" stopIfTrue="1" operator="equal">
      <formula>"Napkin Hs"</formula>
    </cfRule>
  </conditionalFormatting>
  <conditionalFormatting sqref="C26">
    <cfRule type="cellIs" dxfId="4663" priority="2561" stopIfTrue="1" operator="equal">
      <formula>"Towel"</formula>
    </cfRule>
    <cfRule type="cellIs" dxfId="4662" priority="2562" stopIfTrue="1" operator="equal">
      <formula>"Napkin Hs"</formula>
    </cfRule>
  </conditionalFormatting>
  <conditionalFormatting sqref="C26">
    <cfRule type="cellIs" dxfId="4661" priority="2555" stopIfTrue="1" operator="equal">
      <formula>"Towel"</formula>
    </cfRule>
    <cfRule type="cellIs" dxfId="4660" priority="2556" stopIfTrue="1" operator="equal">
      <formula>"Napkin Hs"</formula>
    </cfRule>
  </conditionalFormatting>
  <conditionalFormatting sqref="B26">
    <cfRule type="cellIs" dxfId="4659" priority="2545" stopIfTrue="1" operator="equal">
      <formula>"Towel"</formula>
    </cfRule>
    <cfRule type="cellIs" dxfId="4658" priority="2546" stopIfTrue="1" operator="equal">
      <formula>"Napkin Hs"</formula>
    </cfRule>
  </conditionalFormatting>
  <conditionalFormatting sqref="C26">
    <cfRule type="cellIs" dxfId="4657" priority="2549" stopIfTrue="1" operator="equal">
      <formula>"Towel"</formula>
    </cfRule>
    <cfRule type="cellIs" dxfId="4656" priority="2550" stopIfTrue="1" operator="equal">
      <formula>"Napkin Hs"</formula>
    </cfRule>
  </conditionalFormatting>
  <conditionalFormatting sqref="C26">
    <cfRule type="cellIs" dxfId="4655" priority="2559" stopIfTrue="1" operator="equal">
      <formula>"Towel"</formula>
    </cfRule>
    <cfRule type="cellIs" dxfId="4654" priority="2560" stopIfTrue="1" operator="equal">
      <formula>"Napkin Hs"</formula>
    </cfRule>
  </conditionalFormatting>
  <conditionalFormatting sqref="B26">
    <cfRule type="cellIs" dxfId="4653" priority="2547" stopIfTrue="1" operator="equal">
      <formula>"Towel"</formula>
    </cfRule>
    <cfRule type="cellIs" dxfId="4652" priority="2548" stopIfTrue="1" operator="equal">
      <formula>"Napkin Hs"</formula>
    </cfRule>
  </conditionalFormatting>
  <conditionalFormatting sqref="C26">
    <cfRule type="cellIs" dxfId="4651" priority="2558" stopIfTrue="1" operator="equal">
      <formula>"Napkin Hs"</formula>
    </cfRule>
  </conditionalFormatting>
  <conditionalFormatting sqref="C26">
    <cfRule type="cellIs" dxfId="4650" priority="2557" stopIfTrue="1" operator="equal">
      <formula>"Towel"</formula>
    </cfRule>
  </conditionalFormatting>
  <conditionalFormatting sqref="C26">
    <cfRule type="cellIs" dxfId="4649" priority="2553" stopIfTrue="1" operator="equal">
      <formula>"Towel"</formula>
    </cfRule>
    <cfRule type="cellIs" dxfId="4648" priority="2554" stopIfTrue="1" operator="equal">
      <formula>"Napkin Hs"</formula>
    </cfRule>
  </conditionalFormatting>
  <conditionalFormatting sqref="C26">
    <cfRule type="cellIs" dxfId="4647" priority="2552" stopIfTrue="1" operator="equal">
      <formula>"Napkin Hs"</formula>
    </cfRule>
  </conditionalFormatting>
  <conditionalFormatting sqref="C26">
    <cfRule type="cellIs" dxfId="4646" priority="2551" stopIfTrue="1" operator="equal">
      <formula>"Towel"</formula>
    </cfRule>
  </conditionalFormatting>
  <conditionalFormatting sqref="C26">
    <cfRule type="cellIs" dxfId="4645" priority="2544" stopIfTrue="1" operator="equal">
      <formula>"Napkin Hs"</formula>
    </cfRule>
  </conditionalFormatting>
  <conditionalFormatting sqref="C26">
    <cfRule type="cellIs" dxfId="4644" priority="2543" stopIfTrue="1" operator="equal">
      <formula>"Napkin Hs"</formula>
    </cfRule>
  </conditionalFormatting>
  <conditionalFormatting sqref="B33:C34">
    <cfRule type="cellIs" dxfId="4643" priority="2541" stopIfTrue="1" operator="equal">
      <formula>"Towel"</formula>
    </cfRule>
    <cfRule type="cellIs" dxfId="4642" priority="2542" stopIfTrue="1" operator="equal">
      <formula>"Napkin Hs"</formula>
    </cfRule>
  </conditionalFormatting>
  <conditionalFormatting sqref="C33:C34">
    <cfRule type="cellIs" dxfId="4641" priority="2540" stopIfTrue="1" operator="equal">
      <formula>"Napkin Hs"</formula>
    </cfRule>
  </conditionalFormatting>
  <conditionalFormatting sqref="C33:C34">
    <cfRule type="cellIs" dxfId="4640" priority="2537" stopIfTrue="1" operator="equal">
      <formula>"Towel"</formula>
    </cfRule>
    <cfRule type="cellIs" dxfId="4639" priority="2538" stopIfTrue="1" operator="equal">
      <formula>"Napkin Hs"</formula>
    </cfRule>
  </conditionalFormatting>
  <conditionalFormatting sqref="C33:C34">
    <cfRule type="cellIs" dxfId="4638" priority="2539" stopIfTrue="1" operator="equal">
      <formula>"Towel"</formula>
    </cfRule>
  </conditionalFormatting>
  <conditionalFormatting sqref="C32">
    <cfRule type="cellIs" dxfId="4637" priority="2535" stopIfTrue="1" operator="equal">
      <formula>"Towel"</formula>
    </cfRule>
    <cfRule type="cellIs" dxfId="4636" priority="2536" stopIfTrue="1" operator="equal">
      <formula>"Napkin Hs"</formula>
    </cfRule>
  </conditionalFormatting>
  <conditionalFormatting sqref="C32">
    <cfRule type="cellIs" dxfId="4635" priority="2531" stopIfTrue="1" operator="equal">
      <formula>"Towel"</formula>
    </cfRule>
    <cfRule type="cellIs" dxfId="4634" priority="2532" stopIfTrue="1" operator="equal">
      <formula>"Napkin Hs"</formula>
    </cfRule>
  </conditionalFormatting>
  <conditionalFormatting sqref="B32">
    <cfRule type="cellIs" dxfId="4633" priority="2521" stopIfTrue="1" operator="equal">
      <formula>"Towel"</formula>
    </cfRule>
    <cfRule type="cellIs" dxfId="4632" priority="2522" stopIfTrue="1" operator="equal">
      <formula>"Napkin Hs"</formula>
    </cfRule>
  </conditionalFormatting>
  <conditionalFormatting sqref="B32">
    <cfRule type="cellIs" dxfId="4631" priority="2523" stopIfTrue="1" operator="equal">
      <formula>"Towel"</formula>
    </cfRule>
    <cfRule type="cellIs" dxfId="4630" priority="2524" stopIfTrue="1" operator="equal">
      <formula>"Napkin Hs"</formula>
    </cfRule>
  </conditionalFormatting>
  <conditionalFormatting sqref="C32">
    <cfRule type="cellIs" dxfId="4629" priority="2525" stopIfTrue="1" operator="equal">
      <formula>"Towel"</formula>
    </cfRule>
    <cfRule type="cellIs" dxfId="4628" priority="2526" stopIfTrue="1" operator="equal">
      <formula>"Napkin Hs"</formula>
    </cfRule>
  </conditionalFormatting>
  <conditionalFormatting sqref="C32">
    <cfRule type="cellIs" dxfId="4627" priority="2534" stopIfTrue="1" operator="equal">
      <formula>"Napkin Hs"</formula>
    </cfRule>
  </conditionalFormatting>
  <conditionalFormatting sqref="C32">
    <cfRule type="cellIs" dxfId="4626" priority="2533" stopIfTrue="1" operator="equal">
      <formula>"Towel"</formula>
    </cfRule>
  </conditionalFormatting>
  <conditionalFormatting sqref="C32">
    <cfRule type="cellIs" dxfId="4625" priority="2529" stopIfTrue="1" operator="equal">
      <formula>"Towel"</formula>
    </cfRule>
    <cfRule type="cellIs" dxfId="4624" priority="2530" stopIfTrue="1" operator="equal">
      <formula>"Napkin Hs"</formula>
    </cfRule>
  </conditionalFormatting>
  <conditionalFormatting sqref="C32">
    <cfRule type="cellIs" dxfId="4623" priority="2528" stopIfTrue="1" operator="equal">
      <formula>"Napkin Hs"</formula>
    </cfRule>
  </conditionalFormatting>
  <conditionalFormatting sqref="C32">
    <cfRule type="cellIs" dxfId="4622" priority="2527" stopIfTrue="1" operator="equal">
      <formula>"Towel"</formula>
    </cfRule>
  </conditionalFormatting>
  <conditionalFormatting sqref="B31">
    <cfRule type="cellIs" dxfId="4621" priority="2505" stopIfTrue="1" operator="equal">
      <formula>"Towel"</formula>
    </cfRule>
    <cfRule type="cellIs" dxfId="4620" priority="2506" stopIfTrue="1" operator="equal">
      <formula>"Napkin Hs"</formula>
    </cfRule>
  </conditionalFormatting>
  <conditionalFormatting sqref="C31">
    <cfRule type="cellIs" dxfId="4619" priority="2519" stopIfTrue="1" operator="equal">
      <formula>"Towel"</formula>
    </cfRule>
    <cfRule type="cellIs" dxfId="4618" priority="2520" stopIfTrue="1" operator="equal">
      <formula>"Napkin Hs"</formula>
    </cfRule>
  </conditionalFormatting>
  <conditionalFormatting sqref="C31">
    <cfRule type="cellIs" dxfId="4617" priority="2515" stopIfTrue="1" operator="equal">
      <formula>"Towel"</formula>
    </cfRule>
    <cfRule type="cellIs" dxfId="4616" priority="2516" stopIfTrue="1" operator="equal">
      <formula>"Napkin Hs"</formula>
    </cfRule>
  </conditionalFormatting>
  <conditionalFormatting sqref="B31">
    <cfRule type="cellIs" dxfId="4615" priority="2507" stopIfTrue="1" operator="equal">
      <formula>"Towel"</formula>
    </cfRule>
    <cfRule type="cellIs" dxfId="4614" priority="2508" stopIfTrue="1" operator="equal">
      <formula>"Napkin Hs"</formula>
    </cfRule>
  </conditionalFormatting>
  <conditionalFormatting sqref="C31">
    <cfRule type="cellIs" dxfId="4613" priority="2509" stopIfTrue="1" operator="equal">
      <formula>"Towel"</formula>
    </cfRule>
    <cfRule type="cellIs" dxfId="4612" priority="2510" stopIfTrue="1" operator="equal">
      <formula>"Napkin Hs"</formula>
    </cfRule>
  </conditionalFormatting>
  <conditionalFormatting sqref="C31">
    <cfRule type="cellIs" dxfId="4611" priority="2518" stopIfTrue="1" operator="equal">
      <formula>"Napkin Hs"</formula>
    </cfRule>
  </conditionalFormatting>
  <conditionalFormatting sqref="C31">
    <cfRule type="cellIs" dxfId="4610" priority="2517" stopIfTrue="1" operator="equal">
      <formula>"Towel"</formula>
    </cfRule>
  </conditionalFormatting>
  <conditionalFormatting sqref="C31">
    <cfRule type="cellIs" dxfId="4609" priority="2513" stopIfTrue="1" operator="equal">
      <formula>"Towel"</formula>
    </cfRule>
    <cfRule type="cellIs" dxfId="4608" priority="2514" stopIfTrue="1" operator="equal">
      <formula>"Napkin Hs"</formula>
    </cfRule>
  </conditionalFormatting>
  <conditionalFormatting sqref="C31">
    <cfRule type="cellIs" dxfId="4607" priority="2512" stopIfTrue="1" operator="equal">
      <formula>"Napkin Hs"</formula>
    </cfRule>
  </conditionalFormatting>
  <conditionalFormatting sqref="C31">
    <cfRule type="cellIs" dxfId="4606" priority="2511" stopIfTrue="1" operator="equal">
      <formula>"Towel"</formula>
    </cfRule>
  </conditionalFormatting>
  <conditionalFormatting sqref="B31:C31">
    <cfRule type="cellIs" dxfId="4605" priority="2503" stopIfTrue="1" operator="equal">
      <formula>"Towel"</formula>
    </cfRule>
    <cfRule type="cellIs" dxfId="4604" priority="2504" stopIfTrue="1" operator="equal">
      <formula>"Napkin Hs"</formula>
    </cfRule>
  </conditionalFormatting>
  <conditionalFormatting sqref="C31">
    <cfRule type="cellIs" dxfId="4603" priority="2502" stopIfTrue="1" operator="equal">
      <formula>"Napkin Hs"</formula>
    </cfRule>
  </conditionalFormatting>
  <conditionalFormatting sqref="C31">
    <cfRule type="cellIs" dxfId="4602" priority="2501" stopIfTrue="1" operator="equal">
      <formula>"Towel"</formula>
    </cfRule>
  </conditionalFormatting>
  <conditionalFormatting sqref="C31">
    <cfRule type="cellIs" dxfId="4601" priority="2499" stopIfTrue="1" operator="equal">
      <formula>"Towel"</formula>
    </cfRule>
    <cfRule type="cellIs" dxfId="4600" priority="2500" stopIfTrue="1" operator="equal">
      <formula>"Napkin Hs"</formula>
    </cfRule>
  </conditionalFormatting>
  <conditionalFormatting sqref="B31:C31">
    <cfRule type="cellIs" dxfId="4599" priority="2497" stopIfTrue="1" operator="equal">
      <formula>"Towel"</formula>
    </cfRule>
    <cfRule type="cellIs" dxfId="4598" priority="2498" stopIfTrue="1" operator="equal">
      <formula>"Napkin Hs"</formula>
    </cfRule>
  </conditionalFormatting>
  <conditionalFormatting sqref="C31">
    <cfRule type="cellIs" dxfId="4597" priority="2495" stopIfTrue="1" operator="equal">
      <formula>"Towel"</formula>
    </cfRule>
    <cfRule type="cellIs" dxfId="4596" priority="2496" stopIfTrue="1" operator="equal">
      <formula>"Napkin Hs"</formula>
    </cfRule>
  </conditionalFormatting>
  <conditionalFormatting sqref="C31">
    <cfRule type="cellIs" dxfId="4595" priority="2493" stopIfTrue="1" operator="equal">
      <formula>"Towel"</formula>
    </cfRule>
    <cfRule type="cellIs" dxfId="4594" priority="2494" stopIfTrue="1" operator="equal">
      <formula>"Napkin Hs"</formula>
    </cfRule>
  </conditionalFormatting>
  <conditionalFormatting sqref="C31">
    <cfRule type="cellIs" dxfId="4593" priority="2487" stopIfTrue="1" operator="equal">
      <formula>"Towel"</formula>
    </cfRule>
    <cfRule type="cellIs" dxfId="4592" priority="2488" stopIfTrue="1" operator="equal">
      <formula>"Napkin Hs"</formula>
    </cfRule>
  </conditionalFormatting>
  <conditionalFormatting sqref="B31">
    <cfRule type="cellIs" dxfId="4591" priority="2477" stopIfTrue="1" operator="equal">
      <formula>"Towel"</formula>
    </cfRule>
    <cfRule type="cellIs" dxfId="4590" priority="2478" stopIfTrue="1" operator="equal">
      <formula>"Napkin Hs"</formula>
    </cfRule>
  </conditionalFormatting>
  <conditionalFormatting sqref="C31">
    <cfRule type="cellIs" dxfId="4589" priority="2481" stopIfTrue="1" operator="equal">
      <formula>"Towel"</formula>
    </cfRule>
    <cfRule type="cellIs" dxfId="4588" priority="2482" stopIfTrue="1" operator="equal">
      <formula>"Napkin Hs"</formula>
    </cfRule>
  </conditionalFormatting>
  <conditionalFormatting sqref="C31">
    <cfRule type="cellIs" dxfId="4587" priority="2491" stopIfTrue="1" operator="equal">
      <formula>"Towel"</formula>
    </cfRule>
    <cfRule type="cellIs" dxfId="4586" priority="2492" stopIfTrue="1" operator="equal">
      <formula>"Napkin Hs"</formula>
    </cfRule>
  </conditionalFormatting>
  <conditionalFormatting sqref="B31">
    <cfRule type="cellIs" dxfId="4585" priority="2479" stopIfTrue="1" operator="equal">
      <formula>"Towel"</formula>
    </cfRule>
    <cfRule type="cellIs" dxfId="4584" priority="2480" stopIfTrue="1" operator="equal">
      <formula>"Napkin Hs"</formula>
    </cfRule>
  </conditionalFormatting>
  <conditionalFormatting sqref="C31">
    <cfRule type="cellIs" dxfId="4583" priority="2490" stopIfTrue="1" operator="equal">
      <formula>"Napkin Hs"</formula>
    </cfRule>
  </conditionalFormatting>
  <conditionalFormatting sqref="C31">
    <cfRule type="cellIs" dxfId="4582" priority="2489" stopIfTrue="1" operator="equal">
      <formula>"Towel"</formula>
    </cfRule>
  </conditionalFormatting>
  <conditionalFormatting sqref="C31">
    <cfRule type="cellIs" dxfId="4581" priority="2485" stopIfTrue="1" operator="equal">
      <formula>"Towel"</formula>
    </cfRule>
    <cfRule type="cellIs" dxfId="4580" priority="2486" stopIfTrue="1" operator="equal">
      <formula>"Napkin Hs"</formula>
    </cfRule>
  </conditionalFormatting>
  <conditionalFormatting sqref="C31">
    <cfRule type="cellIs" dxfId="4579" priority="2484" stopIfTrue="1" operator="equal">
      <formula>"Napkin Hs"</formula>
    </cfRule>
  </conditionalFormatting>
  <conditionalFormatting sqref="C31">
    <cfRule type="cellIs" dxfId="4578" priority="2483" stopIfTrue="1" operator="equal">
      <formula>"Towel"</formula>
    </cfRule>
  </conditionalFormatting>
  <conditionalFormatting sqref="C31">
    <cfRule type="cellIs" dxfId="4577" priority="2476" stopIfTrue="1" operator="equal">
      <formula>"Napkin Hs"</formula>
    </cfRule>
  </conditionalFormatting>
  <conditionalFormatting sqref="C31">
    <cfRule type="cellIs" dxfId="4576" priority="2475" stopIfTrue="1" operator="equal">
      <formula>"Napkin Hs"</formula>
    </cfRule>
  </conditionalFormatting>
  <conditionalFormatting sqref="B38:C39">
    <cfRule type="cellIs" dxfId="4575" priority="2473" stopIfTrue="1" operator="equal">
      <formula>"Towel"</formula>
    </cfRule>
    <cfRule type="cellIs" dxfId="4574" priority="2474" stopIfTrue="1" operator="equal">
      <formula>"Napkin Hs"</formula>
    </cfRule>
  </conditionalFormatting>
  <conditionalFormatting sqref="C38:C39">
    <cfRule type="cellIs" dxfId="4573" priority="2472" stopIfTrue="1" operator="equal">
      <formula>"Napkin Hs"</formula>
    </cfRule>
  </conditionalFormatting>
  <conditionalFormatting sqref="C38:C39">
    <cfRule type="cellIs" dxfId="4572" priority="2469" stopIfTrue="1" operator="equal">
      <formula>"Towel"</formula>
    </cfRule>
    <cfRule type="cellIs" dxfId="4571" priority="2470" stopIfTrue="1" operator="equal">
      <formula>"Napkin Hs"</formula>
    </cfRule>
  </conditionalFormatting>
  <conditionalFormatting sqref="C38:C39">
    <cfRule type="cellIs" dxfId="4570" priority="2471" stopIfTrue="1" operator="equal">
      <formula>"Towel"</formula>
    </cfRule>
  </conditionalFormatting>
  <conditionalFormatting sqref="C37">
    <cfRule type="cellIs" dxfId="4569" priority="2467" stopIfTrue="1" operator="equal">
      <formula>"Towel"</formula>
    </cfRule>
    <cfRule type="cellIs" dxfId="4568" priority="2468" stopIfTrue="1" operator="equal">
      <formula>"Napkin Hs"</formula>
    </cfRule>
  </conditionalFormatting>
  <conditionalFormatting sqref="C37">
    <cfRule type="cellIs" dxfId="4567" priority="2463" stopIfTrue="1" operator="equal">
      <formula>"Towel"</formula>
    </cfRule>
    <cfRule type="cellIs" dxfId="4566" priority="2464" stopIfTrue="1" operator="equal">
      <formula>"Napkin Hs"</formula>
    </cfRule>
  </conditionalFormatting>
  <conditionalFormatting sqref="B37">
    <cfRule type="cellIs" dxfId="4565" priority="2453" stopIfTrue="1" operator="equal">
      <formula>"Towel"</formula>
    </cfRule>
    <cfRule type="cellIs" dxfId="4564" priority="2454" stopIfTrue="1" operator="equal">
      <formula>"Napkin Hs"</formula>
    </cfRule>
  </conditionalFormatting>
  <conditionalFormatting sqref="B37">
    <cfRule type="cellIs" dxfId="4563" priority="2455" stopIfTrue="1" operator="equal">
      <formula>"Towel"</formula>
    </cfRule>
    <cfRule type="cellIs" dxfId="4562" priority="2456" stopIfTrue="1" operator="equal">
      <formula>"Napkin Hs"</formula>
    </cfRule>
  </conditionalFormatting>
  <conditionalFormatting sqref="C37">
    <cfRule type="cellIs" dxfId="4561" priority="2457" stopIfTrue="1" operator="equal">
      <formula>"Towel"</formula>
    </cfRule>
    <cfRule type="cellIs" dxfId="4560" priority="2458" stopIfTrue="1" operator="equal">
      <formula>"Napkin Hs"</formula>
    </cfRule>
  </conditionalFormatting>
  <conditionalFormatting sqref="C37">
    <cfRule type="cellIs" dxfId="4559" priority="2466" stopIfTrue="1" operator="equal">
      <formula>"Napkin Hs"</formula>
    </cfRule>
  </conditionalFormatting>
  <conditionalFormatting sqref="C37">
    <cfRule type="cellIs" dxfId="4558" priority="2465" stopIfTrue="1" operator="equal">
      <formula>"Towel"</formula>
    </cfRule>
  </conditionalFormatting>
  <conditionalFormatting sqref="C37">
    <cfRule type="cellIs" dxfId="4557" priority="2461" stopIfTrue="1" operator="equal">
      <formula>"Towel"</formula>
    </cfRule>
    <cfRule type="cellIs" dxfId="4556" priority="2462" stopIfTrue="1" operator="equal">
      <formula>"Napkin Hs"</formula>
    </cfRule>
  </conditionalFormatting>
  <conditionalFormatting sqref="C37">
    <cfRule type="cellIs" dxfId="4555" priority="2460" stopIfTrue="1" operator="equal">
      <formula>"Napkin Hs"</formula>
    </cfRule>
  </conditionalFormatting>
  <conditionalFormatting sqref="C37">
    <cfRule type="cellIs" dxfId="4554" priority="2459" stopIfTrue="1" operator="equal">
      <formula>"Towel"</formula>
    </cfRule>
  </conditionalFormatting>
  <conditionalFormatting sqref="B36">
    <cfRule type="cellIs" dxfId="4553" priority="2437" stopIfTrue="1" operator="equal">
      <formula>"Towel"</formula>
    </cfRule>
    <cfRule type="cellIs" dxfId="4552" priority="2438" stopIfTrue="1" operator="equal">
      <formula>"Napkin Hs"</formula>
    </cfRule>
  </conditionalFormatting>
  <conditionalFormatting sqref="C36">
    <cfRule type="cellIs" dxfId="4551" priority="2451" stopIfTrue="1" operator="equal">
      <formula>"Towel"</formula>
    </cfRule>
    <cfRule type="cellIs" dxfId="4550" priority="2452" stopIfTrue="1" operator="equal">
      <formula>"Napkin Hs"</formula>
    </cfRule>
  </conditionalFormatting>
  <conditionalFormatting sqref="C36">
    <cfRule type="cellIs" dxfId="4549" priority="2447" stopIfTrue="1" operator="equal">
      <formula>"Towel"</formula>
    </cfRule>
    <cfRule type="cellIs" dxfId="4548" priority="2448" stopIfTrue="1" operator="equal">
      <formula>"Napkin Hs"</formula>
    </cfRule>
  </conditionalFormatting>
  <conditionalFormatting sqref="B36">
    <cfRule type="cellIs" dxfId="4547" priority="2439" stopIfTrue="1" operator="equal">
      <formula>"Towel"</formula>
    </cfRule>
    <cfRule type="cellIs" dxfId="4546" priority="2440" stopIfTrue="1" operator="equal">
      <formula>"Napkin Hs"</formula>
    </cfRule>
  </conditionalFormatting>
  <conditionalFormatting sqref="C36">
    <cfRule type="cellIs" dxfId="4545" priority="2441" stopIfTrue="1" operator="equal">
      <formula>"Towel"</formula>
    </cfRule>
    <cfRule type="cellIs" dxfId="4544" priority="2442" stopIfTrue="1" operator="equal">
      <formula>"Napkin Hs"</formula>
    </cfRule>
  </conditionalFormatting>
  <conditionalFormatting sqref="C36">
    <cfRule type="cellIs" dxfId="4543" priority="2450" stopIfTrue="1" operator="equal">
      <formula>"Napkin Hs"</formula>
    </cfRule>
  </conditionalFormatting>
  <conditionalFormatting sqref="C36">
    <cfRule type="cellIs" dxfId="4542" priority="2449" stopIfTrue="1" operator="equal">
      <formula>"Towel"</formula>
    </cfRule>
  </conditionalFormatting>
  <conditionalFormatting sqref="C36">
    <cfRule type="cellIs" dxfId="4541" priority="2445" stopIfTrue="1" operator="equal">
      <formula>"Towel"</formula>
    </cfRule>
    <cfRule type="cellIs" dxfId="4540" priority="2446" stopIfTrue="1" operator="equal">
      <formula>"Napkin Hs"</formula>
    </cfRule>
  </conditionalFormatting>
  <conditionalFormatting sqref="C36">
    <cfRule type="cellIs" dxfId="4539" priority="2444" stopIfTrue="1" operator="equal">
      <formula>"Napkin Hs"</formula>
    </cfRule>
  </conditionalFormatting>
  <conditionalFormatting sqref="C36">
    <cfRule type="cellIs" dxfId="4538" priority="2443" stopIfTrue="1" operator="equal">
      <formula>"Towel"</formula>
    </cfRule>
  </conditionalFormatting>
  <conditionalFormatting sqref="B36:C36">
    <cfRule type="cellIs" dxfId="4537" priority="2435" stopIfTrue="1" operator="equal">
      <formula>"Towel"</formula>
    </cfRule>
    <cfRule type="cellIs" dxfId="4536" priority="2436" stopIfTrue="1" operator="equal">
      <formula>"Napkin Hs"</formula>
    </cfRule>
  </conditionalFormatting>
  <conditionalFormatting sqref="C36">
    <cfRule type="cellIs" dxfId="4535" priority="2434" stopIfTrue="1" operator="equal">
      <formula>"Napkin Hs"</formula>
    </cfRule>
  </conditionalFormatting>
  <conditionalFormatting sqref="C36">
    <cfRule type="cellIs" dxfId="4534" priority="2433" stopIfTrue="1" operator="equal">
      <formula>"Towel"</formula>
    </cfRule>
  </conditionalFormatting>
  <conditionalFormatting sqref="C36">
    <cfRule type="cellIs" dxfId="4533" priority="2431" stopIfTrue="1" operator="equal">
      <formula>"Towel"</formula>
    </cfRule>
    <cfRule type="cellIs" dxfId="4532" priority="2432" stopIfTrue="1" operator="equal">
      <formula>"Napkin Hs"</formula>
    </cfRule>
  </conditionalFormatting>
  <conditionalFormatting sqref="B36:C36">
    <cfRule type="cellIs" dxfId="4531" priority="2429" stopIfTrue="1" operator="equal">
      <formula>"Towel"</formula>
    </cfRule>
    <cfRule type="cellIs" dxfId="4530" priority="2430" stopIfTrue="1" operator="equal">
      <formula>"Napkin Hs"</formula>
    </cfRule>
  </conditionalFormatting>
  <conditionalFormatting sqref="C36">
    <cfRule type="cellIs" dxfId="4529" priority="2427" stopIfTrue="1" operator="equal">
      <formula>"Towel"</formula>
    </cfRule>
    <cfRule type="cellIs" dxfId="4528" priority="2428" stopIfTrue="1" operator="equal">
      <formula>"Napkin Hs"</formula>
    </cfRule>
  </conditionalFormatting>
  <conditionalFormatting sqref="C36">
    <cfRule type="cellIs" dxfId="4527" priority="2425" stopIfTrue="1" operator="equal">
      <formula>"Towel"</formula>
    </cfRule>
    <cfRule type="cellIs" dxfId="4526" priority="2426" stopIfTrue="1" operator="equal">
      <formula>"Napkin Hs"</formula>
    </cfRule>
  </conditionalFormatting>
  <conditionalFormatting sqref="C36">
    <cfRule type="cellIs" dxfId="4525" priority="2419" stopIfTrue="1" operator="equal">
      <formula>"Towel"</formula>
    </cfRule>
    <cfRule type="cellIs" dxfId="4524" priority="2420" stopIfTrue="1" operator="equal">
      <formula>"Napkin Hs"</formula>
    </cfRule>
  </conditionalFormatting>
  <conditionalFormatting sqref="B36">
    <cfRule type="cellIs" dxfId="4523" priority="2409" stopIfTrue="1" operator="equal">
      <formula>"Towel"</formula>
    </cfRule>
    <cfRule type="cellIs" dxfId="4522" priority="2410" stopIfTrue="1" operator="equal">
      <formula>"Napkin Hs"</formula>
    </cfRule>
  </conditionalFormatting>
  <conditionalFormatting sqref="C36">
    <cfRule type="cellIs" dxfId="4521" priority="2413" stopIfTrue="1" operator="equal">
      <formula>"Towel"</formula>
    </cfRule>
    <cfRule type="cellIs" dxfId="4520" priority="2414" stopIfTrue="1" operator="equal">
      <formula>"Napkin Hs"</formula>
    </cfRule>
  </conditionalFormatting>
  <conditionalFormatting sqref="C36">
    <cfRule type="cellIs" dxfId="4519" priority="2423" stopIfTrue="1" operator="equal">
      <formula>"Towel"</formula>
    </cfRule>
    <cfRule type="cellIs" dxfId="4518" priority="2424" stopIfTrue="1" operator="equal">
      <formula>"Napkin Hs"</formula>
    </cfRule>
  </conditionalFormatting>
  <conditionalFormatting sqref="B36">
    <cfRule type="cellIs" dxfId="4517" priority="2411" stopIfTrue="1" operator="equal">
      <formula>"Towel"</formula>
    </cfRule>
    <cfRule type="cellIs" dxfId="4516" priority="2412" stopIfTrue="1" operator="equal">
      <formula>"Napkin Hs"</formula>
    </cfRule>
  </conditionalFormatting>
  <conditionalFormatting sqref="C36">
    <cfRule type="cellIs" dxfId="4515" priority="2422" stopIfTrue="1" operator="equal">
      <formula>"Napkin Hs"</formula>
    </cfRule>
  </conditionalFormatting>
  <conditionalFormatting sqref="C36">
    <cfRule type="cellIs" dxfId="4514" priority="2421" stopIfTrue="1" operator="equal">
      <formula>"Towel"</formula>
    </cfRule>
  </conditionalFormatting>
  <conditionalFormatting sqref="C36">
    <cfRule type="cellIs" dxfId="4513" priority="2417" stopIfTrue="1" operator="equal">
      <formula>"Towel"</formula>
    </cfRule>
    <cfRule type="cellIs" dxfId="4512" priority="2418" stopIfTrue="1" operator="equal">
      <formula>"Napkin Hs"</formula>
    </cfRule>
  </conditionalFormatting>
  <conditionalFormatting sqref="C36">
    <cfRule type="cellIs" dxfId="4511" priority="2416" stopIfTrue="1" operator="equal">
      <formula>"Napkin Hs"</formula>
    </cfRule>
  </conditionalFormatting>
  <conditionalFormatting sqref="C36">
    <cfRule type="cellIs" dxfId="4510" priority="2415" stopIfTrue="1" operator="equal">
      <formula>"Towel"</formula>
    </cfRule>
  </conditionalFormatting>
  <conditionalFormatting sqref="C36">
    <cfRule type="cellIs" dxfId="4509" priority="2408" stopIfTrue="1" operator="equal">
      <formula>"Napkin Hs"</formula>
    </cfRule>
  </conditionalFormatting>
  <conditionalFormatting sqref="C36">
    <cfRule type="cellIs" dxfId="4508" priority="2407" stopIfTrue="1" operator="equal">
      <formula>"Napkin Hs"</formula>
    </cfRule>
  </conditionalFormatting>
  <conditionalFormatting sqref="B43:C44">
    <cfRule type="cellIs" dxfId="4507" priority="2405" stopIfTrue="1" operator="equal">
      <formula>"Towel"</formula>
    </cfRule>
    <cfRule type="cellIs" dxfId="4506" priority="2406" stopIfTrue="1" operator="equal">
      <formula>"Napkin Hs"</formula>
    </cfRule>
  </conditionalFormatting>
  <conditionalFormatting sqref="C43:C44">
    <cfRule type="cellIs" dxfId="4505" priority="2404" stopIfTrue="1" operator="equal">
      <formula>"Napkin Hs"</formula>
    </cfRule>
  </conditionalFormatting>
  <conditionalFormatting sqref="C43:C44">
    <cfRule type="cellIs" dxfId="4504" priority="2401" stopIfTrue="1" operator="equal">
      <formula>"Towel"</formula>
    </cfRule>
    <cfRule type="cellIs" dxfId="4503" priority="2402" stopIfTrue="1" operator="equal">
      <formula>"Napkin Hs"</formula>
    </cfRule>
  </conditionalFormatting>
  <conditionalFormatting sqref="C43:C44">
    <cfRule type="cellIs" dxfId="4502" priority="2403" stopIfTrue="1" operator="equal">
      <formula>"Towel"</formula>
    </cfRule>
  </conditionalFormatting>
  <conditionalFormatting sqref="C42">
    <cfRule type="cellIs" dxfId="4501" priority="2399" stopIfTrue="1" operator="equal">
      <formula>"Towel"</formula>
    </cfRule>
    <cfRule type="cellIs" dxfId="4500" priority="2400" stopIfTrue="1" operator="equal">
      <formula>"Napkin Hs"</formula>
    </cfRule>
  </conditionalFormatting>
  <conditionalFormatting sqref="C42">
    <cfRule type="cellIs" dxfId="4499" priority="2395" stopIfTrue="1" operator="equal">
      <formula>"Towel"</formula>
    </cfRule>
    <cfRule type="cellIs" dxfId="4498" priority="2396" stopIfTrue="1" operator="equal">
      <formula>"Napkin Hs"</formula>
    </cfRule>
  </conditionalFormatting>
  <conditionalFormatting sqref="B42">
    <cfRule type="cellIs" dxfId="4497" priority="2385" stopIfTrue="1" operator="equal">
      <formula>"Towel"</formula>
    </cfRule>
    <cfRule type="cellIs" dxfId="4496" priority="2386" stopIfTrue="1" operator="equal">
      <formula>"Napkin Hs"</formula>
    </cfRule>
  </conditionalFormatting>
  <conditionalFormatting sqref="B42">
    <cfRule type="cellIs" dxfId="4495" priority="2387" stopIfTrue="1" operator="equal">
      <formula>"Towel"</formula>
    </cfRule>
    <cfRule type="cellIs" dxfId="4494" priority="2388" stopIfTrue="1" operator="equal">
      <formula>"Napkin Hs"</formula>
    </cfRule>
  </conditionalFormatting>
  <conditionalFormatting sqref="C42">
    <cfRule type="cellIs" dxfId="4493" priority="2389" stopIfTrue="1" operator="equal">
      <formula>"Towel"</formula>
    </cfRule>
    <cfRule type="cellIs" dxfId="4492" priority="2390" stopIfTrue="1" operator="equal">
      <formula>"Napkin Hs"</formula>
    </cfRule>
  </conditionalFormatting>
  <conditionalFormatting sqref="C42">
    <cfRule type="cellIs" dxfId="4491" priority="2398" stopIfTrue="1" operator="equal">
      <formula>"Napkin Hs"</formula>
    </cfRule>
  </conditionalFormatting>
  <conditionalFormatting sqref="C42">
    <cfRule type="cellIs" dxfId="4490" priority="2397" stopIfTrue="1" operator="equal">
      <formula>"Towel"</formula>
    </cfRule>
  </conditionalFormatting>
  <conditionalFormatting sqref="C42">
    <cfRule type="cellIs" dxfId="4489" priority="2393" stopIfTrue="1" operator="equal">
      <formula>"Towel"</formula>
    </cfRule>
    <cfRule type="cellIs" dxfId="4488" priority="2394" stopIfTrue="1" operator="equal">
      <formula>"Napkin Hs"</formula>
    </cfRule>
  </conditionalFormatting>
  <conditionalFormatting sqref="C42">
    <cfRule type="cellIs" dxfId="4487" priority="2392" stopIfTrue="1" operator="equal">
      <formula>"Napkin Hs"</formula>
    </cfRule>
  </conditionalFormatting>
  <conditionalFormatting sqref="C42">
    <cfRule type="cellIs" dxfId="4486" priority="2391" stopIfTrue="1" operator="equal">
      <formula>"Towel"</formula>
    </cfRule>
  </conditionalFormatting>
  <conditionalFormatting sqref="B41">
    <cfRule type="cellIs" dxfId="4485" priority="2369" stopIfTrue="1" operator="equal">
      <formula>"Towel"</formula>
    </cfRule>
    <cfRule type="cellIs" dxfId="4484" priority="2370" stopIfTrue="1" operator="equal">
      <formula>"Napkin Hs"</formula>
    </cfRule>
  </conditionalFormatting>
  <conditionalFormatting sqref="C41">
    <cfRule type="cellIs" dxfId="4483" priority="2383" stopIfTrue="1" operator="equal">
      <formula>"Towel"</formula>
    </cfRule>
    <cfRule type="cellIs" dxfId="4482" priority="2384" stopIfTrue="1" operator="equal">
      <formula>"Napkin Hs"</formula>
    </cfRule>
  </conditionalFormatting>
  <conditionalFormatting sqref="C41">
    <cfRule type="cellIs" dxfId="4481" priority="2379" stopIfTrue="1" operator="equal">
      <formula>"Towel"</formula>
    </cfRule>
    <cfRule type="cellIs" dxfId="4480" priority="2380" stopIfTrue="1" operator="equal">
      <formula>"Napkin Hs"</formula>
    </cfRule>
  </conditionalFormatting>
  <conditionalFormatting sqref="B41">
    <cfRule type="cellIs" dxfId="4479" priority="2371" stopIfTrue="1" operator="equal">
      <formula>"Towel"</formula>
    </cfRule>
    <cfRule type="cellIs" dxfId="4478" priority="2372" stopIfTrue="1" operator="equal">
      <formula>"Napkin Hs"</formula>
    </cfRule>
  </conditionalFormatting>
  <conditionalFormatting sqref="C41">
    <cfRule type="cellIs" dxfId="4477" priority="2373" stopIfTrue="1" operator="equal">
      <formula>"Towel"</formula>
    </cfRule>
    <cfRule type="cellIs" dxfId="4476" priority="2374" stopIfTrue="1" operator="equal">
      <formula>"Napkin Hs"</formula>
    </cfRule>
  </conditionalFormatting>
  <conditionalFormatting sqref="C41">
    <cfRule type="cellIs" dxfId="4475" priority="2382" stopIfTrue="1" operator="equal">
      <formula>"Napkin Hs"</formula>
    </cfRule>
  </conditionalFormatting>
  <conditionalFormatting sqref="C41">
    <cfRule type="cellIs" dxfId="4474" priority="2381" stopIfTrue="1" operator="equal">
      <formula>"Towel"</formula>
    </cfRule>
  </conditionalFormatting>
  <conditionalFormatting sqref="C41">
    <cfRule type="cellIs" dxfId="4473" priority="2377" stopIfTrue="1" operator="equal">
      <formula>"Towel"</formula>
    </cfRule>
    <cfRule type="cellIs" dxfId="4472" priority="2378" stopIfTrue="1" operator="equal">
      <formula>"Napkin Hs"</formula>
    </cfRule>
  </conditionalFormatting>
  <conditionalFormatting sqref="C41">
    <cfRule type="cellIs" dxfId="4471" priority="2376" stopIfTrue="1" operator="equal">
      <formula>"Napkin Hs"</formula>
    </cfRule>
  </conditionalFormatting>
  <conditionalFormatting sqref="C41">
    <cfRule type="cellIs" dxfId="4470" priority="2375" stopIfTrue="1" operator="equal">
      <formula>"Towel"</formula>
    </cfRule>
  </conditionalFormatting>
  <conditionalFormatting sqref="B41:C41">
    <cfRule type="cellIs" dxfId="4469" priority="2367" stopIfTrue="1" operator="equal">
      <formula>"Towel"</formula>
    </cfRule>
    <cfRule type="cellIs" dxfId="4468" priority="2368" stopIfTrue="1" operator="equal">
      <formula>"Napkin Hs"</formula>
    </cfRule>
  </conditionalFormatting>
  <conditionalFormatting sqref="C41">
    <cfRule type="cellIs" dxfId="4467" priority="2366" stopIfTrue="1" operator="equal">
      <formula>"Napkin Hs"</formula>
    </cfRule>
  </conditionalFormatting>
  <conditionalFormatting sqref="C41">
    <cfRule type="cellIs" dxfId="4466" priority="2365" stopIfTrue="1" operator="equal">
      <formula>"Towel"</formula>
    </cfRule>
  </conditionalFormatting>
  <conditionalFormatting sqref="C41">
    <cfRule type="cellIs" dxfId="4465" priority="2363" stopIfTrue="1" operator="equal">
      <formula>"Towel"</formula>
    </cfRule>
    <cfRule type="cellIs" dxfId="4464" priority="2364" stopIfTrue="1" operator="equal">
      <formula>"Napkin Hs"</formula>
    </cfRule>
  </conditionalFormatting>
  <conditionalFormatting sqref="B41:C41">
    <cfRule type="cellIs" dxfId="4463" priority="2361" stopIfTrue="1" operator="equal">
      <formula>"Towel"</formula>
    </cfRule>
    <cfRule type="cellIs" dxfId="4462" priority="2362" stopIfTrue="1" operator="equal">
      <formula>"Napkin Hs"</formula>
    </cfRule>
  </conditionalFormatting>
  <conditionalFormatting sqref="C41">
    <cfRule type="cellIs" dxfId="4461" priority="2359" stopIfTrue="1" operator="equal">
      <formula>"Towel"</formula>
    </cfRule>
    <cfRule type="cellIs" dxfId="4460" priority="2360" stopIfTrue="1" operator="equal">
      <formula>"Napkin Hs"</formula>
    </cfRule>
  </conditionalFormatting>
  <conditionalFormatting sqref="C41">
    <cfRule type="cellIs" dxfId="4459" priority="2357" stopIfTrue="1" operator="equal">
      <formula>"Towel"</formula>
    </cfRule>
    <cfRule type="cellIs" dxfId="4458" priority="2358" stopIfTrue="1" operator="equal">
      <formula>"Napkin Hs"</formula>
    </cfRule>
  </conditionalFormatting>
  <conditionalFormatting sqref="C41">
    <cfRule type="cellIs" dxfId="4457" priority="2351" stopIfTrue="1" operator="equal">
      <formula>"Towel"</formula>
    </cfRule>
    <cfRule type="cellIs" dxfId="4456" priority="2352" stopIfTrue="1" operator="equal">
      <formula>"Napkin Hs"</formula>
    </cfRule>
  </conditionalFormatting>
  <conditionalFormatting sqref="B41">
    <cfRule type="cellIs" dxfId="4455" priority="2341" stopIfTrue="1" operator="equal">
      <formula>"Towel"</formula>
    </cfRule>
    <cfRule type="cellIs" dxfId="4454" priority="2342" stopIfTrue="1" operator="equal">
      <formula>"Napkin Hs"</formula>
    </cfRule>
  </conditionalFormatting>
  <conditionalFormatting sqref="C41">
    <cfRule type="cellIs" dxfId="4453" priority="2345" stopIfTrue="1" operator="equal">
      <formula>"Towel"</formula>
    </cfRule>
    <cfRule type="cellIs" dxfId="4452" priority="2346" stopIfTrue="1" operator="equal">
      <formula>"Napkin Hs"</formula>
    </cfRule>
  </conditionalFormatting>
  <conditionalFormatting sqref="C41">
    <cfRule type="cellIs" dxfId="4451" priority="2355" stopIfTrue="1" operator="equal">
      <formula>"Towel"</formula>
    </cfRule>
    <cfRule type="cellIs" dxfId="4450" priority="2356" stopIfTrue="1" operator="equal">
      <formula>"Napkin Hs"</formula>
    </cfRule>
  </conditionalFormatting>
  <conditionalFormatting sqref="B41">
    <cfRule type="cellIs" dxfId="4449" priority="2343" stopIfTrue="1" operator="equal">
      <formula>"Towel"</formula>
    </cfRule>
    <cfRule type="cellIs" dxfId="4448" priority="2344" stopIfTrue="1" operator="equal">
      <formula>"Napkin Hs"</formula>
    </cfRule>
  </conditionalFormatting>
  <conditionalFormatting sqref="C41">
    <cfRule type="cellIs" dxfId="4447" priority="2354" stopIfTrue="1" operator="equal">
      <formula>"Napkin Hs"</formula>
    </cfRule>
  </conditionalFormatting>
  <conditionalFormatting sqref="C41">
    <cfRule type="cellIs" dxfId="4446" priority="2353" stopIfTrue="1" operator="equal">
      <formula>"Towel"</formula>
    </cfRule>
  </conditionalFormatting>
  <conditionalFormatting sqref="C41">
    <cfRule type="cellIs" dxfId="4445" priority="2349" stopIfTrue="1" operator="equal">
      <formula>"Towel"</formula>
    </cfRule>
    <cfRule type="cellIs" dxfId="4444" priority="2350" stopIfTrue="1" operator="equal">
      <formula>"Napkin Hs"</formula>
    </cfRule>
  </conditionalFormatting>
  <conditionalFormatting sqref="C41">
    <cfRule type="cellIs" dxfId="4443" priority="2348" stopIfTrue="1" operator="equal">
      <formula>"Napkin Hs"</formula>
    </cfRule>
  </conditionalFormatting>
  <conditionalFormatting sqref="C41">
    <cfRule type="cellIs" dxfId="4442" priority="2347" stopIfTrue="1" operator="equal">
      <formula>"Towel"</formula>
    </cfRule>
  </conditionalFormatting>
  <conditionalFormatting sqref="C41">
    <cfRule type="cellIs" dxfId="4441" priority="2340" stopIfTrue="1" operator="equal">
      <formula>"Napkin Hs"</formula>
    </cfRule>
  </conditionalFormatting>
  <conditionalFormatting sqref="C41">
    <cfRule type="cellIs" dxfId="4440" priority="2339" stopIfTrue="1" operator="equal">
      <formula>"Napkin Hs"</formula>
    </cfRule>
  </conditionalFormatting>
  <conditionalFormatting sqref="B48:C49">
    <cfRule type="cellIs" dxfId="4439" priority="2337" stopIfTrue="1" operator="equal">
      <formula>"Towel"</formula>
    </cfRule>
    <cfRule type="cellIs" dxfId="4438" priority="2338" stopIfTrue="1" operator="equal">
      <formula>"Napkin Hs"</formula>
    </cfRule>
  </conditionalFormatting>
  <conditionalFormatting sqref="C48:C49">
    <cfRule type="cellIs" dxfId="4437" priority="2336" stopIfTrue="1" operator="equal">
      <formula>"Napkin Hs"</formula>
    </cfRule>
  </conditionalFormatting>
  <conditionalFormatting sqref="C48:C49">
    <cfRule type="cellIs" dxfId="4436" priority="2333" stopIfTrue="1" operator="equal">
      <formula>"Towel"</formula>
    </cfRule>
    <cfRule type="cellIs" dxfId="4435" priority="2334" stopIfTrue="1" operator="equal">
      <formula>"Napkin Hs"</formula>
    </cfRule>
  </conditionalFormatting>
  <conditionalFormatting sqref="C48:C49">
    <cfRule type="cellIs" dxfId="4434" priority="2335" stopIfTrue="1" operator="equal">
      <formula>"Towel"</formula>
    </cfRule>
  </conditionalFormatting>
  <conditionalFormatting sqref="B46:B47">
    <cfRule type="cellIs" dxfId="4433" priority="2301" stopIfTrue="1" operator="equal">
      <formula>"Towel"</formula>
    </cfRule>
    <cfRule type="cellIs" dxfId="4432" priority="2302" stopIfTrue="1" operator="equal">
      <formula>"Napkin Hs"</formula>
    </cfRule>
  </conditionalFormatting>
  <conditionalFormatting sqref="C46:C47">
    <cfRule type="cellIs" dxfId="4431" priority="2315" stopIfTrue="1" operator="equal">
      <formula>"Towel"</formula>
    </cfRule>
    <cfRule type="cellIs" dxfId="4430" priority="2316" stopIfTrue="1" operator="equal">
      <formula>"Napkin Hs"</formula>
    </cfRule>
  </conditionalFormatting>
  <conditionalFormatting sqref="C46:C47">
    <cfRule type="cellIs" dxfId="4429" priority="2311" stopIfTrue="1" operator="equal">
      <formula>"Towel"</formula>
    </cfRule>
    <cfRule type="cellIs" dxfId="4428" priority="2312" stopIfTrue="1" operator="equal">
      <formula>"Napkin Hs"</formula>
    </cfRule>
  </conditionalFormatting>
  <conditionalFormatting sqref="B46:B47">
    <cfRule type="cellIs" dxfId="4427" priority="2303" stopIfTrue="1" operator="equal">
      <formula>"Towel"</formula>
    </cfRule>
    <cfRule type="cellIs" dxfId="4426" priority="2304" stopIfTrue="1" operator="equal">
      <formula>"Napkin Hs"</formula>
    </cfRule>
  </conditionalFormatting>
  <conditionalFormatting sqref="C46:C47">
    <cfRule type="cellIs" dxfId="4425" priority="2305" stopIfTrue="1" operator="equal">
      <formula>"Towel"</formula>
    </cfRule>
    <cfRule type="cellIs" dxfId="4424" priority="2306" stopIfTrue="1" operator="equal">
      <formula>"Napkin Hs"</formula>
    </cfRule>
  </conditionalFormatting>
  <conditionalFormatting sqref="C46:C47">
    <cfRule type="cellIs" dxfId="4423" priority="2314" stopIfTrue="1" operator="equal">
      <formula>"Napkin Hs"</formula>
    </cfRule>
  </conditionalFormatting>
  <conditionalFormatting sqref="C46:C47">
    <cfRule type="cellIs" dxfId="4422" priority="2313" stopIfTrue="1" operator="equal">
      <formula>"Towel"</formula>
    </cfRule>
  </conditionalFormatting>
  <conditionalFormatting sqref="C46:C47">
    <cfRule type="cellIs" dxfId="4421" priority="2309" stopIfTrue="1" operator="equal">
      <formula>"Towel"</formula>
    </cfRule>
    <cfRule type="cellIs" dxfId="4420" priority="2310" stopIfTrue="1" operator="equal">
      <formula>"Napkin Hs"</formula>
    </cfRule>
  </conditionalFormatting>
  <conditionalFormatting sqref="C46:C47">
    <cfRule type="cellIs" dxfId="4419" priority="2308" stopIfTrue="1" operator="equal">
      <formula>"Napkin Hs"</formula>
    </cfRule>
  </conditionalFormatting>
  <conditionalFormatting sqref="C46:C47">
    <cfRule type="cellIs" dxfId="4418" priority="2307" stopIfTrue="1" operator="equal">
      <formula>"Towel"</formula>
    </cfRule>
  </conditionalFormatting>
  <conditionalFormatting sqref="B46:C47">
    <cfRule type="cellIs" dxfId="4417" priority="2299" stopIfTrue="1" operator="equal">
      <formula>"Towel"</formula>
    </cfRule>
    <cfRule type="cellIs" dxfId="4416" priority="2300" stopIfTrue="1" operator="equal">
      <formula>"Napkin Hs"</formula>
    </cfRule>
  </conditionalFormatting>
  <conditionalFormatting sqref="C46:C47">
    <cfRule type="cellIs" dxfId="4415" priority="2298" stopIfTrue="1" operator="equal">
      <formula>"Napkin Hs"</formula>
    </cfRule>
  </conditionalFormatting>
  <conditionalFormatting sqref="C46:C47">
    <cfRule type="cellIs" dxfId="4414" priority="2297" stopIfTrue="1" operator="equal">
      <formula>"Towel"</formula>
    </cfRule>
  </conditionalFormatting>
  <conditionalFormatting sqref="C46:C47">
    <cfRule type="cellIs" dxfId="4413" priority="2295" stopIfTrue="1" operator="equal">
      <formula>"Towel"</formula>
    </cfRule>
    <cfRule type="cellIs" dxfId="4412" priority="2296" stopIfTrue="1" operator="equal">
      <formula>"Napkin Hs"</formula>
    </cfRule>
  </conditionalFormatting>
  <conditionalFormatting sqref="B46:C47">
    <cfRule type="cellIs" dxfId="4411" priority="2293" stopIfTrue="1" operator="equal">
      <formula>"Towel"</formula>
    </cfRule>
    <cfRule type="cellIs" dxfId="4410" priority="2294" stopIfTrue="1" operator="equal">
      <formula>"Napkin Hs"</formula>
    </cfRule>
  </conditionalFormatting>
  <conditionalFormatting sqref="C46:C47">
    <cfRule type="cellIs" dxfId="4409" priority="2291" stopIfTrue="1" operator="equal">
      <formula>"Towel"</formula>
    </cfRule>
    <cfRule type="cellIs" dxfId="4408" priority="2292" stopIfTrue="1" operator="equal">
      <formula>"Napkin Hs"</formula>
    </cfRule>
  </conditionalFormatting>
  <conditionalFormatting sqref="C46:C47">
    <cfRule type="cellIs" dxfId="4407" priority="2289" stopIfTrue="1" operator="equal">
      <formula>"Towel"</formula>
    </cfRule>
    <cfRule type="cellIs" dxfId="4406" priority="2290" stopIfTrue="1" operator="equal">
      <formula>"Napkin Hs"</formula>
    </cfRule>
  </conditionalFormatting>
  <conditionalFormatting sqref="C46:C47">
    <cfRule type="cellIs" dxfId="4405" priority="2283" stopIfTrue="1" operator="equal">
      <formula>"Towel"</formula>
    </cfRule>
    <cfRule type="cellIs" dxfId="4404" priority="2284" stopIfTrue="1" operator="equal">
      <formula>"Napkin Hs"</formula>
    </cfRule>
  </conditionalFormatting>
  <conditionalFormatting sqref="B46:B47">
    <cfRule type="cellIs" dxfId="4403" priority="2273" stopIfTrue="1" operator="equal">
      <formula>"Towel"</formula>
    </cfRule>
    <cfRule type="cellIs" dxfId="4402" priority="2274" stopIfTrue="1" operator="equal">
      <formula>"Napkin Hs"</formula>
    </cfRule>
  </conditionalFormatting>
  <conditionalFormatting sqref="C46:C47">
    <cfRule type="cellIs" dxfId="4401" priority="2277" stopIfTrue="1" operator="equal">
      <formula>"Towel"</formula>
    </cfRule>
    <cfRule type="cellIs" dxfId="4400" priority="2278" stopIfTrue="1" operator="equal">
      <formula>"Napkin Hs"</formula>
    </cfRule>
  </conditionalFormatting>
  <conditionalFormatting sqref="C46:C47">
    <cfRule type="cellIs" dxfId="4399" priority="2287" stopIfTrue="1" operator="equal">
      <formula>"Towel"</formula>
    </cfRule>
    <cfRule type="cellIs" dxfId="4398" priority="2288" stopIfTrue="1" operator="equal">
      <formula>"Napkin Hs"</formula>
    </cfRule>
  </conditionalFormatting>
  <conditionalFormatting sqref="B46:B47">
    <cfRule type="cellIs" dxfId="4397" priority="2275" stopIfTrue="1" operator="equal">
      <formula>"Towel"</formula>
    </cfRule>
    <cfRule type="cellIs" dxfId="4396" priority="2276" stopIfTrue="1" operator="equal">
      <formula>"Napkin Hs"</formula>
    </cfRule>
  </conditionalFormatting>
  <conditionalFormatting sqref="C46:C47">
    <cfRule type="cellIs" dxfId="4395" priority="2286" stopIfTrue="1" operator="equal">
      <formula>"Napkin Hs"</formula>
    </cfRule>
  </conditionalFormatting>
  <conditionalFormatting sqref="C46:C47">
    <cfRule type="cellIs" dxfId="4394" priority="2285" stopIfTrue="1" operator="equal">
      <formula>"Towel"</formula>
    </cfRule>
  </conditionalFormatting>
  <conditionalFormatting sqref="C46:C47">
    <cfRule type="cellIs" dxfId="4393" priority="2281" stopIfTrue="1" operator="equal">
      <formula>"Towel"</formula>
    </cfRule>
    <cfRule type="cellIs" dxfId="4392" priority="2282" stopIfTrue="1" operator="equal">
      <formula>"Napkin Hs"</formula>
    </cfRule>
  </conditionalFormatting>
  <conditionalFormatting sqref="C46:C47">
    <cfRule type="cellIs" dxfId="4391" priority="2280" stopIfTrue="1" operator="equal">
      <formula>"Napkin Hs"</formula>
    </cfRule>
  </conditionalFormatting>
  <conditionalFormatting sqref="C46:C47">
    <cfRule type="cellIs" dxfId="4390" priority="2279" stopIfTrue="1" operator="equal">
      <formula>"Towel"</formula>
    </cfRule>
  </conditionalFormatting>
  <conditionalFormatting sqref="C46:C47">
    <cfRule type="cellIs" dxfId="4389" priority="2272" stopIfTrue="1" operator="equal">
      <formula>"Napkin Hs"</formula>
    </cfRule>
  </conditionalFormatting>
  <conditionalFormatting sqref="C46:C47">
    <cfRule type="cellIs" dxfId="4388" priority="2271" stopIfTrue="1" operator="equal">
      <formula>"Napkin Hs"</formula>
    </cfRule>
  </conditionalFormatting>
  <conditionalFormatting sqref="B54:C55">
    <cfRule type="cellIs" dxfId="4387" priority="2269" stopIfTrue="1" operator="equal">
      <formula>"Towel"</formula>
    </cfRule>
    <cfRule type="cellIs" dxfId="4386" priority="2270" stopIfTrue="1" operator="equal">
      <formula>"Napkin Hs"</formula>
    </cfRule>
  </conditionalFormatting>
  <conditionalFormatting sqref="C54:C55">
    <cfRule type="cellIs" dxfId="4385" priority="2268" stopIfTrue="1" operator="equal">
      <formula>"Napkin Hs"</formula>
    </cfRule>
  </conditionalFormatting>
  <conditionalFormatting sqref="C54:C55">
    <cfRule type="cellIs" dxfId="4384" priority="2265" stopIfTrue="1" operator="equal">
      <formula>"Towel"</formula>
    </cfRule>
    <cfRule type="cellIs" dxfId="4383" priority="2266" stopIfTrue="1" operator="equal">
      <formula>"Napkin Hs"</formula>
    </cfRule>
  </conditionalFormatting>
  <conditionalFormatting sqref="C54:C55">
    <cfRule type="cellIs" dxfId="4382" priority="2267" stopIfTrue="1" operator="equal">
      <formula>"Towel"</formula>
    </cfRule>
  </conditionalFormatting>
  <conditionalFormatting sqref="C53">
    <cfRule type="cellIs" dxfId="4381" priority="2263" stopIfTrue="1" operator="equal">
      <formula>"Towel"</formula>
    </cfRule>
    <cfRule type="cellIs" dxfId="4380" priority="2264" stopIfTrue="1" operator="equal">
      <formula>"Napkin Hs"</formula>
    </cfRule>
  </conditionalFormatting>
  <conditionalFormatting sqref="C53">
    <cfRule type="cellIs" dxfId="4379" priority="2259" stopIfTrue="1" operator="equal">
      <formula>"Towel"</formula>
    </cfRule>
    <cfRule type="cellIs" dxfId="4378" priority="2260" stopIfTrue="1" operator="equal">
      <formula>"Napkin Hs"</formula>
    </cfRule>
  </conditionalFormatting>
  <conditionalFormatting sqref="C53">
    <cfRule type="cellIs" dxfId="4377" priority="2253" stopIfTrue="1" operator="equal">
      <formula>"Towel"</formula>
    </cfRule>
    <cfRule type="cellIs" dxfId="4376" priority="2254" stopIfTrue="1" operator="equal">
      <formula>"Napkin Hs"</formula>
    </cfRule>
  </conditionalFormatting>
  <conditionalFormatting sqref="C53">
    <cfRule type="cellIs" dxfId="4375" priority="2262" stopIfTrue="1" operator="equal">
      <formula>"Napkin Hs"</formula>
    </cfRule>
  </conditionalFormatting>
  <conditionalFormatting sqref="C53">
    <cfRule type="cellIs" dxfId="4374" priority="2261" stopIfTrue="1" operator="equal">
      <formula>"Towel"</formula>
    </cfRule>
  </conditionalFormatting>
  <conditionalFormatting sqref="C53">
    <cfRule type="cellIs" dxfId="4373" priority="2257" stopIfTrue="1" operator="equal">
      <formula>"Towel"</formula>
    </cfRule>
    <cfRule type="cellIs" dxfId="4372" priority="2258" stopIfTrue="1" operator="equal">
      <formula>"Napkin Hs"</formula>
    </cfRule>
  </conditionalFormatting>
  <conditionalFormatting sqref="C53">
    <cfRule type="cellIs" dxfId="4371" priority="2256" stopIfTrue="1" operator="equal">
      <formula>"Napkin Hs"</formula>
    </cfRule>
  </conditionalFormatting>
  <conditionalFormatting sqref="C53">
    <cfRule type="cellIs" dxfId="4370" priority="2255" stopIfTrue="1" operator="equal">
      <formula>"Towel"</formula>
    </cfRule>
  </conditionalFormatting>
  <conditionalFormatting sqref="B52:B53">
    <cfRule type="cellIs" dxfId="4369" priority="2187" stopIfTrue="1" operator="equal">
      <formula>"Towel"</formula>
    </cfRule>
    <cfRule type="cellIs" dxfId="4368" priority="2188" stopIfTrue="1" operator="equal">
      <formula>"Napkin Hs"</formula>
    </cfRule>
  </conditionalFormatting>
  <conditionalFormatting sqref="C52">
    <cfRule type="cellIs" dxfId="4367" priority="2201" stopIfTrue="1" operator="equal">
      <formula>"Towel"</formula>
    </cfRule>
    <cfRule type="cellIs" dxfId="4366" priority="2202" stopIfTrue="1" operator="equal">
      <formula>"Napkin Hs"</formula>
    </cfRule>
  </conditionalFormatting>
  <conditionalFormatting sqref="C52">
    <cfRule type="cellIs" dxfId="4365" priority="2197" stopIfTrue="1" operator="equal">
      <formula>"Towel"</formula>
    </cfRule>
    <cfRule type="cellIs" dxfId="4364" priority="2198" stopIfTrue="1" operator="equal">
      <formula>"Napkin Hs"</formula>
    </cfRule>
  </conditionalFormatting>
  <conditionalFormatting sqref="B52:B53">
    <cfRule type="cellIs" dxfId="4363" priority="2189" stopIfTrue="1" operator="equal">
      <formula>"Towel"</formula>
    </cfRule>
    <cfRule type="cellIs" dxfId="4362" priority="2190" stopIfTrue="1" operator="equal">
      <formula>"Napkin Hs"</formula>
    </cfRule>
  </conditionalFormatting>
  <conditionalFormatting sqref="C52">
    <cfRule type="cellIs" dxfId="4361" priority="2191" stopIfTrue="1" operator="equal">
      <formula>"Towel"</formula>
    </cfRule>
    <cfRule type="cellIs" dxfId="4360" priority="2192" stopIfTrue="1" operator="equal">
      <formula>"Napkin Hs"</formula>
    </cfRule>
  </conditionalFormatting>
  <conditionalFormatting sqref="C52">
    <cfRule type="cellIs" dxfId="4359" priority="2200" stopIfTrue="1" operator="equal">
      <formula>"Napkin Hs"</formula>
    </cfRule>
  </conditionalFormatting>
  <conditionalFormatting sqref="C52">
    <cfRule type="cellIs" dxfId="4358" priority="2199" stopIfTrue="1" operator="equal">
      <formula>"Towel"</formula>
    </cfRule>
  </conditionalFormatting>
  <conditionalFormatting sqref="C52">
    <cfRule type="cellIs" dxfId="4357" priority="2195" stopIfTrue="1" operator="equal">
      <formula>"Towel"</formula>
    </cfRule>
    <cfRule type="cellIs" dxfId="4356" priority="2196" stopIfTrue="1" operator="equal">
      <formula>"Napkin Hs"</formula>
    </cfRule>
  </conditionalFormatting>
  <conditionalFormatting sqref="C52">
    <cfRule type="cellIs" dxfId="4355" priority="2194" stopIfTrue="1" operator="equal">
      <formula>"Napkin Hs"</formula>
    </cfRule>
  </conditionalFormatting>
  <conditionalFormatting sqref="C52">
    <cfRule type="cellIs" dxfId="4354" priority="2193" stopIfTrue="1" operator="equal">
      <formula>"Towel"</formula>
    </cfRule>
  </conditionalFormatting>
  <conditionalFormatting sqref="B52:C52 B53">
    <cfRule type="cellIs" dxfId="4353" priority="2185" stopIfTrue="1" operator="equal">
      <formula>"Towel"</formula>
    </cfRule>
    <cfRule type="cellIs" dxfId="4352" priority="2186" stopIfTrue="1" operator="equal">
      <formula>"Napkin Hs"</formula>
    </cfRule>
  </conditionalFormatting>
  <conditionalFormatting sqref="C52">
    <cfRule type="cellIs" dxfId="4351" priority="2184" stopIfTrue="1" operator="equal">
      <formula>"Napkin Hs"</formula>
    </cfRule>
  </conditionalFormatting>
  <conditionalFormatting sqref="C52">
    <cfRule type="cellIs" dxfId="4350" priority="2183" stopIfTrue="1" operator="equal">
      <formula>"Towel"</formula>
    </cfRule>
  </conditionalFormatting>
  <conditionalFormatting sqref="C52">
    <cfRule type="cellIs" dxfId="4349" priority="2181" stopIfTrue="1" operator="equal">
      <formula>"Towel"</formula>
    </cfRule>
    <cfRule type="cellIs" dxfId="4348" priority="2182" stopIfTrue="1" operator="equal">
      <formula>"Napkin Hs"</formula>
    </cfRule>
  </conditionalFormatting>
  <conditionalFormatting sqref="B52:C52 B53">
    <cfRule type="cellIs" dxfId="4347" priority="2179" stopIfTrue="1" operator="equal">
      <formula>"Towel"</formula>
    </cfRule>
    <cfRule type="cellIs" dxfId="4346" priority="2180" stopIfTrue="1" operator="equal">
      <formula>"Napkin Hs"</formula>
    </cfRule>
  </conditionalFormatting>
  <conditionalFormatting sqref="C52">
    <cfRule type="cellIs" dxfId="4345" priority="2177" stopIfTrue="1" operator="equal">
      <formula>"Towel"</formula>
    </cfRule>
    <cfRule type="cellIs" dxfId="4344" priority="2178" stopIfTrue="1" operator="equal">
      <formula>"Napkin Hs"</formula>
    </cfRule>
  </conditionalFormatting>
  <conditionalFormatting sqref="C52">
    <cfRule type="cellIs" dxfId="4343" priority="2175" stopIfTrue="1" operator="equal">
      <formula>"Towel"</formula>
    </cfRule>
    <cfRule type="cellIs" dxfId="4342" priority="2176" stopIfTrue="1" operator="equal">
      <formula>"Napkin Hs"</formula>
    </cfRule>
  </conditionalFormatting>
  <conditionalFormatting sqref="C52">
    <cfRule type="cellIs" dxfId="4341" priority="2169" stopIfTrue="1" operator="equal">
      <formula>"Towel"</formula>
    </cfRule>
    <cfRule type="cellIs" dxfId="4340" priority="2170" stopIfTrue="1" operator="equal">
      <formula>"Napkin Hs"</formula>
    </cfRule>
  </conditionalFormatting>
  <conditionalFormatting sqref="B52:B53">
    <cfRule type="cellIs" dxfId="4339" priority="2159" stopIfTrue="1" operator="equal">
      <formula>"Towel"</formula>
    </cfRule>
    <cfRule type="cellIs" dxfId="4338" priority="2160" stopIfTrue="1" operator="equal">
      <formula>"Napkin Hs"</formula>
    </cfRule>
  </conditionalFormatting>
  <conditionalFormatting sqref="C52">
    <cfRule type="cellIs" dxfId="4337" priority="2163" stopIfTrue="1" operator="equal">
      <formula>"Towel"</formula>
    </cfRule>
    <cfRule type="cellIs" dxfId="4336" priority="2164" stopIfTrue="1" operator="equal">
      <formula>"Napkin Hs"</formula>
    </cfRule>
  </conditionalFormatting>
  <conditionalFormatting sqref="C52">
    <cfRule type="cellIs" dxfId="4335" priority="2173" stopIfTrue="1" operator="equal">
      <formula>"Towel"</formula>
    </cfRule>
    <cfRule type="cellIs" dxfId="4334" priority="2174" stopIfTrue="1" operator="equal">
      <formula>"Napkin Hs"</formula>
    </cfRule>
  </conditionalFormatting>
  <conditionalFormatting sqref="B52:B53">
    <cfRule type="cellIs" dxfId="4333" priority="2161" stopIfTrue="1" operator="equal">
      <formula>"Towel"</formula>
    </cfRule>
    <cfRule type="cellIs" dxfId="4332" priority="2162" stopIfTrue="1" operator="equal">
      <formula>"Napkin Hs"</formula>
    </cfRule>
  </conditionalFormatting>
  <conditionalFormatting sqref="C52">
    <cfRule type="cellIs" dxfId="4331" priority="2172" stopIfTrue="1" operator="equal">
      <formula>"Napkin Hs"</formula>
    </cfRule>
  </conditionalFormatting>
  <conditionalFormatting sqref="C52">
    <cfRule type="cellIs" dxfId="4330" priority="2171" stopIfTrue="1" operator="equal">
      <formula>"Towel"</formula>
    </cfRule>
  </conditionalFormatting>
  <conditionalFormatting sqref="C52">
    <cfRule type="cellIs" dxfId="4329" priority="2167" stopIfTrue="1" operator="equal">
      <formula>"Towel"</formula>
    </cfRule>
    <cfRule type="cellIs" dxfId="4328" priority="2168" stopIfTrue="1" operator="equal">
      <formula>"Napkin Hs"</formula>
    </cfRule>
  </conditionalFormatting>
  <conditionalFormatting sqref="C52">
    <cfRule type="cellIs" dxfId="4327" priority="2166" stopIfTrue="1" operator="equal">
      <formula>"Napkin Hs"</formula>
    </cfRule>
  </conditionalFormatting>
  <conditionalFormatting sqref="C52">
    <cfRule type="cellIs" dxfId="4326" priority="2165" stopIfTrue="1" operator="equal">
      <formula>"Towel"</formula>
    </cfRule>
  </conditionalFormatting>
  <conditionalFormatting sqref="C52">
    <cfRule type="cellIs" dxfId="4325" priority="2158" stopIfTrue="1" operator="equal">
      <formula>"Napkin Hs"</formula>
    </cfRule>
  </conditionalFormatting>
  <conditionalFormatting sqref="C52">
    <cfRule type="cellIs" dxfId="4324" priority="2157" stopIfTrue="1" operator="equal">
      <formula>"Napkin Hs"</formula>
    </cfRule>
  </conditionalFormatting>
  <conditionalFormatting sqref="B59:C60">
    <cfRule type="cellIs" dxfId="4323" priority="2155" stopIfTrue="1" operator="equal">
      <formula>"Towel"</formula>
    </cfRule>
    <cfRule type="cellIs" dxfId="4322" priority="2156" stopIfTrue="1" operator="equal">
      <formula>"Napkin Hs"</formula>
    </cfRule>
  </conditionalFormatting>
  <conditionalFormatting sqref="C59:C60">
    <cfRule type="cellIs" dxfId="4321" priority="2154" stopIfTrue="1" operator="equal">
      <formula>"Napkin Hs"</formula>
    </cfRule>
  </conditionalFormatting>
  <conditionalFormatting sqref="C59:C60">
    <cfRule type="cellIs" dxfId="4320" priority="2151" stopIfTrue="1" operator="equal">
      <formula>"Towel"</formula>
    </cfRule>
    <cfRule type="cellIs" dxfId="4319" priority="2152" stopIfTrue="1" operator="equal">
      <formula>"Napkin Hs"</formula>
    </cfRule>
  </conditionalFormatting>
  <conditionalFormatting sqref="C59:C60">
    <cfRule type="cellIs" dxfId="4318" priority="2153" stopIfTrue="1" operator="equal">
      <formula>"Towel"</formula>
    </cfRule>
  </conditionalFormatting>
  <conditionalFormatting sqref="C58">
    <cfRule type="cellIs" dxfId="4317" priority="2149" stopIfTrue="1" operator="equal">
      <formula>"Towel"</formula>
    </cfRule>
    <cfRule type="cellIs" dxfId="4316" priority="2150" stopIfTrue="1" operator="equal">
      <formula>"Napkin Hs"</formula>
    </cfRule>
  </conditionalFormatting>
  <conditionalFormatting sqref="C58">
    <cfRule type="cellIs" dxfId="4315" priority="2145" stopIfTrue="1" operator="equal">
      <formula>"Towel"</formula>
    </cfRule>
    <cfRule type="cellIs" dxfId="4314" priority="2146" stopIfTrue="1" operator="equal">
      <formula>"Napkin Hs"</formula>
    </cfRule>
  </conditionalFormatting>
  <conditionalFormatting sqref="C58">
    <cfRule type="cellIs" dxfId="4313" priority="2139" stopIfTrue="1" operator="equal">
      <formula>"Towel"</formula>
    </cfRule>
    <cfRule type="cellIs" dxfId="4312" priority="2140" stopIfTrue="1" operator="equal">
      <formula>"Napkin Hs"</formula>
    </cfRule>
  </conditionalFormatting>
  <conditionalFormatting sqref="C58">
    <cfRule type="cellIs" dxfId="4311" priority="2148" stopIfTrue="1" operator="equal">
      <formula>"Napkin Hs"</formula>
    </cfRule>
  </conditionalFormatting>
  <conditionalFormatting sqref="C58">
    <cfRule type="cellIs" dxfId="4310" priority="2147" stopIfTrue="1" operator="equal">
      <formula>"Towel"</formula>
    </cfRule>
  </conditionalFormatting>
  <conditionalFormatting sqref="C58">
    <cfRule type="cellIs" dxfId="4309" priority="2143" stopIfTrue="1" operator="equal">
      <formula>"Towel"</formula>
    </cfRule>
    <cfRule type="cellIs" dxfId="4308" priority="2144" stopIfTrue="1" operator="equal">
      <formula>"Napkin Hs"</formula>
    </cfRule>
  </conditionalFormatting>
  <conditionalFormatting sqref="C58">
    <cfRule type="cellIs" dxfId="4307" priority="2142" stopIfTrue="1" operator="equal">
      <formula>"Napkin Hs"</formula>
    </cfRule>
  </conditionalFormatting>
  <conditionalFormatting sqref="C58">
    <cfRule type="cellIs" dxfId="4306" priority="2141" stopIfTrue="1" operator="equal">
      <formula>"Towel"</formula>
    </cfRule>
  </conditionalFormatting>
  <conditionalFormatting sqref="B57:B58">
    <cfRule type="cellIs" dxfId="4305" priority="2123" stopIfTrue="1" operator="equal">
      <formula>"Towel"</formula>
    </cfRule>
    <cfRule type="cellIs" dxfId="4304" priority="2124" stopIfTrue="1" operator="equal">
      <formula>"Napkin Hs"</formula>
    </cfRule>
  </conditionalFormatting>
  <conditionalFormatting sqref="C57">
    <cfRule type="cellIs" dxfId="4303" priority="2137" stopIfTrue="1" operator="equal">
      <formula>"Towel"</formula>
    </cfRule>
    <cfRule type="cellIs" dxfId="4302" priority="2138" stopIfTrue="1" operator="equal">
      <formula>"Napkin Hs"</formula>
    </cfRule>
  </conditionalFormatting>
  <conditionalFormatting sqref="C57">
    <cfRule type="cellIs" dxfId="4301" priority="2133" stopIfTrue="1" operator="equal">
      <formula>"Towel"</formula>
    </cfRule>
    <cfRule type="cellIs" dxfId="4300" priority="2134" stopIfTrue="1" operator="equal">
      <formula>"Napkin Hs"</formula>
    </cfRule>
  </conditionalFormatting>
  <conditionalFormatting sqref="B57:B58">
    <cfRule type="cellIs" dxfId="4299" priority="2125" stopIfTrue="1" operator="equal">
      <formula>"Towel"</formula>
    </cfRule>
    <cfRule type="cellIs" dxfId="4298" priority="2126" stopIfTrue="1" operator="equal">
      <formula>"Napkin Hs"</formula>
    </cfRule>
  </conditionalFormatting>
  <conditionalFormatting sqref="C57">
    <cfRule type="cellIs" dxfId="4297" priority="2127" stopIfTrue="1" operator="equal">
      <formula>"Towel"</formula>
    </cfRule>
    <cfRule type="cellIs" dxfId="4296" priority="2128" stopIfTrue="1" operator="equal">
      <formula>"Napkin Hs"</formula>
    </cfRule>
  </conditionalFormatting>
  <conditionalFormatting sqref="C57">
    <cfRule type="cellIs" dxfId="4295" priority="2136" stopIfTrue="1" operator="equal">
      <formula>"Napkin Hs"</formula>
    </cfRule>
  </conditionalFormatting>
  <conditionalFormatting sqref="C57">
    <cfRule type="cellIs" dxfId="4294" priority="2135" stopIfTrue="1" operator="equal">
      <formula>"Towel"</formula>
    </cfRule>
  </conditionalFormatting>
  <conditionalFormatting sqref="C57">
    <cfRule type="cellIs" dxfId="4293" priority="2131" stopIfTrue="1" operator="equal">
      <formula>"Towel"</formula>
    </cfRule>
    <cfRule type="cellIs" dxfId="4292" priority="2132" stopIfTrue="1" operator="equal">
      <formula>"Napkin Hs"</formula>
    </cfRule>
  </conditionalFormatting>
  <conditionalFormatting sqref="C57">
    <cfRule type="cellIs" dxfId="4291" priority="2130" stopIfTrue="1" operator="equal">
      <formula>"Napkin Hs"</formula>
    </cfRule>
  </conditionalFormatting>
  <conditionalFormatting sqref="C57">
    <cfRule type="cellIs" dxfId="4290" priority="2129" stopIfTrue="1" operator="equal">
      <formula>"Towel"</formula>
    </cfRule>
  </conditionalFormatting>
  <conditionalFormatting sqref="B57:C57 B58">
    <cfRule type="cellIs" dxfId="4289" priority="2121" stopIfTrue="1" operator="equal">
      <formula>"Towel"</formula>
    </cfRule>
    <cfRule type="cellIs" dxfId="4288" priority="2122" stopIfTrue="1" operator="equal">
      <formula>"Napkin Hs"</formula>
    </cfRule>
  </conditionalFormatting>
  <conditionalFormatting sqref="C57">
    <cfRule type="cellIs" dxfId="4287" priority="2120" stopIfTrue="1" operator="equal">
      <formula>"Napkin Hs"</formula>
    </cfRule>
  </conditionalFormatting>
  <conditionalFormatting sqref="C57">
    <cfRule type="cellIs" dxfId="4286" priority="2119" stopIfTrue="1" operator="equal">
      <formula>"Towel"</formula>
    </cfRule>
  </conditionalFormatting>
  <conditionalFormatting sqref="C57">
    <cfRule type="cellIs" dxfId="4285" priority="2117" stopIfTrue="1" operator="equal">
      <formula>"Towel"</formula>
    </cfRule>
    <cfRule type="cellIs" dxfId="4284" priority="2118" stopIfTrue="1" operator="equal">
      <formula>"Napkin Hs"</formula>
    </cfRule>
  </conditionalFormatting>
  <conditionalFormatting sqref="B57:C57 B58">
    <cfRule type="cellIs" dxfId="4283" priority="2115" stopIfTrue="1" operator="equal">
      <formula>"Towel"</formula>
    </cfRule>
    <cfRule type="cellIs" dxfId="4282" priority="2116" stopIfTrue="1" operator="equal">
      <formula>"Napkin Hs"</formula>
    </cfRule>
  </conditionalFormatting>
  <conditionalFormatting sqref="C57">
    <cfRule type="cellIs" dxfId="4281" priority="2113" stopIfTrue="1" operator="equal">
      <formula>"Towel"</formula>
    </cfRule>
    <cfRule type="cellIs" dxfId="4280" priority="2114" stopIfTrue="1" operator="equal">
      <formula>"Napkin Hs"</formula>
    </cfRule>
  </conditionalFormatting>
  <conditionalFormatting sqref="C57">
    <cfRule type="cellIs" dxfId="4279" priority="2111" stopIfTrue="1" operator="equal">
      <formula>"Towel"</formula>
    </cfRule>
    <cfRule type="cellIs" dxfId="4278" priority="2112" stopIfTrue="1" operator="equal">
      <formula>"Napkin Hs"</formula>
    </cfRule>
  </conditionalFormatting>
  <conditionalFormatting sqref="C57">
    <cfRule type="cellIs" dxfId="4277" priority="2105" stopIfTrue="1" operator="equal">
      <formula>"Towel"</formula>
    </cfRule>
    <cfRule type="cellIs" dxfId="4276" priority="2106" stopIfTrue="1" operator="equal">
      <formula>"Napkin Hs"</formula>
    </cfRule>
  </conditionalFormatting>
  <conditionalFormatting sqref="B57:B58">
    <cfRule type="cellIs" dxfId="4275" priority="2095" stopIfTrue="1" operator="equal">
      <formula>"Towel"</formula>
    </cfRule>
    <cfRule type="cellIs" dxfId="4274" priority="2096" stopIfTrue="1" operator="equal">
      <formula>"Napkin Hs"</formula>
    </cfRule>
  </conditionalFormatting>
  <conditionalFormatting sqref="C57">
    <cfRule type="cellIs" dxfId="4273" priority="2099" stopIfTrue="1" operator="equal">
      <formula>"Towel"</formula>
    </cfRule>
    <cfRule type="cellIs" dxfId="4272" priority="2100" stopIfTrue="1" operator="equal">
      <formula>"Napkin Hs"</formula>
    </cfRule>
  </conditionalFormatting>
  <conditionalFormatting sqref="C57">
    <cfRule type="cellIs" dxfId="4271" priority="2109" stopIfTrue="1" operator="equal">
      <formula>"Towel"</formula>
    </cfRule>
    <cfRule type="cellIs" dxfId="4270" priority="2110" stopIfTrue="1" operator="equal">
      <formula>"Napkin Hs"</formula>
    </cfRule>
  </conditionalFormatting>
  <conditionalFormatting sqref="B57:B58">
    <cfRule type="cellIs" dxfId="4269" priority="2097" stopIfTrue="1" operator="equal">
      <formula>"Towel"</formula>
    </cfRule>
    <cfRule type="cellIs" dxfId="4268" priority="2098" stopIfTrue="1" operator="equal">
      <formula>"Napkin Hs"</formula>
    </cfRule>
  </conditionalFormatting>
  <conditionalFormatting sqref="C57">
    <cfRule type="cellIs" dxfId="4267" priority="2108" stopIfTrue="1" operator="equal">
      <formula>"Napkin Hs"</formula>
    </cfRule>
  </conditionalFormatting>
  <conditionalFormatting sqref="C57">
    <cfRule type="cellIs" dxfId="4266" priority="2107" stopIfTrue="1" operator="equal">
      <formula>"Towel"</formula>
    </cfRule>
  </conditionalFormatting>
  <conditionalFormatting sqref="C57">
    <cfRule type="cellIs" dxfId="4265" priority="2103" stopIfTrue="1" operator="equal">
      <formula>"Towel"</formula>
    </cfRule>
    <cfRule type="cellIs" dxfId="4264" priority="2104" stopIfTrue="1" operator="equal">
      <formula>"Napkin Hs"</formula>
    </cfRule>
  </conditionalFormatting>
  <conditionalFormatting sqref="C57">
    <cfRule type="cellIs" dxfId="4263" priority="2102" stopIfTrue="1" operator="equal">
      <formula>"Napkin Hs"</formula>
    </cfRule>
  </conditionalFormatting>
  <conditionalFormatting sqref="C57">
    <cfRule type="cellIs" dxfId="4262" priority="2101" stopIfTrue="1" operator="equal">
      <formula>"Towel"</formula>
    </cfRule>
  </conditionalFormatting>
  <conditionalFormatting sqref="C57">
    <cfRule type="cellIs" dxfId="4261" priority="2094" stopIfTrue="1" operator="equal">
      <formula>"Napkin Hs"</formula>
    </cfRule>
  </conditionalFormatting>
  <conditionalFormatting sqref="C57">
    <cfRule type="cellIs" dxfId="4260" priority="2093" stopIfTrue="1" operator="equal">
      <formula>"Napkin Hs"</formula>
    </cfRule>
  </conditionalFormatting>
  <conditionalFormatting sqref="B63:C64">
    <cfRule type="cellIs" dxfId="4259" priority="2091" stopIfTrue="1" operator="equal">
      <formula>"Towel"</formula>
    </cfRule>
    <cfRule type="cellIs" dxfId="4258" priority="2092" stopIfTrue="1" operator="equal">
      <formula>"Napkin Hs"</formula>
    </cfRule>
  </conditionalFormatting>
  <conditionalFormatting sqref="C63:C64">
    <cfRule type="cellIs" dxfId="4257" priority="2090" stopIfTrue="1" operator="equal">
      <formula>"Napkin Hs"</formula>
    </cfRule>
  </conditionalFormatting>
  <conditionalFormatting sqref="C63:C64">
    <cfRule type="cellIs" dxfId="4256" priority="2087" stopIfTrue="1" operator="equal">
      <formula>"Towel"</formula>
    </cfRule>
    <cfRule type="cellIs" dxfId="4255" priority="2088" stopIfTrue="1" operator="equal">
      <formula>"Napkin Hs"</formula>
    </cfRule>
  </conditionalFormatting>
  <conditionalFormatting sqref="C63:C64">
    <cfRule type="cellIs" dxfId="4254" priority="2089" stopIfTrue="1" operator="equal">
      <formula>"Towel"</formula>
    </cfRule>
  </conditionalFormatting>
  <conditionalFormatting sqref="C62">
    <cfRule type="cellIs" dxfId="4253" priority="2085" stopIfTrue="1" operator="equal">
      <formula>"Towel"</formula>
    </cfRule>
    <cfRule type="cellIs" dxfId="4252" priority="2086" stopIfTrue="1" operator="equal">
      <formula>"Napkin Hs"</formula>
    </cfRule>
  </conditionalFormatting>
  <conditionalFormatting sqref="C62">
    <cfRule type="cellIs" dxfId="4251" priority="2081" stopIfTrue="1" operator="equal">
      <formula>"Towel"</formula>
    </cfRule>
    <cfRule type="cellIs" dxfId="4250" priority="2082" stopIfTrue="1" operator="equal">
      <formula>"Napkin Hs"</formula>
    </cfRule>
  </conditionalFormatting>
  <conditionalFormatting sqref="C62">
    <cfRule type="cellIs" dxfId="4249" priority="2075" stopIfTrue="1" operator="equal">
      <formula>"Towel"</formula>
    </cfRule>
    <cfRule type="cellIs" dxfId="4248" priority="2076" stopIfTrue="1" operator="equal">
      <formula>"Napkin Hs"</formula>
    </cfRule>
  </conditionalFormatting>
  <conditionalFormatting sqref="C62">
    <cfRule type="cellIs" dxfId="4247" priority="2084" stopIfTrue="1" operator="equal">
      <formula>"Napkin Hs"</formula>
    </cfRule>
  </conditionalFormatting>
  <conditionalFormatting sqref="C62">
    <cfRule type="cellIs" dxfId="4246" priority="2083" stopIfTrue="1" operator="equal">
      <formula>"Towel"</formula>
    </cfRule>
  </conditionalFormatting>
  <conditionalFormatting sqref="C62">
    <cfRule type="cellIs" dxfId="4245" priority="2079" stopIfTrue="1" operator="equal">
      <formula>"Towel"</formula>
    </cfRule>
    <cfRule type="cellIs" dxfId="4244" priority="2080" stopIfTrue="1" operator="equal">
      <formula>"Napkin Hs"</formula>
    </cfRule>
  </conditionalFormatting>
  <conditionalFormatting sqref="C62">
    <cfRule type="cellIs" dxfId="4243" priority="2078" stopIfTrue="1" operator="equal">
      <formula>"Napkin Hs"</formula>
    </cfRule>
  </conditionalFormatting>
  <conditionalFormatting sqref="C62">
    <cfRule type="cellIs" dxfId="4242" priority="2077" stopIfTrue="1" operator="equal">
      <formula>"Towel"</formula>
    </cfRule>
  </conditionalFormatting>
  <conditionalFormatting sqref="B61:B62">
    <cfRule type="cellIs" dxfId="4241" priority="2059" stopIfTrue="1" operator="equal">
      <formula>"Towel"</formula>
    </cfRule>
    <cfRule type="cellIs" dxfId="4240" priority="2060" stopIfTrue="1" operator="equal">
      <formula>"Napkin Hs"</formula>
    </cfRule>
  </conditionalFormatting>
  <conditionalFormatting sqref="C61">
    <cfRule type="cellIs" dxfId="4239" priority="2073" stopIfTrue="1" operator="equal">
      <formula>"Towel"</formula>
    </cfRule>
    <cfRule type="cellIs" dxfId="4238" priority="2074" stopIfTrue="1" operator="equal">
      <formula>"Napkin Hs"</formula>
    </cfRule>
  </conditionalFormatting>
  <conditionalFormatting sqref="C61">
    <cfRule type="cellIs" dxfId="4237" priority="2069" stopIfTrue="1" operator="equal">
      <formula>"Towel"</formula>
    </cfRule>
    <cfRule type="cellIs" dxfId="4236" priority="2070" stopIfTrue="1" operator="equal">
      <formula>"Napkin Hs"</formula>
    </cfRule>
  </conditionalFormatting>
  <conditionalFormatting sqref="B61:B62">
    <cfRule type="cellIs" dxfId="4235" priority="2061" stopIfTrue="1" operator="equal">
      <formula>"Towel"</formula>
    </cfRule>
    <cfRule type="cellIs" dxfId="4234" priority="2062" stopIfTrue="1" operator="equal">
      <formula>"Napkin Hs"</formula>
    </cfRule>
  </conditionalFormatting>
  <conditionalFormatting sqref="C61">
    <cfRule type="cellIs" dxfId="4233" priority="2063" stopIfTrue="1" operator="equal">
      <formula>"Towel"</formula>
    </cfRule>
    <cfRule type="cellIs" dxfId="4232" priority="2064" stopIfTrue="1" operator="equal">
      <formula>"Napkin Hs"</formula>
    </cfRule>
  </conditionalFormatting>
  <conditionalFormatting sqref="C61">
    <cfRule type="cellIs" dxfId="4231" priority="2072" stopIfTrue="1" operator="equal">
      <formula>"Napkin Hs"</formula>
    </cfRule>
  </conditionalFormatting>
  <conditionalFormatting sqref="C61">
    <cfRule type="cellIs" dxfId="4230" priority="2071" stopIfTrue="1" operator="equal">
      <formula>"Towel"</formula>
    </cfRule>
  </conditionalFormatting>
  <conditionalFormatting sqref="C61">
    <cfRule type="cellIs" dxfId="4229" priority="2067" stopIfTrue="1" operator="equal">
      <formula>"Towel"</formula>
    </cfRule>
    <cfRule type="cellIs" dxfId="4228" priority="2068" stopIfTrue="1" operator="equal">
      <formula>"Napkin Hs"</formula>
    </cfRule>
  </conditionalFormatting>
  <conditionalFormatting sqref="C61">
    <cfRule type="cellIs" dxfId="4227" priority="2066" stopIfTrue="1" operator="equal">
      <formula>"Napkin Hs"</formula>
    </cfRule>
  </conditionalFormatting>
  <conditionalFormatting sqref="C61">
    <cfRule type="cellIs" dxfId="4226" priority="2065" stopIfTrue="1" operator="equal">
      <formula>"Towel"</formula>
    </cfRule>
  </conditionalFormatting>
  <conditionalFormatting sqref="B61:C61 B62">
    <cfRule type="cellIs" dxfId="4225" priority="2057" stopIfTrue="1" operator="equal">
      <formula>"Towel"</formula>
    </cfRule>
    <cfRule type="cellIs" dxfId="4224" priority="2058" stopIfTrue="1" operator="equal">
      <formula>"Napkin Hs"</formula>
    </cfRule>
  </conditionalFormatting>
  <conditionalFormatting sqref="C61">
    <cfRule type="cellIs" dxfId="4223" priority="2056" stopIfTrue="1" operator="equal">
      <formula>"Napkin Hs"</formula>
    </cfRule>
  </conditionalFormatting>
  <conditionalFormatting sqref="C61">
    <cfRule type="cellIs" dxfId="4222" priority="2055" stopIfTrue="1" operator="equal">
      <formula>"Towel"</formula>
    </cfRule>
  </conditionalFormatting>
  <conditionalFormatting sqref="C61">
    <cfRule type="cellIs" dxfId="4221" priority="2053" stopIfTrue="1" operator="equal">
      <formula>"Towel"</formula>
    </cfRule>
    <cfRule type="cellIs" dxfId="4220" priority="2054" stopIfTrue="1" operator="equal">
      <formula>"Napkin Hs"</formula>
    </cfRule>
  </conditionalFormatting>
  <conditionalFormatting sqref="B61:C61 B62">
    <cfRule type="cellIs" dxfId="4219" priority="2051" stopIfTrue="1" operator="equal">
      <formula>"Towel"</formula>
    </cfRule>
    <cfRule type="cellIs" dxfId="4218" priority="2052" stopIfTrue="1" operator="equal">
      <formula>"Napkin Hs"</formula>
    </cfRule>
  </conditionalFormatting>
  <conditionalFormatting sqref="C61">
    <cfRule type="cellIs" dxfId="4217" priority="2049" stopIfTrue="1" operator="equal">
      <formula>"Towel"</formula>
    </cfRule>
    <cfRule type="cellIs" dxfId="4216" priority="2050" stopIfTrue="1" operator="equal">
      <formula>"Napkin Hs"</formula>
    </cfRule>
  </conditionalFormatting>
  <conditionalFormatting sqref="C61">
    <cfRule type="cellIs" dxfId="4215" priority="2047" stopIfTrue="1" operator="equal">
      <formula>"Towel"</formula>
    </cfRule>
    <cfRule type="cellIs" dxfId="4214" priority="2048" stopIfTrue="1" operator="equal">
      <formula>"Napkin Hs"</formula>
    </cfRule>
  </conditionalFormatting>
  <conditionalFormatting sqref="C61">
    <cfRule type="cellIs" dxfId="4213" priority="2041" stopIfTrue="1" operator="equal">
      <formula>"Towel"</formula>
    </cfRule>
    <cfRule type="cellIs" dxfId="4212" priority="2042" stopIfTrue="1" operator="equal">
      <formula>"Napkin Hs"</formula>
    </cfRule>
  </conditionalFormatting>
  <conditionalFormatting sqref="B61:B62">
    <cfRule type="cellIs" dxfId="4211" priority="2031" stopIfTrue="1" operator="equal">
      <formula>"Towel"</formula>
    </cfRule>
    <cfRule type="cellIs" dxfId="4210" priority="2032" stopIfTrue="1" operator="equal">
      <formula>"Napkin Hs"</formula>
    </cfRule>
  </conditionalFormatting>
  <conditionalFormatting sqref="C61">
    <cfRule type="cellIs" dxfId="4209" priority="2035" stopIfTrue="1" operator="equal">
      <formula>"Towel"</formula>
    </cfRule>
    <cfRule type="cellIs" dxfId="4208" priority="2036" stopIfTrue="1" operator="equal">
      <formula>"Napkin Hs"</formula>
    </cfRule>
  </conditionalFormatting>
  <conditionalFormatting sqref="C61">
    <cfRule type="cellIs" dxfId="4207" priority="2045" stopIfTrue="1" operator="equal">
      <formula>"Towel"</formula>
    </cfRule>
    <cfRule type="cellIs" dxfId="4206" priority="2046" stopIfTrue="1" operator="equal">
      <formula>"Napkin Hs"</formula>
    </cfRule>
  </conditionalFormatting>
  <conditionalFormatting sqref="B61:B62">
    <cfRule type="cellIs" dxfId="4205" priority="2033" stopIfTrue="1" operator="equal">
      <formula>"Towel"</formula>
    </cfRule>
    <cfRule type="cellIs" dxfId="4204" priority="2034" stopIfTrue="1" operator="equal">
      <formula>"Napkin Hs"</formula>
    </cfRule>
  </conditionalFormatting>
  <conditionalFormatting sqref="C61">
    <cfRule type="cellIs" dxfId="4203" priority="2044" stopIfTrue="1" operator="equal">
      <formula>"Napkin Hs"</formula>
    </cfRule>
  </conditionalFormatting>
  <conditionalFormatting sqref="C61">
    <cfRule type="cellIs" dxfId="4202" priority="2043" stopIfTrue="1" operator="equal">
      <formula>"Towel"</formula>
    </cfRule>
  </conditionalFormatting>
  <conditionalFormatting sqref="C61">
    <cfRule type="cellIs" dxfId="4201" priority="2039" stopIfTrue="1" operator="equal">
      <formula>"Towel"</formula>
    </cfRule>
    <cfRule type="cellIs" dxfId="4200" priority="2040" stopIfTrue="1" operator="equal">
      <formula>"Napkin Hs"</formula>
    </cfRule>
  </conditionalFormatting>
  <conditionalFormatting sqref="C61">
    <cfRule type="cellIs" dxfId="4199" priority="2038" stopIfTrue="1" operator="equal">
      <formula>"Napkin Hs"</formula>
    </cfRule>
  </conditionalFormatting>
  <conditionalFormatting sqref="C61">
    <cfRule type="cellIs" dxfId="4198" priority="2037" stopIfTrue="1" operator="equal">
      <formula>"Towel"</formula>
    </cfRule>
  </conditionalFormatting>
  <conditionalFormatting sqref="C61">
    <cfRule type="cellIs" dxfId="4197" priority="2030" stopIfTrue="1" operator="equal">
      <formula>"Napkin Hs"</formula>
    </cfRule>
  </conditionalFormatting>
  <conditionalFormatting sqref="C61">
    <cfRule type="cellIs" dxfId="4196" priority="2029" stopIfTrue="1" operator="equal">
      <formula>"Napkin Hs"</formula>
    </cfRule>
  </conditionalFormatting>
  <conditionalFormatting sqref="B68:C68">
    <cfRule type="cellIs" dxfId="4195" priority="2027" stopIfTrue="1" operator="equal">
      <formula>"Towel"</formula>
    </cfRule>
    <cfRule type="cellIs" dxfId="4194" priority="2028" stopIfTrue="1" operator="equal">
      <formula>"Napkin Hs"</formula>
    </cfRule>
  </conditionalFormatting>
  <conditionalFormatting sqref="C68">
    <cfRule type="cellIs" dxfId="4193" priority="2026" stopIfTrue="1" operator="equal">
      <formula>"Napkin Hs"</formula>
    </cfRule>
  </conditionalFormatting>
  <conditionalFormatting sqref="C68">
    <cfRule type="cellIs" dxfId="4192" priority="2023" stopIfTrue="1" operator="equal">
      <formula>"Towel"</formula>
    </cfRule>
    <cfRule type="cellIs" dxfId="4191" priority="2024" stopIfTrue="1" operator="equal">
      <formula>"Napkin Hs"</formula>
    </cfRule>
  </conditionalFormatting>
  <conditionalFormatting sqref="C68">
    <cfRule type="cellIs" dxfId="4190" priority="2025" stopIfTrue="1" operator="equal">
      <formula>"Towel"</formula>
    </cfRule>
  </conditionalFormatting>
  <conditionalFormatting sqref="C67">
    <cfRule type="cellIs" dxfId="4189" priority="2021" stopIfTrue="1" operator="equal">
      <formula>"Towel"</formula>
    </cfRule>
    <cfRule type="cellIs" dxfId="4188" priority="2022" stopIfTrue="1" operator="equal">
      <formula>"Napkin Hs"</formula>
    </cfRule>
  </conditionalFormatting>
  <conditionalFormatting sqref="C67">
    <cfRule type="cellIs" dxfId="4187" priority="2017" stopIfTrue="1" operator="equal">
      <formula>"Towel"</formula>
    </cfRule>
    <cfRule type="cellIs" dxfId="4186" priority="2018" stopIfTrue="1" operator="equal">
      <formula>"Napkin Hs"</formula>
    </cfRule>
  </conditionalFormatting>
  <conditionalFormatting sqref="C67">
    <cfRule type="cellIs" dxfId="4185" priority="2011" stopIfTrue="1" operator="equal">
      <formula>"Towel"</formula>
    </cfRule>
    <cfRule type="cellIs" dxfId="4184" priority="2012" stopIfTrue="1" operator="equal">
      <formula>"Napkin Hs"</formula>
    </cfRule>
  </conditionalFormatting>
  <conditionalFormatting sqref="C67">
    <cfRule type="cellIs" dxfId="4183" priority="2020" stopIfTrue="1" operator="equal">
      <formula>"Napkin Hs"</formula>
    </cfRule>
  </conditionalFormatting>
  <conditionalFormatting sqref="C67">
    <cfRule type="cellIs" dxfId="4182" priority="2019" stopIfTrue="1" operator="equal">
      <formula>"Towel"</formula>
    </cfRule>
  </conditionalFormatting>
  <conditionalFormatting sqref="C67">
    <cfRule type="cellIs" dxfId="4181" priority="2015" stopIfTrue="1" operator="equal">
      <formula>"Towel"</formula>
    </cfRule>
    <cfRule type="cellIs" dxfId="4180" priority="2016" stopIfTrue="1" operator="equal">
      <formula>"Napkin Hs"</formula>
    </cfRule>
  </conditionalFormatting>
  <conditionalFormatting sqref="C67">
    <cfRule type="cellIs" dxfId="4179" priority="2014" stopIfTrue="1" operator="equal">
      <formula>"Napkin Hs"</formula>
    </cfRule>
  </conditionalFormatting>
  <conditionalFormatting sqref="C67">
    <cfRule type="cellIs" dxfId="4178" priority="2013" stopIfTrue="1" operator="equal">
      <formula>"Towel"</formula>
    </cfRule>
  </conditionalFormatting>
  <conditionalFormatting sqref="B66:B67">
    <cfRule type="cellIs" dxfId="4177" priority="1995" stopIfTrue="1" operator="equal">
      <formula>"Towel"</formula>
    </cfRule>
    <cfRule type="cellIs" dxfId="4176" priority="1996" stopIfTrue="1" operator="equal">
      <formula>"Napkin Hs"</formula>
    </cfRule>
  </conditionalFormatting>
  <conditionalFormatting sqref="C66">
    <cfRule type="cellIs" dxfId="4175" priority="2009" stopIfTrue="1" operator="equal">
      <formula>"Towel"</formula>
    </cfRule>
    <cfRule type="cellIs" dxfId="4174" priority="2010" stopIfTrue="1" operator="equal">
      <formula>"Napkin Hs"</formula>
    </cfRule>
  </conditionalFormatting>
  <conditionalFormatting sqref="C66">
    <cfRule type="cellIs" dxfId="4173" priority="2005" stopIfTrue="1" operator="equal">
      <formula>"Towel"</formula>
    </cfRule>
    <cfRule type="cellIs" dxfId="4172" priority="2006" stopIfTrue="1" operator="equal">
      <formula>"Napkin Hs"</formula>
    </cfRule>
  </conditionalFormatting>
  <conditionalFormatting sqref="B66:B67">
    <cfRule type="cellIs" dxfId="4171" priority="1997" stopIfTrue="1" operator="equal">
      <formula>"Towel"</formula>
    </cfRule>
    <cfRule type="cellIs" dxfId="4170" priority="1998" stopIfTrue="1" operator="equal">
      <formula>"Napkin Hs"</formula>
    </cfRule>
  </conditionalFormatting>
  <conditionalFormatting sqref="C66">
    <cfRule type="cellIs" dxfId="4169" priority="1999" stopIfTrue="1" operator="equal">
      <formula>"Towel"</formula>
    </cfRule>
    <cfRule type="cellIs" dxfId="4168" priority="2000" stopIfTrue="1" operator="equal">
      <formula>"Napkin Hs"</formula>
    </cfRule>
  </conditionalFormatting>
  <conditionalFormatting sqref="C66">
    <cfRule type="cellIs" dxfId="4167" priority="2008" stopIfTrue="1" operator="equal">
      <formula>"Napkin Hs"</formula>
    </cfRule>
  </conditionalFormatting>
  <conditionalFormatting sqref="C66">
    <cfRule type="cellIs" dxfId="4166" priority="2007" stopIfTrue="1" operator="equal">
      <formula>"Towel"</formula>
    </cfRule>
  </conditionalFormatting>
  <conditionalFormatting sqref="C66">
    <cfRule type="cellIs" dxfId="4165" priority="2003" stopIfTrue="1" operator="equal">
      <formula>"Towel"</formula>
    </cfRule>
    <cfRule type="cellIs" dxfId="4164" priority="2004" stopIfTrue="1" operator="equal">
      <formula>"Napkin Hs"</formula>
    </cfRule>
  </conditionalFormatting>
  <conditionalFormatting sqref="C66">
    <cfRule type="cellIs" dxfId="4163" priority="2002" stopIfTrue="1" operator="equal">
      <formula>"Napkin Hs"</formula>
    </cfRule>
  </conditionalFormatting>
  <conditionalFormatting sqref="C66">
    <cfRule type="cellIs" dxfId="4162" priority="2001" stopIfTrue="1" operator="equal">
      <formula>"Towel"</formula>
    </cfRule>
  </conditionalFormatting>
  <conditionalFormatting sqref="B66:C66 B67">
    <cfRule type="cellIs" dxfId="4161" priority="1993" stopIfTrue="1" operator="equal">
      <formula>"Towel"</formula>
    </cfRule>
    <cfRule type="cellIs" dxfId="4160" priority="1994" stopIfTrue="1" operator="equal">
      <formula>"Napkin Hs"</formula>
    </cfRule>
  </conditionalFormatting>
  <conditionalFormatting sqref="C66">
    <cfRule type="cellIs" dxfId="4159" priority="1992" stopIfTrue="1" operator="equal">
      <formula>"Napkin Hs"</formula>
    </cfRule>
  </conditionalFormatting>
  <conditionalFormatting sqref="C66">
    <cfRule type="cellIs" dxfId="4158" priority="1991" stopIfTrue="1" operator="equal">
      <formula>"Towel"</formula>
    </cfRule>
  </conditionalFormatting>
  <conditionalFormatting sqref="C66">
    <cfRule type="cellIs" dxfId="4157" priority="1989" stopIfTrue="1" operator="equal">
      <formula>"Towel"</formula>
    </cfRule>
    <cfRule type="cellIs" dxfId="4156" priority="1990" stopIfTrue="1" operator="equal">
      <formula>"Napkin Hs"</formula>
    </cfRule>
  </conditionalFormatting>
  <conditionalFormatting sqref="B66:C66 B67">
    <cfRule type="cellIs" dxfId="4155" priority="1987" stopIfTrue="1" operator="equal">
      <formula>"Towel"</formula>
    </cfRule>
    <cfRule type="cellIs" dxfId="4154" priority="1988" stopIfTrue="1" operator="equal">
      <formula>"Napkin Hs"</formula>
    </cfRule>
  </conditionalFormatting>
  <conditionalFormatting sqref="C66">
    <cfRule type="cellIs" dxfId="4153" priority="1985" stopIfTrue="1" operator="equal">
      <formula>"Towel"</formula>
    </cfRule>
    <cfRule type="cellIs" dxfId="4152" priority="1986" stopIfTrue="1" operator="equal">
      <formula>"Napkin Hs"</formula>
    </cfRule>
  </conditionalFormatting>
  <conditionalFormatting sqref="C66">
    <cfRule type="cellIs" dxfId="4151" priority="1983" stopIfTrue="1" operator="equal">
      <formula>"Towel"</formula>
    </cfRule>
    <cfRule type="cellIs" dxfId="4150" priority="1984" stopIfTrue="1" operator="equal">
      <formula>"Napkin Hs"</formula>
    </cfRule>
  </conditionalFormatting>
  <conditionalFormatting sqref="C66">
    <cfRule type="cellIs" dxfId="4149" priority="1977" stopIfTrue="1" operator="equal">
      <formula>"Towel"</formula>
    </cfRule>
    <cfRule type="cellIs" dxfId="4148" priority="1978" stopIfTrue="1" operator="equal">
      <formula>"Napkin Hs"</formula>
    </cfRule>
  </conditionalFormatting>
  <conditionalFormatting sqref="B66:B67">
    <cfRule type="cellIs" dxfId="4147" priority="1967" stopIfTrue="1" operator="equal">
      <formula>"Towel"</formula>
    </cfRule>
    <cfRule type="cellIs" dxfId="4146" priority="1968" stopIfTrue="1" operator="equal">
      <formula>"Napkin Hs"</formula>
    </cfRule>
  </conditionalFormatting>
  <conditionalFormatting sqref="C66">
    <cfRule type="cellIs" dxfId="4145" priority="1971" stopIfTrue="1" operator="equal">
      <formula>"Towel"</formula>
    </cfRule>
    <cfRule type="cellIs" dxfId="4144" priority="1972" stopIfTrue="1" operator="equal">
      <formula>"Napkin Hs"</formula>
    </cfRule>
  </conditionalFormatting>
  <conditionalFormatting sqref="C66">
    <cfRule type="cellIs" dxfId="4143" priority="1981" stopIfTrue="1" operator="equal">
      <formula>"Towel"</formula>
    </cfRule>
    <cfRule type="cellIs" dxfId="4142" priority="1982" stopIfTrue="1" operator="equal">
      <formula>"Napkin Hs"</formula>
    </cfRule>
  </conditionalFormatting>
  <conditionalFormatting sqref="B66:B67">
    <cfRule type="cellIs" dxfId="4141" priority="1969" stopIfTrue="1" operator="equal">
      <formula>"Towel"</formula>
    </cfRule>
    <cfRule type="cellIs" dxfId="4140" priority="1970" stopIfTrue="1" operator="equal">
      <formula>"Napkin Hs"</formula>
    </cfRule>
  </conditionalFormatting>
  <conditionalFormatting sqref="C66">
    <cfRule type="cellIs" dxfId="4139" priority="1980" stopIfTrue="1" operator="equal">
      <formula>"Napkin Hs"</formula>
    </cfRule>
  </conditionalFormatting>
  <conditionalFormatting sqref="C66">
    <cfRule type="cellIs" dxfId="4138" priority="1979" stopIfTrue="1" operator="equal">
      <formula>"Towel"</formula>
    </cfRule>
  </conditionalFormatting>
  <conditionalFormatting sqref="C66">
    <cfRule type="cellIs" dxfId="4137" priority="1975" stopIfTrue="1" operator="equal">
      <formula>"Towel"</formula>
    </cfRule>
    <cfRule type="cellIs" dxfId="4136" priority="1976" stopIfTrue="1" operator="equal">
      <formula>"Napkin Hs"</formula>
    </cfRule>
  </conditionalFormatting>
  <conditionalFormatting sqref="C66">
    <cfRule type="cellIs" dxfId="4135" priority="1974" stopIfTrue="1" operator="equal">
      <formula>"Napkin Hs"</formula>
    </cfRule>
  </conditionalFormatting>
  <conditionalFormatting sqref="C66">
    <cfRule type="cellIs" dxfId="4134" priority="1973" stopIfTrue="1" operator="equal">
      <formula>"Towel"</formula>
    </cfRule>
  </conditionalFormatting>
  <conditionalFormatting sqref="C66">
    <cfRule type="cellIs" dxfId="4133" priority="1966" stopIfTrue="1" operator="equal">
      <formula>"Napkin Hs"</formula>
    </cfRule>
  </conditionalFormatting>
  <conditionalFormatting sqref="C66">
    <cfRule type="cellIs" dxfId="4132" priority="1965" stopIfTrue="1" operator="equal">
      <formula>"Napkin Hs"</formula>
    </cfRule>
  </conditionalFormatting>
  <conditionalFormatting sqref="B72:C72">
    <cfRule type="cellIs" dxfId="4131" priority="1963" stopIfTrue="1" operator="equal">
      <formula>"Towel"</formula>
    </cfRule>
    <cfRule type="cellIs" dxfId="4130" priority="1964" stopIfTrue="1" operator="equal">
      <formula>"Napkin Hs"</formula>
    </cfRule>
  </conditionalFormatting>
  <conditionalFormatting sqref="C72">
    <cfRule type="cellIs" dxfId="4129" priority="1962" stopIfTrue="1" operator="equal">
      <formula>"Napkin Hs"</formula>
    </cfRule>
  </conditionalFormatting>
  <conditionalFormatting sqref="C72">
    <cfRule type="cellIs" dxfId="4128" priority="1959" stopIfTrue="1" operator="equal">
      <formula>"Towel"</formula>
    </cfRule>
    <cfRule type="cellIs" dxfId="4127" priority="1960" stopIfTrue="1" operator="equal">
      <formula>"Napkin Hs"</formula>
    </cfRule>
  </conditionalFormatting>
  <conditionalFormatting sqref="C72">
    <cfRule type="cellIs" dxfId="4126" priority="1961" stopIfTrue="1" operator="equal">
      <formula>"Towel"</formula>
    </cfRule>
  </conditionalFormatting>
  <conditionalFormatting sqref="B70:B71">
    <cfRule type="cellIs" dxfId="4125" priority="1931" stopIfTrue="1" operator="equal">
      <formula>"Towel"</formula>
    </cfRule>
    <cfRule type="cellIs" dxfId="4124" priority="1932" stopIfTrue="1" operator="equal">
      <formula>"Napkin Hs"</formula>
    </cfRule>
  </conditionalFormatting>
  <conditionalFormatting sqref="C70:C71">
    <cfRule type="cellIs" dxfId="4123" priority="1945" stopIfTrue="1" operator="equal">
      <formula>"Towel"</formula>
    </cfRule>
    <cfRule type="cellIs" dxfId="4122" priority="1946" stopIfTrue="1" operator="equal">
      <formula>"Napkin Hs"</formula>
    </cfRule>
  </conditionalFormatting>
  <conditionalFormatting sqref="C70:C71">
    <cfRule type="cellIs" dxfId="4121" priority="1941" stopIfTrue="1" operator="equal">
      <formula>"Towel"</formula>
    </cfRule>
    <cfRule type="cellIs" dxfId="4120" priority="1942" stopIfTrue="1" operator="equal">
      <formula>"Napkin Hs"</formula>
    </cfRule>
  </conditionalFormatting>
  <conditionalFormatting sqref="B70:B71">
    <cfRule type="cellIs" dxfId="4119" priority="1933" stopIfTrue="1" operator="equal">
      <formula>"Towel"</formula>
    </cfRule>
    <cfRule type="cellIs" dxfId="4118" priority="1934" stopIfTrue="1" operator="equal">
      <formula>"Napkin Hs"</formula>
    </cfRule>
  </conditionalFormatting>
  <conditionalFormatting sqref="C70:C71">
    <cfRule type="cellIs" dxfId="4117" priority="1935" stopIfTrue="1" operator="equal">
      <formula>"Towel"</formula>
    </cfRule>
    <cfRule type="cellIs" dxfId="4116" priority="1936" stopIfTrue="1" operator="equal">
      <formula>"Napkin Hs"</formula>
    </cfRule>
  </conditionalFormatting>
  <conditionalFormatting sqref="C70:C71">
    <cfRule type="cellIs" dxfId="4115" priority="1944" stopIfTrue="1" operator="equal">
      <formula>"Napkin Hs"</formula>
    </cfRule>
  </conditionalFormatting>
  <conditionalFormatting sqref="C70:C71">
    <cfRule type="cellIs" dxfId="4114" priority="1943" stopIfTrue="1" operator="equal">
      <formula>"Towel"</formula>
    </cfRule>
  </conditionalFormatting>
  <conditionalFormatting sqref="C70:C71">
    <cfRule type="cellIs" dxfId="4113" priority="1939" stopIfTrue="1" operator="equal">
      <formula>"Towel"</formula>
    </cfRule>
    <cfRule type="cellIs" dxfId="4112" priority="1940" stopIfTrue="1" operator="equal">
      <formula>"Napkin Hs"</formula>
    </cfRule>
  </conditionalFormatting>
  <conditionalFormatting sqref="C70:C71">
    <cfRule type="cellIs" dxfId="4111" priority="1938" stopIfTrue="1" operator="equal">
      <formula>"Napkin Hs"</formula>
    </cfRule>
  </conditionalFormatting>
  <conditionalFormatting sqref="C70:C71">
    <cfRule type="cellIs" dxfId="4110" priority="1937" stopIfTrue="1" operator="equal">
      <formula>"Towel"</formula>
    </cfRule>
  </conditionalFormatting>
  <conditionalFormatting sqref="B70:C71">
    <cfRule type="cellIs" dxfId="4109" priority="1929" stopIfTrue="1" operator="equal">
      <formula>"Towel"</formula>
    </cfRule>
    <cfRule type="cellIs" dxfId="4108" priority="1930" stopIfTrue="1" operator="equal">
      <formula>"Napkin Hs"</formula>
    </cfRule>
  </conditionalFormatting>
  <conditionalFormatting sqref="C70:C71">
    <cfRule type="cellIs" dxfId="4107" priority="1928" stopIfTrue="1" operator="equal">
      <formula>"Napkin Hs"</formula>
    </cfRule>
  </conditionalFormatting>
  <conditionalFormatting sqref="C70:C71">
    <cfRule type="cellIs" dxfId="4106" priority="1927" stopIfTrue="1" operator="equal">
      <formula>"Towel"</formula>
    </cfRule>
  </conditionalFormatting>
  <conditionalFormatting sqref="C70:C71">
    <cfRule type="cellIs" dxfId="4105" priority="1925" stopIfTrue="1" operator="equal">
      <formula>"Towel"</formula>
    </cfRule>
    <cfRule type="cellIs" dxfId="4104" priority="1926" stopIfTrue="1" operator="equal">
      <formula>"Napkin Hs"</formula>
    </cfRule>
  </conditionalFormatting>
  <conditionalFormatting sqref="B70:C71">
    <cfRule type="cellIs" dxfId="4103" priority="1923" stopIfTrue="1" operator="equal">
      <formula>"Towel"</formula>
    </cfRule>
    <cfRule type="cellIs" dxfId="4102" priority="1924" stopIfTrue="1" operator="equal">
      <formula>"Napkin Hs"</formula>
    </cfRule>
  </conditionalFormatting>
  <conditionalFormatting sqref="C70:C71">
    <cfRule type="cellIs" dxfId="4101" priority="1921" stopIfTrue="1" operator="equal">
      <formula>"Towel"</formula>
    </cfRule>
    <cfRule type="cellIs" dxfId="4100" priority="1922" stopIfTrue="1" operator="equal">
      <formula>"Napkin Hs"</formula>
    </cfRule>
  </conditionalFormatting>
  <conditionalFormatting sqref="C70:C71">
    <cfRule type="cellIs" dxfId="4099" priority="1919" stopIfTrue="1" operator="equal">
      <formula>"Towel"</formula>
    </cfRule>
    <cfRule type="cellIs" dxfId="4098" priority="1920" stopIfTrue="1" operator="equal">
      <formula>"Napkin Hs"</formula>
    </cfRule>
  </conditionalFormatting>
  <conditionalFormatting sqref="C70:C71">
    <cfRule type="cellIs" dxfId="4097" priority="1913" stopIfTrue="1" operator="equal">
      <formula>"Towel"</formula>
    </cfRule>
    <cfRule type="cellIs" dxfId="4096" priority="1914" stopIfTrue="1" operator="equal">
      <formula>"Napkin Hs"</formula>
    </cfRule>
  </conditionalFormatting>
  <conditionalFormatting sqref="B70:B71">
    <cfRule type="cellIs" dxfId="4095" priority="1903" stopIfTrue="1" operator="equal">
      <formula>"Towel"</formula>
    </cfRule>
    <cfRule type="cellIs" dxfId="4094" priority="1904" stopIfTrue="1" operator="equal">
      <formula>"Napkin Hs"</formula>
    </cfRule>
  </conditionalFormatting>
  <conditionalFormatting sqref="C70:C71">
    <cfRule type="cellIs" dxfId="4093" priority="1907" stopIfTrue="1" operator="equal">
      <formula>"Towel"</formula>
    </cfRule>
    <cfRule type="cellIs" dxfId="4092" priority="1908" stopIfTrue="1" operator="equal">
      <formula>"Napkin Hs"</formula>
    </cfRule>
  </conditionalFormatting>
  <conditionalFormatting sqref="C70:C71">
    <cfRule type="cellIs" dxfId="4091" priority="1917" stopIfTrue="1" operator="equal">
      <formula>"Towel"</formula>
    </cfRule>
    <cfRule type="cellIs" dxfId="4090" priority="1918" stopIfTrue="1" operator="equal">
      <formula>"Napkin Hs"</formula>
    </cfRule>
  </conditionalFormatting>
  <conditionalFormatting sqref="B70:B71">
    <cfRule type="cellIs" dxfId="4089" priority="1905" stopIfTrue="1" operator="equal">
      <formula>"Towel"</formula>
    </cfRule>
    <cfRule type="cellIs" dxfId="4088" priority="1906" stopIfTrue="1" operator="equal">
      <formula>"Napkin Hs"</formula>
    </cfRule>
  </conditionalFormatting>
  <conditionalFormatting sqref="C70:C71">
    <cfRule type="cellIs" dxfId="4087" priority="1916" stopIfTrue="1" operator="equal">
      <formula>"Napkin Hs"</formula>
    </cfRule>
  </conditionalFormatting>
  <conditionalFormatting sqref="C70:C71">
    <cfRule type="cellIs" dxfId="4086" priority="1915" stopIfTrue="1" operator="equal">
      <formula>"Towel"</formula>
    </cfRule>
  </conditionalFormatting>
  <conditionalFormatting sqref="C70:C71">
    <cfRule type="cellIs" dxfId="4085" priority="1911" stopIfTrue="1" operator="equal">
      <formula>"Towel"</formula>
    </cfRule>
    <cfRule type="cellIs" dxfId="4084" priority="1912" stopIfTrue="1" operator="equal">
      <formula>"Napkin Hs"</formula>
    </cfRule>
  </conditionalFormatting>
  <conditionalFormatting sqref="C70:C71">
    <cfRule type="cellIs" dxfId="4083" priority="1910" stopIfTrue="1" operator="equal">
      <formula>"Napkin Hs"</formula>
    </cfRule>
  </conditionalFormatting>
  <conditionalFormatting sqref="C70:C71">
    <cfRule type="cellIs" dxfId="4082" priority="1909" stopIfTrue="1" operator="equal">
      <formula>"Towel"</formula>
    </cfRule>
  </conditionalFormatting>
  <conditionalFormatting sqref="C70:C71">
    <cfRule type="cellIs" dxfId="4081" priority="1902" stopIfTrue="1" operator="equal">
      <formula>"Napkin Hs"</formula>
    </cfRule>
  </conditionalFormatting>
  <conditionalFormatting sqref="C70:C71">
    <cfRule type="cellIs" dxfId="4080" priority="1901" stopIfTrue="1" operator="equal">
      <formula>"Napkin Hs"</formula>
    </cfRule>
  </conditionalFormatting>
  <conditionalFormatting sqref="C77">
    <cfRule type="cellIs" dxfId="4079" priority="1895" stopIfTrue="1" operator="equal">
      <formula>"Towel"</formula>
    </cfRule>
    <cfRule type="cellIs" dxfId="4078" priority="1896" stopIfTrue="1" operator="equal">
      <formula>"Napkin Hs"</formula>
    </cfRule>
  </conditionalFormatting>
  <conditionalFormatting sqref="B77:C77">
    <cfRule type="cellIs" dxfId="4077" priority="1899" stopIfTrue="1" operator="equal">
      <formula>"Towel"</formula>
    </cfRule>
    <cfRule type="cellIs" dxfId="4076" priority="1900" stopIfTrue="1" operator="equal">
      <formula>"Napkin Hs"</formula>
    </cfRule>
  </conditionalFormatting>
  <conditionalFormatting sqref="C77">
    <cfRule type="cellIs" dxfId="4075" priority="1898" stopIfTrue="1" operator="equal">
      <formula>"Napkin Hs"</formula>
    </cfRule>
  </conditionalFormatting>
  <conditionalFormatting sqref="C77">
    <cfRule type="cellIs" dxfId="4074" priority="1897" stopIfTrue="1" operator="equal">
      <formula>"Towel"</formula>
    </cfRule>
  </conditionalFormatting>
  <conditionalFormatting sqref="B74:B76">
    <cfRule type="cellIs" dxfId="4073" priority="1873" stopIfTrue="1" operator="equal">
      <formula>"Towel"</formula>
    </cfRule>
    <cfRule type="cellIs" dxfId="4072" priority="1874" stopIfTrue="1" operator="equal">
      <formula>"Napkin Hs"</formula>
    </cfRule>
  </conditionalFormatting>
  <conditionalFormatting sqref="C74:C76">
    <cfRule type="cellIs" dxfId="4071" priority="1887" stopIfTrue="1" operator="equal">
      <formula>"Towel"</formula>
    </cfRule>
    <cfRule type="cellIs" dxfId="4070" priority="1888" stopIfTrue="1" operator="equal">
      <formula>"Napkin Hs"</formula>
    </cfRule>
  </conditionalFormatting>
  <conditionalFormatting sqref="C74:C76">
    <cfRule type="cellIs" dxfId="4069" priority="1883" stopIfTrue="1" operator="equal">
      <formula>"Towel"</formula>
    </cfRule>
    <cfRule type="cellIs" dxfId="4068" priority="1884" stopIfTrue="1" operator="equal">
      <formula>"Napkin Hs"</formula>
    </cfRule>
  </conditionalFormatting>
  <conditionalFormatting sqref="B74:B76">
    <cfRule type="cellIs" dxfId="4067" priority="1875" stopIfTrue="1" operator="equal">
      <formula>"Towel"</formula>
    </cfRule>
    <cfRule type="cellIs" dxfId="4066" priority="1876" stopIfTrue="1" operator="equal">
      <formula>"Napkin Hs"</formula>
    </cfRule>
  </conditionalFormatting>
  <conditionalFormatting sqref="C74:C76">
    <cfRule type="cellIs" dxfId="4065" priority="1877" stopIfTrue="1" operator="equal">
      <formula>"Towel"</formula>
    </cfRule>
    <cfRule type="cellIs" dxfId="4064" priority="1878" stopIfTrue="1" operator="equal">
      <formula>"Napkin Hs"</formula>
    </cfRule>
  </conditionalFormatting>
  <conditionalFormatting sqref="C74:C76">
    <cfRule type="cellIs" dxfId="4063" priority="1886" stopIfTrue="1" operator="equal">
      <formula>"Napkin Hs"</formula>
    </cfRule>
  </conditionalFormatting>
  <conditionalFormatting sqref="C74:C76">
    <cfRule type="cellIs" dxfId="4062" priority="1885" stopIfTrue="1" operator="equal">
      <formula>"Towel"</formula>
    </cfRule>
  </conditionalFormatting>
  <conditionalFormatting sqref="C74:C76">
    <cfRule type="cellIs" dxfId="4061" priority="1881" stopIfTrue="1" operator="equal">
      <formula>"Towel"</formula>
    </cfRule>
    <cfRule type="cellIs" dxfId="4060" priority="1882" stopIfTrue="1" operator="equal">
      <formula>"Napkin Hs"</formula>
    </cfRule>
  </conditionalFormatting>
  <conditionalFormatting sqref="C74:C76">
    <cfRule type="cellIs" dxfId="4059" priority="1880" stopIfTrue="1" operator="equal">
      <formula>"Napkin Hs"</formula>
    </cfRule>
  </conditionalFormatting>
  <conditionalFormatting sqref="C74:C76">
    <cfRule type="cellIs" dxfId="4058" priority="1879" stopIfTrue="1" operator="equal">
      <formula>"Towel"</formula>
    </cfRule>
  </conditionalFormatting>
  <conditionalFormatting sqref="B74:C76">
    <cfRule type="cellIs" dxfId="4057" priority="1871" stopIfTrue="1" operator="equal">
      <formula>"Towel"</formula>
    </cfRule>
    <cfRule type="cellIs" dxfId="4056" priority="1872" stopIfTrue="1" operator="equal">
      <formula>"Napkin Hs"</formula>
    </cfRule>
  </conditionalFormatting>
  <conditionalFormatting sqref="C74:C76">
    <cfRule type="cellIs" dxfId="4055" priority="1870" stopIfTrue="1" operator="equal">
      <formula>"Napkin Hs"</formula>
    </cfRule>
  </conditionalFormatting>
  <conditionalFormatting sqref="C74:C76">
    <cfRule type="cellIs" dxfId="4054" priority="1869" stopIfTrue="1" operator="equal">
      <formula>"Towel"</formula>
    </cfRule>
  </conditionalFormatting>
  <conditionalFormatting sqref="C74:C76">
    <cfRule type="cellIs" dxfId="4053" priority="1867" stopIfTrue="1" operator="equal">
      <formula>"Towel"</formula>
    </cfRule>
    <cfRule type="cellIs" dxfId="4052" priority="1868" stopIfTrue="1" operator="equal">
      <formula>"Napkin Hs"</formula>
    </cfRule>
  </conditionalFormatting>
  <conditionalFormatting sqref="B74:C76">
    <cfRule type="cellIs" dxfId="4051" priority="1865" stopIfTrue="1" operator="equal">
      <formula>"Towel"</formula>
    </cfRule>
    <cfRule type="cellIs" dxfId="4050" priority="1866" stopIfTrue="1" operator="equal">
      <formula>"Napkin Hs"</formula>
    </cfRule>
  </conditionalFormatting>
  <conditionalFormatting sqref="C74:C76">
    <cfRule type="cellIs" dxfId="4049" priority="1863" stopIfTrue="1" operator="equal">
      <formula>"Towel"</formula>
    </cfRule>
    <cfRule type="cellIs" dxfId="4048" priority="1864" stopIfTrue="1" operator="equal">
      <formula>"Napkin Hs"</formula>
    </cfRule>
  </conditionalFormatting>
  <conditionalFormatting sqref="C74:C76">
    <cfRule type="cellIs" dxfId="4047" priority="1861" stopIfTrue="1" operator="equal">
      <formula>"Towel"</formula>
    </cfRule>
    <cfRule type="cellIs" dxfId="4046" priority="1862" stopIfTrue="1" operator="equal">
      <formula>"Napkin Hs"</formula>
    </cfRule>
  </conditionalFormatting>
  <conditionalFormatting sqref="C74:C76">
    <cfRule type="cellIs" dxfId="4045" priority="1855" stopIfTrue="1" operator="equal">
      <formula>"Towel"</formula>
    </cfRule>
    <cfRule type="cellIs" dxfId="4044" priority="1856" stopIfTrue="1" operator="equal">
      <formula>"Napkin Hs"</formula>
    </cfRule>
  </conditionalFormatting>
  <conditionalFormatting sqref="B74:B76">
    <cfRule type="cellIs" dxfId="4043" priority="1845" stopIfTrue="1" operator="equal">
      <formula>"Towel"</formula>
    </cfRule>
    <cfRule type="cellIs" dxfId="4042" priority="1846" stopIfTrue="1" operator="equal">
      <formula>"Napkin Hs"</formula>
    </cfRule>
  </conditionalFormatting>
  <conditionalFormatting sqref="C74:C76">
    <cfRule type="cellIs" dxfId="4041" priority="1849" stopIfTrue="1" operator="equal">
      <formula>"Towel"</formula>
    </cfRule>
    <cfRule type="cellIs" dxfId="4040" priority="1850" stopIfTrue="1" operator="equal">
      <formula>"Napkin Hs"</formula>
    </cfRule>
  </conditionalFormatting>
  <conditionalFormatting sqref="C74:C76">
    <cfRule type="cellIs" dxfId="4039" priority="1859" stopIfTrue="1" operator="equal">
      <formula>"Towel"</formula>
    </cfRule>
    <cfRule type="cellIs" dxfId="4038" priority="1860" stopIfTrue="1" operator="equal">
      <formula>"Napkin Hs"</formula>
    </cfRule>
  </conditionalFormatting>
  <conditionalFormatting sqref="B74:B76">
    <cfRule type="cellIs" dxfId="4037" priority="1847" stopIfTrue="1" operator="equal">
      <formula>"Towel"</formula>
    </cfRule>
    <cfRule type="cellIs" dxfId="4036" priority="1848" stopIfTrue="1" operator="equal">
      <formula>"Napkin Hs"</formula>
    </cfRule>
  </conditionalFormatting>
  <conditionalFormatting sqref="C74:C76">
    <cfRule type="cellIs" dxfId="4035" priority="1858" stopIfTrue="1" operator="equal">
      <formula>"Napkin Hs"</formula>
    </cfRule>
  </conditionalFormatting>
  <conditionalFormatting sqref="C74:C76">
    <cfRule type="cellIs" dxfId="4034" priority="1857" stopIfTrue="1" operator="equal">
      <formula>"Towel"</formula>
    </cfRule>
  </conditionalFormatting>
  <conditionalFormatting sqref="C74:C76">
    <cfRule type="cellIs" dxfId="4033" priority="1853" stopIfTrue="1" operator="equal">
      <formula>"Towel"</formula>
    </cfRule>
    <cfRule type="cellIs" dxfId="4032" priority="1854" stopIfTrue="1" operator="equal">
      <formula>"Napkin Hs"</formula>
    </cfRule>
  </conditionalFormatting>
  <conditionalFormatting sqref="C74:C76">
    <cfRule type="cellIs" dxfId="4031" priority="1852" stopIfTrue="1" operator="equal">
      <formula>"Napkin Hs"</formula>
    </cfRule>
  </conditionalFormatting>
  <conditionalFormatting sqref="C74:C76">
    <cfRule type="cellIs" dxfId="4030" priority="1851" stopIfTrue="1" operator="equal">
      <formula>"Towel"</formula>
    </cfRule>
  </conditionalFormatting>
  <conditionalFormatting sqref="C74:C76">
    <cfRule type="cellIs" dxfId="4029" priority="1844" stopIfTrue="1" operator="equal">
      <formula>"Napkin Hs"</formula>
    </cfRule>
  </conditionalFormatting>
  <conditionalFormatting sqref="C74:C76">
    <cfRule type="cellIs" dxfId="4028" priority="1843" stopIfTrue="1" operator="equal">
      <formula>"Napkin Hs"</formula>
    </cfRule>
  </conditionalFormatting>
  <conditionalFormatting sqref="B79:B81">
    <cfRule type="cellIs" dxfId="4027" priority="1827" stopIfTrue="1" operator="equal">
      <formula>"Towel"</formula>
    </cfRule>
    <cfRule type="cellIs" dxfId="4026" priority="1828" stopIfTrue="1" operator="equal">
      <formula>"Napkin Hs"</formula>
    </cfRule>
  </conditionalFormatting>
  <conditionalFormatting sqref="C79:C81">
    <cfRule type="cellIs" dxfId="4025" priority="1841" stopIfTrue="1" operator="equal">
      <formula>"Towel"</formula>
    </cfRule>
    <cfRule type="cellIs" dxfId="4024" priority="1842" stopIfTrue="1" operator="equal">
      <formula>"Napkin Hs"</formula>
    </cfRule>
  </conditionalFormatting>
  <conditionalFormatting sqref="C79:C81">
    <cfRule type="cellIs" dxfId="4023" priority="1837" stopIfTrue="1" operator="equal">
      <formula>"Towel"</formula>
    </cfRule>
    <cfRule type="cellIs" dxfId="4022" priority="1838" stopIfTrue="1" operator="equal">
      <formula>"Napkin Hs"</formula>
    </cfRule>
  </conditionalFormatting>
  <conditionalFormatting sqref="B79:B81">
    <cfRule type="cellIs" dxfId="4021" priority="1829" stopIfTrue="1" operator="equal">
      <formula>"Towel"</formula>
    </cfRule>
    <cfRule type="cellIs" dxfId="4020" priority="1830" stopIfTrue="1" operator="equal">
      <formula>"Napkin Hs"</formula>
    </cfRule>
  </conditionalFormatting>
  <conditionalFormatting sqref="C79:C81">
    <cfRule type="cellIs" dxfId="4019" priority="1831" stopIfTrue="1" operator="equal">
      <formula>"Towel"</formula>
    </cfRule>
    <cfRule type="cellIs" dxfId="4018" priority="1832" stopIfTrue="1" operator="equal">
      <formula>"Napkin Hs"</formula>
    </cfRule>
  </conditionalFormatting>
  <conditionalFormatting sqref="C79:C81">
    <cfRule type="cellIs" dxfId="4017" priority="1840" stopIfTrue="1" operator="equal">
      <formula>"Napkin Hs"</formula>
    </cfRule>
  </conditionalFormatting>
  <conditionalFormatting sqref="C79:C81">
    <cfRule type="cellIs" dxfId="4016" priority="1839" stopIfTrue="1" operator="equal">
      <formula>"Towel"</formula>
    </cfRule>
  </conditionalFormatting>
  <conditionalFormatting sqref="C79:C81">
    <cfRule type="cellIs" dxfId="4015" priority="1835" stopIfTrue="1" operator="equal">
      <formula>"Towel"</formula>
    </cfRule>
    <cfRule type="cellIs" dxfId="4014" priority="1836" stopIfTrue="1" operator="equal">
      <formula>"Napkin Hs"</formula>
    </cfRule>
  </conditionalFormatting>
  <conditionalFormatting sqref="C79:C81">
    <cfRule type="cellIs" dxfId="4013" priority="1834" stopIfTrue="1" operator="equal">
      <formula>"Napkin Hs"</formula>
    </cfRule>
  </conditionalFormatting>
  <conditionalFormatting sqref="C79:C81">
    <cfRule type="cellIs" dxfId="4012" priority="1833" stopIfTrue="1" operator="equal">
      <formula>"Towel"</formula>
    </cfRule>
  </conditionalFormatting>
  <conditionalFormatting sqref="B79:C81">
    <cfRule type="cellIs" dxfId="4011" priority="1825" stopIfTrue="1" operator="equal">
      <formula>"Towel"</formula>
    </cfRule>
    <cfRule type="cellIs" dxfId="4010" priority="1826" stopIfTrue="1" operator="equal">
      <formula>"Napkin Hs"</formula>
    </cfRule>
  </conditionalFormatting>
  <conditionalFormatting sqref="C79:C81">
    <cfRule type="cellIs" dxfId="4009" priority="1824" stopIfTrue="1" operator="equal">
      <formula>"Napkin Hs"</formula>
    </cfRule>
  </conditionalFormatting>
  <conditionalFormatting sqref="C79:C81">
    <cfRule type="cellIs" dxfId="4008" priority="1823" stopIfTrue="1" operator="equal">
      <formula>"Towel"</formula>
    </cfRule>
  </conditionalFormatting>
  <conditionalFormatting sqref="C79:C81">
    <cfRule type="cellIs" dxfId="4007" priority="1821" stopIfTrue="1" operator="equal">
      <formula>"Towel"</formula>
    </cfRule>
    <cfRule type="cellIs" dxfId="4006" priority="1822" stopIfTrue="1" operator="equal">
      <formula>"Napkin Hs"</formula>
    </cfRule>
  </conditionalFormatting>
  <conditionalFormatting sqref="B79:C81">
    <cfRule type="cellIs" dxfId="4005" priority="1819" stopIfTrue="1" operator="equal">
      <formula>"Towel"</formula>
    </cfRule>
    <cfRule type="cellIs" dxfId="4004" priority="1820" stopIfTrue="1" operator="equal">
      <formula>"Napkin Hs"</formula>
    </cfRule>
  </conditionalFormatting>
  <conditionalFormatting sqref="C79:C81">
    <cfRule type="cellIs" dxfId="4003" priority="1817" stopIfTrue="1" operator="equal">
      <formula>"Towel"</formula>
    </cfRule>
    <cfRule type="cellIs" dxfId="4002" priority="1818" stopIfTrue="1" operator="equal">
      <formula>"Napkin Hs"</formula>
    </cfRule>
  </conditionalFormatting>
  <conditionalFormatting sqref="C79:C81">
    <cfRule type="cellIs" dxfId="4001" priority="1815" stopIfTrue="1" operator="equal">
      <formula>"Towel"</formula>
    </cfRule>
    <cfRule type="cellIs" dxfId="4000" priority="1816" stopIfTrue="1" operator="equal">
      <formula>"Napkin Hs"</formula>
    </cfRule>
  </conditionalFormatting>
  <conditionalFormatting sqref="C79:C81">
    <cfRule type="cellIs" dxfId="3999" priority="1809" stopIfTrue="1" operator="equal">
      <formula>"Towel"</formula>
    </cfRule>
    <cfRule type="cellIs" dxfId="3998" priority="1810" stopIfTrue="1" operator="equal">
      <formula>"Napkin Hs"</formula>
    </cfRule>
  </conditionalFormatting>
  <conditionalFormatting sqref="B79:B81">
    <cfRule type="cellIs" dxfId="3997" priority="1799" stopIfTrue="1" operator="equal">
      <formula>"Towel"</formula>
    </cfRule>
    <cfRule type="cellIs" dxfId="3996" priority="1800" stopIfTrue="1" operator="equal">
      <formula>"Napkin Hs"</formula>
    </cfRule>
  </conditionalFormatting>
  <conditionalFormatting sqref="C79:C81">
    <cfRule type="cellIs" dxfId="3995" priority="1803" stopIfTrue="1" operator="equal">
      <formula>"Towel"</formula>
    </cfRule>
    <cfRule type="cellIs" dxfId="3994" priority="1804" stopIfTrue="1" operator="equal">
      <formula>"Napkin Hs"</formula>
    </cfRule>
  </conditionalFormatting>
  <conditionalFormatting sqref="C79:C81">
    <cfRule type="cellIs" dxfId="3993" priority="1813" stopIfTrue="1" operator="equal">
      <formula>"Towel"</formula>
    </cfRule>
    <cfRule type="cellIs" dxfId="3992" priority="1814" stopIfTrue="1" operator="equal">
      <formula>"Napkin Hs"</formula>
    </cfRule>
  </conditionalFormatting>
  <conditionalFormatting sqref="B79:B81">
    <cfRule type="cellIs" dxfId="3991" priority="1801" stopIfTrue="1" operator="equal">
      <formula>"Towel"</formula>
    </cfRule>
    <cfRule type="cellIs" dxfId="3990" priority="1802" stopIfTrue="1" operator="equal">
      <formula>"Napkin Hs"</formula>
    </cfRule>
  </conditionalFormatting>
  <conditionalFormatting sqref="C79:C81">
    <cfRule type="cellIs" dxfId="3989" priority="1812" stopIfTrue="1" operator="equal">
      <formula>"Napkin Hs"</formula>
    </cfRule>
  </conditionalFormatting>
  <conditionalFormatting sqref="C79:C81">
    <cfRule type="cellIs" dxfId="3988" priority="1811" stopIfTrue="1" operator="equal">
      <formula>"Towel"</formula>
    </cfRule>
  </conditionalFormatting>
  <conditionalFormatting sqref="C79:C81">
    <cfRule type="cellIs" dxfId="3987" priority="1807" stopIfTrue="1" operator="equal">
      <formula>"Towel"</formula>
    </cfRule>
    <cfRule type="cellIs" dxfId="3986" priority="1808" stopIfTrue="1" operator="equal">
      <formula>"Napkin Hs"</formula>
    </cfRule>
  </conditionalFormatting>
  <conditionalFormatting sqref="C79:C81">
    <cfRule type="cellIs" dxfId="3985" priority="1806" stopIfTrue="1" operator="equal">
      <formula>"Napkin Hs"</formula>
    </cfRule>
  </conditionalFormatting>
  <conditionalFormatting sqref="C79:C81">
    <cfRule type="cellIs" dxfId="3984" priority="1805" stopIfTrue="1" operator="equal">
      <formula>"Towel"</formula>
    </cfRule>
  </conditionalFormatting>
  <conditionalFormatting sqref="C79:C81">
    <cfRule type="cellIs" dxfId="3983" priority="1798" stopIfTrue="1" operator="equal">
      <formula>"Napkin Hs"</formula>
    </cfRule>
  </conditionalFormatting>
  <conditionalFormatting sqref="C79:C81">
    <cfRule type="cellIs" dxfId="3982" priority="1797" stopIfTrue="1" operator="equal">
      <formula>"Napkin Hs"</formula>
    </cfRule>
  </conditionalFormatting>
  <conditionalFormatting sqref="B78">
    <cfRule type="cellIs" dxfId="3981" priority="1781" stopIfTrue="1" operator="equal">
      <formula>"Towel"</formula>
    </cfRule>
    <cfRule type="cellIs" dxfId="3980" priority="1782" stopIfTrue="1" operator="equal">
      <formula>"Napkin Hs"</formula>
    </cfRule>
  </conditionalFormatting>
  <conditionalFormatting sqref="C78">
    <cfRule type="cellIs" dxfId="3979" priority="1795" stopIfTrue="1" operator="equal">
      <formula>"Towel"</formula>
    </cfRule>
    <cfRule type="cellIs" dxfId="3978" priority="1796" stopIfTrue="1" operator="equal">
      <formula>"Napkin Hs"</formula>
    </cfRule>
  </conditionalFormatting>
  <conditionalFormatting sqref="C78">
    <cfRule type="cellIs" dxfId="3977" priority="1791" stopIfTrue="1" operator="equal">
      <formula>"Towel"</formula>
    </cfRule>
    <cfRule type="cellIs" dxfId="3976" priority="1792" stopIfTrue="1" operator="equal">
      <formula>"Napkin Hs"</formula>
    </cfRule>
  </conditionalFormatting>
  <conditionalFormatting sqref="B78">
    <cfRule type="cellIs" dxfId="3975" priority="1783" stopIfTrue="1" operator="equal">
      <formula>"Towel"</formula>
    </cfRule>
    <cfRule type="cellIs" dxfId="3974" priority="1784" stopIfTrue="1" operator="equal">
      <formula>"Napkin Hs"</formula>
    </cfRule>
  </conditionalFormatting>
  <conditionalFormatting sqref="C78">
    <cfRule type="cellIs" dxfId="3973" priority="1785" stopIfTrue="1" operator="equal">
      <formula>"Towel"</formula>
    </cfRule>
    <cfRule type="cellIs" dxfId="3972" priority="1786" stopIfTrue="1" operator="equal">
      <formula>"Napkin Hs"</formula>
    </cfRule>
  </conditionalFormatting>
  <conditionalFormatting sqref="C78">
    <cfRule type="cellIs" dxfId="3971" priority="1794" stopIfTrue="1" operator="equal">
      <formula>"Napkin Hs"</formula>
    </cfRule>
  </conditionalFormatting>
  <conditionalFormatting sqref="C78">
    <cfRule type="cellIs" dxfId="3970" priority="1793" stopIfTrue="1" operator="equal">
      <formula>"Towel"</formula>
    </cfRule>
  </conditionalFormatting>
  <conditionalFormatting sqref="C78">
    <cfRule type="cellIs" dxfId="3969" priority="1789" stopIfTrue="1" operator="equal">
      <formula>"Towel"</formula>
    </cfRule>
    <cfRule type="cellIs" dxfId="3968" priority="1790" stopIfTrue="1" operator="equal">
      <formula>"Napkin Hs"</formula>
    </cfRule>
  </conditionalFormatting>
  <conditionalFormatting sqref="C78">
    <cfRule type="cellIs" dxfId="3967" priority="1788" stopIfTrue="1" operator="equal">
      <formula>"Napkin Hs"</formula>
    </cfRule>
  </conditionalFormatting>
  <conditionalFormatting sqref="C78">
    <cfRule type="cellIs" dxfId="3966" priority="1787" stopIfTrue="1" operator="equal">
      <formula>"Towel"</formula>
    </cfRule>
  </conditionalFormatting>
  <conditionalFormatting sqref="B78:C78">
    <cfRule type="cellIs" dxfId="3965" priority="1779" stopIfTrue="1" operator="equal">
      <formula>"Towel"</formula>
    </cfRule>
    <cfRule type="cellIs" dxfId="3964" priority="1780" stopIfTrue="1" operator="equal">
      <formula>"Napkin Hs"</formula>
    </cfRule>
  </conditionalFormatting>
  <conditionalFormatting sqref="C78">
    <cfRule type="cellIs" dxfId="3963" priority="1778" stopIfTrue="1" operator="equal">
      <formula>"Napkin Hs"</formula>
    </cfRule>
  </conditionalFormatting>
  <conditionalFormatting sqref="C78">
    <cfRule type="cellIs" dxfId="3962" priority="1777" stopIfTrue="1" operator="equal">
      <formula>"Towel"</formula>
    </cfRule>
  </conditionalFormatting>
  <conditionalFormatting sqref="C78">
    <cfRule type="cellIs" dxfId="3961" priority="1775" stopIfTrue="1" operator="equal">
      <formula>"Towel"</formula>
    </cfRule>
    <cfRule type="cellIs" dxfId="3960" priority="1776" stopIfTrue="1" operator="equal">
      <formula>"Napkin Hs"</formula>
    </cfRule>
  </conditionalFormatting>
  <conditionalFormatting sqref="B78:C78">
    <cfRule type="cellIs" dxfId="3959" priority="1773" stopIfTrue="1" operator="equal">
      <formula>"Towel"</formula>
    </cfRule>
    <cfRule type="cellIs" dxfId="3958" priority="1774" stopIfTrue="1" operator="equal">
      <formula>"Napkin Hs"</formula>
    </cfRule>
  </conditionalFormatting>
  <conditionalFormatting sqref="C78">
    <cfRule type="cellIs" dxfId="3957" priority="1771" stopIfTrue="1" operator="equal">
      <formula>"Towel"</formula>
    </cfRule>
    <cfRule type="cellIs" dxfId="3956" priority="1772" stopIfTrue="1" operator="equal">
      <formula>"Napkin Hs"</formula>
    </cfRule>
  </conditionalFormatting>
  <conditionalFormatting sqref="C78">
    <cfRule type="cellIs" dxfId="3955" priority="1769" stopIfTrue="1" operator="equal">
      <formula>"Towel"</formula>
    </cfRule>
    <cfRule type="cellIs" dxfId="3954" priority="1770" stopIfTrue="1" operator="equal">
      <formula>"Napkin Hs"</formula>
    </cfRule>
  </conditionalFormatting>
  <conditionalFormatting sqref="C78">
    <cfRule type="cellIs" dxfId="3953" priority="1763" stopIfTrue="1" operator="equal">
      <formula>"Towel"</formula>
    </cfRule>
    <cfRule type="cellIs" dxfId="3952" priority="1764" stopIfTrue="1" operator="equal">
      <formula>"Napkin Hs"</formula>
    </cfRule>
  </conditionalFormatting>
  <conditionalFormatting sqref="B78">
    <cfRule type="cellIs" dxfId="3951" priority="1753" stopIfTrue="1" operator="equal">
      <formula>"Towel"</formula>
    </cfRule>
    <cfRule type="cellIs" dxfId="3950" priority="1754" stopIfTrue="1" operator="equal">
      <formula>"Napkin Hs"</formula>
    </cfRule>
  </conditionalFormatting>
  <conditionalFormatting sqref="C78">
    <cfRule type="cellIs" dxfId="3949" priority="1757" stopIfTrue="1" operator="equal">
      <formula>"Towel"</formula>
    </cfRule>
    <cfRule type="cellIs" dxfId="3948" priority="1758" stopIfTrue="1" operator="equal">
      <formula>"Napkin Hs"</formula>
    </cfRule>
  </conditionalFormatting>
  <conditionalFormatting sqref="C78">
    <cfRule type="cellIs" dxfId="3947" priority="1767" stopIfTrue="1" operator="equal">
      <formula>"Towel"</formula>
    </cfRule>
    <cfRule type="cellIs" dxfId="3946" priority="1768" stopIfTrue="1" operator="equal">
      <formula>"Napkin Hs"</formula>
    </cfRule>
  </conditionalFormatting>
  <conditionalFormatting sqref="B78">
    <cfRule type="cellIs" dxfId="3945" priority="1755" stopIfTrue="1" operator="equal">
      <formula>"Towel"</formula>
    </cfRule>
    <cfRule type="cellIs" dxfId="3944" priority="1756" stopIfTrue="1" operator="equal">
      <formula>"Napkin Hs"</formula>
    </cfRule>
  </conditionalFormatting>
  <conditionalFormatting sqref="C78">
    <cfRule type="cellIs" dxfId="3943" priority="1766" stopIfTrue="1" operator="equal">
      <formula>"Napkin Hs"</formula>
    </cfRule>
  </conditionalFormatting>
  <conditionalFormatting sqref="C78">
    <cfRule type="cellIs" dxfId="3942" priority="1765" stopIfTrue="1" operator="equal">
      <formula>"Towel"</formula>
    </cfRule>
  </conditionalFormatting>
  <conditionalFormatting sqref="C78">
    <cfRule type="cellIs" dxfId="3941" priority="1761" stopIfTrue="1" operator="equal">
      <formula>"Towel"</formula>
    </cfRule>
    <cfRule type="cellIs" dxfId="3940" priority="1762" stopIfTrue="1" operator="equal">
      <formula>"Napkin Hs"</formula>
    </cfRule>
  </conditionalFormatting>
  <conditionalFormatting sqref="C78">
    <cfRule type="cellIs" dxfId="3939" priority="1760" stopIfTrue="1" operator="equal">
      <formula>"Napkin Hs"</formula>
    </cfRule>
  </conditionalFormatting>
  <conditionalFormatting sqref="C78">
    <cfRule type="cellIs" dxfId="3938" priority="1759" stopIfTrue="1" operator="equal">
      <formula>"Towel"</formula>
    </cfRule>
  </conditionalFormatting>
  <conditionalFormatting sqref="C78">
    <cfRule type="cellIs" dxfId="3937" priority="1752" stopIfTrue="1" operator="equal">
      <formula>"Napkin Hs"</formula>
    </cfRule>
  </conditionalFormatting>
  <conditionalFormatting sqref="C78">
    <cfRule type="cellIs" dxfId="3936" priority="1751" stopIfTrue="1" operator="equal">
      <formula>"Napkin Hs"</formula>
    </cfRule>
  </conditionalFormatting>
  <conditionalFormatting sqref="B85:C85">
    <cfRule type="cellIs" dxfId="3935" priority="1749" stopIfTrue="1" operator="equal">
      <formula>"Towel"</formula>
    </cfRule>
    <cfRule type="cellIs" dxfId="3934" priority="1750" stopIfTrue="1" operator="equal">
      <formula>"Napkin Hs"</formula>
    </cfRule>
  </conditionalFormatting>
  <conditionalFormatting sqref="C85">
    <cfRule type="cellIs" dxfId="3933" priority="1748" stopIfTrue="1" operator="equal">
      <formula>"Napkin Hs"</formula>
    </cfRule>
  </conditionalFormatting>
  <conditionalFormatting sqref="C85">
    <cfRule type="cellIs" dxfId="3932" priority="1745" stopIfTrue="1" operator="equal">
      <formula>"Towel"</formula>
    </cfRule>
    <cfRule type="cellIs" dxfId="3931" priority="1746" stopIfTrue="1" operator="equal">
      <formula>"Napkin Hs"</formula>
    </cfRule>
  </conditionalFormatting>
  <conditionalFormatting sqref="C85">
    <cfRule type="cellIs" dxfId="3930" priority="1747" stopIfTrue="1" operator="equal">
      <formula>"Towel"</formula>
    </cfRule>
  </conditionalFormatting>
  <conditionalFormatting sqref="B84">
    <cfRule type="cellIs" dxfId="3929" priority="1729" stopIfTrue="1" operator="equal">
      <formula>"Towel"</formula>
    </cfRule>
    <cfRule type="cellIs" dxfId="3928" priority="1730" stopIfTrue="1" operator="equal">
      <formula>"Napkin Hs"</formula>
    </cfRule>
  </conditionalFormatting>
  <conditionalFormatting sqref="C84">
    <cfRule type="cellIs" dxfId="3927" priority="1743" stopIfTrue="1" operator="equal">
      <formula>"Towel"</formula>
    </cfRule>
    <cfRule type="cellIs" dxfId="3926" priority="1744" stopIfTrue="1" operator="equal">
      <formula>"Napkin Hs"</formula>
    </cfRule>
  </conditionalFormatting>
  <conditionalFormatting sqref="C84">
    <cfRule type="cellIs" dxfId="3925" priority="1739" stopIfTrue="1" operator="equal">
      <formula>"Towel"</formula>
    </cfRule>
    <cfRule type="cellIs" dxfId="3924" priority="1740" stopIfTrue="1" operator="equal">
      <formula>"Napkin Hs"</formula>
    </cfRule>
  </conditionalFormatting>
  <conditionalFormatting sqref="B84">
    <cfRule type="cellIs" dxfId="3923" priority="1731" stopIfTrue="1" operator="equal">
      <formula>"Towel"</formula>
    </cfRule>
    <cfRule type="cellIs" dxfId="3922" priority="1732" stopIfTrue="1" operator="equal">
      <formula>"Napkin Hs"</formula>
    </cfRule>
  </conditionalFormatting>
  <conditionalFormatting sqref="C84">
    <cfRule type="cellIs" dxfId="3921" priority="1733" stopIfTrue="1" operator="equal">
      <formula>"Towel"</formula>
    </cfRule>
    <cfRule type="cellIs" dxfId="3920" priority="1734" stopIfTrue="1" operator="equal">
      <formula>"Napkin Hs"</formula>
    </cfRule>
  </conditionalFormatting>
  <conditionalFormatting sqref="C84">
    <cfRule type="cellIs" dxfId="3919" priority="1742" stopIfTrue="1" operator="equal">
      <formula>"Napkin Hs"</formula>
    </cfRule>
  </conditionalFormatting>
  <conditionalFormatting sqref="C84">
    <cfRule type="cellIs" dxfId="3918" priority="1741" stopIfTrue="1" operator="equal">
      <formula>"Towel"</formula>
    </cfRule>
  </conditionalFormatting>
  <conditionalFormatting sqref="C84">
    <cfRule type="cellIs" dxfId="3917" priority="1737" stopIfTrue="1" operator="equal">
      <formula>"Towel"</formula>
    </cfRule>
    <cfRule type="cellIs" dxfId="3916" priority="1738" stopIfTrue="1" operator="equal">
      <formula>"Napkin Hs"</formula>
    </cfRule>
  </conditionalFormatting>
  <conditionalFormatting sqref="C84">
    <cfRule type="cellIs" dxfId="3915" priority="1736" stopIfTrue="1" operator="equal">
      <formula>"Napkin Hs"</formula>
    </cfRule>
  </conditionalFormatting>
  <conditionalFormatting sqref="C84">
    <cfRule type="cellIs" dxfId="3914" priority="1735" stopIfTrue="1" operator="equal">
      <formula>"Towel"</formula>
    </cfRule>
  </conditionalFormatting>
  <conditionalFormatting sqref="B84:C84">
    <cfRule type="cellIs" dxfId="3913" priority="1727" stopIfTrue="1" operator="equal">
      <formula>"Towel"</formula>
    </cfRule>
    <cfRule type="cellIs" dxfId="3912" priority="1728" stopIfTrue="1" operator="equal">
      <formula>"Napkin Hs"</formula>
    </cfRule>
  </conditionalFormatting>
  <conditionalFormatting sqref="C84">
    <cfRule type="cellIs" dxfId="3911" priority="1726" stopIfTrue="1" operator="equal">
      <formula>"Napkin Hs"</formula>
    </cfRule>
  </conditionalFormatting>
  <conditionalFormatting sqref="C84">
    <cfRule type="cellIs" dxfId="3910" priority="1725" stopIfTrue="1" operator="equal">
      <formula>"Towel"</formula>
    </cfRule>
  </conditionalFormatting>
  <conditionalFormatting sqref="C84">
    <cfRule type="cellIs" dxfId="3909" priority="1723" stopIfTrue="1" operator="equal">
      <formula>"Towel"</formula>
    </cfRule>
    <cfRule type="cellIs" dxfId="3908" priority="1724" stopIfTrue="1" operator="equal">
      <formula>"Napkin Hs"</formula>
    </cfRule>
  </conditionalFormatting>
  <conditionalFormatting sqref="B84:C84">
    <cfRule type="cellIs" dxfId="3907" priority="1721" stopIfTrue="1" operator="equal">
      <formula>"Towel"</formula>
    </cfRule>
    <cfRule type="cellIs" dxfId="3906" priority="1722" stopIfTrue="1" operator="equal">
      <formula>"Napkin Hs"</formula>
    </cfRule>
  </conditionalFormatting>
  <conditionalFormatting sqref="C84">
    <cfRule type="cellIs" dxfId="3905" priority="1719" stopIfTrue="1" operator="equal">
      <formula>"Towel"</formula>
    </cfRule>
    <cfRule type="cellIs" dxfId="3904" priority="1720" stopIfTrue="1" operator="equal">
      <formula>"Napkin Hs"</formula>
    </cfRule>
  </conditionalFormatting>
  <conditionalFormatting sqref="C84">
    <cfRule type="cellIs" dxfId="3903" priority="1717" stopIfTrue="1" operator="equal">
      <formula>"Towel"</formula>
    </cfRule>
    <cfRule type="cellIs" dxfId="3902" priority="1718" stopIfTrue="1" operator="equal">
      <formula>"Napkin Hs"</formula>
    </cfRule>
  </conditionalFormatting>
  <conditionalFormatting sqref="C84">
    <cfRule type="cellIs" dxfId="3901" priority="1711" stopIfTrue="1" operator="equal">
      <formula>"Towel"</formula>
    </cfRule>
    <cfRule type="cellIs" dxfId="3900" priority="1712" stopIfTrue="1" operator="equal">
      <formula>"Napkin Hs"</formula>
    </cfRule>
  </conditionalFormatting>
  <conditionalFormatting sqref="B84">
    <cfRule type="cellIs" dxfId="3899" priority="1701" stopIfTrue="1" operator="equal">
      <formula>"Towel"</formula>
    </cfRule>
    <cfRule type="cellIs" dxfId="3898" priority="1702" stopIfTrue="1" operator="equal">
      <formula>"Napkin Hs"</formula>
    </cfRule>
  </conditionalFormatting>
  <conditionalFormatting sqref="C84">
    <cfRule type="cellIs" dxfId="3897" priority="1705" stopIfTrue="1" operator="equal">
      <formula>"Towel"</formula>
    </cfRule>
    <cfRule type="cellIs" dxfId="3896" priority="1706" stopIfTrue="1" operator="equal">
      <formula>"Napkin Hs"</formula>
    </cfRule>
  </conditionalFormatting>
  <conditionalFormatting sqref="C84">
    <cfRule type="cellIs" dxfId="3895" priority="1715" stopIfTrue="1" operator="equal">
      <formula>"Towel"</formula>
    </cfRule>
    <cfRule type="cellIs" dxfId="3894" priority="1716" stopIfTrue="1" operator="equal">
      <formula>"Napkin Hs"</formula>
    </cfRule>
  </conditionalFormatting>
  <conditionalFormatting sqref="B84">
    <cfRule type="cellIs" dxfId="3893" priority="1703" stopIfTrue="1" operator="equal">
      <formula>"Towel"</formula>
    </cfRule>
    <cfRule type="cellIs" dxfId="3892" priority="1704" stopIfTrue="1" operator="equal">
      <formula>"Napkin Hs"</formula>
    </cfRule>
  </conditionalFormatting>
  <conditionalFormatting sqref="C84">
    <cfRule type="cellIs" dxfId="3891" priority="1714" stopIfTrue="1" operator="equal">
      <formula>"Napkin Hs"</formula>
    </cfRule>
  </conditionalFormatting>
  <conditionalFormatting sqref="C84">
    <cfRule type="cellIs" dxfId="3890" priority="1713" stopIfTrue="1" operator="equal">
      <formula>"Towel"</formula>
    </cfRule>
  </conditionalFormatting>
  <conditionalFormatting sqref="C84">
    <cfRule type="cellIs" dxfId="3889" priority="1709" stopIfTrue="1" operator="equal">
      <formula>"Towel"</formula>
    </cfRule>
    <cfRule type="cellIs" dxfId="3888" priority="1710" stopIfTrue="1" operator="equal">
      <formula>"Napkin Hs"</formula>
    </cfRule>
  </conditionalFormatting>
  <conditionalFormatting sqref="C84">
    <cfRule type="cellIs" dxfId="3887" priority="1708" stopIfTrue="1" operator="equal">
      <formula>"Napkin Hs"</formula>
    </cfRule>
  </conditionalFormatting>
  <conditionalFormatting sqref="C84">
    <cfRule type="cellIs" dxfId="3886" priority="1707" stopIfTrue="1" operator="equal">
      <formula>"Towel"</formula>
    </cfRule>
  </conditionalFormatting>
  <conditionalFormatting sqref="C84">
    <cfRule type="cellIs" dxfId="3885" priority="1700" stopIfTrue="1" operator="equal">
      <formula>"Napkin Hs"</formula>
    </cfRule>
  </conditionalFormatting>
  <conditionalFormatting sqref="C84">
    <cfRule type="cellIs" dxfId="3884" priority="1699" stopIfTrue="1" operator="equal">
      <formula>"Napkin Hs"</formula>
    </cfRule>
  </conditionalFormatting>
  <conditionalFormatting sqref="B83">
    <cfRule type="cellIs" dxfId="3883" priority="1683" stopIfTrue="1" operator="equal">
      <formula>"Towel"</formula>
    </cfRule>
    <cfRule type="cellIs" dxfId="3882" priority="1684" stopIfTrue="1" operator="equal">
      <formula>"Napkin Hs"</formula>
    </cfRule>
  </conditionalFormatting>
  <conditionalFormatting sqref="C83">
    <cfRule type="cellIs" dxfId="3881" priority="1697" stopIfTrue="1" operator="equal">
      <formula>"Towel"</formula>
    </cfRule>
    <cfRule type="cellIs" dxfId="3880" priority="1698" stopIfTrue="1" operator="equal">
      <formula>"Napkin Hs"</formula>
    </cfRule>
  </conditionalFormatting>
  <conditionalFormatting sqref="C83">
    <cfRule type="cellIs" dxfId="3879" priority="1693" stopIfTrue="1" operator="equal">
      <formula>"Towel"</formula>
    </cfRule>
    <cfRule type="cellIs" dxfId="3878" priority="1694" stopIfTrue="1" operator="equal">
      <formula>"Napkin Hs"</formula>
    </cfRule>
  </conditionalFormatting>
  <conditionalFormatting sqref="B83">
    <cfRule type="cellIs" dxfId="3877" priority="1685" stopIfTrue="1" operator="equal">
      <formula>"Towel"</formula>
    </cfRule>
    <cfRule type="cellIs" dxfId="3876" priority="1686" stopIfTrue="1" operator="equal">
      <formula>"Napkin Hs"</formula>
    </cfRule>
  </conditionalFormatting>
  <conditionalFormatting sqref="C83">
    <cfRule type="cellIs" dxfId="3875" priority="1687" stopIfTrue="1" operator="equal">
      <formula>"Towel"</formula>
    </cfRule>
    <cfRule type="cellIs" dxfId="3874" priority="1688" stopIfTrue="1" operator="equal">
      <formula>"Napkin Hs"</formula>
    </cfRule>
  </conditionalFormatting>
  <conditionalFormatting sqref="C83">
    <cfRule type="cellIs" dxfId="3873" priority="1696" stopIfTrue="1" operator="equal">
      <formula>"Napkin Hs"</formula>
    </cfRule>
  </conditionalFormatting>
  <conditionalFormatting sqref="C83">
    <cfRule type="cellIs" dxfId="3872" priority="1695" stopIfTrue="1" operator="equal">
      <formula>"Towel"</formula>
    </cfRule>
  </conditionalFormatting>
  <conditionalFormatting sqref="C83">
    <cfRule type="cellIs" dxfId="3871" priority="1691" stopIfTrue="1" operator="equal">
      <formula>"Towel"</formula>
    </cfRule>
    <cfRule type="cellIs" dxfId="3870" priority="1692" stopIfTrue="1" operator="equal">
      <formula>"Napkin Hs"</formula>
    </cfRule>
  </conditionalFormatting>
  <conditionalFormatting sqref="C83">
    <cfRule type="cellIs" dxfId="3869" priority="1690" stopIfTrue="1" operator="equal">
      <formula>"Napkin Hs"</formula>
    </cfRule>
  </conditionalFormatting>
  <conditionalFormatting sqref="C83">
    <cfRule type="cellIs" dxfId="3868" priority="1689" stopIfTrue="1" operator="equal">
      <formula>"Towel"</formula>
    </cfRule>
  </conditionalFormatting>
  <conditionalFormatting sqref="B83:C83">
    <cfRule type="cellIs" dxfId="3867" priority="1681" stopIfTrue="1" operator="equal">
      <formula>"Towel"</formula>
    </cfRule>
    <cfRule type="cellIs" dxfId="3866" priority="1682" stopIfTrue="1" operator="equal">
      <formula>"Napkin Hs"</formula>
    </cfRule>
  </conditionalFormatting>
  <conditionalFormatting sqref="C83">
    <cfRule type="cellIs" dxfId="3865" priority="1680" stopIfTrue="1" operator="equal">
      <formula>"Napkin Hs"</formula>
    </cfRule>
  </conditionalFormatting>
  <conditionalFormatting sqref="C83">
    <cfRule type="cellIs" dxfId="3864" priority="1679" stopIfTrue="1" operator="equal">
      <formula>"Towel"</formula>
    </cfRule>
  </conditionalFormatting>
  <conditionalFormatting sqref="C83">
    <cfRule type="cellIs" dxfId="3863" priority="1677" stopIfTrue="1" operator="equal">
      <formula>"Towel"</formula>
    </cfRule>
    <cfRule type="cellIs" dxfId="3862" priority="1678" stopIfTrue="1" operator="equal">
      <formula>"Napkin Hs"</formula>
    </cfRule>
  </conditionalFormatting>
  <conditionalFormatting sqref="B83:C83">
    <cfRule type="cellIs" dxfId="3861" priority="1675" stopIfTrue="1" operator="equal">
      <formula>"Towel"</formula>
    </cfRule>
    <cfRule type="cellIs" dxfId="3860" priority="1676" stopIfTrue="1" operator="equal">
      <formula>"Napkin Hs"</formula>
    </cfRule>
  </conditionalFormatting>
  <conditionalFormatting sqref="C83">
    <cfRule type="cellIs" dxfId="3859" priority="1673" stopIfTrue="1" operator="equal">
      <formula>"Towel"</formula>
    </cfRule>
    <cfRule type="cellIs" dxfId="3858" priority="1674" stopIfTrue="1" operator="equal">
      <formula>"Napkin Hs"</formula>
    </cfRule>
  </conditionalFormatting>
  <conditionalFormatting sqref="C83">
    <cfRule type="cellIs" dxfId="3857" priority="1671" stopIfTrue="1" operator="equal">
      <formula>"Towel"</formula>
    </cfRule>
    <cfRule type="cellIs" dxfId="3856" priority="1672" stopIfTrue="1" operator="equal">
      <formula>"Napkin Hs"</formula>
    </cfRule>
  </conditionalFormatting>
  <conditionalFormatting sqref="C83">
    <cfRule type="cellIs" dxfId="3855" priority="1665" stopIfTrue="1" operator="equal">
      <formula>"Towel"</formula>
    </cfRule>
    <cfRule type="cellIs" dxfId="3854" priority="1666" stopIfTrue="1" operator="equal">
      <formula>"Napkin Hs"</formula>
    </cfRule>
  </conditionalFormatting>
  <conditionalFormatting sqref="B83">
    <cfRule type="cellIs" dxfId="3853" priority="1655" stopIfTrue="1" operator="equal">
      <formula>"Towel"</formula>
    </cfRule>
    <cfRule type="cellIs" dxfId="3852" priority="1656" stopIfTrue="1" operator="equal">
      <formula>"Napkin Hs"</formula>
    </cfRule>
  </conditionalFormatting>
  <conditionalFormatting sqref="C83">
    <cfRule type="cellIs" dxfId="3851" priority="1659" stopIfTrue="1" operator="equal">
      <formula>"Towel"</formula>
    </cfRule>
    <cfRule type="cellIs" dxfId="3850" priority="1660" stopIfTrue="1" operator="equal">
      <formula>"Napkin Hs"</formula>
    </cfRule>
  </conditionalFormatting>
  <conditionalFormatting sqref="C83">
    <cfRule type="cellIs" dxfId="3849" priority="1669" stopIfTrue="1" operator="equal">
      <formula>"Towel"</formula>
    </cfRule>
    <cfRule type="cellIs" dxfId="3848" priority="1670" stopIfTrue="1" operator="equal">
      <formula>"Napkin Hs"</formula>
    </cfRule>
  </conditionalFormatting>
  <conditionalFormatting sqref="B83">
    <cfRule type="cellIs" dxfId="3847" priority="1657" stopIfTrue="1" operator="equal">
      <formula>"Towel"</formula>
    </cfRule>
    <cfRule type="cellIs" dxfId="3846" priority="1658" stopIfTrue="1" operator="equal">
      <formula>"Napkin Hs"</formula>
    </cfRule>
  </conditionalFormatting>
  <conditionalFormatting sqref="C83">
    <cfRule type="cellIs" dxfId="3845" priority="1668" stopIfTrue="1" operator="equal">
      <formula>"Napkin Hs"</formula>
    </cfRule>
  </conditionalFormatting>
  <conditionalFormatting sqref="C83">
    <cfRule type="cellIs" dxfId="3844" priority="1667" stopIfTrue="1" operator="equal">
      <formula>"Towel"</formula>
    </cfRule>
  </conditionalFormatting>
  <conditionalFormatting sqref="C83">
    <cfRule type="cellIs" dxfId="3843" priority="1663" stopIfTrue="1" operator="equal">
      <formula>"Towel"</formula>
    </cfRule>
    <cfRule type="cellIs" dxfId="3842" priority="1664" stopIfTrue="1" operator="equal">
      <formula>"Napkin Hs"</formula>
    </cfRule>
  </conditionalFormatting>
  <conditionalFormatting sqref="C83">
    <cfRule type="cellIs" dxfId="3841" priority="1662" stopIfTrue="1" operator="equal">
      <formula>"Napkin Hs"</formula>
    </cfRule>
  </conditionalFormatting>
  <conditionalFormatting sqref="C83">
    <cfRule type="cellIs" dxfId="3840" priority="1661" stopIfTrue="1" operator="equal">
      <formula>"Towel"</formula>
    </cfRule>
  </conditionalFormatting>
  <conditionalFormatting sqref="C83">
    <cfRule type="cellIs" dxfId="3839" priority="1654" stopIfTrue="1" operator="equal">
      <formula>"Napkin Hs"</formula>
    </cfRule>
  </conditionalFormatting>
  <conditionalFormatting sqref="C83">
    <cfRule type="cellIs" dxfId="3838" priority="1653" stopIfTrue="1" operator="equal">
      <formula>"Napkin Hs"</formula>
    </cfRule>
  </conditionalFormatting>
  <conditionalFormatting sqref="B89:C89">
    <cfRule type="cellIs" dxfId="3837" priority="1651" stopIfTrue="1" operator="equal">
      <formula>"Towel"</formula>
    </cfRule>
    <cfRule type="cellIs" dxfId="3836" priority="1652" stopIfTrue="1" operator="equal">
      <formula>"Napkin Hs"</formula>
    </cfRule>
  </conditionalFormatting>
  <conditionalFormatting sqref="C89">
    <cfRule type="cellIs" dxfId="3835" priority="1650" stopIfTrue="1" operator="equal">
      <formula>"Napkin Hs"</formula>
    </cfRule>
  </conditionalFormatting>
  <conditionalFormatting sqref="C89">
    <cfRule type="cellIs" dxfId="3834" priority="1647" stopIfTrue="1" operator="equal">
      <formula>"Towel"</formula>
    </cfRule>
    <cfRule type="cellIs" dxfId="3833" priority="1648" stopIfTrue="1" operator="equal">
      <formula>"Napkin Hs"</formula>
    </cfRule>
  </conditionalFormatting>
  <conditionalFormatting sqref="C89">
    <cfRule type="cellIs" dxfId="3832" priority="1649" stopIfTrue="1" operator="equal">
      <formula>"Towel"</formula>
    </cfRule>
  </conditionalFormatting>
  <conditionalFormatting sqref="B88">
    <cfRule type="cellIs" dxfId="3831" priority="1631" stopIfTrue="1" operator="equal">
      <formula>"Towel"</formula>
    </cfRule>
    <cfRule type="cellIs" dxfId="3830" priority="1632" stopIfTrue="1" operator="equal">
      <formula>"Napkin Hs"</formula>
    </cfRule>
  </conditionalFormatting>
  <conditionalFormatting sqref="C88">
    <cfRule type="cellIs" dxfId="3829" priority="1645" stopIfTrue="1" operator="equal">
      <formula>"Towel"</formula>
    </cfRule>
    <cfRule type="cellIs" dxfId="3828" priority="1646" stopIfTrue="1" operator="equal">
      <formula>"Napkin Hs"</formula>
    </cfRule>
  </conditionalFormatting>
  <conditionalFormatting sqref="C88">
    <cfRule type="cellIs" dxfId="3827" priority="1641" stopIfTrue="1" operator="equal">
      <formula>"Towel"</formula>
    </cfRule>
    <cfRule type="cellIs" dxfId="3826" priority="1642" stopIfTrue="1" operator="equal">
      <formula>"Napkin Hs"</formula>
    </cfRule>
  </conditionalFormatting>
  <conditionalFormatting sqref="B88">
    <cfRule type="cellIs" dxfId="3825" priority="1633" stopIfTrue="1" operator="equal">
      <formula>"Towel"</formula>
    </cfRule>
    <cfRule type="cellIs" dxfId="3824" priority="1634" stopIfTrue="1" operator="equal">
      <formula>"Napkin Hs"</formula>
    </cfRule>
  </conditionalFormatting>
  <conditionalFormatting sqref="C88">
    <cfRule type="cellIs" dxfId="3823" priority="1635" stopIfTrue="1" operator="equal">
      <formula>"Towel"</formula>
    </cfRule>
    <cfRule type="cellIs" dxfId="3822" priority="1636" stopIfTrue="1" operator="equal">
      <formula>"Napkin Hs"</formula>
    </cfRule>
  </conditionalFormatting>
  <conditionalFormatting sqref="C88">
    <cfRule type="cellIs" dxfId="3821" priority="1644" stopIfTrue="1" operator="equal">
      <formula>"Napkin Hs"</formula>
    </cfRule>
  </conditionalFormatting>
  <conditionalFormatting sqref="C88">
    <cfRule type="cellIs" dxfId="3820" priority="1643" stopIfTrue="1" operator="equal">
      <formula>"Towel"</formula>
    </cfRule>
  </conditionalFormatting>
  <conditionalFormatting sqref="C88">
    <cfRule type="cellIs" dxfId="3819" priority="1639" stopIfTrue="1" operator="equal">
      <formula>"Towel"</formula>
    </cfRule>
    <cfRule type="cellIs" dxfId="3818" priority="1640" stopIfTrue="1" operator="equal">
      <formula>"Napkin Hs"</formula>
    </cfRule>
  </conditionalFormatting>
  <conditionalFormatting sqref="C88">
    <cfRule type="cellIs" dxfId="3817" priority="1638" stopIfTrue="1" operator="equal">
      <formula>"Napkin Hs"</formula>
    </cfRule>
  </conditionalFormatting>
  <conditionalFormatting sqref="C88">
    <cfRule type="cellIs" dxfId="3816" priority="1637" stopIfTrue="1" operator="equal">
      <formula>"Towel"</formula>
    </cfRule>
  </conditionalFormatting>
  <conditionalFormatting sqref="B88:C88">
    <cfRule type="cellIs" dxfId="3815" priority="1629" stopIfTrue="1" operator="equal">
      <formula>"Towel"</formula>
    </cfRule>
    <cfRule type="cellIs" dxfId="3814" priority="1630" stopIfTrue="1" operator="equal">
      <formula>"Napkin Hs"</formula>
    </cfRule>
  </conditionalFormatting>
  <conditionalFormatting sqref="C88">
    <cfRule type="cellIs" dxfId="3813" priority="1628" stopIfTrue="1" operator="equal">
      <formula>"Napkin Hs"</formula>
    </cfRule>
  </conditionalFormatting>
  <conditionalFormatting sqref="C88">
    <cfRule type="cellIs" dxfId="3812" priority="1627" stopIfTrue="1" operator="equal">
      <formula>"Towel"</formula>
    </cfRule>
  </conditionalFormatting>
  <conditionalFormatting sqref="C88">
    <cfRule type="cellIs" dxfId="3811" priority="1625" stopIfTrue="1" operator="equal">
      <formula>"Towel"</formula>
    </cfRule>
    <cfRule type="cellIs" dxfId="3810" priority="1626" stopIfTrue="1" operator="equal">
      <formula>"Napkin Hs"</formula>
    </cfRule>
  </conditionalFormatting>
  <conditionalFormatting sqref="B88:C88">
    <cfRule type="cellIs" dxfId="3809" priority="1623" stopIfTrue="1" operator="equal">
      <formula>"Towel"</formula>
    </cfRule>
    <cfRule type="cellIs" dxfId="3808" priority="1624" stopIfTrue="1" operator="equal">
      <formula>"Napkin Hs"</formula>
    </cfRule>
  </conditionalFormatting>
  <conditionalFormatting sqref="C88">
    <cfRule type="cellIs" dxfId="3807" priority="1621" stopIfTrue="1" operator="equal">
      <formula>"Towel"</formula>
    </cfRule>
    <cfRule type="cellIs" dxfId="3806" priority="1622" stopIfTrue="1" operator="equal">
      <formula>"Napkin Hs"</formula>
    </cfRule>
  </conditionalFormatting>
  <conditionalFormatting sqref="C88">
    <cfRule type="cellIs" dxfId="3805" priority="1619" stopIfTrue="1" operator="equal">
      <formula>"Towel"</formula>
    </cfRule>
    <cfRule type="cellIs" dxfId="3804" priority="1620" stopIfTrue="1" operator="equal">
      <formula>"Napkin Hs"</formula>
    </cfRule>
  </conditionalFormatting>
  <conditionalFormatting sqref="C88">
    <cfRule type="cellIs" dxfId="3803" priority="1613" stopIfTrue="1" operator="equal">
      <formula>"Towel"</formula>
    </cfRule>
    <cfRule type="cellIs" dxfId="3802" priority="1614" stopIfTrue="1" operator="equal">
      <formula>"Napkin Hs"</formula>
    </cfRule>
  </conditionalFormatting>
  <conditionalFormatting sqref="B88">
    <cfRule type="cellIs" dxfId="3801" priority="1603" stopIfTrue="1" operator="equal">
      <formula>"Towel"</formula>
    </cfRule>
    <cfRule type="cellIs" dxfId="3800" priority="1604" stopIfTrue="1" operator="equal">
      <formula>"Napkin Hs"</formula>
    </cfRule>
  </conditionalFormatting>
  <conditionalFormatting sqref="C88">
    <cfRule type="cellIs" dxfId="3799" priority="1607" stopIfTrue="1" operator="equal">
      <formula>"Towel"</formula>
    </cfRule>
    <cfRule type="cellIs" dxfId="3798" priority="1608" stopIfTrue="1" operator="equal">
      <formula>"Napkin Hs"</formula>
    </cfRule>
  </conditionalFormatting>
  <conditionalFormatting sqref="C88">
    <cfRule type="cellIs" dxfId="3797" priority="1617" stopIfTrue="1" operator="equal">
      <formula>"Towel"</formula>
    </cfRule>
    <cfRule type="cellIs" dxfId="3796" priority="1618" stopIfTrue="1" operator="equal">
      <formula>"Napkin Hs"</formula>
    </cfRule>
  </conditionalFormatting>
  <conditionalFormatting sqref="B88">
    <cfRule type="cellIs" dxfId="3795" priority="1605" stopIfTrue="1" operator="equal">
      <formula>"Towel"</formula>
    </cfRule>
    <cfRule type="cellIs" dxfId="3794" priority="1606" stopIfTrue="1" operator="equal">
      <formula>"Napkin Hs"</formula>
    </cfRule>
  </conditionalFormatting>
  <conditionalFormatting sqref="C88">
    <cfRule type="cellIs" dxfId="3793" priority="1616" stopIfTrue="1" operator="equal">
      <formula>"Napkin Hs"</formula>
    </cfRule>
  </conditionalFormatting>
  <conditionalFormatting sqref="C88">
    <cfRule type="cellIs" dxfId="3792" priority="1615" stopIfTrue="1" operator="equal">
      <formula>"Towel"</formula>
    </cfRule>
  </conditionalFormatting>
  <conditionalFormatting sqref="C88">
    <cfRule type="cellIs" dxfId="3791" priority="1611" stopIfTrue="1" operator="equal">
      <formula>"Towel"</formula>
    </cfRule>
    <cfRule type="cellIs" dxfId="3790" priority="1612" stopIfTrue="1" operator="equal">
      <formula>"Napkin Hs"</formula>
    </cfRule>
  </conditionalFormatting>
  <conditionalFormatting sqref="C88">
    <cfRule type="cellIs" dxfId="3789" priority="1610" stopIfTrue="1" operator="equal">
      <formula>"Napkin Hs"</formula>
    </cfRule>
  </conditionalFormatting>
  <conditionalFormatting sqref="C88">
    <cfRule type="cellIs" dxfId="3788" priority="1609" stopIfTrue="1" operator="equal">
      <formula>"Towel"</formula>
    </cfRule>
  </conditionalFormatting>
  <conditionalFormatting sqref="C88">
    <cfRule type="cellIs" dxfId="3787" priority="1602" stopIfTrue="1" operator="equal">
      <formula>"Napkin Hs"</formula>
    </cfRule>
  </conditionalFormatting>
  <conditionalFormatting sqref="C88">
    <cfRule type="cellIs" dxfId="3786" priority="1601" stopIfTrue="1" operator="equal">
      <formula>"Napkin Hs"</formula>
    </cfRule>
  </conditionalFormatting>
  <conditionalFormatting sqref="B87">
    <cfRule type="cellIs" dxfId="3785" priority="1585" stopIfTrue="1" operator="equal">
      <formula>"Towel"</formula>
    </cfRule>
    <cfRule type="cellIs" dxfId="3784" priority="1586" stopIfTrue="1" operator="equal">
      <formula>"Napkin Hs"</formula>
    </cfRule>
  </conditionalFormatting>
  <conditionalFormatting sqref="C87">
    <cfRule type="cellIs" dxfId="3783" priority="1599" stopIfTrue="1" operator="equal">
      <formula>"Towel"</formula>
    </cfRule>
    <cfRule type="cellIs" dxfId="3782" priority="1600" stopIfTrue="1" operator="equal">
      <formula>"Napkin Hs"</formula>
    </cfRule>
  </conditionalFormatting>
  <conditionalFormatting sqref="C87">
    <cfRule type="cellIs" dxfId="3781" priority="1595" stopIfTrue="1" operator="equal">
      <formula>"Towel"</formula>
    </cfRule>
    <cfRule type="cellIs" dxfId="3780" priority="1596" stopIfTrue="1" operator="equal">
      <formula>"Napkin Hs"</formula>
    </cfRule>
  </conditionalFormatting>
  <conditionalFormatting sqref="B87">
    <cfRule type="cellIs" dxfId="3779" priority="1587" stopIfTrue="1" operator="equal">
      <formula>"Towel"</formula>
    </cfRule>
    <cfRule type="cellIs" dxfId="3778" priority="1588" stopIfTrue="1" operator="equal">
      <formula>"Napkin Hs"</formula>
    </cfRule>
  </conditionalFormatting>
  <conditionalFormatting sqref="C87">
    <cfRule type="cellIs" dxfId="3777" priority="1589" stopIfTrue="1" operator="equal">
      <formula>"Towel"</formula>
    </cfRule>
    <cfRule type="cellIs" dxfId="3776" priority="1590" stopIfTrue="1" operator="equal">
      <formula>"Napkin Hs"</formula>
    </cfRule>
  </conditionalFormatting>
  <conditionalFormatting sqref="C87">
    <cfRule type="cellIs" dxfId="3775" priority="1598" stopIfTrue="1" operator="equal">
      <formula>"Napkin Hs"</formula>
    </cfRule>
  </conditionalFormatting>
  <conditionalFormatting sqref="C87">
    <cfRule type="cellIs" dxfId="3774" priority="1597" stopIfTrue="1" operator="equal">
      <formula>"Towel"</formula>
    </cfRule>
  </conditionalFormatting>
  <conditionalFormatting sqref="C87">
    <cfRule type="cellIs" dxfId="3773" priority="1593" stopIfTrue="1" operator="equal">
      <formula>"Towel"</formula>
    </cfRule>
    <cfRule type="cellIs" dxfId="3772" priority="1594" stopIfTrue="1" operator="equal">
      <formula>"Napkin Hs"</formula>
    </cfRule>
  </conditionalFormatting>
  <conditionalFormatting sqref="C87">
    <cfRule type="cellIs" dxfId="3771" priority="1592" stopIfTrue="1" operator="equal">
      <formula>"Napkin Hs"</formula>
    </cfRule>
  </conditionalFormatting>
  <conditionalFormatting sqref="C87">
    <cfRule type="cellIs" dxfId="3770" priority="1591" stopIfTrue="1" operator="equal">
      <formula>"Towel"</formula>
    </cfRule>
  </conditionalFormatting>
  <conditionalFormatting sqref="B87:C87">
    <cfRule type="cellIs" dxfId="3769" priority="1583" stopIfTrue="1" operator="equal">
      <formula>"Towel"</formula>
    </cfRule>
    <cfRule type="cellIs" dxfId="3768" priority="1584" stopIfTrue="1" operator="equal">
      <formula>"Napkin Hs"</formula>
    </cfRule>
  </conditionalFormatting>
  <conditionalFormatting sqref="C87">
    <cfRule type="cellIs" dxfId="3767" priority="1582" stopIfTrue="1" operator="equal">
      <formula>"Napkin Hs"</formula>
    </cfRule>
  </conditionalFormatting>
  <conditionalFormatting sqref="C87">
    <cfRule type="cellIs" dxfId="3766" priority="1581" stopIfTrue="1" operator="equal">
      <formula>"Towel"</formula>
    </cfRule>
  </conditionalFormatting>
  <conditionalFormatting sqref="C87">
    <cfRule type="cellIs" dxfId="3765" priority="1579" stopIfTrue="1" operator="equal">
      <formula>"Towel"</formula>
    </cfRule>
    <cfRule type="cellIs" dxfId="3764" priority="1580" stopIfTrue="1" operator="equal">
      <formula>"Napkin Hs"</formula>
    </cfRule>
  </conditionalFormatting>
  <conditionalFormatting sqref="B87:C87">
    <cfRule type="cellIs" dxfId="3763" priority="1577" stopIfTrue="1" operator="equal">
      <formula>"Towel"</formula>
    </cfRule>
    <cfRule type="cellIs" dxfId="3762" priority="1578" stopIfTrue="1" operator="equal">
      <formula>"Napkin Hs"</formula>
    </cfRule>
  </conditionalFormatting>
  <conditionalFormatting sqref="C87">
    <cfRule type="cellIs" dxfId="3761" priority="1575" stopIfTrue="1" operator="equal">
      <formula>"Towel"</formula>
    </cfRule>
    <cfRule type="cellIs" dxfId="3760" priority="1576" stopIfTrue="1" operator="equal">
      <formula>"Napkin Hs"</formula>
    </cfRule>
  </conditionalFormatting>
  <conditionalFormatting sqref="C87">
    <cfRule type="cellIs" dxfId="3759" priority="1573" stopIfTrue="1" operator="equal">
      <formula>"Towel"</formula>
    </cfRule>
    <cfRule type="cellIs" dxfId="3758" priority="1574" stopIfTrue="1" operator="equal">
      <formula>"Napkin Hs"</formula>
    </cfRule>
  </conditionalFormatting>
  <conditionalFormatting sqref="C87">
    <cfRule type="cellIs" dxfId="3757" priority="1567" stopIfTrue="1" operator="equal">
      <formula>"Towel"</formula>
    </cfRule>
    <cfRule type="cellIs" dxfId="3756" priority="1568" stopIfTrue="1" operator="equal">
      <formula>"Napkin Hs"</formula>
    </cfRule>
  </conditionalFormatting>
  <conditionalFormatting sqref="B87">
    <cfRule type="cellIs" dxfId="3755" priority="1557" stopIfTrue="1" operator="equal">
      <formula>"Towel"</formula>
    </cfRule>
    <cfRule type="cellIs" dxfId="3754" priority="1558" stopIfTrue="1" operator="equal">
      <formula>"Napkin Hs"</formula>
    </cfRule>
  </conditionalFormatting>
  <conditionalFormatting sqref="C87">
    <cfRule type="cellIs" dxfId="3753" priority="1561" stopIfTrue="1" operator="equal">
      <formula>"Towel"</formula>
    </cfRule>
    <cfRule type="cellIs" dxfId="3752" priority="1562" stopIfTrue="1" operator="equal">
      <formula>"Napkin Hs"</formula>
    </cfRule>
  </conditionalFormatting>
  <conditionalFormatting sqref="C87">
    <cfRule type="cellIs" dxfId="3751" priority="1571" stopIfTrue="1" operator="equal">
      <formula>"Towel"</formula>
    </cfRule>
    <cfRule type="cellIs" dxfId="3750" priority="1572" stopIfTrue="1" operator="equal">
      <formula>"Napkin Hs"</formula>
    </cfRule>
  </conditionalFormatting>
  <conditionalFormatting sqref="B87">
    <cfRule type="cellIs" dxfId="3749" priority="1559" stopIfTrue="1" operator="equal">
      <formula>"Towel"</formula>
    </cfRule>
    <cfRule type="cellIs" dxfId="3748" priority="1560" stopIfTrue="1" operator="equal">
      <formula>"Napkin Hs"</formula>
    </cfRule>
  </conditionalFormatting>
  <conditionalFormatting sqref="C87">
    <cfRule type="cellIs" dxfId="3747" priority="1570" stopIfTrue="1" operator="equal">
      <formula>"Napkin Hs"</formula>
    </cfRule>
  </conditionalFormatting>
  <conditionalFormatting sqref="C87">
    <cfRule type="cellIs" dxfId="3746" priority="1569" stopIfTrue="1" operator="equal">
      <formula>"Towel"</formula>
    </cfRule>
  </conditionalFormatting>
  <conditionalFormatting sqref="C87">
    <cfRule type="cellIs" dxfId="3745" priority="1565" stopIfTrue="1" operator="equal">
      <formula>"Towel"</formula>
    </cfRule>
    <cfRule type="cellIs" dxfId="3744" priority="1566" stopIfTrue="1" operator="equal">
      <formula>"Napkin Hs"</formula>
    </cfRule>
  </conditionalFormatting>
  <conditionalFormatting sqref="C87">
    <cfRule type="cellIs" dxfId="3743" priority="1564" stopIfTrue="1" operator="equal">
      <formula>"Napkin Hs"</formula>
    </cfRule>
  </conditionalFormatting>
  <conditionalFormatting sqref="C87">
    <cfRule type="cellIs" dxfId="3742" priority="1563" stopIfTrue="1" operator="equal">
      <formula>"Towel"</formula>
    </cfRule>
  </conditionalFormatting>
  <conditionalFormatting sqref="C87">
    <cfRule type="cellIs" dxfId="3741" priority="1556" stopIfTrue="1" operator="equal">
      <formula>"Napkin Hs"</formula>
    </cfRule>
  </conditionalFormatting>
  <conditionalFormatting sqref="C87">
    <cfRule type="cellIs" dxfId="3740" priority="1555" stopIfTrue="1" operator="equal">
      <formula>"Napkin Hs"</formula>
    </cfRule>
  </conditionalFormatting>
  <conditionalFormatting sqref="B94:C94">
    <cfRule type="cellIs" dxfId="3739" priority="1553" stopIfTrue="1" operator="equal">
      <formula>"Towel"</formula>
    </cfRule>
    <cfRule type="cellIs" dxfId="3738" priority="1554" stopIfTrue="1" operator="equal">
      <formula>"Napkin Hs"</formula>
    </cfRule>
  </conditionalFormatting>
  <conditionalFormatting sqref="C94">
    <cfRule type="cellIs" dxfId="3737" priority="1551" stopIfTrue="1" operator="equal">
      <formula>"Towel"</formula>
    </cfRule>
    <cfRule type="cellIs" dxfId="3736" priority="1552" stopIfTrue="1" operator="equal">
      <formula>"Napkin Hs"</formula>
    </cfRule>
  </conditionalFormatting>
  <conditionalFormatting sqref="C94">
    <cfRule type="cellIs" dxfId="3735" priority="1549" stopIfTrue="1" operator="equal">
      <formula>"Towel"</formula>
    </cfRule>
    <cfRule type="cellIs" dxfId="3734" priority="1550" stopIfTrue="1" operator="equal">
      <formula>"Napkin Hs"</formula>
    </cfRule>
  </conditionalFormatting>
  <conditionalFormatting sqref="C94">
    <cfRule type="cellIs" dxfId="3733" priority="1543" stopIfTrue="1" operator="equal">
      <formula>"Towel"</formula>
    </cfRule>
    <cfRule type="cellIs" dxfId="3732" priority="1544" stopIfTrue="1" operator="equal">
      <formula>"Napkin Hs"</formula>
    </cfRule>
  </conditionalFormatting>
  <conditionalFormatting sqref="B94">
    <cfRule type="cellIs" dxfId="3731" priority="1533" stopIfTrue="1" operator="equal">
      <formula>"Towel"</formula>
    </cfRule>
    <cfRule type="cellIs" dxfId="3730" priority="1534" stopIfTrue="1" operator="equal">
      <formula>"Napkin Hs"</formula>
    </cfRule>
  </conditionalFormatting>
  <conditionalFormatting sqref="C94">
    <cfRule type="cellIs" dxfId="3729" priority="1537" stopIfTrue="1" operator="equal">
      <formula>"Towel"</formula>
    </cfRule>
    <cfRule type="cellIs" dxfId="3728" priority="1538" stopIfTrue="1" operator="equal">
      <formula>"Napkin Hs"</formula>
    </cfRule>
  </conditionalFormatting>
  <conditionalFormatting sqref="C94">
    <cfRule type="cellIs" dxfId="3727" priority="1547" stopIfTrue="1" operator="equal">
      <formula>"Towel"</formula>
    </cfRule>
    <cfRule type="cellIs" dxfId="3726" priority="1548" stopIfTrue="1" operator="equal">
      <formula>"Napkin Hs"</formula>
    </cfRule>
  </conditionalFormatting>
  <conditionalFormatting sqref="B94">
    <cfRule type="cellIs" dxfId="3725" priority="1535" stopIfTrue="1" operator="equal">
      <formula>"Towel"</formula>
    </cfRule>
    <cfRule type="cellIs" dxfId="3724" priority="1536" stopIfTrue="1" operator="equal">
      <formula>"Napkin Hs"</formula>
    </cfRule>
  </conditionalFormatting>
  <conditionalFormatting sqref="C94">
    <cfRule type="cellIs" dxfId="3723" priority="1546" stopIfTrue="1" operator="equal">
      <formula>"Napkin Hs"</formula>
    </cfRule>
  </conditionalFormatting>
  <conditionalFormatting sqref="C94">
    <cfRule type="cellIs" dxfId="3722" priority="1545" stopIfTrue="1" operator="equal">
      <formula>"Towel"</formula>
    </cfRule>
  </conditionalFormatting>
  <conditionalFormatting sqref="C94">
    <cfRule type="cellIs" dxfId="3721" priority="1541" stopIfTrue="1" operator="equal">
      <formula>"Towel"</formula>
    </cfRule>
    <cfRule type="cellIs" dxfId="3720" priority="1542" stopIfTrue="1" operator="equal">
      <formula>"Napkin Hs"</formula>
    </cfRule>
  </conditionalFormatting>
  <conditionalFormatting sqref="C94">
    <cfRule type="cellIs" dxfId="3719" priority="1540" stopIfTrue="1" operator="equal">
      <formula>"Napkin Hs"</formula>
    </cfRule>
  </conditionalFormatting>
  <conditionalFormatting sqref="C94">
    <cfRule type="cellIs" dxfId="3718" priority="1539" stopIfTrue="1" operator="equal">
      <formula>"Towel"</formula>
    </cfRule>
  </conditionalFormatting>
  <conditionalFormatting sqref="B93:C93">
    <cfRule type="cellIs" dxfId="3717" priority="1531" stopIfTrue="1" operator="equal">
      <formula>"Towel"</formula>
    </cfRule>
    <cfRule type="cellIs" dxfId="3716" priority="1532" stopIfTrue="1" operator="equal">
      <formula>"Napkin Hs"</formula>
    </cfRule>
  </conditionalFormatting>
  <conditionalFormatting sqref="C93">
    <cfRule type="cellIs" dxfId="3715" priority="1530" stopIfTrue="1" operator="equal">
      <formula>"Napkin Hs"</formula>
    </cfRule>
  </conditionalFormatting>
  <conditionalFormatting sqref="C93">
    <cfRule type="cellIs" dxfId="3714" priority="1527" stopIfTrue="1" operator="equal">
      <formula>"Towel"</formula>
    </cfRule>
    <cfRule type="cellIs" dxfId="3713" priority="1528" stopIfTrue="1" operator="equal">
      <formula>"Napkin Hs"</formula>
    </cfRule>
  </conditionalFormatting>
  <conditionalFormatting sqref="C93">
    <cfRule type="cellIs" dxfId="3712" priority="1529" stopIfTrue="1" operator="equal">
      <formula>"Towel"</formula>
    </cfRule>
  </conditionalFormatting>
  <conditionalFormatting sqref="B92">
    <cfRule type="cellIs" dxfId="3711" priority="1511" stopIfTrue="1" operator="equal">
      <formula>"Towel"</formula>
    </cfRule>
    <cfRule type="cellIs" dxfId="3710" priority="1512" stopIfTrue="1" operator="equal">
      <formula>"Napkin Hs"</formula>
    </cfRule>
  </conditionalFormatting>
  <conditionalFormatting sqref="C92">
    <cfRule type="cellIs" dxfId="3709" priority="1525" stopIfTrue="1" operator="equal">
      <formula>"Towel"</formula>
    </cfRule>
    <cfRule type="cellIs" dxfId="3708" priority="1526" stopIfTrue="1" operator="equal">
      <formula>"Napkin Hs"</formula>
    </cfRule>
  </conditionalFormatting>
  <conditionalFormatting sqref="C92">
    <cfRule type="cellIs" dxfId="3707" priority="1521" stopIfTrue="1" operator="equal">
      <formula>"Towel"</formula>
    </cfRule>
    <cfRule type="cellIs" dxfId="3706" priority="1522" stopIfTrue="1" operator="equal">
      <formula>"Napkin Hs"</formula>
    </cfRule>
  </conditionalFormatting>
  <conditionalFormatting sqref="B92">
    <cfRule type="cellIs" dxfId="3705" priority="1513" stopIfTrue="1" operator="equal">
      <formula>"Towel"</formula>
    </cfRule>
    <cfRule type="cellIs" dxfId="3704" priority="1514" stopIfTrue="1" operator="equal">
      <formula>"Napkin Hs"</formula>
    </cfRule>
  </conditionalFormatting>
  <conditionalFormatting sqref="C92">
    <cfRule type="cellIs" dxfId="3703" priority="1515" stopIfTrue="1" operator="equal">
      <formula>"Towel"</formula>
    </cfRule>
    <cfRule type="cellIs" dxfId="3702" priority="1516" stopIfTrue="1" operator="equal">
      <formula>"Napkin Hs"</formula>
    </cfRule>
  </conditionalFormatting>
  <conditionalFormatting sqref="C92">
    <cfRule type="cellIs" dxfId="3701" priority="1524" stopIfTrue="1" operator="equal">
      <formula>"Napkin Hs"</formula>
    </cfRule>
  </conditionalFormatting>
  <conditionalFormatting sqref="C92">
    <cfRule type="cellIs" dxfId="3700" priority="1523" stopIfTrue="1" operator="equal">
      <formula>"Towel"</formula>
    </cfRule>
  </conditionalFormatting>
  <conditionalFormatting sqref="C92">
    <cfRule type="cellIs" dxfId="3699" priority="1519" stopIfTrue="1" operator="equal">
      <formula>"Towel"</formula>
    </cfRule>
    <cfRule type="cellIs" dxfId="3698" priority="1520" stopIfTrue="1" operator="equal">
      <formula>"Napkin Hs"</formula>
    </cfRule>
  </conditionalFormatting>
  <conditionalFormatting sqref="C92">
    <cfRule type="cellIs" dxfId="3697" priority="1518" stopIfTrue="1" operator="equal">
      <formula>"Napkin Hs"</formula>
    </cfRule>
  </conditionalFormatting>
  <conditionalFormatting sqref="C92">
    <cfRule type="cellIs" dxfId="3696" priority="1517" stopIfTrue="1" operator="equal">
      <formula>"Towel"</formula>
    </cfRule>
  </conditionalFormatting>
  <conditionalFormatting sqref="B92:C92">
    <cfRule type="cellIs" dxfId="3695" priority="1509" stopIfTrue="1" operator="equal">
      <formula>"Towel"</formula>
    </cfRule>
    <cfRule type="cellIs" dxfId="3694" priority="1510" stopIfTrue="1" operator="equal">
      <formula>"Napkin Hs"</formula>
    </cfRule>
  </conditionalFormatting>
  <conditionalFormatting sqref="C92">
    <cfRule type="cellIs" dxfId="3693" priority="1508" stopIfTrue="1" operator="equal">
      <formula>"Napkin Hs"</formula>
    </cfRule>
  </conditionalFormatting>
  <conditionalFormatting sqref="C92">
    <cfRule type="cellIs" dxfId="3692" priority="1507" stopIfTrue="1" operator="equal">
      <formula>"Towel"</formula>
    </cfRule>
  </conditionalFormatting>
  <conditionalFormatting sqref="C92">
    <cfRule type="cellIs" dxfId="3691" priority="1505" stopIfTrue="1" operator="equal">
      <formula>"Towel"</formula>
    </cfRule>
    <cfRule type="cellIs" dxfId="3690" priority="1506" stopIfTrue="1" operator="equal">
      <formula>"Napkin Hs"</formula>
    </cfRule>
  </conditionalFormatting>
  <conditionalFormatting sqref="B92:C92">
    <cfRule type="cellIs" dxfId="3689" priority="1503" stopIfTrue="1" operator="equal">
      <formula>"Towel"</formula>
    </cfRule>
    <cfRule type="cellIs" dxfId="3688" priority="1504" stopIfTrue="1" operator="equal">
      <formula>"Napkin Hs"</formula>
    </cfRule>
  </conditionalFormatting>
  <conditionalFormatting sqref="C92">
    <cfRule type="cellIs" dxfId="3687" priority="1501" stopIfTrue="1" operator="equal">
      <formula>"Towel"</formula>
    </cfRule>
    <cfRule type="cellIs" dxfId="3686" priority="1502" stopIfTrue="1" operator="equal">
      <formula>"Napkin Hs"</formula>
    </cfRule>
  </conditionalFormatting>
  <conditionalFormatting sqref="C92">
    <cfRule type="cellIs" dxfId="3685" priority="1499" stopIfTrue="1" operator="equal">
      <formula>"Towel"</formula>
    </cfRule>
    <cfRule type="cellIs" dxfId="3684" priority="1500" stopIfTrue="1" operator="equal">
      <formula>"Napkin Hs"</formula>
    </cfRule>
  </conditionalFormatting>
  <conditionalFormatting sqref="C92">
    <cfRule type="cellIs" dxfId="3683" priority="1493" stopIfTrue="1" operator="equal">
      <formula>"Towel"</formula>
    </cfRule>
    <cfRule type="cellIs" dxfId="3682" priority="1494" stopIfTrue="1" operator="equal">
      <formula>"Napkin Hs"</formula>
    </cfRule>
  </conditionalFormatting>
  <conditionalFormatting sqref="B92">
    <cfRule type="cellIs" dxfId="3681" priority="1483" stopIfTrue="1" operator="equal">
      <formula>"Towel"</formula>
    </cfRule>
    <cfRule type="cellIs" dxfId="3680" priority="1484" stopIfTrue="1" operator="equal">
      <formula>"Napkin Hs"</formula>
    </cfRule>
  </conditionalFormatting>
  <conditionalFormatting sqref="C92">
    <cfRule type="cellIs" dxfId="3679" priority="1487" stopIfTrue="1" operator="equal">
      <formula>"Towel"</formula>
    </cfRule>
    <cfRule type="cellIs" dxfId="3678" priority="1488" stopIfTrue="1" operator="equal">
      <formula>"Napkin Hs"</formula>
    </cfRule>
  </conditionalFormatting>
  <conditionalFormatting sqref="C92">
    <cfRule type="cellIs" dxfId="3677" priority="1497" stopIfTrue="1" operator="equal">
      <formula>"Towel"</formula>
    </cfRule>
    <cfRule type="cellIs" dxfId="3676" priority="1498" stopIfTrue="1" operator="equal">
      <formula>"Napkin Hs"</formula>
    </cfRule>
  </conditionalFormatting>
  <conditionalFormatting sqref="B92">
    <cfRule type="cellIs" dxfId="3675" priority="1485" stopIfTrue="1" operator="equal">
      <formula>"Towel"</formula>
    </cfRule>
    <cfRule type="cellIs" dxfId="3674" priority="1486" stopIfTrue="1" operator="equal">
      <formula>"Napkin Hs"</formula>
    </cfRule>
  </conditionalFormatting>
  <conditionalFormatting sqref="C92">
    <cfRule type="cellIs" dxfId="3673" priority="1496" stopIfTrue="1" operator="equal">
      <formula>"Napkin Hs"</formula>
    </cfRule>
  </conditionalFormatting>
  <conditionalFormatting sqref="C92">
    <cfRule type="cellIs" dxfId="3672" priority="1495" stopIfTrue="1" operator="equal">
      <formula>"Towel"</formula>
    </cfRule>
  </conditionalFormatting>
  <conditionalFormatting sqref="C92">
    <cfRule type="cellIs" dxfId="3671" priority="1491" stopIfTrue="1" operator="equal">
      <formula>"Towel"</formula>
    </cfRule>
    <cfRule type="cellIs" dxfId="3670" priority="1492" stopIfTrue="1" operator="equal">
      <formula>"Napkin Hs"</formula>
    </cfRule>
  </conditionalFormatting>
  <conditionalFormatting sqref="C92">
    <cfRule type="cellIs" dxfId="3669" priority="1490" stopIfTrue="1" operator="equal">
      <formula>"Napkin Hs"</formula>
    </cfRule>
  </conditionalFormatting>
  <conditionalFormatting sqref="C92">
    <cfRule type="cellIs" dxfId="3668" priority="1489" stopIfTrue="1" operator="equal">
      <formula>"Towel"</formula>
    </cfRule>
  </conditionalFormatting>
  <conditionalFormatting sqref="C92">
    <cfRule type="cellIs" dxfId="3667" priority="1482" stopIfTrue="1" operator="equal">
      <formula>"Napkin Hs"</formula>
    </cfRule>
  </conditionalFormatting>
  <conditionalFormatting sqref="C92">
    <cfRule type="cellIs" dxfId="3666" priority="1481" stopIfTrue="1" operator="equal">
      <formula>"Napkin Hs"</formula>
    </cfRule>
  </conditionalFormatting>
  <conditionalFormatting sqref="B91">
    <cfRule type="cellIs" dxfId="3665" priority="1465" stopIfTrue="1" operator="equal">
      <formula>"Towel"</formula>
    </cfRule>
    <cfRule type="cellIs" dxfId="3664" priority="1466" stopIfTrue="1" operator="equal">
      <formula>"Napkin Hs"</formula>
    </cfRule>
  </conditionalFormatting>
  <conditionalFormatting sqref="C91">
    <cfRule type="cellIs" dxfId="3663" priority="1479" stopIfTrue="1" operator="equal">
      <formula>"Towel"</formula>
    </cfRule>
    <cfRule type="cellIs" dxfId="3662" priority="1480" stopIfTrue="1" operator="equal">
      <formula>"Napkin Hs"</formula>
    </cfRule>
  </conditionalFormatting>
  <conditionalFormatting sqref="C91">
    <cfRule type="cellIs" dxfId="3661" priority="1475" stopIfTrue="1" operator="equal">
      <formula>"Towel"</formula>
    </cfRule>
    <cfRule type="cellIs" dxfId="3660" priority="1476" stopIfTrue="1" operator="equal">
      <formula>"Napkin Hs"</formula>
    </cfRule>
  </conditionalFormatting>
  <conditionalFormatting sqref="B91">
    <cfRule type="cellIs" dxfId="3659" priority="1467" stopIfTrue="1" operator="equal">
      <formula>"Towel"</formula>
    </cfRule>
    <cfRule type="cellIs" dxfId="3658" priority="1468" stopIfTrue="1" operator="equal">
      <formula>"Napkin Hs"</formula>
    </cfRule>
  </conditionalFormatting>
  <conditionalFormatting sqref="C91">
    <cfRule type="cellIs" dxfId="3657" priority="1469" stopIfTrue="1" operator="equal">
      <formula>"Towel"</formula>
    </cfRule>
    <cfRule type="cellIs" dxfId="3656" priority="1470" stopIfTrue="1" operator="equal">
      <formula>"Napkin Hs"</formula>
    </cfRule>
  </conditionalFormatting>
  <conditionalFormatting sqref="C91">
    <cfRule type="cellIs" dxfId="3655" priority="1478" stopIfTrue="1" operator="equal">
      <formula>"Napkin Hs"</formula>
    </cfRule>
  </conditionalFormatting>
  <conditionalFormatting sqref="C91">
    <cfRule type="cellIs" dxfId="3654" priority="1477" stopIfTrue="1" operator="equal">
      <formula>"Towel"</formula>
    </cfRule>
  </conditionalFormatting>
  <conditionalFormatting sqref="C91">
    <cfRule type="cellIs" dxfId="3653" priority="1473" stopIfTrue="1" operator="equal">
      <formula>"Towel"</formula>
    </cfRule>
    <cfRule type="cellIs" dxfId="3652" priority="1474" stopIfTrue="1" operator="equal">
      <formula>"Napkin Hs"</formula>
    </cfRule>
  </conditionalFormatting>
  <conditionalFormatting sqref="C91">
    <cfRule type="cellIs" dxfId="3651" priority="1472" stopIfTrue="1" operator="equal">
      <formula>"Napkin Hs"</formula>
    </cfRule>
  </conditionalFormatting>
  <conditionalFormatting sqref="C91">
    <cfRule type="cellIs" dxfId="3650" priority="1471" stopIfTrue="1" operator="equal">
      <formula>"Towel"</formula>
    </cfRule>
  </conditionalFormatting>
  <conditionalFormatting sqref="B91:C91">
    <cfRule type="cellIs" dxfId="3649" priority="1463" stopIfTrue="1" operator="equal">
      <formula>"Towel"</formula>
    </cfRule>
    <cfRule type="cellIs" dxfId="3648" priority="1464" stopIfTrue="1" operator="equal">
      <formula>"Napkin Hs"</formula>
    </cfRule>
  </conditionalFormatting>
  <conditionalFormatting sqref="C91">
    <cfRule type="cellIs" dxfId="3647" priority="1462" stopIfTrue="1" operator="equal">
      <formula>"Napkin Hs"</formula>
    </cfRule>
  </conditionalFormatting>
  <conditionalFormatting sqref="C91">
    <cfRule type="cellIs" dxfId="3646" priority="1461" stopIfTrue="1" operator="equal">
      <formula>"Towel"</formula>
    </cfRule>
  </conditionalFormatting>
  <conditionalFormatting sqref="C91">
    <cfRule type="cellIs" dxfId="3645" priority="1459" stopIfTrue="1" operator="equal">
      <formula>"Towel"</formula>
    </cfRule>
    <cfRule type="cellIs" dxfId="3644" priority="1460" stopIfTrue="1" operator="equal">
      <formula>"Napkin Hs"</formula>
    </cfRule>
  </conditionalFormatting>
  <conditionalFormatting sqref="B91:C91">
    <cfRule type="cellIs" dxfId="3643" priority="1457" stopIfTrue="1" operator="equal">
      <formula>"Towel"</formula>
    </cfRule>
    <cfRule type="cellIs" dxfId="3642" priority="1458" stopIfTrue="1" operator="equal">
      <formula>"Napkin Hs"</formula>
    </cfRule>
  </conditionalFormatting>
  <conditionalFormatting sqref="C91">
    <cfRule type="cellIs" dxfId="3641" priority="1455" stopIfTrue="1" operator="equal">
      <formula>"Towel"</formula>
    </cfRule>
    <cfRule type="cellIs" dxfId="3640" priority="1456" stopIfTrue="1" operator="equal">
      <formula>"Napkin Hs"</formula>
    </cfRule>
  </conditionalFormatting>
  <conditionalFormatting sqref="C91">
    <cfRule type="cellIs" dxfId="3639" priority="1453" stopIfTrue="1" operator="equal">
      <formula>"Towel"</formula>
    </cfRule>
    <cfRule type="cellIs" dxfId="3638" priority="1454" stopIfTrue="1" operator="equal">
      <formula>"Napkin Hs"</formula>
    </cfRule>
  </conditionalFormatting>
  <conditionalFormatting sqref="C91">
    <cfRule type="cellIs" dxfId="3637" priority="1447" stopIfTrue="1" operator="equal">
      <formula>"Towel"</formula>
    </cfRule>
    <cfRule type="cellIs" dxfId="3636" priority="1448" stopIfTrue="1" operator="equal">
      <formula>"Napkin Hs"</formula>
    </cfRule>
  </conditionalFormatting>
  <conditionalFormatting sqref="B91">
    <cfRule type="cellIs" dxfId="3635" priority="1437" stopIfTrue="1" operator="equal">
      <formula>"Towel"</formula>
    </cfRule>
    <cfRule type="cellIs" dxfId="3634" priority="1438" stopIfTrue="1" operator="equal">
      <formula>"Napkin Hs"</formula>
    </cfRule>
  </conditionalFormatting>
  <conditionalFormatting sqref="C91">
    <cfRule type="cellIs" dxfId="3633" priority="1441" stopIfTrue="1" operator="equal">
      <formula>"Towel"</formula>
    </cfRule>
    <cfRule type="cellIs" dxfId="3632" priority="1442" stopIfTrue="1" operator="equal">
      <formula>"Napkin Hs"</formula>
    </cfRule>
  </conditionalFormatting>
  <conditionalFormatting sqref="C91">
    <cfRule type="cellIs" dxfId="3631" priority="1451" stopIfTrue="1" operator="equal">
      <formula>"Towel"</formula>
    </cfRule>
    <cfRule type="cellIs" dxfId="3630" priority="1452" stopIfTrue="1" operator="equal">
      <formula>"Napkin Hs"</formula>
    </cfRule>
  </conditionalFormatting>
  <conditionalFormatting sqref="B91">
    <cfRule type="cellIs" dxfId="3629" priority="1439" stopIfTrue="1" operator="equal">
      <formula>"Towel"</formula>
    </cfRule>
    <cfRule type="cellIs" dxfId="3628" priority="1440" stopIfTrue="1" operator="equal">
      <formula>"Napkin Hs"</formula>
    </cfRule>
  </conditionalFormatting>
  <conditionalFormatting sqref="C91">
    <cfRule type="cellIs" dxfId="3627" priority="1450" stopIfTrue="1" operator="equal">
      <formula>"Napkin Hs"</formula>
    </cfRule>
  </conditionalFormatting>
  <conditionalFormatting sqref="C91">
    <cfRule type="cellIs" dxfId="3626" priority="1449" stopIfTrue="1" operator="equal">
      <formula>"Towel"</formula>
    </cfRule>
  </conditionalFormatting>
  <conditionalFormatting sqref="C91">
    <cfRule type="cellIs" dxfId="3625" priority="1445" stopIfTrue="1" operator="equal">
      <formula>"Towel"</formula>
    </cfRule>
    <cfRule type="cellIs" dxfId="3624" priority="1446" stopIfTrue="1" operator="equal">
      <formula>"Napkin Hs"</formula>
    </cfRule>
  </conditionalFormatting>
  <conditionalFormatting sqref="C91">
    <cfRule type="cellIs" dxfId="3623" priority="1444" stopIfTrue="1" operator="equal">
      <formula>"Napkin Hs"</formula>
    </cfRule>
  </conditionalFormatting>
  <conditionalFormatting sqref="C91">
    <cfRule type="cellIs" dxfId="3622" priority="1443" stopIfTrue="1" operator="equal">
      <formula>"Towel"</formula>
    </cfRule>
  </conditionalFormatting>
  <conditionalFormatting sqref="C91">
    <cfRule type="cellIs" dxfId="3621" priority="1436" stopIfTrue="1" operator="equal">
      <formula>"Napkin Hs"</formula>
    </cfRule>
  </conditionalFormatting>
  <conditionalFormatting sqref="C91">
    <cfRule type="cellIs" dxfId="3620" priority="1435" stopIfTrue="1" operator="equal">
      <formula>"Napkin Hs"</formula>
    </cfRule>
  </conditionalFormatting>
  <conditionalFormatting sqref="B98:C98">
    <cfRule type="cellIs" dxfId="3619" priority="1433" stopIfTrue="1" operator="equal">
      <formula>"Towel"</formula>
    </cfRule>
    <cfRule type="cellIs" dxfId="3618" priority="1434" stopIfTrue="1" operator="equal">
      <formula>"Napkin Hs"</formula>
    </cfRule>
  </conditionalFormatting>
  <conditionalFormatting sqref="C98">
    <cfRule type="cellIs" dxfId="3617" priority="1431" stopIfTrue="1" operator="equal">
      <formula>"Towel"</formula>
    </cfRule>
    <cfRule type="cellIs" dxfId="3616" priority="1432" stopIfTrue="1" operator="equal">
      <formula>"Napkin Hs"</formula>
    </cfRule>
  </conditionalFormatting>
  <conditionalFormatting sqref="C98">
    <cfRule type="cellIs" dxfId="3615" priority="1429" stopIfTrue="1" operator="equal">
      <formula>"Towel"</formula>
    </cfRule>
    <cfRule type="cellIs" dxfId="3614" priority="1430" stopIfTrue="1" operator="equal">
      <formula>"Napkin Hs"</formula>
    </cfRule>
  </conditionalFormatting>
  <conditionalFormatting sqref="C98">
    <cfRule type="cellIs" dxfId="3613" priority="1423" stopIfTrue="1" operator="equal">
      <formula>"Towel"</formula>
    </cfRule>
    <cfRule type="cellIs" dxfId="3612" priority="1424" stopIfTrue="1" operator="equal">
      <formula>"Napkin Hs"</formula>
    </cfRule>
  </conditionalFormatting>
  <conditionalFormatting sqref="B98">
    <cfRule type="cellIs" dxfId="3611" priority="1413" stopIfTrue="1" operator="equal">
      <formula>"Towel"</formula>
    </cfRule>
    <cfRule type="cellIs" dxfId="3610" priority="1414" stopIfTrue="1" operator="equal">
      <formula>"Napkin Hs"</formula>
    </cfRule>
  </conditionalFormatting>
  <conditionalFormatting sqref="C98">
    <cfRule type="cellIs" dxfId="3609" priority="1417" stopIfTrue="1" operator="equal">
      <formula>"Towel"</formula>
    </cfRule>
    <cfRule type="cellIs" dxfId="3608" priority="1418" stopIfTrue="1" operator="equal">
      <formula>"Napkin Hs"</formula>
    </cfRule>
  </conditionalFormatting>
  <conditionalFormatting sqref="C98">
    <cfRule type="cellIs" dxfId="3607" priority="1427" stopIfTrue="1" operator="equal">
      <formula>"Towel"</formula>
    </cfRule>
    <cfRule type="cellIs" dxfId="3606" priority="1428" stopIfTrue="1" operator="equal">
      <formula>"Napkin Hs"</formula>
    </cfRule>
  </conditionalFormatting>
  <conditionalFormatting sqref="B98">
    <cfRule type="cellIs" dxfId="3605" priority="1415" stopIfTrue="1" operator="equal">
      <formula>"Towel"</formula>
    </cfRule>
    <cfRule type="cellIs" dxfId="3604" priority="1416" stopIfTrue="1" operator="equal">
      <formula>"Napkin Hs"</formula>
    </cfRule>
  </conditionalFormatting>
  <conditionalFormatting sqref="C98">
    <cfRule type="cellIs" dxfId="3603" priority="1426" stopIfTrue="1" operator="equal">
      <formula>"Napkin Hs"</formula>
    </cfRule>
  </conditionalFormatting>
  <conditionalFormatting sqref="C98">
    <cfRule type="cellIs" dxfId="3602" priority="1425" stopIfTrue="1" operator="equal">
      <formula>"Towel"</formula>
    </cfRule>
  </conditionalFormatting>
  <conditionalFormatting sqref="C98">
    <cfRule type="cellIs" dxfId="3601" priority="1421" stopIfTrue="1" operator="equal">
      <formula>"Towel"</formula>
    </cfRule>
    <cfRule type="cellIs" dxfId="3600" priority="1422" stopIfTrue="1" operator="equal">
      <formula>"Napkin Hs"</formula>
    </cfRule>
  </conditionalFormatting>
  <conditionalFormatting sqref="C98">
    <cfRule type="cellIs" dxfId="3599" priority="1420" stopIfTrue="1" operator="equal">
      <formula>"Napkin Hs"</formula>
    </cfRule>
  </conditionalFormatting>
  <conditionalFormatting sqref="C98">
    <cfRule type="cellIs" dxfId="3598" priority="1419" stopIfTrue="1" operator="equal">
      <formula>"Towel"</formula>
    </cfRule>
  </conditionalFormatting>
  <conditionalFormatting sqref="B97:C97">
    <cfRule type="cellIs" dxfId="3597" priority="1411" stopIfTrue="1" operator="equal">
      <formula>"Towel"</formula>
    </cfRule>
    <cfRule type="cellIs" dxfId="3596" priority="1412" stopIfTrue="1" operator="equal">
      <formula>"Napkin Hs"</formula>
    </cfRule>
  </conditionalFormatting>
  <conditionalFormatting sqref="C97">
    <cfRule type="cellIs" dxfId="3595" priority="1410" stopIfTrue="1" operator="equal">
      <formula>"Napkin Hs"</formula>
    </cfRule>
  </conditionalFormatting>
  <conditionalFormatting sqref="C97">
    <cfRule type="cellIs" dxfId="3594" priority="1407" stopIfTrue="1" operator="equal">
      <formula>"Towel"</formula>
    </cfRule>
    <cfRule type="cellIs" dxfId="3593" priority="1408" stopIfTrue="1" operator="equal">
      <formula>"Napkin Hs"</formula>
    </cfRule>
  </conditionalFormatting>
  <conditionalFormatting sqref="C97">
    <cfRule type="cellIs" dxfId="3592" priority="1409" stopIfTrue="1" operator="equal">
      <formula>"Towel"</formula>
    </cfRule>
  </conditionalFormatting>
  <conditionalFormatting sqref="B96">
    <cfRule type="cellIs" dxfId="3591" priority="1391" stopIfTrue="1" operator="equal">
      <formula>"Towel"</formula>
    </cfRule>
    <cfRule type="cellIs" dxfId="3590" priority="1392" stopIfTrue="1" operator="equal">
      <formula>"Napkin Hs"</formula>
    </cfRule>
  </conditionalFormatting>
  <conditionalFormatting sqref="C96">
    <cfRule type="cellIs" dxfId="3589" priority="1405" stopIfTrue="1" operator="equal">
      <formula>"Towel"</formula>
    </cfRule>
    <cfRule type="cellIs" dxfId="3588" priority="1406" stopIfTrue="1" operator="equal">
      <formula>"Napkin Hs"</formula>
    </cfRule>
  </conditionalFormatting>
  <conditionalFormatting sqref="C96">
    <cfRule type="cellIs" dxfId="3587" priority="1401" stopIfTrue="1" operator="equal">
      <formula>"Towel"</formula>
    </cfRule>
    <cfRule type="cellIs" dxfId="3586" priority="1402" stopIfTrue="1" operator="equal">
      <formula>"Napkin Hs"</formula>
    </cfRule>
  </conditionalFormatting>
  <conditionalFormatting sqref="B96">
    <cfRule type="cellIs" dxfId="3585" priority="1393" stopIfTrue="1" operator="equal">
      <formula>"Towel"</formula>
    </cfRule>
    <cfRule type="cellIs" dxfId="3584" priority="1394" stopIfTrue="1" operator="equal">
      <formula>"Napkin Hs"</formula>
    </cfRule>
  </conditionalFormatting>
  <conditionalFormatting sqref="C96">
    <cfRule type="cellIs" dxfId="3583" priority="1395" stopIfTrue="1" operator="equal">
      <formula>"Towel"</formula>
    </cfRule>
    <cfRule type="cellIs" dxfId="3582" priority="1396" stopIfTrue="1" operator="equal">
      <formula>"Napkin Hs"</formula>
    </cfRule>
  </conditionalFormatting>
  <conditionalFormatting sqref="C96">
    <cfRule type="cellIs" dxfId="3581" priority="1404" stopIfTrue="1" operator="equal">
      <formula>"Napkin Hs"</formula>
    </cfRule>
  </conditionalFormatting>
  <conditionalFormatting sqref="C96">
    <cfRule type="cellIs" dxfId="3580" priority="1403" stopIfTrue="1" operator="equal">
      <formula>"Towel"</formula>
    </cfRule>
  </conditionalFormatting>
  <conditionalFormatting sqref="C96">
    <cfRule type="cellIs" dxfId="3579" priority="1399" stopIfTrue="1" operator="equal">
      <formula>"Towel"</formula>
    </cfRule>
    <cfRule type="cellIs" dxfId="3578" priority="1400" stopIfTrue="1" operator="equal">
      <formula>"Napkin Hs"</formula>
    </cfRule>
  </conditionalFormatting>
  <conditionalFormatting sqref="C96">
    <cfRule type="cellIs" dxfId="3577" priority="1398" stopIfTrue="1" operator="equal">
      <formula>"Napkin Hs"</formula>
    </cfRule>
  </conditionalFormatting>
  <conditionalFormatting sqref="C96">
    <cfRule type="cellIs" dxfId="3576" priority="1397" stopIfTrue="1" operator="equal">
      <formula>"Towel"</formula>
    </cfRule>
  </conditionalFormatting>
  <conditionalFormatting sqref="B96:C96">
    <cfRule type="cellIs" dxfId="3575" priority="1389" stopIfTrue="1" operator="equal">
      <formula>"Towel"</formula>
    </cfRule>
    <cfRule type="cellIs" dxfId="3574" priority="1390" stopIfTrue="1" operator="equal">
      <formula>"Napkin Hs"</formula>
    </cfRule>
  </conditionalFormatting>
  <conditionalFormatting sqref="C96">
    <cfRule type="cellIs" dxfId="3573" priority="1388" stopIfTrue="1" operator="equal">
      <formula>"Napkin Hs"</formula>
    </cfRule>
  </conditionalFormatting>
  <conditionalFormatting sqref="C96">
    <cfRule type="cellIs" dxfId="3572" priority="1387" stopIfTrue="1" operator="equal">
      <formula>"Towel"</formula>
    </cfRule>
  </conditionalFormatting>
  <conditionalFormatting sqref="C96">
    <cfRule type="cellIs" dxfId="3571" priority="1385" stopIfTrue="1" operator="equal">
      <formula>"Towel"</formula>
    </cfRule>
    <cfRule type="cellIs" dxfId="3570" priority="1386" stopIfTrue="1" operator="equal">
      <formula>"Napkin Hs"</formula>
    </cfRule>
  </conditionalFormatting>
  <conditionalFormatting sqref="B96:C96">
    <cfRule type="cellIs" dxfId="3569" priority="1383" stopIfTrue="1" operator="equal">
      <formula>"Towel"</formula>
    </cfRule>
    <cfRule type="cellIs" dxfId="3568" priority="1384" stopIfTrue="1" operator="equal">
      <formula>"Napkin Hs"</formula>
    </cfRule>
  </conditionalFormatting>
  <conditionalFormatting sqref="C96">
    <cfRule type="cellIs" dxfId="3567" priority="1381" stopIfTrue="1" operator="equal">
      <formula>"Towel"</formula>
    </cfRule>
    <cfRule type="cellIs" dxfId="3566" priority="1382" stopIfTrue="1" operator="equal">
      <formula>"Napkin Hs"</formula>
    </cfRule>
  </conditionalFormatting>
  <conditionalFormatting sqref="C96">
    <cfRule type="cellIs" dxfId="3565" priority="1379" stopIfTrue="1" operator="equal">
      <formula>"Towel"</formula>
    </cfRule>
    <cfRule type="cellIs" dxfId="3564" priority="1380" stopIfTrue="1" operator="equal">
      <formula>"Napkin Hs"</formula>
    </cfRule>
  </conditionalFormatting>
  <conditionalFormatting sqref="C96">
    <cfRule type="cellIs" dxfId="3563" priority="1373" stopIfTrue="1" operator="equal">
      <formula>"Towel"</formula>
    </cfRule>
    <cfRule type="cellIs" dxfId="3562" priority="1374" stopIfTrue="1" operator="equal">
      <formula>"Napkin Hs"</formula>
    </cfRule>
  </conditionalFormatting>
  <conditionalFormatting sqref="B96">
    <cfRule type="cellIs" dxfId="3561" priority="1363" stopIfTrue="1" operator="equal">
      <formula>"Towel"</formula>
    </cfRule>
    <cfRule type="cellIs" dxfId="3560" priority="1364" stopIfTrue="1" operator="equal">
      <formula>"Napkin Hs"</formula>
    </cfRule>
  </conditionalFormatting>
  <conditionalFormatting sqref="C96">
    <cfRule type="cellIs" dxfId="3559" priority="1367" stopIfTrue="1" operator="equal">
      <formula>"Towel"</formula>
    </cfRule>
    <cfRule type="cellIs" dxfId="3558" priority="1368" stopIfTrue="1" operator="equal">
      <formula>"Napkin Hs"</formula>
    </cfRule>
  </conditionalFormatting>
  <conditionalFormatting sqref="C96">
    <cfRule type="cellIs" dxfId="3557" priority="1377" stopIfTrue="1" operator="equal">
      <formula>"Towel"</formula>
    </cfRule>
    <cfRule type="cellIs" dxfId="3556" priority="1378" stopIfTrue="1" operator="equal">
      <formula>"Napkin Hs"</formula>
    </cfRule>
  </conditionalFormatting>
  <conditionalFormatting sqref="B96">
    <cfRule type="cellIs" dxfId="3555" priority="1365" stopIfTrue="1" operator="equal">
      <formula>"Towel"</formula>
    </cfRule>
    <cfRule type="cellIs" dxfId="3554" priority="1366" stopIfTrue="1" operator="equal">
      <formula>"Napkin Hs"</formula>
    </cfRule>
  </conditionalFormatting>
  <conditionalFormatting sqref="C96">
    <cfRule type="cellIs" dxfId="3553" priority="1376" stopIfTrue="1" operator="equal">
      <formula>"Napkin Hs"</formula>
    </cfRule>
  </conditionalFormatting>
  <conditionalFormatting sqref="C96">
    <cfRule type="cellIs" dxfId="3552" priority="1375" stopIfTrue="1" operator="equal">
      <formula>"Towel"</formula>
    </cfRule>
  </conditionalFormatting>
  <conditionalFormatting sqref="C96">
    <cfRule type="cellIs" dxfId="3551" priority="1371" stopIfTrue="1" operator="equal">
      <formula>"Towel"</formula>
    </cfRule>
    <cfRule type="cellIs" dxfId="3550" priority="1372" stopIfTrue="1" operator="equal">
      <formula>"Napkin Hs"</formula>
    </cfRule>
  </conditionalFormatting>
  <conditionalFormatting sqref="C96">
    <cfRule type="cellIs" dxfId="3549" priority="1370" stopIfTrue="1" operator="equal">
      <formula>"Napkin Hs"</formula>
    </cfRule>
  </conditionalFormatting>
  <conditionalFormatting sqref="C96">
    <cfRule type="cellIs" dxfId="3548" priority="1369" stopIfTrue="1" operator="equal">
      <formula>"Towel"</formula>
    </cfRule>
  </conditionalFormatting>
  <conditionalFormatting sqref="C96">
    <cfRule type="cellIs" dxfId="3547" priority="1362" stopIfTrue="1" operator="equal">
      <formula>"Napkin Hs"</formula>
    </cfRule>
  </conditionalFormatting>
  <conditionalFormatting sqref="C96">
    <cfRule type="cellIs" dxfId="3546" priority="1361" stopIfTrue="1" operator="equal">
      <formula>"Napkin Hs"</formula>
    </cfRule>
  </conditionalFormatting>
  <conditionalFormatting sqref="B95">
    <cfRule type="cellIs" dxfId="3545" priority="1345" stopIfTrue="1" operator="equal">
      <formula>"Towel"</formula>
    </cfRule>
    <cfRule type="cellIs" dxfId="3544" priority="1346" stopIfTrue="1" operator="equal">
      <formula>"Napkin Hs"</formula>
    </cfRule>
  </conditionalFormatting>
  <conditionalFormatting sqref="C95">
    <cfRule type="cellIs" dxfId="3543" priority="1359" stopIfTrue="1" operator="equal">
      <formula>"Towel"</formula>
    </cfRule>
    <cfRule type="cellIs" dxfId="3542" priority="1360" stopIfTrue="1" operator="equal">
      <formula>"Napkin Hs"</formula>
    </cfRule>
  </conditionalFormatting>
  <conditionalFormatting sqref="C95">
    <cfRule type="cellIs" dxfId="3541" priority="1355" stopIfTrue="1" operator="equal">
      <formula>"Towel"</formula>
    </cfRule>
    <cfRule type="cellIs" dxfId="3540" priority="1356" stopIfTrue="1" operator="equal">
      <formula>"Napkin Hs"</formula>
    </cfRule>
  </conditionalFormatting>
  <conditionalFormatting sqref="B95">
    <cfRule type="cellIs" dxfId="3539" priority="1347" stopIfTrue="1" operator="equal">
      <formula>"Towel"</formula>
    </cfRule>
    <cfRule type="cellIs" dxfId="3538" priority="1348" stopIfTrue="1" operator="equal">
      <formula>"Napkin Hs"</formula>
    </cfRule>
  </conditionalFormatting>
  <conditionalFormatting sqref="C95">
    <cfRule type="cellIs" dxfId="3537" priority="1349" stopIfTrue="1" operator="equal">
      <formula>"Towel"</formula>
    </cfRule>
    <cfRule type="cellIs" dxfId="3536" priority="1350" stopIfTrue="1" operator="equal">
      <formula>"Napkin Hs"</formula>
    </cfRule>
  </conditionalFormatting>
  <conditionalFormatting sqref="C95">
    <cfRule type="cellIs" dxfId="3535" priority="1358" stopIfTrue="1" operator="equal">
      <formula>"Napkin Hs"</formula>
    </cfRule>
  </conditionalFormatting>
  <conditionalFormatting sqref="C95">
    <cfRule type="cellIs" dxfId="3534" priority="1357" stopIfTrue="1" operator="equal">
      <formula>"Towel"</formula>
    </cfRule>
  </conditionalFormatting>
  <conditionalFormatting sqref="C95">
    <cfRule type="cellIs" dxfId="3533" priority="1353" stopIfTrue="1" operator="equal">
      <formula>"Towel"</formula>
    </cfRule>
    <cfRule type="cellIs" dxfId="3532" priority="1354" stopIfTrue="1" operator="equal">
      <formula>"Napkin Hs"</formula>
    </cfRule>
  </conditionalFormatting>
  <conditionalFormatting sqref="C95">
    <cfRule type="cellIs" dxfId="3531" priority="1352" stopIfTrue="1" operator="equal">
      <formula>"Napkin Hs"</formula>
    </cfRule>
  </conditionalFormatting>
  <conditionalFormatting sqref="C95">
    <cfRule type="cellIs" dxfId="3530" priority="1351" stopIfTrue="1" operator="equal">
      <formula>"Towel"</formula>
    </cfRule>
  </conditionalFormatting>
  <conditionalFormatting sqref="B95:C95">
    <cfRule type="cellIs" dxfId="3529" priority="1343" stopIfTrue="1" operator="equal">
      <formula>"Towel"</formula>
    </cfRule>
    <cfRule type="cellIs" dxfId="3528" priority="1344" stopIfTrue="1" operator="equal">
      <formula>"Napkin Hs"</formula>
    </cfRule>
  </conditionalFormatting>
  <conditionalFormatting sqref="C95">
    <cfRule type="cellIs" dxfId="3527" priority="1342" stopIfTrue="1" operator="equal">
      <formula>"Napkin Hs"</formula>
    </cfRule>
  </conditionalFormatting>
  <conditionalFormatting sqref="C95">
    <cfRule type="cellIs" dxfId="3526" priority="1341" stopIfTrue="1" operator="equal">
      <formula>"Towel"</formula>
    </cfRule>
  </conditionalFormatting>
  <conditionalFormatting sqref="C95">
    <cfRule type="cellIs" dxfId="3525" priority="1339" stopIfTrue="1" operator="equal">
      <formula>"Towel"</formula>
    </cfRule>
    <cfRule type="cellIs" dxfId="3524" priority="1340" stopIfTrue="1" operator="equal">
      <formula>"Napkin Hs"</formula>
    </cfRule>
  </conditionalFormatting>
  <conditionalFormatting sqref="B95:C95">
    <cfRule type="cellIs" dxfId="3523" priority="1337" stopIfTrue="1" operator="equal">
      <formula>"Towel"</formula>
    </cfRule>
    <cfRule type="cellIs" dxfId="3522" priority="1338" stopIfTrue="1" operator="equal">
      <formula>"Napkin Hs"</formula>
    </cfRule>
  </conditionalFormatting>
  <conditionalFormatting sqref="C95">
    <cfRule type="cellIs" dxfId="3521" priority="1335" stopIfTrue="1" operator="equal">
      <formula>"Towel"</formula>
    </cfRule>
    <cfRule type="cellIs" dxfId="3520" priority="1336" stopIfTrue="1" operator="equal">
      <formula>"Napkin Hs"</formula>
    </cfRule>
  </conditionalFormatting>
  <conditionalFormatting sqref="C95">
    <cfRule type="cellIs" dxfId="3519" priority="1333" stopIfTrue="1" operator="equal">
      <formula>"Towel"</formula>
    </cfRule>
    <cfRule type="cellIs" dxfId="3518" priority="1334" stopIfTrue="1" operator="equal">
      <formula>"Napkin Hs"</formula>
    </cfRule>
  </conditionalFormatting>
  <conditionalFormatting sqref="C95">
    <cfRule type="cellIs" dxfId="3517" priority="1327" stopIfTrue="1" operator="equal">
      <formula>"Towel"</formula>
    </cfRule>
    <cfRule type="cellIs" dxfId="3516" priority="1328" stopIfTrue="1" operator="equal">
      <formula>"Napkin Hs"</formula>
    </cfRule>
  </conditionalFormatting>
  <conditionalFormatting sqref="B95">
    <cfRule type="cellIs" dxfId="3515" priority="1317" stopIfTrue="1" operator="equal">
      <formula>"Towel"</formula>
    </cfRule>
    <cfRule type="cellIs" dxfId="3514" priority="1318" stopIfTrue="1" operator="equal">
      <formula>"Napkin Hs"</formula>
    </cfRule>
  </conditionalFormatting>
  <conditionalFormatting sqref="C95">
    <cfRule type="cellIs" dxfId="3513" priority="1321" stopIfTrue="1" operator="equal">
      <formula>"Towel"</formula>
    </cfRule>
    <cfRule type="cellIs" dxfId="3512" priority="1322" stopIfTrue="1" operator="equal">
      <formula>"Napkin Hs"</formula>
    </cfRule>
  </conditionalFormatting>
  <conditionalFormatting sqref="C95">
    <cfRule type="cellIs" dxfId="3511" priority="1331" stopIfTrue="1" operator="equal">
      <formula>"Towel"</formula>
    </cfRule>
    <cfRule type="cellIs" dxfId="3510" priority="1332" stopIfTrue="1" operator="equal">
      <formula>"Napkin Hs"</formula>
    </cfRule>
  </conditionalFormatting>
  <conditionalFormatting sqref="B95">
    <cfRule type="cellIs" dxfId="3509" priority="1319" stopIfTrue="1" operator="equal">
      <formula>"Towel"</formula>
    </cfRule>
    <cfRule type="cellIs" dxfId="3508" priority="1320" stopIfTrue="1" operator="equal">
      <formula>"Napkin Hs"</formula>
    </cfRule>
  </conditionalFormatting>
  <conditionalFormatting sqref="C95">
    <cfRule type="cellIs" dxfId="3507" priority="1330" stopIfTrue="1" operator="equal">
      <formula>"Napkin Hs"</formula>
    </cfRule>
  </conditionalFormatting>
  <conditionalFormatting sqref="C95">
    <cfRule type="cellIs" dxfId="3506" priority="1329" stopIfTrue="1" operator="equal">
      <formula>"Towel"</formula>
    </cfRule>
  </conditionalFormatting>
  <conditionalFormatting sqref="C95">
    <cfRule type="cellIs" dxfId="3505" priority="1325" stopIfTrue="1" operator="equal">
      <formula>"Towel"</formula>
    </cfRule>
    <cfRule type="cellIs" dxfId="3504" priority="1326" stopIfTrue="1" operator="equal">
      <formula>"Napkin Hs"</formula>
    </cfRule>
  </conditionalFormatting>
  <conditionalFormatting sqref="C95">
    <cfRule type="cellIs" dxfId="3503" priority="1324" stopIfTrue="1" operator="equal">
      <formula>"Napkin Hs"</formula>
    </cfRule>
  </conditionalFormatting>
  <conditionalFormatting sqref="C95">
    <cfRule type="cellIs" dxfId="3502" priority="1323" stopIfTrue="1" operator="equal">
      <formula>"Towel"</formula>
    </cfRule>
  </conditionalFormatting>
  <conditionalFormatting sqref="C95">
    <cfRule type="cellIs" dxfId="3501" priority="1316" stopIfTrue="1" operator="equal">
      <formula>"Napkin Hs"</formula>
    </cfRule>
  </conditionalFormatting>
  <conditionalFormatting sqref="C95">
    <cfRule type="cellIs" dxfId="3500" priority="1315" stopIfTrue="1" operator="equal">
      <formula>"Napkin Hs"</formula>
    </cfRule>
  </conditionalFormatting>
  <conditionalFormatting sqref="B99:B102">
    <cfRule type="cellIs" dxfId="3499" priority="1247" stopIfTrue="1" operator="equal">
      <formula>"Towel"</formula>
    </cfRule>
    <cfRule type="cellIs" dxfId="3498" priority="1248" stopIfTrue="1" operator="equal">
      <formula>"Napkin Hs"</formula>
    </cfRule>
  </conditionalFormatting>
  <conditionalFormatting sqref="C99:C102">
    <cfRule type="cellIs" dxfId="3497" priority="1261" stopIfTrue="1" operator="equal">
      <formula>"Towel"</formula>
    </cfRule>
    <cfRule type="cellIs" dxfId="3496" priority="1262" stopIfTrue="1" operator="equal">
      <formula>"Napkin Hs"</formula>
    </cfRule>
  </conditionalFormatting>
  <conditionalFormatting sqref="C99:C102">
    <cfRule type="cellIs" dxfId="3495" priority="1257" stopIfTrue="1" operator="equal">
      <formula>"Towel"</formula>
    </cfRule>
    <cfRule type="cellIs" dxfId="3494" priority="1258" stopIfTrue="1" operator="equal">
      <formula>"Napkin Hs"</formula>
    </cfRule>
  </conditionalFormatting>
  <conditionalFormatting sqref="B99:B102">
    <cfRule type="cellIs" dxfId="3493" priority="1249" stopIfTrue="1" operator="equal">
      <formula>"Towel"</formula>
    </cfRule>
    <cfRule type="cellIs" dxfId="3492" priority="1250" stopIfTrue="1" operator="equal">
      <formula>"Napkin Hs"</formula>
    </cfRule>
  </conditionalFormatting>
  <conditionalFormatting sqref="C99:C102">
    <cfRule type="cellIs" dxfId="3491" priority="1251" stopIfTrue="1" operator="equal">
      <formula>"Towel"</formula>
    </cfRule>
    <cfRule type="cellIs" dxfId="3490" priority="1252" stopIfTrue="1" operator="equal">
      <formula>"Napkin Hs"</formula>
    </cfRule>
  </conditionalFormatting>
  <conditionalFormatting sqref="C99:C102">
    <cfRule type="cellIs" dxfId="3489" priority="1260" stopIfTrue="1" operator="equal">
      <formula>"Napkin Hs"</formula>
    </cfRule>
  </conditionalFormatting>
  <conditionalFormatting sqref="C99:C102">
    <cfRule type="cellIs" dxfId="3488" priority="1259" stopIfTrue="1" operator="equal">
      <formula>"Towel"</formula>
    </cfRule>
  </conditionalFormatting>
  <conditionalFormatting sqref="C99:C102">
    <cfRule type="cellIs" dxfId="3487" priority="1255" stopIfTrue="1" operator="equal">
      <formula>"Towel"</formula>
    </cfRule>
    <cfRule type="cellIs" dxfId="3486" priority="1256" stopIfTrue="1" operator="equal">
      <formula>"Napkin Hs"</formula>
    </cfRule>
  </conditionalFormatting>
  <conditionalFormatting sqref="C99:C102">
    <cfRule type="cellIs" dxfId="3485" priority="1254" stopIfTrue="1" operator="equal">
      <formula>"Napkin Hs"</formula>
    </cfRule>
  </conditionalFormatting>
  <conditionalFormatting sqref="C99:C102">
    <cfRule type="cellIs" dxfId="3484" priority="1253" stopIfTrue="1" operator="equal">
      <formula>"Towel"</formula>
    </cfRule>
  </conditionalFormatting>
  <conditionalFormatting sqref="B99:C102">
    <cfRule type="cellIs" dxfId="3483" priority="1245" stopIfTrue="1" operator="equal">
      <formula>"Towel"</formula>
    </cfRule>
    <cfRule type="cellIs" dxfId="3482" priority="1246" stopIfTrue="1" operator="equal">
      <formula>"Napkin Hs"</formula>
    </cfRule>
  </conditionalFormatting>
  <conditionalFormatting sqref="C99:C102">
    <cfRule type="cellIs" dxfId="3481" priority="1244" stopIfTrue="1" operator="equal">
      <formula>"Napkin Hs"</formula>
    </cfRule>
  </conditionalFormatting>
  <conditionalFormatting sqref="C99:C102">
    <cfRule type="cellIs" dxfId="3480" priority="1243" stopIfTrue="1" operator="equal">
      <formula>"Towel"</formula>
    </cfRule>
  </conditionalFormatting>
  <conditionalFormatting sqref="C99:C102">
    <cfRule type="cellIs" dxfId="3479" priority="1241" stopIfTrue="1" operator="equal">
      <formula>"Towel"</formula>
    </cfRule>
    <cfRule type="cellIs" dxfId="3478" priority="1242" stopIfTrue="1" operator="equal">
      <formula>"Napkin Hs"</formula>
    </cfRule>
  </conditionalFormatting>
  <conditionalFormatting sqref="B99:C102">
    <cfRule type="cellIs" dxfId="3477" priority="1239" stopIfTrue="1" operator="equal">
      <formula>"Towel"</formula>
    </cfRule>
    <cfRule type="cellIs" dxfId="3476" priority="1240" stopIfTrue="1" operator="equal">
      <formula>"Napkin Hs"</formula>
    </cfRule>
  </conditionalFormatting>
  <conditionalFormatting sqref="C99:C102">
    <cfRule type="cellIs" dxfId="3475" priority="1237" stopIfTrue="1" operator="equal">
      <formula>"Towel"</formula>
    </cfRule>
    <cfRule type="cellIs" dxfId="3474" priority="1238" stopIfTrue="1" operator="equal">
      <formula>"Napkin Hs"</formula>
    </cfRule>
  </conditionalFormatting>
  <conditionalFormatting sqref="C99:C102">
    <cfRule type="cellIs" dxfId="3473" priority="1235" stopIfTrue="1" operator="equal">
      <formula>"Towel"</formula>
    </cfRule>
    <cfRule type="cellIs" dxfId="3472" priority="1236" stopIfTrue="1" operator="equal">
      <formula>"Napkin Hs"</formula>
    </cfRule>
  </conditionalFormatting>
  <conditionalFormatting sqref="C99:C102">
    <cfRule type="cellIs" dxfId="3471" priority="1229" stopIfTrue="1" operator="equal">
      <formula>"Towel"</formula>
    </cfRule>
    <cfRule type="cellIs" dxfId="3470" priority="1230" stopIfTrue="1" operator="equal">
      <formula>"Napkin Hs"</formula>
    </cfRule>
  </conditionalFormatting>
  <conditionalFormatting sqref="B99:B102">
    <cfRule type="cellIs" dxfId="3469" priority="1219" stopIfTrue="1" operator="equal">
      <formula>"Towel"</formula>
    </cfRule>
    <cfRule type="cellIs" dxfId="3468" priority="1220" stopIfTrue="1" operator="equal">
      <formula>"Napkin Hs"</formula>
    </cfRule>
  </conditionalFormatting>
  <conditionalFormatting sqref="C99:C102">
    <cfRule type="cellIs" dxfId="3467" priority="1223" stopIfTrue="1" operator="equal">
      <formula>"Towel"</formula>
    </cfRule>
    <cfRule type="cellIs" dxfId="3466" priority="1224" stopIfTrue="1" operator="equal">
      <formula>"Napkin Hs"</formula>
    </cfRule>
  </conditionalFormatting>
  <conditionalFormatting sqref="C99:C102">
    <cfRule type="cellIs" dxfId="3465" priority="1233" stopIfTrue="1" operator="equal">
      <formula>"Towel"</formula>
    </cfRule>
    <cfRule type="cellIs" dxfId="3464" priority="1234" stopIfTrue="1" operator="equal">
      <formula>"Napkin Hs"</formula>
    </cfRule>
  </conditionalFormatting>
  <conditionalFormatting sqref="B99:B102">
    <cfRule type="cellIs" dxfId="3463" priority="1221" stopIfTrue="1" operator="equal">
      <formula>"Towel"</formula>
    </cfRule>
    <cfRule type="cellIs" dxfId="3462" priority="1222" stopIfTrue="1" operator="equal">
      <formula>"Napkin Hs"</formula>
    </cfRule>
  </conditionalFormatting>
  <conditionalFormatting sqref="C99:C102">
    <cfRule type="cellIs" dxfId="3461" priority="1232" stopIfTrue="1" operator="equal">
      <formula>"Napkin Hs"</formula>
    </cfRule>
  </conditionalFormatting>
  <conditionalFormatting sqref="C99:C102">
    <cfRule type="cellIs" dxfId="3460" priority="1231" stopIfTrue="1" operator="equal">
      <formula>"Towel"</formula>
    </cfRule>
  </conditionalFormatting>
  <conditionalFormatting sqref="C99:C102">
    <cfRule type="cellIs" dxfId="3459" priority="1227" stopIfTrue="1" operator="equal">
      <formula>"Towel"</formula>
    </cfRule>
    <cfRule type="cellIs" dxfId="3458" priority="1228" stopIfTrue="1" operator="equal">
      <formula>"Napkin Hs"</formula>
    </cfRule>
  </conditionalFormatting>
  <conditionalFormatting sqref="C99:C102">
    <cfRule type="cellIs" dxfId="3457" priority="1226" stopIfTrue="1" operator="equal">
      <formula>"Napkin Hs"</formula>
    </cfRule>
  </conditionalFormatting>
  <conditionalFormatting sqref="C99:C102">
    <cfRule type="cellIs" dxfId="3456" priority="1225" stopIfTrue="1" operator="equal">
      <formula>"Towel"</formula>
    </cfRule>
  </conditionalFormatting>
  <conditionalFormatting sqref="C99:C102">
    <cfRule type="cellIs" dxfId="3455" priority="1218" stopIfTrue="1" operator="equal">
      <formula>"Napkin Hs"</formula>
    </cfRule>
  </conditionalFormatting>
  <conditionalFormatting sqref="C99:C102">
    <cfRule type="cellIs" dxfId="3454" priority="1217" stopIfTrue="1" operator="equal">
      <formula>"Napkin Hs"</formula>
    </cfRule>
  </conditionalFormatting>
  <conditionalFormatting sqref="B104:B106">
    <cfRule type="cellIs" dxfId="3453" priority="1155" stopIfTrue="1" operator="equal">
      <formula>"Towel"</formula>
    </cfRule>
    <cfRule type="cellIs" dxfId="3452" priority="1156" stopIfTrue="1" operator="equal">
      <formula>"Napkin Hs"</formula>
    </cfRule>
  </conditionalFormatting>
  <conditionalFormatting sqref="C104:C106">
    <cfRule type="cellIs" dxfId="3451" priority="1169" stopIfTrue="1" operator="equal">
      <formula>"Towel"</formula>
    </cfRule>
    <cfRule type="cellIs" dxfId="3450" priority="1170" stopIfTrue="1" operator="equal">
      <formula>"Napkin Hs"</formula>
    </cfRule>
  </conditionalFormatting>
  <conditionalFormatting sqref="C104:C106">
    <cfRule type="cellIs" dxfId="3449" priority="1165" stopIfTrue="1" operator="equal">
      <formula>"Towel"</formula>
    </cfRule>
    <cfRule type="cellIs" dxfId="3448" priority="1166" stopIfTrue="1" operator="equal">
      <formula>"Napkin Hs"</formula>
    </cfRule>
  </conditionalFormatting>
  <conditionalFormatting sqref="B104:B106">
    <cfRule type="cellIs" dxfId="3447" priority="1157" stopIfTrue="1" operator="equal">
      <formula>"Towel"</formula>
    </cfRule>
    <cfRule type="cellIs" dxfId="3446" priority="1158" stopIfTrue="1" operator="equal">
      <formula>"Napkin Hs"</formula>
    </cfRule>
  </conditionalFormatting>
  <conditionalFormatting sqref="C104:C106">
    <cfRule type="cellIs" dxfId="3445" priority="1159" stopIfTrue="1" operator="equal">
      <formula>"Towel"</formula>
    </cfRule>
    <cfRule type="cellIs" dxfId="3444" priority="1160" stopIfTrue="1" operator="equal">
      <formula>"Napkin Hs"</formula>
    </cfRule>
  </conditionalFormatting>
  <conditionalFormatting sqref="C104:C106">
    <cfRule type="cellIs" dxfId="3443" priority="1168" stopIfTrue="1" operator="equal">
      <formula>"Napkin Hs"</formula>
    </cfRule>
  </conditionalFormatting>
  <conditionalFormatting sqref="C104:C106">
    <cfRule type="cellIs" dxfId="3442" priority="1167" stopIfTrue="1" operator="equal">
      <formula>"Towel"</formula>
    </cfRule>
  </conditionalFormatting>
  <conditionalFormatting sqref="C104:C106">
    <cfRule type="cellIs" dxfId="3441" priority="1163" stopIfTrue="1" operator="equal">
      <formula>"Towel"</formula>
    </cfRule>
    <cfRule type="cellIs" dxfId="3440" priority="1164" stopIfTrue="1" operator="equal">
      <formula>"Napkin Hs"</formula>
    </cfRule>
  </conditionalFormatting>
  <conditionalFormatting sqref="C104:C106">
    <cfRule type="cellIs" dxfId="3439" priority="1162" stopIfTrue="1" operator="equal">
      <formula>"Napkin Hs"</formula>
    </cfRule>
  </conditionalFormatting>
  <conditionalFormatting sqref="C104:C106">
    <cfRule type="cellIs" dxfId="3438" priority="1161" stopIfTrue="1" operator="equal">
      <formula>"Towel"</formula>
    </cfRule>
  </conditionalFormatting>
  <conditionalFormatting sqref="B104:C106">
    <cfRule type="cellIs" dxfId="3437" priority="1153" stopIfTrue="1" operator="equal">
      <formula>"Towel"</formula>
    </cfRule>
    <cfRule type="cellIs" dxfId="3436" priority="1154" stopIfTrue="1" operator="equal">
      <formula>"Napkin Hs"</formula>
    </cfRule>
  </conditionalFormatting>
  <conditionalFormatting sqref="C104:C106">
    <cfRule type="cellIs" dxfId="3435" priority="1152" stopIfTrue="1" operator="equal">
      <formula>"Napkin Hs"</formula>
    </cfRule>
  </conditionalFormatting>
  <conditionalFormatting sqref="C104:C106">
    <cfRule type="cellIs" dxfId="3434" priority="1151" stopIfTrue="1" operator="equal">
      <formula>"Towel"</formula>
    </cfRule>
  </conditionalFormatting>
  <conditionalFormatting sqref="C104:C106">
    <cfRule type="cellIs" dxfId="3433" priority="1149" stopIfTrue="1" operator="equal">
      <formula>"Towel"</formula>
    </cfRule>
    <cfRule type="cellIs" dxfId="3432" priority="1150" stopIfTrue="1" operator="equal">
      <formula>"Napkin Hs"</formula>
    </cfRule>
  </conditionalFormatting>
  <conditionalFormatting sqref="B104:C106">
    <cfRule type="cellIs" dxfId="3431" priority="1147" stopIfTrue="1" operator="equal">
      <formula>"Towel"</formula>
    </cfRule>
    <cfRule type="cellIs" dxfId="3430" priority="1148" stopIfTrue="1" operator="equal">
      <formula>"Napkin Hs"</formula>
    </cfRule>
  </conditionalFormatting>
  <conditionalFormatting sqref="C104:C106">
    <cfRule type="cellIs" dxfId="3429" priority="1145" stopIfTrue="1" operator="equal">
      <formula>"Towel"</formula>
    </cfRule>
    <cfRule type="cellIs" dxfId="3428" priority="1146" stopIfTrue="1" operator="equal">
      <formula>"Napkin Hs"</formula>
    </cfRule>
  </conditionalFormatting>
  <conditionalFormatting sqref="C104:C106">
    <cfRule type="cellIs" dxfId="3427" priority="1143" stopIfTrue="1" operator="equal">
      <formula>"Towel"</formula>
    </cfRule>
    <cfRule type="cellIs" dxfId="3426" priority="1144" stopIfTrue="1" operator="equal">
      <formula>"Napkin Hs"</formula>
    </cfRule>
  </conditionalFormatting>
  <conditionalFormatting sqref="C104:C106">
    <cfRule type="cellIs" dxfId="3425" priority="1137" stopIfTrue="1" operator="equal">
      <formula>"Towel"</formula>
    </cfRule>
    <cfRule type="cellIs" dxfId="3424" priority="1138" stopIfTrue="1" operator="equal">
      <formula>"Napkin Hs"</formula>
    </cfRule>
  </conditionalFormatting>
  <conditionalFormatting sqref="B104:B106">
    <cfRule type="cellIs" dxfId="3423" priority="1127" stopIfTrue="1" operator="equal">
      <formula>"Towel"</formula>
    </cfRule>
    <cfRule type="cellIs" dxfId="3422" priority="1128" stopIfTrue="1" operator="equal">
      <formula>"Napkin Hs"</formula>
    </cfRule>
  </conditionalFormatting>
  <conditionalFormatting sqref="C104:C106">
    <cfRule type="cellIs" dxfId="3421" priority="1131" stopIfTrue="1" operator="equal">
      <formula>"Towel"</formula>
    </cfRule>
    <cfRule type="cellIs" dxfId="3420" priority="1132" stopIfTrue="1" operator="equal">
      <formula>"Napkin Hs"</formula>
    </cfRule>
  </conditionalFormatting>
  <conditionalFormatting sqref="C104:C106">
    <cfRule type="cellIs" dxfId="3419" priority="1141" stopIfTrue="1" operator="equal">
      <formula>"Towel"</formula>
    </cfRule>
    <cfRule type="cellIs" dxfId="3418" priority="1142" stopIfTrue="1" operator="equal">
      <formula>"Napkin Hs"</formula>
    </cfRule>
  </conditionalFormatting>
  <conditionalFormatting sqref="B104:B106">
    <cfRule type="cellIs" dxfId="3417" priority="1129" stopIfTrue="1" operator="equal">
      <formula>"Towel"</formula>
    </cfRule>
    <cfRule type="cellIs" dxfId="3416" priority="1130" stopIfTrue="1" operator="equal">
      <formula>"Napkin Hs"</formula>
    </cfRule>
  </conditionalFormatting>
  <conditionalFormatting sqref="C104:C106">
    <cfRule type="cellIs" dxfId="3415" priority="1140" stopIfTrue="1" operator="equal">
      <formula>"Napkin Hs"</formula>
    </cfRule>
  </conditionalFormatting>
  <conditionalFormatting sqref="C104:C106">
    <cfRule type="cellIs" dxfId="3414" priority="1139" stopIfTrue="1" operator="equal">
      <formula>"Towel"</formula>
    </cfRule>
  </conditionalFormatting>
  <conditionalFormatting sqref="C104:C106">
    <cfRule type="cellIs" dxfId="3413" priority="1135" stopIfTrue="1" operator="equal">
      <formula>"Towel"</formula>
    </cfRule>
    <cfRule type="cellIs" dxfId="3412" priority="1136" stopIfTrue="1" operator="equal">
      <formula>"Napkin Hs"</formula>
    </cfRule>
  </conditionalFormatting>
  <conditionalFormatting sqref="C104:C106">
    <cfRule type="cellIs" dxfId="3411" priority="1134" stopIfTrue="1" operator="equal">
      <formula>"Napkin Hs"</formula>
    </cfRule>
  </conditionalFormatting>
  <conditionalFormatting sqref="C104:C106">
    <cfRule type="cellIs" dxfId="3410" priority="1133" stopIfTrue="1" operator="equal">
      <formula>"Towel"</formula>
    </cfRule>
  </conditionalFormatting>
  <conditionalFormatting sqref="C104:C106">
    <cfRule type="cellIs" dxfId="3409" priority="1126" stopIfTrue="1" operator="equal">
      <formula>"Napkin Hs"</formula>
    </cfRule>
  </conditionalFormatting>
  <conditionalFormatting sqref="C104:C106">
    <cfRule type="cellIs" dxfId="3408" priority="1125" stopIfTrue="1" operator="equal">
      <formula>"Napkin Hs"</formula>
    </cfRule>
  </conditionalFormatting>
  <conditionalFormatting sqref="C111">
    <cfRule type="cellIs" dxfId="3407" priority="1119" stopIfTrue="1" operator="equal">
      <formula>"Towel"</formula>
    </cfRule>
    <cfRule type="cellIs" dxfId="3406" priority="1120" stopIfTrue="1" operator="equal">
      <formula>"Napkin Hs"</formula>
    </cfRule>
  </conditionalFormatting>
  <conditionalFormatting sqref="B111:C111">
    <cfRule type="cellIs" dxfId="3405" priority="1123" stopIfTrue="1" operator="equal">
      <formula>"Towel"</formula>
    </cfRule>
    <cfRule type="cellIs" dxfId="3404" priority="1124" stopIfTrue="1" operator="equal">
      <formula>"Napkin Hs"</formula>
    </cfRule>
  </conditionalFormatting>
  <conditionalFormatting sqref="C111">
    <cfRule type="cellIs" dxfId="3403" priority="1122" stopIfTrue="1" operator="equal">
      <formula>"Napkin Hs"</formula>
    </cfRule>
  </conditionalFormatting>
  <conditionalFormatting sqref="C111">
    <cfRule type="cellIs" dxfId="3402" priority="1121" stopIfTrue="1" operator="equal">
      <formula>"Towel"</formula>
    </cfRule>
  </conditionalFormatting>
  <conditionalFormatting sqref="B109:B110">
    <cfRule type="cellIs" dxfId="3401" priority="1057" stopIfTrue="1" operator="equal">
      <formula>"Towel"</formula>
    </cfRule>
    <cfRule type="cellIs" dxfId="3400" priority="1058" stopIfTrue="1" operator="equal">
      <formula>"Napkin Hs"</formula>
    </cfRule>
  </conditionalFormatting>
  <conditionalFormatting sqref="C109:C110">
    <cfRule type="cellIs" dxfId="3399" priority="1071" stopIfTrue="1" operator="equal">
      <formula>"Towel"</formula>
    </cfRule>
    <cfRule type="cellIs" dxfId="3398" priority="1072" stopIfTrue="1" operator="equal">
      <formula>"Napkin Hs"</formula>
    </cfRule>
  </conditionalFormatting>
  <conditionalFormatting sqref="C109:C110">
    <cfRule type="cellIs" dxfId="3397" priority="1067" stopIfTrue="1" operator="equal">
      <formula>"Towel"</formula>
    </cfRule>
    <cfRule type="cellIs" dxfId="3396" priority="1068" stopIfTrue="1" operator="equal">
      <formula>"Napkin Hs"</formula>
    </cfRule>
  </conditionalFormatting>
  <conditionalFormatting sqref="B109:B110">
    <cfRule type="cellIs" dxfId="3395" priority="1059" stopIfTrue="1" operator="equal">
      <formula>"Towel"</formula>
    </cfRule>
    <cfRule type="cellIs" dxfId="3394" priority="1060" stopIfTrue="1" operator="equal">
      <formula>"Napkin Hs"</formula>
    </cfRule>
  </conditionalFormatting>
  <conditionalFormatting sqref="C109:C110">
    <cfRule type="cellIs" dxfId="3393" priority="1061" stopIfTrue="1" operator="equal">
      <formula>"Towel"</formula>
    </cfRule>
    <cfRule type="cellIs" dxfId="3392" priority="1062" stopIfTrue="1" operator="equal">
      <formula>"Napkin Hs"</formula>
    </cfRule>
  </conditionalFormatting>
  <conditionalFormatting sqref="C109:C110">
    <cfRule type="cellIs" dxfId="3391" priority="1070" stopIfTrue="1" operator="equal">
      <formula>"Napkin Hs"</formula>
    </cfRule>
  </conditionalFormatting>
  <conditionalFormatting sqref="C109:C110">
    <cfRule type="cellIs" dxfId="3390" priority="1069" stopIfTrue="1" operator="equal">
      <formula>"Towel"</formula>
    </cfRule>
  </conditionalFormatting>
  <conditionalFormatting sqref="C109:C110">
    <cfRule type="cellIs" dxfId="3389" priority="1065" stopIfTrue="1" operator="equal">
      <formula>"Towel"</formula>
    </cfRule>
    <cfRule type="cellIs" dxfId="3388" priority="1066" stopIfTrue="1" operator="equal">
      <formula>"Napkin Hs"</formula>
    </cfRule>
  </conditionalFormatting>
  <conditionalFormatting sqref="C109:C110">
    <cfRule type="cellIs" dxfId="3387" priority="1064" stopIfTrue="1" operator="equal">
      <formula>"Napkin Hs"</formula>
    </cfRule>
  </conditionalFormatting>
  <conditionalFormatting sqref="C109:C110">
    <cfRule type="cellIs" dxfId="3386" priority="1063" stopIfTrue="1" operator="equal">
      <formula>"Towel"</formula>
    </cfRule>
  </conditionalFormatting>
  <conditionalFormatting sqref="B109:C110">
    <cfRule type="cellIs" dxfId="3385" priority="1055" stopIfTrue="1" operator="equal">
      <formula>"Towel"</formula>
    </cfRule>
    <cfRule type="cellIs" dxfId="3384" priority="1056" stopIfTrue="1" operator="equal">
      <formula>"Napkin Hs"</formula>
    </cfRule>
  </conditionalFormatting>
  <conditionalFormatting sqref="C109:C110">
    <cfRule type="cellIs" dxfId="3383" priority="1054" stopIfTrue="1" operator="equal">
      <formula>"Napkin Hs"</formula>
    </cfRule>
  </conditionalFormatting>
  <conditionalFormatting sqref="C109:C110">
    <cfRule type="cellIs" dxfId="3382" priority="1053" stopIfTrue="1" operator="equal">
      <formula>"Towel"</formula>
    </cfRule>
  </conditionalFormatting>
  <conditionalFormatting sqref="C109:C110">
    <cfRule type="cellIs" dxfId="3381" priority="1051" stopIfTrue="1" operator="equal">
      <formula>"Towel"</formula>
    </cfRule>
    <cfRule type="cellIs" dxfId="3380" priority="1052" stopIfTrue="1" operator="equal">
      <formula>"Napkin Hs"</formula>
    </cfRule>
  </conditionalFormatting>
  <conditionalFormatting sqref="B109:C110">
    <cfRule type="cellIs" dxfId="3379" priority="1049" stopIfTrue="1" operator="equal">
      <formula>"Towel"</formula>
    </cfRule>
    <cfRule type="cellIs" dxfId="3378" priority="1050" stopIfTrue="1" operator="equal">
      <formula>"Napkin Hs"</formula>
    </cfRule>
  </conditionalFormatting>
  <conditionalFormatting sqref="C109:C110">
    <cfRule type="cellIs" dxfId="3377" priority="1047" stopIfTrue="1" operator="equal">
      <formula>"Towel"</formula>
    </cfRule>
    <cfRule type="cellIs" dxfId="3376" priority="1048" stopIfTrue="1" operator="equal">
      <formula>"Napkin Hs"</formula>
    </cfRule>
  </conditionalFormatting>
  <conditionalFormatting sqref="C109:C110">
    <cfRule type="cellIs" dxfId="3375" priority="1045" stopIfTrue="1" operator="equal">
      <formula>"Towel"</formula>
    </cfRule>
    <cfRule type="cellIs" dxfId="3374" priority="1046" stopIfTrue="1" operator="equal">
      <formula>"Napkin Hs"</formula>
    </cfRule>
  </conditionalFormatting>
  <conditionalFormatting sqref="C109:C110">
    <cfRule type="cellIs" dxfId="3373" priority="1039" stopIfTrue="1" operator="equal">
      <formula>"Towel"</formula>
    </cfRule>
    <cfRule type="cellIs" dxfId="3372" priority="1040" stopIfTrue="1" operator="equal">
      <formula>"Napkin Hs"</formula>
    </cfRule>
  </conditionalFormatting>
  <conditionalFormatting sqref="B109:B110">
    <cfRule type="cellIs" dxfId="3371" priority="1029" stopIfTrue="1" operator="equal">
      <formula>"Towel"</formula>
    </cfRule>
    <cfRule type="cellIs" dxfId="3370" priority="1030" stopIfTrue="1" operator="equal">
      <formula>"Napkin Hs"</formula>
    </cfRule>
  </conditionalFormatting>
  <conditionalFormatting sqref="C109:C110">
    <cfRule type="cellIs" dxfId="3369" priority="1033" stopIfTrue="1" operator="equal">
      <formula>"Towel"</formula>
    </cfRule>
    <cfRule type="cellIs" dxfId="3368" priority="1034" stopIfTrue="1" operator="equal">
      <formula>"Napkin Hs"</formula>
    </cfRule>
  </conditionalFormatting>
  <conditionalFormatting sqref="C109:C110">
    <cfRule type="cellIs" dxfId="3367" priority="1043" stopIfTrue="1" operator="equal">
      <formula>"Towel"</formula>
    </cfRule>
    <cfRule type="cellIs" dxfId="3366" priority="1044" stopIfTrue="1" operator="equal">
      <formula>"Napkin Hs"</formula>
    </cfRule>
  </conditionalFormatting>
  <conditionalFormatting sqref="B109:B110">
    <cfRule type="cellIs" dxfId="3365" priority="1031" stopIfTrue="1" operator="equal">
      <formula>"Towel"</formula>
    </cfRule>
    <cfRule type="cellIs" dxfId="3364" priority="1032" stopIfTrue="1" operator="equal">
      <formula>"Napkin Hs"</formula>
    </cfRule>
  </conditionalFormatting>
  <conditionalFormatting sqref="C109:C110">
    <cfRule type="cellIs" dxfId="3363" priority="1042" stopIfTrue="1" operator="equal">
      <formula>"Napkin Hs"</formula>
    </cfRule>
  </conditionalFormatting>
  <conditionalFormatting sqref="C109:C110">
    <cfRule type="cellIs" dxfId="3362" priority="1041" stopIfTrue="1" operator="equal">
      <formula>"Towel"</formula>
    </cfRule>
  </conditionalFormatting>
  <conditionalFormatting sqref="C109:C110">
    <cfRule type="cellIs" dxfId="3361" priority="1037" stopIfTrue="1" operator="equal">
      <formula>"Towel"</formula>
    </cfRule>
    <cfRule type="cellIs" dxfId="3360" priority="1038" stopIfTrue="1" operator="equal">
      <formula>"Napkin Hs"</formula>
    </cfRule>
  </conditionalFormatting>
  <conditionalFormatting sqref="C109:C110">
    <cfRule type="cellIs" dxfId="3359" priority="1036" stopIfTrue="1" operator="equal">
      <formula>"Napkin Hs"</formula>
    </cfRule>
  </conditionalFormatting>
  <conditionalFormatting sqref="C109:C110">
    <cfRule type="cellIs" dxfId="3358" priority="1035" stopIfTrue="1" operator="equal">
      <formula>"Towel"</formula>
    </cfRule>
  </conditionalFormatting>
  <conditionalFormatting sqref="C109:C110">
    <cfRule type="cellIs" dxfId="3357" priority="1028" stopIfTrue="1" operator="equal">
      <formula>"Napkin Hs"</formula>
    </cfRule>
  </conditionalFormatting>
  <conditionalFormatting sqref="C109:C110">
    <cfRule type="cellIs" dxfId="3356" priority="1027" stopIfTrue="1" operator="equal">
      <formula>"Napkin Hs"</formula>
    </cfRule>
  </conditionalFormatting>
  <conditionalFormatting sqref="B108">
    <cfRule type="cellIs" dxfId="3355" priority="1011" stopIfTrue="1" operator="equal">
      <formula>"Towel"</formula>
    </cfRule>
    <cfRule type="cellIs" dxfId="3354" priority="1012" stopIfTrue="1" operator="equal">
      <formula>"Napkin Hs"</formula>
    </cfRule>
  </conditionalFormatting>
  <conditionalFormatting sqref="C108">
    <cfRule type="cellIs" dxfId="3353" priority="1025" stopIfTrue="1" operator="equal">
      <formula>"Towel"</formula>
    </cfRule>
    <cfRule type="cellIs" dxfId="3352" priority="1026" stopIfTrue="1" operator="equal">
      <formula>"Napkin Hs"</formula>
    </cfRule>
  </conditionalFormatting>
  <conditionalFormatting sqref="C108">
    <cfRule type="cellIs" dxfId="3351" priority="1021" stopIfTrue="1" operator="equal">
      <formula>"Towel"</formula>
    </cfRule>
    <cfRule type="cellIs" dxfId="3350" priority="1022" stopIfTrue="1" operator="equal">
      <formula>"Napkin Hs"</formula>
    </cfRule>
  </conditionalFormatting>
  <conditionalFormatting sqref="B108">
    <cfRule type="cellIs" dxfId="3349" priority="1013" stopIfTrue="1" operator="equal">
      <formula>"Towel"</formula>
    </cfRule>
    <cfRule type="cellIs" dxfId="3348" priority="1014" stopIfTrue="1" operator="equal">
      <formula>"Napkin Hs"</formula>
    </cfRule>
  </conditionalFormatting>
  <conditionalFormatting sqref="C108">
    <cfRule type="cellIs" dxfId="3347" priority="1015" stopIfTrue="1" operator="equal">
      <formula>"Towel"</formula>
    </cfRule>
    <cfRule type="cellIs" dxfId="3346" priority="1016" stopIfTrue="1" operator="equal">
      <formula>"Napkin Hs"</formula>
    </cfRule>
  </conditionalFormatting>
  <conditionalFormatting sqref="C108">
    <cfRule type="cellIs" dxfId="3345" priority="1024" stopIfTrue="1" operator="equal">
      <formula>"Napkin Hs"</formula>
    </cfRule>
  </conditionalFormatting>
  <conditionalFormatting sqref="C108">
    <cfRule type="cellIs" dxfId="3344" priority="1023" stopIfTrue="1" operator="equal">
      <formula>"Towel"</formula>
    </cfRule>
  </conditionalFormatting>
  <conditionalFormatting sqref="C108">
    <cfRule type="cellIs" dxfId="3343" priority="1019" stopIfTrue="1" operator="equal">
      <formula>"Towel"</formula>
    </cfRule>
    <cfRule type="cellIs" dxfId="3342" priority="1020" stopIfTrue="1" operator="equal">
      <formula>"Napkin Hs"</formula>
    </cfRule>
  </conditionalFormatting>
  <conditionalFormatting sqref="C108">
    <cfRule type="cellIs" dxfId="3341" priority="1018" stopIfTrue="1" operator="equal">
      <formula>"Napkin Hs"</formula>
    </cfRule>
  </conditionalFormatting>
  <conditionalFormatting sqref="C108">
    <cfRule type="cellIs" dxfId="3340" priority="1017" stopIfTrue="1" operator="equal">
      <formula>"Towel"</formula>
    </cfRule>
  </conditionalFormatting>
  <conditionalFormatting sqref="B108:C108">
    <cfRule type="cellIs" dxfId="3339" priority="1009" stopIfTrue="1" operator="equal">
      <formula>"Towel"</formula>
    </cfRule>
    <cfRule type="cellIs" dxfId="3338" priority="1010" stopIfTrue="1" operator="equal">
      <formula>"Napkin Hs"</formula>
    </cfRule>
  </conditionalFormatting>
  <conditionalFormatting sqref="C108">
    <cfRule type="cellIs" dxfId="3337" priority="1008" stopIfTrue="1" operator="equal">
      <formula>"Napkin Hs"</formula>
    </cfRule>
  </conditionalFormatting>
  <conditionalFormatting sqref="C108">
    <cfRule type="cellIs" dxfId="3336" priority="1007" stopIfTrue="1" operator="equal">
      <formula>"Towel"</formula>
    </cfRule>
  </conditionalFormatting>
  <conditionalFormatting sqref="C108">
    <cfRule type="cellIs" dxfId="3335" priority="1005" stopIfTrue="1" operator="equal">
      <formula>"Towel"</formula>
    </cfRule>
    <cfRule type="cellIs" dxfId="3334" priority="1006" stopIfTrue="1" operator="equal">
      <formula>"Napkin Hs"</formula>
    </cfRule>
  </conditionalFormatting>
  <conditionalFormatting sqref="B108:C108">
    <cfRule type="cellIs" dxfId="3333" priority="1003" stopIfTrue="1" operator="equal">
      <formula>"Towel"</formula>
    </cfRule>
    <cfRule type="cellIs" dxfId="3332" priority="1004" stopIfTrue="1" operator="equal">
      <formula>"Napkin Hs"</formula>
    </cfRule>
  </conditionalFormatting>
  <conditionalFormatting sqref="C108">
    <cfRule type="cellIs" dxfId="3331" priority="1001" stopIfTrue="1" operator="equal">
      <formula>"Towel"</formula>
    </cfRule>
    <cfRule type="cellIs" dxfId="3330" priority="1002" stopIfTrue="1" operator="equal">
      <formula>"Napkin Hs"</formula>
    </cfRule>
  </conditionalFormatting>
  <conditionalFormatting sqref="C108">
    <cfRule type="cellIs" dxfId="3329" priority="999" stopIfTrue="1" operator="equal">
      <formula>"Towel"</formula>
    </cfRule>
    <cfRule type="cellIs" dxfId="3328" priority="1000" stopIfTrue="1" operator="equal">
      <formula>"Napkin Hs"</formula>
    </cfRule>
  </conditionalFormatting>
  <conditionalFormatting sqref="C108">
    <cfRule type="cellIs" dxfId="3327" priority="993" stopIfTrue="1" operator="equal">
      <formula>"Towel"</formula>
    </cfRule>
    <cfRule type="cellIs" dxfId="3326" priority="994" stopIfTrue="1" operator="equal">
      <formula>"Napkin Hs"</formula>
    </cfRule>
  </conditionalFormatting>
  <conditionalFormatting sqref="B108">
    <cfRule type="cellIs" dxfId="3325" priority="983" stopIfTrue="1" operator="equal">
      <formula>"Towel"</formula>
    </cfRule>
    <cfRule type="cellIs" dxfId="3324" priority="984" stopIfTrue="1" operator="equal">
      <formula>"Napkin Hs"</formula>
    </cfRule>
  </conditionalFormatting>
  <conditionalFormatting sqref="C108">
    <cfRule type="cellIs" dxfId="3323" priority="987" stopIfTrue="1" operator="equal">
      <formula>"Towel"</formula>
    </cfRule>
    <cfRule type="cellIs" dxfId="3322" priority="988" stopIfTrue="1" operator="equal">
      <formula>"Napkin Hs"</formula>
    </cfRule>
  </conditionalFormatting>
  <conditionalFormatting sqref="C108">
    <cfRule type="cellIs" dxfId="3321" priority="997" stopIfTrue="1" operator="equal">
      <formula>"Towel"</formula>
    </cfRule>
    <cfRule type="cellIs" dxfId="3320" priority="998" stopIfTrue="1" operator="equal">
      <formula>"Napkin Hs"</formula>
    </cfRule>
  </conditionalFormatting>
  <conditionalFormatting sqref="B108">
    <cfRule type="cellIs" dxfId="3319" priority="985" stopIfTrue="1" operator="equal">
      <formula>"Towel"</formula>
    </cfRule>
    <cfRule type="cellIs" dxfId="3318" priority="986" stopIfTrue="1" operator="equal">
      <formula>"Napkin Hs"</formula>
    </cfRule>
  </conditionalFormatting>
  <conditionalFormatting sqref="C108">
    <cfRule type="cellIs" dxfId="3317" priority="996" stopIfTrue="1" operator="equal">
      <formula>"Napkin Hs"</formula>
    </cfRule>
  </conditionalFormatting>
  <conditionalFormatting sqref="C108">
    <cfRule type="cellIs" dxfId="3316" priority="995" stopIfTrue="1" operator="equal">
      <formula>"Towel"</formula>
    </cfRule>
  </conditionalFormatting>
  <conditionalFormatting sqref="C108">
    <cfRule type="cellIs" dxfId="3315" priority="991" stopIfTrue="1" operator="equal">
      <formula>"Towel"</formula>
    </cfRule>
    <cfRule type="cellIs" dxfId="3314" priority="992" stopIfTrue="1" operator="equal">
      <formula>"Napkin Hs"</formula>
    </cfRule>
  </conditionalFormatting>
  <conditionalFormatting sqref="C108">
    <cfRule type="cellIs" dxfId="3313" priority="990" stopIfTrue="1" operator="equal">
      <formula>"Napkin Hs"</formula>
    </cfRule>
  </conditionalFormatting>
  <conditionalFormatting sqref="C108">
    <cfRule type="cellIs" dxfId="3312" priority="989" stopIfTrue="1" operator="equal">
      <formula>"Towel"</formula>
    </cfRule>
  </conditionalFormatting>
  <conditionalFormatting sqref="C108">
    <cfRule type="cellIs" dxfId="3311" priority="982" stopIfTrue="1" operator="equal">
      <formula>"Napkin Hs"</formula>
    </cfRule>
  </conditionalFormatting>
  <conditionalFormatting sqref="C108">
    <cfRule type="cellIs" dxfId="3310" priority="981" stopIfTrue="1" operator="equal">
      <formula>"Napkin Hs"</formula>
    </cfRule>
  </conditionalFormatting>
  <conditionalFormatting sqref="B113:B114">
    <cfRule type="cellIs" dxfId="3309" priority="959" stopIfTrue="1" operator="equal">
      <formula>"Towel"</formula>
    </cfRule>
    <cfRule type="cellIs" dxfId="3308" priority="960" stopIfTrue="1" operator="equal">
      <formula>"Napkin Hs"</formula>
    </cfRule>
  </conditionalFormatting>
  <conditionalFormatting sqref="C113:C114">
    <cfRule type="cellIs" dxfId="3307" priority="973" stopIfTrue="1" operator="equal">
      <formula>"Towel"</formula>
    </cfRule>
    <cfRule type="cellIs" dxfId="3306" priority="974" stopIfTrue="1" operator="equal">
      <formula>"Napkin Hs"</formula>
    </cfRule>
  </conditionalFormatting>
  <conditionalFormatting sqref="C113:C114">
    <cfRule type="cellIs" dxfId="3305" priority="969" stopIfTrue="1" operator="equal">
      <formula>"Towel"</formula>
    </cfRule>
    <cfRule type="cellIs" dxfId="3304" priority="970" stopIfTrue="1" operator="equal">
      <formula>"Napkin Hs"</formula>
    </cfRule>
  </conditionalFormatting>
  <conditionalFormatting sqref="B113:B114">
    <cfRule type="cellIs" dxfId="3303" priority="961" stopIfTrue="1" operator="equal">
      <formula>"Towel"</formula>
    </cfRule>
    <cfRule type="cellIs" dxfId="3302" priority="962" stopIfTrue="1" operator="equal">
      <formula>"Napkin Hs"</formula>
    </cfRule>
  </conditionalFormatting>
  <conditionalFormatting sqref="C113:C114">
    <cfRule type="cellIs" dxfId="3301" priority="963" stopIfTrue="1" operator="equal">
      <formula>"Towel"</formula>
    </cfRule>
    <cfRule type="cellIs" dxfId="3300" priority="964" stopIfTrue="1" operator="equal">
      <formula>"Napkin Hs"</formula>
    </cfRule>
  </conditionalFormatting>
  <conditionalFormatting sqref="C113:C114">
    <cfRule type="cellIs" dxfId="3299" priority="972" stopIfTrue="1" operator="equal">
      <formula>"Napkin Hs"</formula>
    </cfRule>
  </conditionalFormatting>
  <conditionalFormatting sqref="C113:C114">
    <cfRule type="cellIs" dxfId="3298" priority="971" stopIfTrue="1" operator="equal">
      <formula>"Towel"</formula>
    </cfRule>
  </conditionalFormatting>
  <conditionalFormatting sqref="C113:C114">
    <cfRule type="cellIs" dxfId="3297" priority="967" stopIfTrue="1" operator="equal">
      <formula>"Towel"</formula>
    </cfRule>
    <cfRule type="cellIs" dxfId="3296" priority="968" stopIfTrue="1" operator="equal">
      <formula>"Napkin Hs"</formula>
    </cfRule>
  </conditionalFormatting>
  <conditionalFormatting sqref="C113:C114">
    <cfRule type="cellIs" dxfId="3295" priority="966" stopIfTrue="1" operator="equal">
      <formula>"Napkin Hs"</formula>
    </cfRule>
  </conditionalFormatting>
  <conditionalFormatting sqref="C113:C114">
    <cfRule type="cellIs" dxfId="3294" priority="965" stopIfTrue="1" operator="equal">
      <formula>"Towel"</formula>
    </cfRule>
  </conditionalFormatting>
  <conditionalFormatting sqref="B113:C114">
    <cfRule type="cellIs" dxfId="3293" priority="957" stopIfTrue="1" operator="equal">
      <formula>"Towel"</formula>
    </cfRule>
    <cfRule type="cellIs" dxfId="3292" priority="958" stopIfTrue="1" operator="equal">
      <formula>"Napkin Hs"</formula>
    </cfRule>
  </conditionalFormatting>
  <conditionalFormatting sqref="C113:C114">
    <cfRule type="cellIs" dxfId="3291" priority="956" stopIfTrue="1" operator="equal">
      <formula>"Napkin Hs"</formula>
    </cfRule>
  </conditionalFormatting>
  <conditionalFormatting sqref="C113:C114">
    <cfRule type="cellIs" dxfId="3290" priority="955" stopIfTrue="1" operator="equal">
      <formula>"Towel"</formula>
    </cfRule>
  </conditionalFormatting>
  <conditionalFormatting sqref="C113:C114">
    <cfRule type="cellIs" dxfId="3289" priority="953" stopIfTrue="1" operator="equal">
      <formula>"Towel"</formula>
    </cfRule>
    <cfRule type="cellIs" dxfId="3288" priority="954" stopIfTrue="1" operator="equal">
      <formula>"Napkin Hs"</formula>
    </cfRule>
  </conditionalFormatting>
  <conditionalFormatting sqref="B113:C114">
    <cfRule type="cellIs" dxfId="3287" priority="951" stopIfTrue="1" operator="equal">
      <formula>"Towel"</formula>
    </cfRule>
    <cfRule type="cellIs" dxfId="3286" priority="952" stopIfTrue="1" operator="equal">
      <formula>"Napkin Hs"</formula>
    </cfRule>
  </conditionalFormatting>
  <conditionalFormatting sqref="C113:C114">
    <cfRule type="cellIs" dxfId="3285" priority="949" stopIfTrue="1" operator="equal">
      <formula>"Towel"</formula>
    </cfRule>
    <cfRule type="cellIs" dxfId="3284" priority="950" stopIfTrue="1" operator="equal">
      <formula>"Napkin Hs"</formula>
    </cfRule>
  </conditionalFormatting>
  <conditionalFormatting sqref="C113:C114">
    <cfRule type="cellIs" dxfId="3283" priority="947" stopIfTrue="1" operator="equal">
      <formula>"Towel"</formula>
    </cfRule>
    <cfRule type="cellIs" dxfId="3282" priority="948" stopIfTrue="1" operator="equal">
      <formula>"Napkin Hs"</formula>
    </cfRule>
  </conditionalFormatting>
  <conditionalFormatting sqref="C113:C114">
    <cfRule type="cellIs" dxfId="3281" priority="941" stopIfTrue="1" operator="equal">
      <formula>"Towel"</formula>
    </cfRule>
    <cfRule type="cellIs" dxfId="3280" priority="942" stopIfTrue="1" operator="equal">
      <formula>"Napkin Hs"</formula>
    </cfRule>
  </conditionalFormatting>
  <conditionalFormatting sqref="B113:B114">
    <cfRule type="cellIs" dxfId="3279" priority="931" stopIfTrue="1" operator="equal">
      <formula>"Towel"</formula>
    </cfRule>
    <cfRule type="cellIs" dxfId="3278" priority="932" stopIfTrue="1" operator="equal">
      <formula>"Napkin Hs"</formula>
    </cfRule>
  </conditionalFormatting>
  <conditionalFormatting sqref="C113:C114">
    <cfRule type="cellIs" dxfId="3277" priority="935" stopIfTrue="1" operator="equal">
      <formula>"Towel"</formula>
    </cfRule>
    <cfRule type="cellIs" dxfId="3276" priority="936" stopIfTrue="1" operator="equal">
      <formula>"Napkin Hs"</formula>
    </cfRule>
  </conditionalFormatting>
  <conditionalFormatting sqref="C113:C114">
    <cfRule type="cellIs" dxfId="3275" priority="945" stopIfTrue="1" operator="equal">
      <formula>"Towel"</formula>
    </cfRule>
    <cfRule type="cellIs" dxfId="3274" priority="946" stopIfTrue="1" operator="equal">
      <formula>"Napkin Hs"</formula>
    </cfRule>
  </conditionalFormatting>
  <conditionalFormatting sqref="B113:B114">
    <cfRule type="cellIs" dxfId="3273" priority="933" stopIfTrue="1" operator="equal">
      <formula>"Towel"</formula>
    </cfRule>
    <cfRule type="cellIs" dxfId="3272" priority="934" stopIfTrue="1" operator="equal">
      <formula>"Napkin Hs"</formula>
    </cfRule>
  </conditionalFormatting>
  <conditionalFormatting sqref="C113:C114">
    <cfRule type="cellIs" dxfId="3271" priority="944" stopIfTrue="1" operator="equal">
      <formula>"Napkin Hs"</formula>
    </cfRule>
  </conditionalFormatting>
  <conditionalFormatting sqref="C113:C114">
    <cfRule type="cellIs" dxfId="3270" priority="943" stopIfTrue="1" operator="equal">
      <formula>"Towel"</formula>
    </cfRule>
  </conditionalFormatting>
  <conditionalFormatting sqref="C113:C114">
    <cfRule type="cellIs" dxfId="3269" priority="939" stopIfTrue="1" operator="equal">
      <formula>"Towel"</formula>
    </cfRule>
    <cfRule type="cellIs" dxfId="3268" priority="940" stopIfTrue="1" operator="equal">
      <formula>"Napkin Hs"</formula>
    </cfRule>
  </conditionalFormatting>
  <conditionalFormatting sqref="C113:C114">
    <cfRule type="cellIs" dxfId="3267" priority="938" stopIfTrue="1" operator="equal">
      <formula>"Napkin Hs"</formula>
    </cfRule>
  </conditionalFormatting>
  <conditionalFormatting sqref="C113:C114">
    <cfRule type="cellIs" dxfId="3266" priority="937" stopIfTrue="1" operator="equal">
      <formula>"Towel"</formula>
    </cfRule>
  </conditionalFormatting>
  <conditionalFormatting sqref="C113:C114">
    <cfRule type="cellIs" dxfId="3265" priority="930" stopIfTrue="1" operator="equal">
      <formula>"Napkin Hs"</formula>
    </cfRule>
  </conditionalFormatting>
  <conditionalFormatting sqref="C113:C114">
    <cfRule type="cellIs" dxfId="3264" priority="929" stopIfTrue="1" operator="equal">
      <formula>"Napkin Hs"</formula>
    </cfRule>
  </conditionalFormatting>
  <conditionalFormatting sqref="B112">
    <cfRule type="cellIs" dxfId="3263" priority="867" stopIfTrue="1" operator="equal">
      <formula>"Towel"</formula>
    </cfRule>
    <cfRule type="cellIs" dxfId="3262" priority="868" stopIfTrue="1" operator="equal">
      <formula>"Napkin Hs"</formula>
    </cfRule>
  </conditionalFormatting>
  <conditionalFormatting sqref="C112">
    <cfRule type="cellIs" dxfId="3261" priority="881" stopIfTrue="1" operator="equal">
      <formula>"Towel"</formula>
    </cfRule>
    <cfRule type="cellIs" dxfId="3260" priority="882" stopIfTrue="1" operator="equal">
      <formula>"Napkin Hs"</formula>
    </cfRule>
  </conditionalFormatting>
  <conditionalFormatting sqref="C112">
    <cfRule type="cellIs" dxfId="3259" priority="877" stopIfTrue="1" operator="equal">
      <formula>"Towel"</formula>
    </cfRule>
    <cfRule type="cellIs" dxfId="3258" priority="878" stopIfTrue="1" operator="equal">
      <formula>"Napkin Hs"</formula>
    </cfRule>
  </conditionalFormatting>
  <conditionalFormatting sqref="B112">
    <cfRule type="cellIs" dxfId="3257" priority="869" stopIfTrue="1" operator="equal">
      <formula>"Towel"</formula>
    </cfRule>
    <cfRule type="cellIs" dxfId="3256" priority="870" stopIfTrue="1" operator="equal">
      <formula>"Napkin Hs"</formula>
    </cfRule>
  </conditionalFormatting>
  <conditionalFormatting sqref="C112">
    <cfRule type="cellIs" dxfId="3255" priority="871" stopIfTrue="1" operator="equal">
      <formula>"Towel"</formula>
    </cfRule>
    <cfRule type="cellIs" dxfId="3254" priority="872" stopIfTrue="1" operator="equal">
      <formula>"Napkin Hs"</formula>
    </cfRule>
  </conditionalFormatting>
  <conditionalFormatting sqref="C112">
    <cfRule type="cellIs" dxfId="3253" priority="880" stopIfTrue="1" operator="equal">
      <formula>"Napkin Hs"</formula>
    </cfRule>
  </conditionalFormatting>
  <conditionalFormatting sqref="C112">
    <cfRule type="cellIs" dxfId="3252" priority="879" stopIfTrue="1" operator="equal">
      <formula>"Towel"</formula>
    </cfRule>
  </conditionalFormatting>
  <conditionalFormatting sqref="C112">
    <cfRule type="cellIs" dxfId="3251" priority="875" stopIfTrue="1" operator="equal">
      <formula>"Towel"</formula>
    </cfRule>
    <cfRule type="cellIs" dxfId="3250" priority="876" stopIfTrue="1" operator="equal">
      <formula>"Napkin Hs"</formula>
    </cfRule>
  </conditionalFormatting>
  <conditionalFormatting sqref="C112">
    <cfRule type="cellIs" dxfId="3249" priority="874" stopIfTrue="1" operator="equal">
      <formula>"Napkin Hs"</formula>
    </cfRule>
  </conditionalFormatting>
  <conditionalFormatting sqref="C112">
    <cfRule type="cellIs" dxfId="3248" priority="873" stopIfTrue="1" operator="equal">
      <formula>"Towel"</formula>
    </cfRule>
  </conditionalFormatting>
  <conditionalFormatting sqref="B112:C112">
    <cfRule type="cellIs" dxfId="3247" priority="865" stopIfTrue="1" operator="equal">
      <formula>"Towel"</formula>
    </cfRule>
    <cfRule type="cellIs" dxfId="3246" priority="866" stopIfTrue="1" operator="equal">
      <formula>"Napkin Hs"</formula>
    </cfRule>
  </conditionalFormatting>
  <conditionalFormatting sqref="C112">
    <cfRule type="cellIs" dxfId="3245" priority="864" stopIfTrue="1" operator="equal">
      <formula>"Napkin Hs"</formula>
    </cfRule>
  </conditionalFormatting>
  <conditionalFormatting sqref="C112">
    <cfRule type="cellIs" dxfId="3244" priority="863" stopIfTrue="1" operator="equal">
      <formula>"Towel"</formula>
    </cfRule>
  </conditionalFormatting>
  <conditionalFormatting sqref="C112">
    <cfRule type="cellIs" dxfId="3243" priority="861" stopIfTrue="1" operator="equal">
      <formula>"Towel"</formula>
    </cfRule>
    <cfRule type="cellIs" dxfId="3242" priority="862" stopIfTrue="1" operator="equal">
      <formula>"Napkin Hs"</formula>
    </cfRule>
  </conditionalFormatting>
  <conditionalFormatting sqref="B112:C112">
    <cfRule type="cellIs" dxfId="3241" priority="859" stopIfTrue="1" operator="equal">
      <formula>"Towel"</formula>
    </cfRule>
    <cfRule type="cellIs" dxfId="3240" priority="860" stopIfTrue="1" operator="equal">
      <formula>"Napkin Hs"</formula>
    </cfRule>
  </conditionalFormatting>
  <conditionalFormatting sqref="C112">
    <cfRule type="cellIs" dxfId="3239" priority="857" stopIfTrue="1" operator="equal">
      <formula>"Towel"</formula>
    </cfRule>
    <cfRule type="cellIs" dxfId="3238" priority="858" stopIfTrue="1" operator="equal">
      <formula>"Napkin Hs"</formula>
    </cfRule>
  </conditionalFormatting>
  <conditionalFormatting sqref="C112">
    <cfRule type="cellIs" dxfId="3237" priority="855" stopIfTrue="1" operator="equal">
      <formula>"Towel"</formula>
    </cfRule>
    <cfRule type="cellIs" dxfId="3236" priority="856" stopIfTrue="1" operator="equal">
      <formula>"Napkin Hs"</formula>
    </cfRule>
  </conditionalFormatting>
  <conditionalFormatting sqref="C112">
    <cfRule type="cellIs" dxfId="3235" priority="849" stopIfTrue="1" operator="equal">
      <formula>"Towel"</formula>
    </cfRule>
    <cfRule type="cellIs" dxfId="3234" priority="850" stopIfTrue="1" operator="equal">
      <formula>"Napkin Hs"</formula>
    </cfRule>
  </conditionalFormatting>
  <conditionalFormatting sqref="B112">
    <cfRule type="cellIs" dxfId="3233" priority="839" stopIfTrue="1" operator="equal">
      <formula>"Towel"</formula>
    </cfRule>
    <cfRule type="cellIs" dxfId="3232" priority="840" stopIfTrue="1" operator="equal">
      <formula>"Napkin Hs"</formula>
    </cfRule>
  </conditionalFormatting>
  <conditionalFormatting sqref="C112">
    <cfRule type="cellIs" dxfId="3231" priority="843" stopIfTrue="1" operator="equal">
      <formula>"Towel"</formula>
    </cfRule>
    <cfRule type="cellIs" dxfId="3230" priority="844" stopIfTrue="1" operator="equal">
      <formula>"Napkin Hs"</formula>
    </cfRule>
  </conditionalFormatting>
  <conditionalFormatting sqref="C112">
    <cfRule type="cellIs" dxfId="3229" priority="853" stopIfTrue="1" operator="equal">
      <formula>"Towel"</formula>
    </cfRule>
    <cfRule type="cellIs" dxfId="3228" priority="854" stopIfTrue="1" operator="equal">
      <formula>"Napkin Hs"</formula>
    </cfRule>
  </conditionalFormatting>
  <conditionalFormatting sqref="B112">
    <cfRule type="cellIs" dxfId="3227" priority="841" stopIfTrue="1" operator="equal">
      <formula>"Towel"</formula>
    </cfRule>
    <cfRule type="cellIs" dxfId="3226" priority="842" stopIfTrue="1" operator="equal">
      <formula>"Napkin Hs"</formula>
    </cfRule>
  </conditionalFormatting>
  <conditionalFormatting sqref="C112">
    <cfRule type="cellIs" dxfId="3225" priority="852" stopIfTrue="1" operator="equal">
      <formula>"Napkin Hs"</formula>
    </cfRule>
  </conditionalFormatting>
  <conditionalFormatting sqref="C112">
    <cfRule type="cellIs" dxfId="3224" priority="851" stopIfTrue="1" operator="equal">
      <formula>"Towel"</formula>
    </cfRule>
  </conditionalFormatting>
  <conditionalFormatting sqref="C112">
    <cfRule type="cellIs" dxfId="3223" priority="847" stopIfTrue="1" operator="equal">
      <formula>"Towel"</formula>
    </cfRule>
    <cfRule type="cellIs" dxfId="3222" priority="848" stopIfTrue="1" operator="equal">
      <formula>"Napkin Hs"</formula>
    </cfRule>
  </conditionalFormatting>
  <conditionalFormatting sqref="C112">
    <cfRule type="cellIs" dxfId="3221" priority="846" stopIfTrue="1" operator="equal">
      <formula>"Napkin Hs"</formula>
    </cfRule>
  </conditionalFormatting>
  <conditionalFormatting sqref="C112">
    <cfRule type="cellIs" dxfId="3220" priority="845" stopIfTrue="1" operator="equal">
      <formula>"Towel"</formula>
    </cfRule>
  </conditionalFormatting>
  <conditionalFormatting sqref="C112">
    <cfRule type="cellIs" dxfId="3219" priority="838" stopIfTrue="1" operator="equal">
      <formula>"Napkin Hs"</formula>
    </cfRule>
  </conditionalFormatting>
  <conditionalFormatting sqref="C112">
    <cfRule type="cellIs" dxfId="3218" priority="837" stopIfTrue="1" operator="equal">
      <formula>"Napkin Hs"</formula>
    </cfRule>
  </conditionalFormatting>
  <conditionalFormatting sqref="B115">
    <cfRule type="cellIs" dxfId="3217" priority="821" stopIfTrue="1" operator="equal">
      <formula>"Towel"</formula>
    </cfRule>
    <cfRule type="cellIs" dxfId="3216" priority="822" stopIfTrue="1" operator="equal">
      <formula>"Napkin Hs"</formula>
    </cfRule>
  </conditionalFormatting>
  <conditionalFormatting sqref="C115">
    <cfRule type="cellIs" dxfId="3215" priority="835" stopIfTrue="1" operator="equal">
      <formula>"Towel"</formula>
    </cfRule>
    <cfRule type="cellIs" dxfId="3214" priority="836" stopIfTrue="1" operator="equal">
      <formula>"Napkin Hs"</formula>
    </cfRule>
  </conditionalFormatting>
  <conditionalFormatting sqref="C115">
    <cfRule type="cellIs" dxfId="3213" priority="831" stopIfTrue="1" operator="equal">
      <formula>"Towel"</formula>
    </cfRule>
    <cfRule type="cellIs" dxfId="3212" priority="832" stopIfTrue="1" operator="equal">
      <formula>"Napkin Hs"</formula>
    </cfRule>
  </conditionalFormatting>
  <conditionalFormatting sqref="B115">
    <cfRule type="cellIs" dxfId="3211" priority="823" stopIfTrue="1" operator="equal">
      <formula>"Towel"</formula>
    </cfRule>
    <cfRule type="cellIs" dxfId="3210" priority="824" stopIfTrue="1" operator="equal">
      <formula>"Napkin Hs"</formula>
    </cfRule>
  </conditionalFormatting>
  <conditionalFormatting sqref="C115">
    <cfRule type="cellIs" dxfId="3209" priority="825" stopIfTrue="1" operator="equal">
      <formula>"Towel"</formula>
    </cfRule>
    <cfRule type="cellIs" dxfId="3208" priority="826" stopIfTrue="1" operator="equal">
      <formula>"Napkin Hs"</formula>
    </cfRule>
  </conditionalFormatting>
  <conditionalFormatting sqref="C115">
    <cfRule type="cellIs" dxfId="3207" priority="834" stopIfTrue="1" operator="equal">
      <formula>"Napkin Hs"</formula>
    </cfRule>
  </conditionalFormatting>
  <conditionalFormatting sqref="C115">
    <cfRule type="cellIs" dxfId="3206" priority="833" stopIfTrue="1" operator="equal">
      <formula>"Towel"</formula>
    </cfRule>
  </conditionalFormatting>
  <conditionalFormatting sqref="C115">
    <cfRule type="cellIs" dxfId="3205" priority="829" stopIfTrue="1" operator="equal">
      <formula>"Towel"</formula>
    </cfRule>
    <cfRule type="cellIs" dxfId="3204" priority="830" stopIfTrue="1" operator="equal">
      <formula>"Napkin Hs"</formula>
    </cfRule>
  </conditionalFormatting>
  <conditionalFormatting sqref="C115">
    <cfRule type="cellIs" dxfId="3203" priority="828" stopIfTrue="1" operator="equal">
      <formula>"Napkin Hs"</formula>
    </cfRule>
  </conditionalFormatting>
  <conditionalFormatting sqref="C115">
    <cfRule type="cellIs" dxfId="3202" priority="827" stopIfTrue="1" operator="equal">
      <formula>"Towel"</formula>
    </cfRule>
  </conditionalFormatting>
  <conditionalFormatting sqref="B115:C115">
    <cfRule type="cellIs" dxfId="3201" priority="819" stopIfTrue="1" operator="equal">
      <formula>"Towel"</formula>
    </cfRule>
    <cfRule type="cellIs" dxfId="3200" priority="820" stopIfTrue="1" operator="equal">
      <formula>"Napkin Hs"</formula>
    </cfRule>
  </conditionalFormatting>
  <conditionalFormatting sqref="C115">
    <cfRule type="cellIs" dxfId="3199" priority="818" stopIfTrue="1" operator="equal">
      <formula>"Napkin Hs"</formula>
    </cfRule>
  </conditionalFormatting>
  <conditionalFormatting sqref="C115">
    <cfRule type="cellIs" dxfId="3198" priority="817" stopIfTrue="1" operator="equal">
      <formula>"Towel"</formula>
    </cfRule>
  </conditionalFormatting>
  <conditionalFormatting sqref="C115">
    <cfRule type="cellIs" dxfId="3197" priority="815" stopIfTrue="1" operator="equal">
      <formula>"Towel"</formula>
    </cfRule>
    <cfRule type="cellIs" dxfId="3196" priority="816" stopIfTrue="1" operator="equal">
      <formula>"Napkin Hs"</formula>
    </cfRule>
  </conditionalFormatting>
  <conditionalFormatting sqref="B115:C115">
    <cfRule type="cellIs" dxfId="3195" priority="813" stopIfTrue="1" operator="equal">
      <formula>"Towel"</formula>
    </cfRule>
    <cfRule type="cellIs" dxfId="3194" priority="814" stopIfTrue="1" operator="equal">
      <formula>"Napkin Hs"</formula>
    </cfRule>
  </conditionalFormatting>
  <conditionalFormatting sqref="C115">
    <cfRule type="cellIs" dxfId="3193" priority="811" stopIfTrue="1" operator="equal">
      <formula>"Towel"</formula>
    </cfRule>
    <cfRule type="cellIs" dxfId="3192" priority="812" stopIfTrue="1" operator="equal">
      <formula>"Napkin Hs"</formula>
    </cfRule>
  </conditionalFormatting>
  <conditionalFormatting sqref="C115">
    <cfRule type="cellIs" dxfId="3191" priority="809" stopIfTrue="1" operator="equal">
      <formula>"Towel"</formula>
    </cfRule>
    <cfRule type="cellIs" dxfId="3190" priority="810" stopIfTrue="1" operator="equal">
      <formula>"Napkin Hs"</formula>
    </cfRule>
  </conditionalFormatting>
  <conditionalFormatting sqref="C115">
    <cfRule type="cellIs" dxfId="3189" priority="803" stopIfTrue="1" operator="equal">
      <formula>"Towel"</formula>
    </cfRule>
    <cfRule type="cellIs" dxfId="3188" priority="804" stopIfTrue="1" operator="equal">
      <formula>"Napkin Hs"</formula>
    </cfRule>
  </conditionalFormatting>
  <conditionalFormatting sqref="B115">
    <cfRule type="cellIs" dxfId="3187" priority="793" stopIfTrue="1" operator="equal">
      <formula>"Towel"</formula>
    </cfRule>
    <cfRule type="cellIs" dxfId="3186" priority="794" stopIfTrue="1" operator="equal">
      <formula>"Napkin Hs"</formula>
    </cfRule>
  </conditionalFormatting>
  <conditionalFormatting sqref="C115">
    <cfRule type="cellIs" dxfId="3185" priority="797" stopIfTrue="1" operator="equal">
      <formula>"Towel"</formula>
    </cfRule>
    <cfRule type="cellIs" dxfId="3184" priority="798" stopIfTrue="1" operator="equal">
      <formula>"Napkin Hs"</formula>
    </cfRule>
  </conditionalFormatting>
  <conditionalFormatting sqref="C115">
    <cfRule type="cellIs" dxfId="3183" priority="807" stopIfTrue="1" operator="equal">
      <formula>"Towel"</formula>
    </cfRule>
    <cfRule type="cellIs" dxfId="3182" priority="808" stopIfTrue="1" operator="equal">
      <formula>"Napkin Hs"</formula>
    </cfRule>
  </conditionalFormatting>
  <conditionalFormatting sqref="B115">
    <cfRule type="cellIs" dxfId="3181" priority="795" stopIfTrue="1" operator="equal">
      <formula>"Towel"</formula>
    </cfRule>
    <cfRule type="cellIs" dxfId="3180" priority="796" stopIfTrue="1" operator="equal">
      <formula>"Napkin Hs"</formula>
    </cfRule>
  </conditionalFormatting>
  <conditionalFormatting sqref="C115">
    <cfRule type="cellIs" dxfId="3179" priority="806" stopIfTrue="1" operator="equal">
      <formula>"Napkin Hs"</formula>
    </cfRule>
  </conditionalFormatting>
  <conditionalFormatting sqref="C115">
    <cfRule type="cellIs" dxfId="3178" priority="805" stopIfTrue="1" operator="equal">
      <formula>"Towel"</formula>
    </cfRule>
  </conditionalFormatting>
  <conditionalFormatting sqref="C115">
    <cfRule type="cellIs" dxfId="3177" priority="801" stopIfTrue="1" operator="equal">
      <formula>"Towel"</formula>
    </cfRule>
    <cfRule type="cellIs" dxfId="3176" priority="802" stopIfTrue="1" operator="equal">
      <formula>"Napkin Hs"</formula>
    </cfRule>
  </conditionalFormatting>
  <conditionalFormatting sqref="C115">
    <cfRule type="cellIs" dxfId="3175" priority="800" stopIfTrue="1" operator="equal">
      <formula>"Napkin Hs"</formula>
    </cfRule>
  </conditionalFormatting>
  <conditionalFormatting sqref="C115">
    <cfRule type="cellIs" dxfId="3174" priority="799" stopIfTrue="1" operator="equal">
      <formula>"Towel"</formula>
    </cfRule>
  </conditionalFormatting>
  <conditionalFormatting sqref="C115">
    <cfRule type="cellIs" dxfId="3173" priority="792" stopIfTrue="1" operator="equal">
      <formula>"Napkin Hs"</formula>
    </cfRule>
  </conditionalFormatting>
  <conditionalFormatting sqref="C115">
    <cfRule type="cellIs" dxfId="3172" priority="791" stopIfTrue="1" operator="equal">
      <formula>"Napkin Hs"</formula>
    </cfRule>
  </conditionalFormatting>
  <conditionalFormatting sqref="B119:C120">
    <cfRule type="cellIs" dxfId="3171" priority="789" stopIfTrue="1" operator="equal">
      <formula>"Towel"</formula>
    </cfRule>
    <cfRule type="cellIs" dxfId="3170" priority="790" stopIfTrue="1" operator="equal">
      <formula>"Napkin Hs"</formula>
    </cfRule>
  </conditionalFormatting>
  <conditionalFormatting sqref="C119:C120">
    <cfRule type="cellIs" dxfId="3169" priority="788" stopIfTrue="1" operator="equal">
      <formula>"Napkin Hs"</formula>
    </cfRule>
  </conditionalFormatting>
  <conditionalFormatting sqref="C119:C120">
    <cfRule type="cellIs" dxfId="3168" priority="785" stopIfTrue="1" operator="equal">
      <formula>"Towel"</formula>
    </cfRule>
    <cfRule type="cellIs" dxfId="3167" priority="786" stopIfTrue="1" operator="equal">
      <formula>"Napkin Hs"</formula>
    </cfRule>
  </conditionalFormatting>
  <conditionalFormatting sqref="C119:C120">
    <cfRule type="cellIs" dxfId="3166" priority="787" stopIfTrue="1" operator="equal">
      <formula>"Towel"</formula>
    </cfRule>
  </conditionalFormatting>
  <conditionalFormatting sqref="B117:B118">
    <cfRule type="cellIs" dxfId="3165" priority="677" stopIfTrue="1" operator="equal">
      <formula>"Towel"</formula>
    </cfRule>
    <cfRule type="cellIs" dxfId="3164" priority="678" stopIfTrue="1" operator="equal">
      <formula>"Napkin Hs"</formula>
    </cfRule>
  </conditionalFormatting>
  <conditionalFormatting sqref="C117:C118">
    <cfRule type="cellIs" dxfId="3163" priority="691" stopIfTrue="1" operator="equal">
      <formula>"Towel"</formula>
    </cfRule>
    <cfRule type="cellIs" dxfId="3162" priority="692" stopIfTrue="1" operator="equal">
      <formula>"Napkin Hs"</formula>
    </cfRule>
  </conditionalFormatting>
  <conditionalFormatting sqref="C117:C118">
    <cfRule type="cellIs" dxfId="3161" priority="687" stopIfTrue="1" operator="equal">
      <formula>"Towel"</formula>
    </cfRule>
    <cfRule type="cellIs" dxfId="3160" priority="688" stopIfTrue="1" operator="equal">
      <formula>"Napkin Hs"</formula>
    </cfRule>
  </conditionalFormatting>
  <conditionalFormatting sqref="B117:B118">
    <cfRule type="cellIs" dxfId="3159" priority="679" stopIfTrue="1" operator="equal">
      <formula>"Towel"</formula>
    </cfRule>
    <cfRule type="cellIs" dxfId="3158" priority="680" stopIfTrue="1" operator="equal">
      <formula>"Napkin Hs"</formula>
    </cfRule>
  </conditionalFormatting>
  <conditionalFormatting sqref="C117:C118">
    <cfRule type="cellIs" dxfId="3157" priority="681" stopIfTrue="1" operator="equal">
      <formula>"Towel"</formula>
    </cfRule>
    <cfRule type="cellIs" dxfId="3156" priority="682" stopIfTrue="1" operator="equal">
      <formula>"Napkin Hs"</formula>
    </cfRule>
  </conditionalFormatting>
  <conditionalFormatting sqref="C117:C118">
    <cfRule type="cellIs" dxfId="3155" priority="690" stopIfTrue="1" operator="equal">
      <formula>"Napkin Hs"</formula>
    </cfRule>
  </conditionalFormatting>
  <conditionalFormatting sqref="C117:C118">
    <cfRule type="cellIs" dxfId="3154" priority="689" stopIfTrue="1" operator="equal">
      <formula>"Towel"</formula>
    </cfRule>
  </conditionalFormatting>
  <conditionalFormatting sqref="C117:C118">
    <cfRule type="cellIs" dxfId="3153" priority="685" stopIfTrue="1" operator="equal">
      <formula>"Towel"</formula>
    </cfRule>
    <cfRule type="cellIs" dxfId="3152" priority="686" stopIfTrue="1" operator="equal">
      <formula>"Napkin Hs"</formula>
    </cfRule>
  </conditionalFormatting>
  <conditionalFormatting sqref="C117:C118">
    <cfRule type="cellIs" dxfId="3151" priority="684" stopIfTrue="1" operator="equal">
      <formula>"Napkin Hs"</formula>
    </cfRule>
  </conditionalFormatting>
  <conditionalFormatting sqref="C117:C118">
    <cfRule type="cellIs" dxfId="3150" priority="683" stopIfTrue="1" operator="equal">
      <formula>"Towel"</formula>
    </cfRule>
  </conditionalFormatting>
  <conditionalFormatting sqref="B117:C118">
    <cfRule type="cellIs" dxfId="3149" priority="675" stopIfTrue="1" operator="equal">
      <formula>"Towel"</formula>
    </cfRule>
    <cfRule type="cellIs" dxfId="3148" priority="676" stopIfTrue="1" operator="equal">
      <formula>"Napkin Hs"</formula>
    </cfRule>
  </conditionalFormatting>
  <conditionalFormatting sqref="C117:C118">
    <cfRule type="cellIs" dxfId="3147" priority="674" stopIfTrue="1" operator="equal">
      <formula>"Napkin Hs"</formula>
    </cfRule>
  </conditionalFormatting>
  <conditionalFormatting sqref="C117:C118">
    <cfRule type="cellIs" dxfId="3146" priority="673" stopIfTrue="1" operator="equal">
      <formula>"Towel"</formula>
    </cfRule>
  </conditionalFormatting>
  <conditionalFormatting sqref="C117:C118">
    <cfRule type="cellIs" dxfId="3145" priority="671" stopIfTrue="1" operator="equal">
      <formula>"Towel"</formula>
    </cfRule>
    <cfRule type="cellIs" dxfId="3144" priority="672" stopIfTrue="1" operator="equal">
      <formula>"Napkin Hs"</formula>
    </cfRule>
  </conditionalFormatting>
  <conditionalFormatting sqref="B117:C118">
    <cfRule type="cellIs" dxfId="3143" priority="669" stopIfTrue="1" operator="equal">
      <formula>"Towel"</formula>
    </cfRule>
    <cfRule type="cellIs" dxfId="3142" priority="670" stopIfTrue="1" operator="equal">
      <formula>"Napkin Hs"</formula>
    </cfRule>
  </conditionalFormatting>
  <conditionalFormatting sqref="C117:C118">
    <cfRule type="cellIs" dxfId="3141" priority="667" stopIfTrue="1" operator="equal">
      <formula>"Towel"</formula>
    </cfRule>
    <cfRule type="cellIs" dxfId="3140" priority="668" stopIfTrue="1" operator="equal">
      <formula>"Napkin Hs"</formula>
    </cfRule>
  </conditionalFormatting>
  <conditionalFormatting sqref="C117:C118">
    <cfRule type="cellIs" dxfId="3139" priority="665" stopIfTrue="1" operator="equal">
      <formula>"Towel"</formula>
    </cfRule>
    <cfRule type="cellIs" dxfId="3138" priority="666" stopIfTrue="1" operator="equal">
      <formula>"Napkin Hs"</formula>
    </cfRule>
  </conditionalFormatting>
  <conditionalFormatting sqref="C117:C118">
    <cfRule type="cellIs" dxfId="3137" priority="659" stopIfTrue="1" operator="equal">
      <formula>"Towel"</formula>
    </cfRule>
    <cfRule type="cellIs" dxfId="3136" priority="660" stopIfTrue="1" operator="equal">
      <formula>"Napkin Hs"</formula>
    </cfRule>
  </conditionalFormatting>
  <conditionalFormatting sqref="B117:B118">
    <cfRule type="cellIs" dxfId="3135" priority="649" stopIfTrue="1" operator="equal">
      <formula>"Towel"</formula>
    </cfRule>
    <cfRule type="cellIs" dxfId="3134" priority="650" stopIfTrue="1" operator="equal">
      <formula>"Napkin Hs"</formula>
    </cfRule>
  </conditionalFormatting>
  <conditionalFormatting sqref="C117:C118">
    <cfRule type="cellIs" dxfId="3133" priority="653" stopIfTrue="1" operator="equal">
      <formula>"Towel"</formula>
    </cfRule>
    <cfRule type="cellIs" dxfId="3132" priority="654" stopIfTrue="1" operator="equal">
      <formula>"Napkin Hs"</formula>
    </cfRule>
  </conditionalFormatting>
  <conditionalFormatting sqref="C117:C118">
    <cfRule type="cellIs" dxfId="3131" priority="663" stopIfTrue="1" operator="equal">
      <formula>"Towel"</formula>
    </cfRule>
    <cfRule type="cellIs" dxfId="3130" priority="664" stopIfTrue="1" operator="equal">
      <formula>"Napkin Hs"</formula>
    </cfRule>
  </conditionalFormatting>
  <conditionalFormatting sqref="B117:B118">
    <cfRule type="cellIs" dxfId="3129" priority="651" stopIfTrue="1" operator="equal">
      <formula>"Towel"</formula>
    </cfRule>
    <cfRule type="cellIs" dxfId="3128" priority="652" stopIfTrue="1" operator="equal">
      <formula>"Napkin Hs"</formula>
    </cfRule>
  </conditionalFormatting>
  <conditionalFormatting sqref="C117:C118">
    <cfRule type="cellIs" dxfId="3127" priority="662" stopIfTrue="1" operator="equal">
      <formula>"Napkin Hs"</formula>
    </cfRule>
  </conditionalFormatting>
  <conditionalFormatting sqref="C117:C118">
    <cfRule type="cellIs" dxfId="3126" priority="661" stopIfTrue="1" operator="equal">
      <formula>"Towel"</formula>
    </cfRule>
  </conditionalFormatting>
  <conditionalFormatting sqref="C117:C118">
    <cfRule type="cellIs" dxfId="3125" priority="657" stopIfTrue="1" operator="equal">
      <formula>"Towel"</formula>
    </cfRule>
    <cfRule type="cellIs" dxfId="3124" priority="658" stopIfTrue="1" operator="equal">
      <formula>"Napkin Hs"</formula>
    </cfRule>
  </conditionalFormatting>
  <conditionalFormatting sqref="C117:C118">
    <cfRule type="cellIs" dxfId="3123" priority="656" stopIfTrue="1" operator="equal">
      <formula>"Napkin Hs"</formula>
    </cfRule>
  </conditionalFormatting>
  <conditionalFormatting sqref="C117:C118">
    <cfRule type="cellIs" dxfId="3122" priority="655" stopIfTrue="1" operator="equal">
      <formula>"Towel"</formula>
    </cfRule>
  </conditionalFormatting>
  <conditionalFormatting sqref="C117:C118">
    <cfRule type="cellIs" dxfId="3121" priority="648" stopIfTrue="1" operator="equal">
      <formula>"Napkin Hs"</formula>
    </cfRule>
  </conditionalFormatting>
  <conditionalFormatting sqref="C117:C118">
    <cfRule type="cellIs" dxfId="3120" priority="647" stopIfTrue="1" operator="equal">
      <formula>"Napkin Hs"</formula>
    </cfRule>
  </conditionalFormatting>
  <conditionalFormatting sqref="B124:C125">
    <cfRule type="cellIs" dxfId="3119" priority="645" stopIfTrue="1" operator="equal">
      <formula>"Towel"</formula>
    </cfRule>
    <cfRule type="cellIs" dxfId="3118" priority="646" stopIfTrue="1" operator="equal">
      <formula>"Napkin Hs"</formula>
    </cfRule>
  </conditionalFormatting>
  <conditionalFormatting sqref="C124:C125">
    <cfRule type="cellIs" dxfId="3117" priority="644" stopIfTrue="1" operator="equal">
      <formula>"Napkin Hs"</formula>
    </cfRule>
  </conditionalFormatting>
  <conditionalFormatting sqref="C124:C125">
    <cfRule type="cellIs" dxfId="3116" priority="641" stopIfTrue="1" operator="equal">
      <formula>"Towel"</formula>
    </cfRule>
    <cfRule type="cellIs" dxfId="3115" priority="642" stopIfTrue="1" operator="equal">
      <formula>"Napkin Hs"</formula>
    </cfRule>
  </conditionalFormatting>
  <conditionalFormatting sqref="C124:C125">
    <cfRule type="cellIs" dxfId="3114" priority="643" stopIfTrue="1" operator="equal">
      <formula>"Towel"</formula>
    </cfRule>
  </conditionalFormatting>
  <conditionalFormatting sqref="B123">
    <cfRule type="cellIs" dxfId="3113" priority="625" stopIfTrue="1" operator="equal">
      <formula>"Towel"</formula>
    </cfRule>
    <cfRule type="cellIs" dxfId="3112" priority="626" stopIfTrue="1" operator="equal">
      <formula>"Napkin Hs"</formula>
    </cfRule>
  </conditionalFormatting>
  <conditionalFormatting sqref="C123">
    <cfRule type="cellIs" dxfId="3111" priority="639" stopIfTrue="1" operator="equal">
      <formula>"Towel"</formula>
    </cfRule>
    <cfRule type="cellIs" dxfId="3110" priority="640" stopIfTrue="1" operator="equal">
      <formula>"Napkin Hs"</formula>
    </cfRule>
  </conditionalFormatting>
  <conditionalFormatting sqref="C123">
    <cfRule type="cellIs" dxfId="3109" priority="635" stopIfTrue="1" operator="equal">
      <formula>"Towel"</formula>
    </cfRule>
    <cfRule type="cellIs" dxfId="3108" priority="636" stopIfTrue="1" operator="equal">
      <formula>"Napkin Hs"</formula>
    </cfRule>
  </conditionalFormatting>
  <conditionalFormatting sqref="B123">
    <cfRule type="cellIs" dxfId="3107" priority="627" stopIfTrue="1" operator="equal">
      <formula>"Towel"</formula>
    </cfRule>
    <cfRule type="cellIs" dxfId="3106" priority="628" stopIfTrue="1" operator="equal">
      <formula>"Napkin Hs"</formula>
    </cfRule>
  </conditionalFormatting>
  <conditionalFormatting sqref="C123">
    <cfRule type="cellIs" dxfId="3105" priority="629" stopIfTrue="1" operator="equal">
      <formula>"Towel"</formula>
    </cfRule>
    <cfRule type="cellIs" dxfId="3104" priority="630" stopIfTrue="1" operator="equal">
      <formula>"Napkin Hs"</formula>
    </cfRule>
  </conditionalFormatting>
  <conditionalFormatting sqref="C123">
    <cfRule type="cellIs" dxfId="3103" priority="638" stopIfTrue="1" operator="equal">
      <formula>"Napkin Hs"</formula>
    </cfRule>
  </conditionalFormatting>
  <conditionalFormatting sqref="C123">
    <cfRule type="cellIs" dxfId="3102" priority="637" stopIfTrue="1" operator="equal">
      <formula>"Towel"</formula>
    </cfRule>
  </conditionalFormatting>
  <conditionalFormatting sqref="C123">
    <cfRule type="cellIs" dxfId="3101" priority="633" stopIfTrue="1" operator="equal">
      <formula>"Towel"</formula>
    </cfRule>
    <cfRule type="cellIs" dxfId="3100" priority="634" stopIfTrue="1" operator="equal">
      <formula>"Napkin Hs"</formula>
    </cfRule>
  </conditionalFormatting>
  <conditionalFormatting sqref="C123">
    <cfRule type="cellIs" dxfId="3099" priority="632" stopIfTrue="1" operator="equal">
      <formula>"Napkin Hs"</formula>
    </cfRule>
  </conditionalFormatting>
  <conditionalFormatting sqref="C123">
    <cfRule type="cellIs" dxfId="3098" priority="631" stopIfTrue="1" operator="equal">
      <formula>"Towel"</formula>
    </cfRule>
  </conditionalFormatting>
  <conditionalFormatting sqref="B123:C123">
    <cfRule type="cellIs" dxfId="3097" priority="623" stopIfTrue="1" operator="equal">
      <formula>"Towel"</formula>
    </cfRule>
    <cfRule type="cellIs" dxfId="3096" priority="624" stopIfTrue="1" operator="equal">
      <formula>"Napkin Hs"</formula>
    </cfRule>
  </conditionalFormatting>
  <conditionalFormatting sqref="C123">
    <cfRule type="cellIs" dxfId="3095" priority="622" stopIfTrue="1" operator="equal">
      <formula>"Napkin Hs"</formula>
    </cfRule>
  </conditionalFormatting>
  <conditionalFormatting sqref="C123">
    <cfRule type="cellIs" dxfId="3094" priority="621" stopIfTrue="1" operator="equal">
      <formula>"Towel"</formula>
    </cfRule>
  </conditionalFormatting>
  <conditionalFormatting sqref="C123">
    <cfRule type="cellIs" dxfId="3093" priority="619" stopIfTrue="1" operator="equal">
      <formula>"Towel"</formula>
    </cfRule>
    <cfRule type="cellIs" dxfId="3092" priority="620" stopIfTrue="1" operator="equal">
      <formula>"Napkin Hs"</formula>
    </cfRule>
  </conditionalFormatting>
  <conditionalFormatting sqref="B123:C123">
    <cfRule type="cellIs" dxfId="3091" priority="617" stopIfTrue="1" operator="equal">
      <formula>"Towel"</formula>
    </cfRule>
    <cfRule type="cellIs" dxfId="3090" priority="618" stopIfTrue="1" operator="equal">
      <formula>"Napkin Hs"</formula>
    </cfRule>
  </conditionalFormatting>
  <conditionalFormatting sqref="C123">
    <cfRule type="cellIs" dxfId="3089" priority="615" stopIfTrue="1" operator="equal">
      <formula>"Towel"</formula>
    </cfRule>
    <cfRule type="cellIs" dxfId="3088" priority="616" stopIfTrue="1" operator="equal">
      <formula>"Napkin Hs"</formula>
    </cfRule>
  </conditionalFormatting>
  <conditionalFormatting sqref="C123">
    <cfRule type="cellIs" dxfId="3087" priority="613" stopIfTrue="1" operator="equal">
      <formula>"Towel"</formula>
    </cfRule>
    <cfRule type="cellIs" dxfId="3086" priority="614" stopIfTrue="1" operator="equal">
      <formula>"Napkin Hs"</formula>
    </cfRule>
  </conditionalFormatting>
  <conditionalFormatting sqref="C123">
    <cfRule type="cellIs" dxfId="3085" priority="607" stopIfTrue="1" operator="equal">
      <formula>"Towel"</formula>
    </cfRule>
    <cfRule type="cellIs" dxfId="3084" priority="608" stopIfTrue="1" operator="equal">
      <formula>"Napkin Hs"</formula>
    </cfRule>
  </conditionalFormatting>
  <conditionalFormatting sqref="B123">
    <cfRule type="cellIs" dxfId="3083" priority="597" stopIfTrue="1" operator="equal">
      <formula>"Towel"</formula>
    </cfRule>
    <cfRule type="cellIs" dxfId="3082" priority="598" stopIfTrue="1" operator="equal">
      <formula>"Napkin Hs"</formula>
    </cfRule>
  </conditionalFormatting>
  <conditionalFormatting sqref="C123">
    <cfRule type="cellIs" dxfId="3081" priority="601" stopIfTrue="1" operator="equal">
      <formula>"Towel"</formula>
    </cfRule>
    <cfRule type="cellIs" dxfId="3080" priority="602" stopIfTrue="1" operator="equal">
      <formula>"Napkin Hs"</formula>
    </cfRule>
  </conditionalFormatting>
  <conditionalFormatting sqref="C123">
    <cfRule type="cellIs" dxfId="3079" priority="611" stopIfTrue="1" operator="equal">
      <formula>"Towel"</formula>
    </cfRule>
    <cfRule type="cellIs" dxfId="3078" priority="612" stopIfTrue="1" operator="equal">
      <formula>"Napkin Hs"</formula>
    </cfRule>
  </conditionalFormatting>
  <conditionalFormatting sqref="B123">
    <cfRule type="cellIs" dxfId="3077" priority="599" stopIfTrue="1" operator="equal">
      <formula>"Towel"</formula>
    </cfRule>
    <cfRule type="cellIs" dxfId="3076" priority="600" stopIfTrue="1" operator="equal">
      <formula>"Napkin Hs"</formula>
    </cfRule>
  </conditionalFormatting>
  <conditionalFormatting sqref="C123">
    <cfRule type="cellIs" dxfId="3075" priority="610" stopIfTrue="1" operator="equal">
      <formula>"Napkin Hs"</formula>
    </cfRule>
  </conditionalFormatting>
  <conditionalFormatting sqref="C123">
    <cfRule type="cellIs" dxfId="3074" priority="609" stopIfTrue="1" operator="equal">
      <formula>"Towel"</formula>
    </cfRule>
  </conditionalFormatting>
  <conditionalFormatting sqref="C123">
    <cfRule type="cellIs" dxfId="3073" priority="605" stopIfTrue="1" operator="equal">
      <formula>"Towel"</formula>
    </cfRule>
    <cfRule type="cellIs" dxfId="3072" priority="606" stopIfTrue="1" operator="equal">
      <formula>"Napkin Hs"</formula>
    </cfRule>
  </conditionalFormatting>
  <conditionalFormatting sqref="C123">
    <cfRule type="cellIs" dxfId="3071" priority="604" stopIfTrue="1" operator="equal">
      <formula>"Napkin Hs"</formula>
    </cfRule>
  </conditionalFormatting>
  <conditionalFormatting sqref="C123">
    <cfRule type="cellIs" dxfId="3070" priority="603" stopIfTrue="1" operator="equal">
      <formula>"Towel"</formula>
    </cfRule>
  </conditionalFormatting>
  <conditionalFormatting sqref="C123">
    <cfRule type="cellIs" dxfId="3069" priority="596" stopIfTrue="1" operator="equal">
      <formula>"Napkin Hs"</formula>
    </cfRule>
  </conditionalFormatting>
  <conditionalFormatting sqref="C123">
    <cfRule type="cellIs" dxfId="3068" priority="595" stopIfTrue="1" operator="equal">
      <formula>"Napkin Hs"</formula>
    </cfRule>
  </conditionalFormatting>
  <conditionalFormatting sqref="B122">
    <cfRule type="cellIs" dxfId="3067" priority="579" stopIfTrue="1" operator="equal">
      <formula>"Towel"</formula>
    </cfRule>
    <cfRule type="cellIs" dxfId="3066" priority="580" stopIfTrue="1" operator="equal">
      <formula>"Napkin Hs"</formula>
    </cfRule>
  </conditionalFormatting>
  <conditionalFormatting sqref="C122">
    <cfRule type="cellIs" dxfId="3065" priority="593" stopIfTrue="1" operator="equal">
      <formula>"Towel"</formula>
    </cfRule>
    <cfRule type="cellIs" dxfId="3064" priority="594" stopIfTrue="1" operator="equal">
      <formula>"Napkin Hs"</formula>
    </cfRule>
  </conditionalFormatting>
  <conditionalFormatting sqref="C122">
    <cfRule type="cellIs" dxfId="3063" priority="589" stopIfTrue="1" operator="equal">
      <formula>"Towel"</formula>
    </cfRule>
    <cfRule type="cellIs" dxfId="3062" priority="590" stopIfTrue="1" operator="equal">
      <formula>"Napkin Hs"</formula>
    </cfRule>
  </conditionalFormatting>
  <conditionalFormatting sqref="B122">
    <cfRule type="cellIs" dxfId="3061" priority="581" stopIfTrue="1" operator="equal">
      <formula>"Towel"</formula>
    </cfRule>
    <cfRule type="cellIs" dxfId="3060" priority="582" stopIfTrue="1" operator="equal">
      <formula>"Napkin Hs"</formula>
    </cfRule>
  </conditionalFormatting>
  <conditionalFormatting sqref="C122">
    <cfRule type="cellIs" dxfId="3059" priority="583" stopIfTrue="1" operator="equal">
      <formula>"Towel"</formula>
    </cfRule>
    <cfRule type="cellIs" dxfId="3058" priority="584" stopIfTrue="1" operator="equal">
      <formula>"Napkin Hs"</formula>
    </cfRule>
  </conditionalFormatting>
  <conditionalFormatting sqref="C122">
    <cfRule type="cellIs" dxfId="3057" priority="592" stopIfTrue="1" operator="equal">
      <formula>"Napkin Hs"</formula>
    </cfRule>
  </conditionalFormatting>
  <conditionalFormatting sqref="C122">
    <cfRule type="cellIs" dxfId="3056" priority="591" stopIfTrue="1" operator="equal">
      <formula>"Towel"</formula>
    </cfRule>
  </conditionalFormatting>
  <conditionalFormatting sqref="C122">
    <cfRule type="cellIs" dxfId="3055" priority="587" stopIfTrue="1" operator="equal">
      <formula>"Towel"</formula>
    </cfRule>
    <cfRule type="cellIs" dxfId="3054" priority="588" stopIfTrue="1" operator="equal">
      <formula>"Napkin Hs"</formula>
    </cfRule>
  </conditionalFormatting>
  <conditionalFormatting sqref="C122">
    <cfRule type="cellIs" dxfId="3053" priority="586" stopIfTrue="1" operator="equal">
      <formula>"Napkin Hs"</formula>
    </cfRule>
  </conditionalFormatting>
  <conditionalFormatting sqref="C122">
    <cfRule type="cellIs" dxfId="3052" priority="585" stopIfTrue="1" operator="equal">
      <formula>"Towel"</formula>
    </cfRule>
  </conditionalFormatting>
  <conditionalFormatting sqref="B122:C122">
    <cfRule type="cellIs" dxfId="3051" priority="577" stopIfTrue="1" operator="equal">
      <formula>"Towel"</formula>
    </cfRule>
    <cfRule type="cellIs" dxfId="3050" priority="578" stopIfTrue="1" operator="equal">
      <formula>"Napkin Hs"</formula>
    </cfRule>
  </conditionalFormatting>
  <conditionalFormatting sqref="C122">
    <cfRule type="cellIs" dxfId="3049" priority="576" stopIfTrue="1" operator="equal">
      <formula>"Napkin Hs"</formula>
    </cfRule>
  </conditionalFormatting>
  <conditionalFormatting sqref="C122">
    <cfRule type="cellIs" dxfId="3048" priority="575" stopIfTrue="1" operator="equal">
      <formula>"Towel"</formula>
    </cfRule>
  </conditionalFormatting>
  <conditionalFormatting sqref="C122">
    <cfRule type="cellIs" dxfId="3047" priority="573" stopIfTrue="1" operator="equal">
      <formula>"Towel"</formula>
    </cfRule>
    <cfRule type="cellIs" dxfId="3046" priority="574" stopIfTrue="1" operator="equal">
      <formula>"Napkin Hs"</formula>
    </cfRule>
  </conditionalFormatting>
  <conditionalFormatting sqref="B122:C122">
    <cfRule type="cellIs" dxfId="3045" priority="571" stopIfTrue="1" operator="equal">
      <formula>"Towel"</formula>
    </cfRule>
    <cfRule type="cellIs" dxfId="3044" priority="572" stopIfTrue="1" operator="equal">
      <formula>"Napkin Hs"</formula>
    </cfRule>
  </conditionalFormatting>
  <conditionalFormatting sqref="C122">
    <cfRule type="cellIs" dxfId="3043" priority="569" stopIfTrue="1" operator="equal">
      <formula>"Towel"</formula>
    </cfRule>
    <cfRule type="cellIs" dxfId="3042" priority="570" stopIfTrue="1" operator="equal">
      <formula>"Napkin Hs"</formula>
    </cfRule>
  </conditionalFormatting>
  <conditionalFormatting sqref="C122">
    <cfRule type="cellIs" dxfId="3041" priority="567" stopIfTrue="1" operator="equal">
      <formula>"Towel"</formula>
    </cfRule>
    <cfRule type="cellIs" dxfId="3040" priority="568" stopIfTrue="1" operator="equal">
      <formula>"Napkin Hs"</formula>
    </cfRule>
  </conditionalFormatting>
  <conditionalFormatting sqref="C122">
    <cfRule type="cellIs" dxfId="3039" priority="561" stopIfTrue="1" operator="equal">
      <formula>"Towel"</formula>
    </cfRule>
    <cfRule type="cellIs" dxfId="3038" priority="562" stopIfTrue="1" operator="equal">
      <formula>"Napkin Hs"</formula>
    </cfRule>
  </conditionalFormatting>
  <conditionalFormatting sqref="B122">
    <cfRule type="cellIs" dxfId="3037" priority="551" stopIfTrue="1" operator="equal">
      <formula>"Towel"</formula>
    </cfRule>
    <cfRule type="cellIs" dxfId="3036" priority="552" stopIfTrue="1" operator="equal">
      <formula>"Napkin Hs"</formula>
    </cfRule>
  </conditionalFormatting>
  <conditionalFormatting sqref="C122">
    <cfRule type="cellIs" dxfId="3035" priority="555" stopIfTrue="1" operator="equal">
      <formula>"Towel"</formula>
    </cfRule>
    <cfRule type="cellIs" dxfId="3034" priority="556" stopIfTrue="1" operator="equal">
      <formula>"Napkin Hs"</formula>
    </cfRule>
  </conditionalFormatting>
  <conditionalFormatting sqref="C122">
    <cfRule type="cellIs" dxfId="3033" priority="565" stopIfTrue="1" operator="equal">
      <formula>"Towel"</formula>
    </cfRule>
    <cfRule type="cellIs" dxfId="3032" priority="566" stopIfTrue="1" operator="equal">
      <formula>"Napkin Hs"</formula>
    </cfRule>
  </conditionalFormatting>
  <conditionalFormatting sqref="B122">
    <cfRule type="cellIs" dxfId="3031" priority="553" stopIfTrue="1" operator="equal">
      <formula>"Towel"</formula>
    </cfRule>
    <cfRule type="cellIs" dxfId="3030" priority="554" stopIfTrue="1" operator="equal">
      <formula>"Napkin Hs"</formula>
    </cfRule>
  </conditionalFormatting>
  <conditionalFormatting sqref="C122">
    <cfRule type="cellIs" dxfId="3029" priority="564" stopIfTrue="1" operator="equal">
      <formula>"Napkin Hs"</formula>
    </cfRule>
  </conditionalFormatting>
  <conditionalFormatting sqref="C122">
    <cfRule type="cellIs" dxfId="3028" priority="563" stopIfTrue="1" operator="equal">
      <formula>"Towel"</formula>
    </cfRule>
  </conditionalFormatting>
  <conditionalFormatting sqref="C122">
    <cfRule type="cellIs" dxfId="3027" priority="559" stopIfTrue="1" operator="equal">
      <formula>"Towel"</formula>
    </cfRule>
    <cfRule type="cellIs" dxfId="3026" priority="560" stopIfTrue="1" operator="equal">
      <formula>"Napkin Hs"</formula>
    </cfRule>
  </conditionalFormatting>
  <conditionalFormatting sqref="C122">
    <cfRule type="cellIs" dxfId="3025" priority="558" stopIfTrue="1" operator="equal">
      <formula>"Napkin Hs"</formula>
    </cfRule>
  </conditionalFormatting>
  <conditionalFormatting sqref="C122">
    <cfRule type="cellIs" dxfId="3024" priority="557" stopIfTrue="1" operator="equal">
      <formula>"Towel"</formula>
    </cfRule>
  </conditionalFormatting>
  <conditionalFormatting sqref="C122">
    <cfRule type="cellIs" dxfId="3023" priority="550" stopIfTrue="1" operator="equal">
      <formula>"Napkin Hs"</formula>
    </cfRule>
  </conditionalFormatting>
  <conditionalFormatting sqref="C122">
    <cfRule type="cellIs" dxfId="3022" priority="549" stopIfTrue="1" operator="equal">
      <formula>"Napkin Hs"</formula>
    </cfRule>
  </conditionalFormatting>
  <conditionalFormatting sqref="B128:C130">
    <cfRule type="cellIs" dxfId="3021" priority="547" stopIfTrue="1" operator="equal">
      <formula>"Towel"</formula>
    </cfRule>
    <cfRule type="cellIs" dxfId="3020" priority="548" stopIfTrue="1" operator="equal">
      <formula>"Napkin Hs"</formula>
    </cfRule>
  </conditionalFormatting>
  <conditionalFormatting sqref="C128:C130">
    <cfRule type="cellIs" dxfId="3019" priority="546" stopIfTrue="1" operator="equal">
      <formula>"Napkin Hs"</formula>
    </cfRule>
  </conditionalFormatting>
  <conditionalFormatting sqref="C128:C130">
    <cfRule type="cellIs" dxfId="3018" priority="543" stopIfTrue="1" operator="equal">
      <formula>"Towel"</formula>
    </cfRule>
    <cfRule type="cellIs" dxfId="3017" priority="544" stopIfTrue="1" operator="equal">
      <formula>"Napkin Hs"</formula>
    </cfRule>
  </conditionalFormatting>
  <conditionalFormatting sqref="C128:C130">
    <cfRule type="cellIs" dxfId="3016" priority="545" stopIfTrue="1" operator="equal">
      <formula>"Towel"</formula>
    </cfRule>
  </conditionalFormatting>
  <conditionalFormatting sqref="B127">
    <cfRule type="cellIs" dxfId="3015" priority="527" stopIfTrue="1" operator="equal">
      <formula>"Towel"</formula>
    </cfRule>
    <cfRule type="cellIs" dxfId="3014" priority="528" stopIfTrue="1" operator="equal">
      <formula>"Napkin Hs"</formula>
    </cfRule>
  </conditionalFormatting>
  <conditionalFormatting sqref="C127">
    <cfRule type="cellIs" dxfId="3013" priority="541" stopIfTrue="1" operator="equal">
      <formula>"Towel"</formula>
    </cfRule>
    <cfRule type="cellIs" dxfId="3012" priority="542" stopIfTrue="1" operator="equal">
      <formula>"Napkin Hs"</formula>
    </cfRule>
  </conditionalFormatting>
  <conditionalFormatting sqref="C127">
    <cfRule type="cellIs" dxfId="3011" priority="537" stopIfTrue="1" operator="equal">
      <formula>"Towel"</formula>
    </cfRule>
    <cfRule type="cellIs" dxfId="3010" priority="538" stopIfTrue="1" operator="equal">
      <formula>"Napkin Hs"</formula>
    </cfRule>
  </conditionalFormatting>
  <conditionalFormatting sqref="B127">
    <cfRule type="cellIs" dxfId="3009" priority="529" stopIfTrue="1" operator="equal">
      <formula>"Towel"</formula>
    </cfRule>
    <cfRule type="cellIs" dxfId="3008" priority="530" stopIfTrue="1" operator="equal">
      <formula>"Napkin Hs"</formula>
    </cfRule>
  </conditionalFormatting>
  <conditionalFormatting sqref="C127">
    <cfRule type="cellIs" dxfId="3007" priority="531" stopIfTrue="1" operator="equal">
      <formula>"Towel"</formula>
    </cfRule>
    <cfRule type="cellIs" dxfId="3006" priority="532" stopIfTrue="1" operator="equal">
      <formula>"Napkin Hs"</formula>
    </cfRule>
  </conditionalFormatting>
  <conditionalFormatting sqref="C127">
    <cfRule type="cellIs" dxfId="3005" priority="540" stopIfTrue="1" operator="equal">
      <formula>"Napkin Hs"</formula>
    </cfRule>
  </conditionalFormatting>
  <conditionalFormatting sqref="C127">
    <cfRule type="cellIs" dxfId="3004" priority="539" stopIfTrue="1" operator="equal">
      <formula>"Towel"</formula>
    </cfRule>
  </conditionalFormatting>
  <conditionalFormatting sqref="C127">
    <cfRule type="cellIs" dxfId="3003" priority="535" stopIfTrue="1" operator="equal">
      <formula>"Towel"</formula>
    </cfRule>
    <cfRule type="cellIs" dxfId="3002" priority="536" stopIfTrue="1" operator="equal">
      <formula>"Napkin Hs"</formula>
    </cfRule>
  </conditionalFormatting>
  <conditionalFormatting sqref="C127">
    <cfRule type="cellIs" dxfId="3001" priority="534" stopIfTrue="1" operator="equal">
      <formula>"Napkin Hs"</formula>
    </cfRule>
  </conditionalFormatting>
  <conditionalFormatting sqref="C127">
    <cfRule type="cellIs" dxfId="3000" priority="533" stopIfTrue="1" operator="equal">
      <formula>"Towel"</formula>
    </cfRule>
  </conditionalFormatting>
  <conditionalFormatting sqref="B127:C127">
    <cfRule type="cellIs" dxfId="2999" priority="525" stopIfTrue="1" operator="equal">
      <formula>"Towel"</formula>
    </cfRule>
    <cfRule type="cellIs" dxfId="2998" priority="526" stopIfTrue="1" operator="equal">
      <formula>"Napkin Hs"</formula>
    </cfRule>
  </conditionalFormatting>
  <conditionalFormatting sqref="C127">
    <cfRule type="cellIs" dxfId="2997" priority="524" stopIfTrue="1" operator="equal">
      <formula>"Napkin Hs"</formula>
    </cfRule>
  </conditionalFormatting>
  <conditionalFormatting sqref="C127">
    <cfRule type="cellIs" dxfId="2996" priority="523" stopIfTrue="1" operator="equal">
      <formula>"Towel"</formula>
    </cfRule>
  </conditionalFormatting>
  <conditionalFormatting sqref="C127">
    <cfRule type="cellIs" dxfId="2995" priority="521" stopIfTrue="1" operator="equal">
      <formula>"Towel"</formula>
    </cfRule>
    <cfRule type="cellIs" dxfId="2994" priority="522" stopIfTrue="1" operator="equal">
      <formula>"Napkin Hs"</formula>
    </cfRule>
  </conditionalFormatting>
  <conditionalFormatting sqref="B127:C127">
    <cfRule type="cellIs" dxfId="2993" priority="519" stopIfTrue="1" operator="equal">
      <formula>"Towel"</formula>
    </cfRule>
    <cfRule type="cellIs" dxfId="2992" priority="520" stopIfTrue="1" operator="equal">
      <formula>"Napkin Hs"</formula>
    </cfRule>
  </conditionalFormatting>
  <conditionalFormatting sqref="C127">
    <cfRule type="cellIs" dxfId="2991" priority="517" stopIfTrue="1" operator="equal">
      <formula>"Towel"</formula>
    </cfRule>
    <cfRule type="cellIs" dxfId="2990" priority="518" stopIfTrue="1" operator="equal">
      <formula>"Napkin Hs"</formula>
    </cfRule>
  </conditionalFormatting>
  <conditionalFormatting sqref="C127">
    <cfRule type="cellIs" dxfId="2989" priority="515" stopIfTrue="1" operator="equal">
      <formula>"Towel"</formula>
    </cfRule>
    <cfRule type="cellIs" dxfId="2988" priority="516" stopIfTrue="1" operator="equal">
      <formula>"Napkin Hs"</formula>
    </cfRule>
  </conditionalFormatting>
  <conditionalFormatting sqref="C127">
    <cfRule type="cellIs" dxfId="2987" priority="509" stopIfTrue="1" operator="equal">
      <formula>"Towel"</formula>
    </cfRule>
    <cfRule type="cellIs" dxfId="2986" priority="510" stopIfTrue="1" operator="equal">
      <formula>"Napkin Hs"</formula>
    </cfRule>
  </conditionalFormatting>
  <conditionalFormatting sqref="B127">
    <cfRule type="cellIs" dxfId="2985" priority="499" stopIfTrue="1" operator="equal">
      <formula>"Towel"</formula>
    </cfRule>
    <cfRule type="cellIs" dxfId="2984" priority="500" stopIfTrue="1" operator="equal">
      <formula>"Napkin Hs"</formula>
    </cfRule>
  </conditionalFormatting>
  <conditionalFormatting sqref="C127">
    <cfRule type="cellIs" dxfId="2983" priority="503" stopIfTrue="1" operator="equal">
      <formula>"Towel"</formula>
    </cfRule>
    <cfRule type="cellIs" dxfId="2982" priority="504" stopIfTrue="1" operator="equal">
      <formula>"Napkin Hs"</formula>
    </cfRule>
  </conditionalFormatting>
  <conditionalFormatting sqref="C127">
    <cfRule type="cellIs" dxfId="2981" priority="513" stopIfTrue="1" operator="equal">
      <formula>"Towel"</formula>
    </cfRule>
    <cfRule type="cellIs" dxfId="2980" priority="514" stopIfTrue="1" operator="equal">
      <formula>"Napkin Hs"</formula>
    </cfRule>
  </conditionalFormatting>
  <conditionalFormatting sqref="B127">
    <cfRule type="cellIs" dxfId="2979" priority="501" stopIfTrue="1" operator="equal">
      <formula>"Towel"</formula>
    </cfRule>
    <cfRule type="cellIs" dxfId="2978" priority="502" stopIfTrue="1" operator="equal">
      <formula>"Napkin Hs"</formula>
    </cfRule>
  </conditionalFormatting>
  <conditionalFormatting sqref="C127">
    <cfRule type="cellIs" dxfId="2977" priority="512" stopIfTrue="1" operator="equal">
      <formula>"Napkin Hs"</formula>
    </cfRule>
  </conditionalFormatting>
  <conditionalFormatting sqref="C127">
    <cfRule type="cellIs" dxfId="2976" priority="511" stopIfTrue="1" operator="equal">
      <formula>"Towel"</formula>
    </cfRule>
  </conditionalFormatting>
  <conditionalFormatting sqref="C127">
    <cfRule type="cellIs" dxfId="2975" priority="507" stopIfTrue="1" operator="equal">
      <formula>"Towel"</formula>
    </cfRule>
    <cfRule type="cellIs" dxfId="2974" priority="508" stopIfTrue="1" operator="equal">
      <formula>"Napkin Hs"</formula>
    </cfRule>
  </conditionalFormatting>
  <conditionalFormatting sqref="C127">
    <cfRule type="cellIs" dxfId="2973" priority="506" stopIfTrue="1" operator="equal">
      <formula>"Napkin Hs"</formula>
    </cfRule>
  </conditionalFormatting>
  <conditionalFormatting sqref="C127">
    <cfRule type="cellIs" dxfId="2972" priority="505" stopIfTrue="1" operator="equal">
      <formula>"Towel"</formula>
    </cfRule>
  </conditionalFormatting>
  <conditionalFormatting sqref="C127">
    <cfRule type="cellIs" dxfId="2971" priority="498" stopIfTrue="1" operator="equal">
      <formula>"Napkin Hs"</formula>
    </cfRule>
  </conditionalFormatting>
  <conditionalFormatting sqref="C127">
    <cfRule type="cellIs" dxfId="2970" priority="497" stopIfTrue="1" operator="equal">
      <formula>"Napkin Hs"</formula>
    </cfRule>
  </conditionalFormatting>
  <conditionalFormatting sqref="B126">
    <cfRule type="cellIs" dxfId="2969" priority="481" stopIfTrue="1" operator="equal">
      <formula>"Towel"</formula>
    </cfRule>
    <cfRule type="cellIs" dxfId="2968" priority="482" stopIfTrue="1" operator="equal">
      <formula>"Napkin Hs"</formula>
    </cfRule>
  </conditionalFormatting>
  <conditionalFormatting sqref="C126">
    <cfRule type="cellIs" dxfId="2967" priority="495" stopIfTrue="1" operator="equal">
      <formula>"Towel"</formula>
    </cfRule>
    <cfRule type="cellIs" dxfId="2966" priority="496" stopIfTrue="1" operator="equal">
      <formula>"Napkin Hs"</formula>
    </cfRule>
  </conditionalFormatting>
  <conditionalFormatting sqref="C126">
    <cfRule type="cellIs" dxfId="2965" priority="491" stopIfTrue="1" operator="equal">
      <formula>"Towel"</formula>
    </cfRule>
    <cfRule type="cellIs" dxfId="2964" priority="492" stopIfTrue="1" operator="equal">
      <formula>"Napkin Hs"</formula>
    </cfRule>
  </conditionalFormatting>
  <conditionalFormatting sqref="B126">
    <cfRule type="cellIs" dxfId="2963" priority="483" stopIfTrue="1" operator="equal">
      <formula>"Towel"</formula>
    </cfRule>
    <cfRule type="cellIs" dxfId="2962" priority="484" stopIfTrue="1" operator="equal">
      <formula>"Napkin Hs"</formula>
    </cfRule>
  </conditionalFormatting>
  <conditionalFormatting sqref="C126">
    <cfRule type="cellIs" dxfId="2961" priority="485" stopIfTrue="1" operator="equal">
      <formula>"Towel"</formula>
    </cfRule>
    <cfRule type="cellIs" dxfId="2960" priority="486" stopIfTrue="1" operator="equal">
      <formula>"Napkin Hs"</formula>
    </cfRule>
  </conditionalFormatting>
  <conditionalFormatting sqref="C126">
    <cfRule type="cellIs" dxfId="2959" priority="494" stopIfTrue="1" operator="equal">
      <formula>"Napkin Hs"</formula>
    </cfRule>
  </conditionalFormatting>
  <conditionalFormatting sqref="C126">
    <cfRule type="cellIs" dxfId="2958" priority="493" stopIfTrue="1" operator="equal">
      <formula>"Towel"</formula>
    </cfRule>
  </conditionalFormatting>
  <conditionalFormatting sqref="C126">
    <cfRule type="cellIs" dxfId="2957" priority="489" stopIfTrue="1" operator="equal">
      <formula>"Towel"</formula>
    </cfRule>
    <cfRule type="cellIs" dxfId="2956" priority="490" stopIfTrue="1" operator="equal">
      <formula>"Napkin Hs"</formula>
    </cfRule>
  </conditionalFormatting>
  <conditionalFormatting sqref="C126">
    <cfRule type="cellIs" dxfId="2955" priority="488" stopIfTrue="1" operator="equal">
      <formula>"Napkin Hs"</formula>
    </cfRule>
  </conditionalFormatting>
  <conditionalFormatting sqref="C126">
    <cfRule type="cellIs" dxfId="2954" priority="487" stopIfTrue="1" operator="equal">
      <formula>"Towel"</formula>
    </cfRule>
  </conditionalFormatting>
  <conditionalFormatting sqref="B126:C126">
    <cfRule type="cellIs" dxfId="2953" priority="479" stopIfTrue="1" operator="equal">
      <formula>"Towel"</formula>
    </cfRule>
    <cfRule type="cellIs" dxfId="2952" priority="480" stopIfTrue="1" operator="equal">
      <formula>"Napkin Hs"</formula>
    </cfRule>
  </conditionalFormatting>
  <conditionalFormatting sqref="C126">
    <cfRule type="cellIs" dxfId="2951" priority="478" stopIfTrue="1" operator="equal">
      <formula>"Napkin Hs"</formula>
    </cfRule>
  </conditionalFormatting>
  <conditionalFormatting sqref="C126">
    <cfRule type="cellIs" dxfId="2950" priority="477" stopIfTrue="1" operator="equal">
      <formula>"Towel"</formula>
    </cfRule>
  </conditionalFormatting>
  <conditionalFormatting sqref="C126">
    <cfRule type="cellIs" dxfId="2949" priority="475" stopIfTrue="1" operator="equal">
      <formula>"Towel"</formula>
    </cfRule>
    <cfRule type="cellIs" dxfId="2948" priority="476" stopIfTrue="1" operator="equal">
      <formula>"Napkin Hs"</formula>
    </cfRule>
  </conditionalFormatting>
  <conditionalFormatting sqref="B126:C126">
    <cfRule type="cellIs" dxfId="2947" priority="473" stopIfTrue="1" operator="equal">
      <formula>"Towel"</formula>
    </cfRule>
    <cfRule type="cellIs" dxfId="2946" priority="474" stopIfTrue="1" operator="equal">
      <formula>"Napkin Hs"</formula>
    </cfRule>
  </conditionalFormatting>
  <conditionalFormatting sqref="C126">
    <cfRule type="cellIs" dxfId="2945" priority="471" stopIfTrue="1" operator="equal">
      <formula>"Towel"</formula>
    </cfRule>
    <cfRule type="cellIs" dxfId="2944" priority="472" stopIfTrue="1" operator="equal">
      <formula>"Napkin Hs"</formula>
    </cfRule>
  </conditionalFormatting>
  <conditionalFormatting sqref="C126">
    <cfRule type="cellIs" dxfId="2943" priority="469" stopIfTrue="1" operator="equal">
      <formula>"Towel"</formula>
    </cfRule>
    <cfRule type="cellIs" dxfId="2942" priority="470" stopIfTrue="1" operator="equal">
      <formula>"Napkin Hs"</formula>
    </cfRule>
  </conditionalFormatting>
  <conditionalFormatting sqref="C126">
    <cfRule type="cellIs" dxfId="2941" priority="463" stopIfTrue="1" operator="equal">
      <formula>"Towel"</formula>
    </cfRule>
    <cfRule type="cellIs" dxfId="2940" priority="464" stopIfTrue="1" operator="equal">
      <formula>"Napkin Hs"</formula>
    </cfRule>
  </conditionalFormatting>
  <conditionalFormatting sqref="B126">
    <cfRule type="cellIs" dxfId="2939" priority="453" stopIfTrue="1" operator="equal">
      <formula>"Towel"</formula>
    </cfRule>
    <cfRule type="cellIs" dxfId="2938" priority="454" stopIfTrue="1" operator="equal">
      <formula>"Napkin Hs"</formula>
    </cfRule>
  </conditionalFormatting>
  <conditionalFormatting sqref="C126">
    <cfRule type="cellIs" dxfId="2937" priority="457" stopIfTrue="1" operator="equal">
      <formula>"Towel"</formula>
    </cfRule>
    <cfRule type="cellIs" dxfId="2936" priority="458" stopIfTrue="1" operator="equal">
      <formula>"Napkin Hs"</formula>
    </cfRule>
  </conditionalFormatting>
  <conditionalFormatting sqref="C126">
    <cfRule type="cellIs" dxfId="2935" priority="467" stopIfTrue="1" operator="equal">
      <formula>"Towel"</formula>
    </cfRule>
    <cfRule type="cellIs" dxfId="2934" priority="468" stopIfTrue="1" operator="equal">
      <formula>"Napkin Hs"</formula>
    </cfRule>
  </conditionalFormatting>
  <conditionalFormatting sqref="B126">
    <cfRule type="cellIs" dxfId="2933" priority="455" stopIfTrue="1" operator="equal">
      <formula>"Towel"</formula>
    </cfRule>
    <cfRule type="cellIs" dxfId="2932" priority="456" stopIfTrue="1" operator="equal">
      <formula>"Napkin Hs"</formula>
    </cfRule>
  </conditionalFormatting>
  <conditionalFormatting sqref="C126">
    <cfRule type="cellIs" dxfId="2931" priority="466" stopIfTrue="1" operator="equal">
      <formula>"Napkin Hs"</formula>
    </cfRule>
  </conditionalFormatting>
  <conditionalFormatting sqref="C126">
    <cfRule type="cellIs" dxfId="2930" priority="465" stopIfTrue="1" operator="equal">
      <formula>"Towel"</formula>
    </cfRule>
  </conditionalFormatting>
  <conditionalFormatting sqref="C126">
    <cfRule type="cellIs" dxfId="2929" priority="461" stopIfTrue="1" operator="equal">
      <formula>"Towel"</formula>
    </cfRule>
    <cfRule type="cellIs" dxfId="2928" priority="462" stopIfTrue="1" operator="equal">
      <formula>"Napkin Hs"</formula>
    </cfRule>
  </conditionalFormatting>
  <conditionalFormatting sqref="C126">
    <cfRule type="cellIs" dxfId="2927" priority="460" stopIfTrue="1" operator="equal">
      <formula>"Napkin Hs"</formula>
    </cfRule>
  </conditionalFormatting>
  <conditionalFormatting sqref="C126">
    <cfRule type="cellIs" dxfId="2926" priority="459" stopIfTrue="1" operator="equal">
      <formula>"Towel"</formula>
    </cfRule>
  </conditionalFormatting>
  <conditionalFormatting sqref="C126">
    <cfRule type="cellIs" dxfId="2925" priority="452" stopIfTrue="1" operator="equal">
      <formula>"Napkin Hs"</formula>
    </cfRule>
  </conditionalFormatting>
  <conditionalFormatting sqref="C126">
    <cfRule type="cellIs" dxfId="2924" priority="451" stopIfTrue="1" operator="equal">
      <formula>"Napkin Hs"</formula>
    </cfRule>
  </conditionalFormatting>
  <conditionalFormatting sqref="B134:C134">
    <cfRule type="cellIs" dxfId="2923" priority="449" stopIfTrue="1" operator="equal">
      <formula>"Towel"</formula>
    </cfRule>
    <cfRule type="cellIs" dxfId="2922" priority="450" stopIfTrue="1" operator="equal">
      <formula>"Napkin Hs"</formula>
    </cfRule>
  </conditionalFormatting>
  <conditionalFormatting sqref="C134">
    <cfRule type="cellIs" dxfId="2921" priority="448" stopIfTrue="1" operator="equal">
      <formula>"Napkin Hs"</formula>
    </cfRule>
  </conditionalFormatting>
  <conditionalFormatting sqref="C134">
    <cfRule type="cellIs" dxfId="2920" priority="445" stopIfTrue="1" operator="equal">
      <formula>"Towel"</formula>
    </cfRule>
    <cfRule type="cellIs" dxfId="2919" priority="446" stopIfTrue="1" operator="equal">
      <formula>"Napkin Hs"</formula>
    </cfRule>
  </conditionalFormatting>
  <conditionalFormatting sqref="C134">
    <cfRule type="cellIs" dxfId="2918" priority="447" stopIfTrue="1" operator="equal">
      <formula>"Towel"</formula>
    </cfRule>
  </conditionalFormatting>
  <conditionalFormatting sqref="B133">
    <cfRule type="cellIs" dxfId="2917" priority="429" stopIfTrue="1" operator="equal">
      <formula>"Towel"</formula>
    </cfRule>
    <cfRule type="cellIs" dxfId="2916" priority="430" stopIfTrue="1" operator="equal">
      <formula>"Napkin Hs"</formula>
    </cfRule>
  </conditionalFormatting>
  <conditionalFormatting sqref="C133">
    <cfRule type="cellIs" dxfId="2915" priority="443" stopIfTrue="1" operator="equal">
      <formula>"Towel"</formula>
    </cfRule>
    <cfRule type="cellIs" dxfId="2914" priority="444" stopIfTrue="1" operator="equal">
      <formula>"Napkin Hs"</formula>
    </cfRule>
  </conditionalFormatting>
  <conditionalFormatting sqref="C133">
    <cfRule type="cellIs" dxfId="2913" priority="439" stopIfTrue="1" operator="equal">
      <formula>"Towel"</formula>
    </cfRule>
    <cfRule type="cellIs" dxfId="2912" priority="440" stopIfTrue="1" operator="equal">
      <formula>"Napkin Hs"</formula>
    </cfRule>
  </conditionalFormatting>
  <conditionalFormatting sqref="B133">
    <cfRule type="cellIs" dxfId="2911" priority="431" stopIfTrue="1" operator="equal">
      <formula>"Towel"</formula>
    </cfRule>
    <cfRule type="cellIs" dxfId="2910" priority="432" stopIfTrue="1" operator="equal">
      <formula>"Napkin Hs"</formula>
    </cfRule>
  </conditionalFormatting>
  <conditionalFormatting sqref="C133">
    <cfRule type="cellIs" dxfId="2909" priority="433" stopIfTrue="1" operator="equal">
      <formula>"Towel"</formula>
    </cfRule>
    <cfRule type="cellIs" dxfId="2908" priority="434" stopIfTrue="1" operator="equal">
      <formula>"Napkin Hs"</formula>
    </cfRule>
  </conditionalFormatting>
  <conditionalFormatting sqref="C133">
    <cfRule type="cellIs" dxfId="2907" priority="442" stopIfTrue="1" operator="equal">
      <formula>"Napkin Hs"</formula>
    </cfRule>
  </conditionalFormatting>
  <conditionalFormatting sqref="C133">
    <cfRule type="cellIs" dxfId="2906" priority="441" stopIfTrue="1" operator="equal">
      <formula>"Towel"</formula>
    </cfRule>
  </conditionalFormatting>
  <conditionalFormatting sqref="C133">
    <cfRule type="cellIs" dxfId="2905" priority="437" stopIfTrue="1" operator="equal">
      <formula>"Towel"</formula>
    </cfRule>
    <cfRule type="cellIs" dxfId="2904" priority="438" stopIfTrue="1" operator="equal">
      <formula>"Napkin Hs"</formula>
    </cfRule>
  </conditionalFormatting>
  <conditionalFormatting sqref="C133">
    <cfRule type="cellIs" dxfId="2903" priority="436" stopIfTrue="1" operator="equal">
      <formula>"Napkin Hs"</formula>
    </cfRule>
  </conditionalFormatting>
  <conditionalFormatting sqref="C133">
    <cfRule type="cellIs" dxfId="2902" priority="435" stopIfTrue="1" operator="equal">
      <formula>"Towel"</formula>
    </cfRule>
  </conditionalFormatting>
  <conditionalFormatting sqref="B133:C133">
    <cfRule type="cellIs" dxfId="2901" priority="427" stopIfTrue="1" operator="equal">
      <formula>"Towel"</formula>
    </cfRule>
    <cfRule type="cellIs" dxfId="2900" priority="428" stopIfTrue="1" operator="equal">
      <formula>"Napkin Hs"</formula>
    </cfRule>
  </conditionalFormatting>
  <conditionalFormatting sqref="C133">
    <cfRule type="cellIs" dxfId="2899" priority="426" stopIfTrue="1" operator="equal">
      <formula>"Napkin Hs"</formula>
    </cfRule>
  </conditionalFormatting>
  <conditionalFormatting sqref="C133">
    <cfRule type="cellIs" dxfId="2898" priority="425" stopIfTrue="1" operator="equal">
      <formula>"Towel"</formula>
    </cfRule>
  </conditionalFormatting>
  <conditionalFormatting sqref="C133">
    <cfRule type="cellIs" dxfId="2897" priority="423" stopIfTrue="1" operator="equal">
      <formula>"Towel"</formula>
    </cfRule>
    <cfRule type="cellIs" dxfId="2896" priority="424" stopIfTrue="1" operator="equal">
      <formula>"Napkin Hs"</formula>
    </cfRule>
  </conditionalFormatting>
  <conditionalFormatting sqref="B133:C133">
    <cfRule type="cellIs" dxfId="2895" priority="421" stopIfTrue="1" operator="equal">
      <formula>"Towel"</formula>
    </cfRule>
    <cfRule type="cellIs" dxfId="2894" priority="422" stopIfTrue="1" operator="equal">
      <formula>"Napkin Hs"</formula>
    </cfRule>
  </conditionalFormatting>
  <conditionalFormatting sqref="C133">
    <cfRule type="cellIs" dxfId="2893" priority="419" stopIfTrue="1" operator="equal">
      <formula>"Towel"</formula>
    </cfRule>
    <cfRule type="cellIs" dxfId="2892" priority="420" stopIfTrue="1" operator="equal">
      <formula>"Napkin Hs"</formula>
    </cfRule>
  </conditionalFormatting>
  <conditionalFormatting sqref="C133">
    <cfRule type="cellIs" dxfId="2891" priority="417" stopIfTrue="1" operator="equal">
      <formula>"Towel"</formula>
    </cfRule>
    <cfRule type="cellIs" dxfId="2890" priority="418" stopIfTrue="1" operator="equal">
      <formula>"Napkin Hs"</formula>
    </cfRule>
  </conditionalFormatting>
  <conditionalFormatting sqref="C133">
    <cfRule type="cellIs" dxfId="2889" priority="411" stopIfTrue="1" operator="equal">
      <formula>"Towel"</formula>
    </cfRule>
    <cfRule type="cellIs" dxfId="2888" priority="412" stopIfTrue="1" operator="equal">
      <formula>"Napkin Hs"</formula>
    </cfRule>
  </conditionalFormatting>
  <conditionalFormatting sqref="B133">
    <cfRule type="cellIs" dxfId="2887" priority="401" stopIfTrue="1" operator="equal">
      <formula>"Towel"</formula>
    </cfRule>
    <cfRule type="cellIs" dxfId="2886" priority="402" stopIfTrue="1" operator="equal">
      <formula>"Napkin Hs"</formula>
    </cfRule>
  </conditionalFormatting>
  <conditionalFormatting sqref="C133">
    <cfRule type="cellIs" dxfId="2885" priority="405" stopIfTrue="1" operator="equal">
      <formula>"Towel"</formula>
    </cfRule>
    <cfRule type="cellIs" dxfId="2884" priority="406" stopIfTrue="1" operator="equal">
      <formula>"Napkin Hs"</formula>
    </cfRule>
  </conditionalFormatting>
  <conditionalFormatting sqref="C133">
    <cfRule type="cellIs" dxfId="2883" priority="415" stopIfTrue="1" operator="equal">
      <formula>"Towel"</formula>
    </cfRule>
    <cfRule type="cellIs" dxfId="2882" priority="416" stopIfTrue="1" operator="equal">
      <formula>"Napkin Hs"</formula>
    </cfRule>
  </conditionalFormatting>
  <conditionalFormatting sqref="B133">
    <cfRule type="cellIs" dxfId="2881" priority="403" stopIfTrue="1" operator="equal">
      <formula>"Towel"</formula>
    </cfRule>
    <cfRule type="cellIs" dxfId="2880" priority="404" stopIfTrue="1" operator="equal">
      <formula>"Napkin Hs"</formula>
    </cfRule>
  </conditionalFormatting>
  <conditionalFormatting sqref="C133">
    <cfRule type="cellIs" dxfId="2879" priority="414" stopIfTrue="1" operator="equal">
      <formula>"Napkin Hs"</formula>
    </cfRule>
  </conditionalFormatting>
  <conditionalFormatting sqref="C133">
    <cfRule type="cellIs" dxfId="2878" priority="413" stopIfTrue="1" operator="equal">
      <formula>"Towel"</formula>
    </cfRule>
  </conditionalFormatting>
  <conditionalFormatting sqref="C133">
    <cfRule type="cellIs" dxfId="2877" priority="409" stopIfTrue="1" operator="equal">
      <formula>"Towel"</formula>
    </cfRule>
    <cfRule type="cellIs" dxfId="2876" priority="410" stopIfTrue="1" operator="equal">
      <formula>"Napkin Hs"</formula>
    </cfRule>
  </conditionalFormatting>
  <conditionalFormatting sqref="C133">
    <cfRule type="cellIs" dxfId="2875" priority="408" stopIfTrue="1" operator="equal">
      <formula>"Napkin Hs"</formula>
    </cfRule>
  </conditionalFormatting>
  <conditionalFormatting sqref="C133">
    <cfRule type="cellIs" dxfId="2874" priority="407" stopIfTrue="1" operator="equal">
      <formula>"Towel"</formula>
    </cfRule>
  </conditionalFormatting>
  <conditionalFormatting sqref="C133">
    <cfRule type="cellIs" dxfId="2873" priority="400" stopIfTrue="1" operator="equal">
      <formula>"Napkin Hs"</formula>
    </cfRule>
  </conditionalFormatting>
  <conditionalFormatting sqref="C133">
    <cfRule type="cellIs" dxfId="2872" priority="399" stopIfTrue="1" operator="equal">
      <formula>"Napkin Hs"</formula>
    </cfRule>
  </conditionalFormatting>
  <conditionalFormatting sqref="B132">
    <cfRule type="cellIs" dxfId="2871" priority="383" stopIfTrue="1" operator="equal">
      <formula>"Towel"</formula>
    </cfRule>
    <cfRule type="cellIs" dxfId="2870" priority="384" stopIfTrue="1" operator="equal">
      <formula>"Napkin Hs"</formula>
    </cfRule>
  </conditionalFormatting>
  <conditionalFormatting sqref="C132">
    <cfRule type="cellIs" dxfId="2869" priority="397" stopIfTrue="1" operator="equal">
      <formula>"Towel"</formula>
    </cfRule>
    <cfRule type="cellIs" dxfId="2868" priority="398" stopIfTrue="1" operator="equal">
      <formula>"Napkin Hs"</formula>
    </cfRule>
  </conditionalFormatting>
  <conditionalFormatting sqref="C132">
    <cfRule type="cellIs" dxfId="2867" priority="393" stopIfTrue="1" operator="equal">
      <formula>"Towel"</formula>
    </cfRule>
    <cfRule type="cellIs" dxfId="2866" priority="394" stopIfTrue="1" operator="equal">
      <formula>"Napkin Hs"</formula>
    </cfRule>
  </conditionalFormatting>
  <conditionalFormatting sqref="B132">
    <cfRule type="cellIs" dxfId="2865" priority="385" stopIfTrue="1" operator="equal">
      <formula>"Towel"</formula>
    </cfRule>
    <cfRule type="cellIs" dxfId="2864" priority="386" stopIfTrue="1" operator="equal">
      <formula>"Napkin Hs"</formula>
    </cfRule>
  </conditionalFormatting>
  <conditionalFormatting sqref="C132">
    <cfRule type="cellIs" dxfId="2863" priority="387" stopIfTrue="1" operator="equal">
      <formula>"Towel"</formula>
    </cfRule>
    <cfRule type="cellIs" dxfId="2862" priority="388" stopIfTrue="1" operator="equal">
      <formula>"Napkin Hs"</formula>
    </cfRule>
  </conditionalFormatting>
  <conditionalFormatting sqref="C132">
    <cfRule type="cellIs" dxfId="2861" priority="396" stopIfTrue="1" operator="equal">
      <formula>"Napkin Hs"</formula>
    </cfRule>
  </conditionalFormatting>
  <conditionalFormatting sqref="C132">
    <cfRule type="cellIs" dxfId="2860" priority="395" stopIfTrue="1" operator="equal">
      <formula>"Towel"</formula>
    </cfRule>
  </conditionalFormatting>
  <conditionalFormatting sqref="C132">
    <cfRule type="cellIs" dxfId="2859" priority="391" stopIfTrue="1" operator="equal">
      <formula>"Towel"</formula>
    </cfRule>
    <cfRule type="cellIs" dxfId="2858" priority="392" stopIfTrue="1" operator="equal">
      <formula>"Napkin Hs"</formula>
    </cfRule>
  </conditionalFormatting>
  <conditionalFormatting sqref="C132">
    <cfRule type="cellIs" dxfId="2857" priority="390" stopIfTrue="1" operator="equal">
      <formula>"Napkin Hs"</formula>
    </cfRule>
  </conditionalFormatting>
  <conditionalFormatting sqref="C132">
    <cfRule type="cellIs" dxfId="2856" priority="389" stopIfTrue="1" operator="equal">
      <formula>"Towel"</formula>
    </cfRule>
  </conditionalFormatting>
  <conditionalFormatting sqref="B132:C132">
    <cfRule type="cellIs" dxfId="2855" priority="381" stopIfTrue="1" operator="equal">
      <formula>"Towel"</formula>
    </cfRule>
    <cfRule type="cellIs" dxfId="2854" priority="382" stopIfTrue="1" operator="equal">
      <formula>"Napkin Hs"</formula>
    </cfRule>
  </conditionalFormatting>
  <conditionalFormatting sqref="C132">
    <cfRule type="cellIs" dxfId="2853" priority="380" stopIfTrue="1" operator="equal">
      <formula>"Napkin Hs"</formula>
    </cfRule>
  </conditionalFormatting>
  <conditionalFormatting sqref="C132">
    <cfRule type="cellIs" dxfId="2852" priority="379" stopIfTrue="1" operator="equal">
      <formula>"Towel"</formula>
    </cfRule>
  </conditionalFormatting>
  <conditionalFormatting sqref="C132">
    <cfRule type="cellIs" dxfId="2851" priority="377" stopIfTrue="1" operator="equal">
      <formula>"Towel"</formula>
    </cfRule>
    <cfRule type="cellIs" dxfId="2850" priority="378" stopIfTrue="1" operator="equal">
      <formula>"Napkin Hs"</formula>
    </cfRule>
  </conditionalFormatting>
  <conditionalFormatting sqref="B132:C132">
    <cfRule type="cellIs" dxfId="2849" priority="375" stopIfTrue="1" operator="equal">
      <formula>"Towel"</formula>
    </cfRule>
    <cfRule type="cellIs" dxfId="2848" priority="376" stopIfTrue="1" operator="equal">
      <formula>"Napkin Hs"</formula>
    </cfRule>
  </conditionalFormatting>
  <conditionalFormatting sqref="C132">
    <cfRule type="cellIs" dxfId="2847" priority="373" stopIfTrue="1" operator="equal">
      <formula>"Towel"</formula>
    </cfRule>
    <cfRule type="cellIs" dxfId="2846" priority="374" stopIfTrue="1" operator="equal">
      <formula>"Napkin Hs"</formula>
    </cfRule>
  </conditionalFormatting>
  <conditionalFormatting sqref="C132">
    <cfRule type="cellIs" dxfId="2845" priority="371" stopIfTrue="1" operator="equal">
      <formula>"Towel"</formula>
    </cfRule>
    <cfRule type="cellIs" dxfId="2844" priority="372" stopIfTrue="1" operator="equal">
      <formula>"Napkin Hs"</formula>
    </cfRule>
  </conditionalFormatting>
  <conditionalFormatting sqref="C132">
    <cfRule type="cellIs" dxfId="2843" priority="365" stopIfTrue="1" operator="equal">
      <formula>"Towel"</formula>
    </cfRule>
    <cfRule type="cellIs" dxfId="2842" priority="366" stopIfTrue="1" operator="equal">
      <formula>"Napkin Hs"</formula>
    </cfRule>
  </conditionalFormatting>
  <conditionalFormatting sqref="B132">
    <cfRule type="cellIs" dxfId="2841" priority="355" stopIfTrue="1" operator="equal">
      <formula>"Towel"</formula>
    </cfRule>
    <cfRule type="cellIs" dxfId="2840" priority="356" stopIfTrue="1" operator="equal">
      <formula>"Napkin Hs"</formula>
    </cfRule>
  </conditionalFormatting>
  <conditionalFormatting sqref="C132">
    <cfRule type="cellIs" dxfId="2839" priority="359" stopIfTrue="1" operator="equal">
      <formula>"Towel"</formula>
    </cfRule>
    <cfRule type="cellIs" dxfId="2838" priority="360" stopIfTrue="1" operator="equal">
      <formula>"Napkin Hs"</formula>
    </cfRule>
  </conditionalFormatting>
  <conditionalFormatting sqref="C132">
    <cfRule type="cellIs" dxfId="2837" priority="369" stopIfTrue="1" operator="equal">
      <formula>"Towel"</formula>
    </cfRule>
    <cfRule type="cellIs" dxfId="2836" priority="370" stopIfTrue="1" operator="equal">
      <formula>"Napkin Hs"</formula>
    </cfRule>
  </conditionalFormatting>
  <conditionalFormatting sqref="B132">
    <cfRule type="cellIs" dxfId="2835" priority="357" stopIfTrue="1" operator="equal">
      <formula>"Towel"</formula>
    </cfRule>
    <cfRule type="cellIs" dxfId="2834" priority="358" stopIfTrue="1" operator="equal">
      <formula>"Napkin Hs"</formula>
    </cfRule>
  </conditionalFormatting>
  <conditionalFormatting sqref="C132">
    <cfRule type="cellIs" dxfId="2833" priority="368" stopIfTrue="1" operator="equal">
      <formula>"Napkin Hs"</formula>
    </cfRule>
  </conditionalFormatting>
  <conditionalFormatting sqref="C132">
    <cfRule type="cellIs" dxfId="2832" priority="367" stopIfTrue="1" operator="equal">
      <formula>"Towel"</formula>
    </cfRule>
  </conditionalFormatting>
  <conditionalFormatting sqref="C132">
    <cfRule type="cellIs" dxfId="2831" priority="363" stopIfTrue="1" operator="equal">
      <formula>"Towel"</formula>
    </cfRule>
    <cfRule type="cellIs" dxfId="2830" priority="364" stopIfTrue="1" operator="equal">
      <formula>"Napkin Hs"</formula>
    </cfRule>
  </conditionalFormatting>
  <conditionalFormatting sqref="C132">
    <cfRule type="cellIs" dxfId="2829" priority="362" stopIfTrue="1" operator="equal">
      <formula>"Napkin Hs"</formula>
    </cfRule>
  </conditionalFormatting>
  <conditionalFormatting sqref="C132">
    <cfRule type="cellIs" dxfId="2828" priority="361" stopIfTrue="1" operator="equal">
      <formula>"Towel"</formula>
    </cfRule>
  </conditionalFormatting>
  <conditionalFormatting sqref="C132">
    <cfRule type="cellIs" dxfId="2827" priority="354" stopIfTrue="1" operator="equal">
      <formula>"Napkin Hs"</formula>
    </cfRule>
  </conditionalFormatting>
  <conditionalFormatting sqref="C132">
    <cfRule type="cellIs" dxfId="2826" priority="353" stopIfTrue="1" operator="equal">
      <formula>"Napkin Hs"</formula>
    </cfRule>
  </conditionalFormatting>
  <conditionalFormatting sqref="B138:C139">
    <cfRule type="cellIs" dxfId="2825" priority="345" stopIfTrue="1" operator="equal">
      <formula>"Towel"</formula>
    </cfRule>
    <cfRule type="cellIs" dxfId="2824" priority="346" stopIfTrue="1" operator="equal">
      <formula>"Napkin Hs"</formula>
    </cfRule>
  </conditionalFormatting>
  <conditionalFormatting sqref="C138:C139">
    <cfRule type="cellIs" dxfId="2823" priority="344" stopIfTrue="1" operator="equal">
      <formula>"Napkin Hs"</formula>
    </cfRule>
  </conditionalFormatting>
  <conditionalFormatting sqref="C138:C139">
    <cfRule type="cellIs" dxfId="2822" priority="341" stopIfTrue="1" operator="equal">
      <formula>"Towel"</formula>
    </cfRule>
    <cfRule type="cellIs" dxfId="2821" priority="342" stopIfTrue="1" operator="equal">
      <formula>"Napkin Hs"</formula>
    </cfRule>
  </conditionalFormatting>
  <conditionalFormatting sqref="C138:C139">
    <cfRule type="cellIs" dxfId="2820" priority="343" stopIfTrue="1" operator="equal">
      <formula>"Towel"</formula>
    </cfRule>
  </conditionalFormatting>
  <conditionalFormatting sqref="B136:B137">
    <cfRule type="cellIs" dxfId="2819" priority="279" stopIfTrue="1" operator="equal">
      <formula>"Towel"</formula>
    </cfRule>
    <cfRule type="cellIs" dxfId="2818" priority="280" stopIfTrue="1" operator="equal">
      <formula>"Napkin Hs"</formula>
    </cfRule>
  </conditionalFormatting>
  <conditionalFormatting sqref="C136:C137">
    <cfRule type="cellIs" dxfId="2817" priority="293" stopIfTrue="1" operator="equal">
      <formula>"Towel"</formula>
    </cfRule>
    <cfRule type="cellIs" dxfId="2816" priority="294" stopIfTrue="1" operator="equal">
      <formula>"Napkin Hs"</formula>
    </cfRule>
  </conditionalFormatting>
  <conditionalFormatting sqref="C136:C137">
    <cfRule type="cellIs" dxfId="2815" priority="289" stopIfTrue="1" operator="equal">
      <formula>"Towel"</formula>
    </cfRule>
    <cfRule type="cellIs" dxfId="2814" priority="290" stopIfTrue="1" operator="equal">
      <formula>"Napkin Hs"</formula>
    </cfRule>
  </conditionalFormatting>
  <conditionalFormatting sqref="B136:B137">
    <cfRule type="cellIs" dxfId="2813" priority="281" stopIfTrue="1" operator="equal">
      <formula>"Towel"</formula>
    </cfRule>
    <cfRule type="cellIs" dxfId="2812" priority="282" stopIfTrue="1" operator="equal">
      <formula>"Napkin Hs"</formula>
    </cfRule>
  </conditionalFormatting>
  <conditionalFormatting sqref="C136:C137">
    <cfRule type="cellIs" dxfId="2811" priority="283" stopIfTrue="1" operator="equal">
      <formula>"Towel"</formula>
    </cfRule>
    <cfRule type="cellIs" dxfId="2810" priority="284" stopIfTrue="1" operator="equal">
      <formula>"Napkin Hs"</formula>
    </cfRule>
  </conditionalFormatting>
  <conditionalFormatting sqref="C136:C137">
    <cfRule type="cellIs" dxfId="2809" priority="292" stopIfTrue="1" operator="equal">
      <formula>"Napkin Hs"</formula>
    </cfRule>
  </conditionalFormatting>
  <conditionalFormatting sqref="C136:C137">
    <cfRule type="cellIs" dxfId="2808" priority="291" stopIfTrue="1" operator="equal">
      <formula>"Towel"</formula>
    </cfRule>
  </conditionalFormatting>
  <conditionalFormatting sqref="C136:C137">
    <cfRule type="cellIs" dxfId="2807" priority="287" stopIfTrue="1" operator="equal">
      <formula>"Towel"</formula>
    </cfRule>
    <cfRule type="cellIs" dxfId="2806" priority="288" stopIfTrue="1" operator="equal">
      <formula>"Napkin Hs"</formula>
    </cfRule>
  </conditionalFormatting>
  <conditionalFormatting sqref="C136:C137">
    <cfRule type="cellIs" dxfId="2805" priority="286" stopIfTrue="1" operator="equal">
      <formula>"Napkin Hs"</formula>
    </cfRule>
  </conditionalFormatting>
  <conditionalFormatting sqref="C136:C137">
    <cfRule type="cellIs" dxfId="2804" priority="285" stopIfTrue="1" operator="equal">
      <formula>"Towel"</formula>
    </cfRule>
  </conditionalFormatting>
  <conditionalFormatting sqref="B136:C137">
    <cfRule type="cellIs" dxfId="2803" priority="277" stopIfTrue="1" operator="equal">
      <formula>"Towel"</formula>
    </cfRule>
    <cfRule type="cellIs" dxfId="2802" priority="278" stopIfTrue="1" operator="equal">
      <formula>"Napkin Hs"</formula>
    </cfRule>
  </conditionalFormatting>
  <conditionalFormatting sqref="C136:C137">
    <cfRule type="cellIs" dxfId="2801" priority="276" stopIfTrue="1" operator="equal">
      <formula>"Napkin Hs"</formula>
    </cfRule>
  </conditionalFormatting>
  <conditionalFormatting sqref="C136:C137">
    <cfRule type="cellIs" dxfId="2800" priority="275" stopIfTrue="1" operator="equal">
      <formula>"Towel"</formula>
    </cfRule>
  </conditionalFormatting>
  <conditionalFormatting sqref="C136:C137">
    <cfRule type="cellIs" dxfId="2799" priority="273" stopIfTrue="1" operator="equal">
      <formula>"Towel"</formula>
    </cfRule>
    <cfRule type="cellIs" dxfId="2798" priority="274" stopIfTrue="1" operator="equal">
      <formula>"Napkin Hs"</formula>
    </cfRule>
  </conditionalFormatting>
  <conditionalFormatting sqref="B136:C137">
    <cfRule type="cellIs" dxfId="2797" priority="271" stopIfTrue="1" operator="equal">
      <formula>"Towel"</formula>
    </cfRule>
    <cfRule type="cellIs" dxfId="2796" priority="272" stopIfTrue="1" operator="equal">
      <formula>"Napkin Hs"</formula>
    </cfRule>
  </conditionalFormatting>
  <conditionalFormatting sqref="C136:C137">
    <cfRule type="cellIs" dxfId="2795" priority="269" stopIfTrue="1" operator="equal">
      <formula>"Towel"</formula>
    </cfRule>
    <cfRule type="cellIs" dxfId="2794" priority="270" stopIfTrue="1" operator="equal">
      <formula>"Napkin Hs"</formula>
    </cfRule>
  </conditionalFormatting>
  <conditionalFormatting sqref="C136:C137">
    <cfRule type="cellIs" dxfId="2793" priority="267" stopIfTrue="1" operator="equal">
      <formula>"Towel"</formula>
    </cfRule>
    <cfRule type="cellIs" dxfId="2792" priority="268" stopIfTrue="1" operator="equal">
      <formula>"Napkin Hs"</formula>
    </cfRule>
  </conditionalFormatting>
  <conditionalFormatting sqref="C136:C137">
    <cfRule type="cellIs" dxfId="2791" priority="261" stopIfTrue="1" operator="equal">
      <formula>"Towel"</formula>
    </cfRule>
    <cfRule type="cellIs" dxfId="2790" priority="262" stopIfTrue="1" operator="equal">
      <formula>"Napkin Hs"</formula>
    </cfRule>
  </conditionalFormatting>
  <conditionalFormatting sqref="B136:B137">
    <cfRule type="cellIs" dxfId="2789" priority="251" stopIfTrue="1" operator="equal">
      <formula>"Towel"</formula>
    </cfRule>
    <cfRule type="cellIs" dxfId="2788" priority="252" stopIfTrue="1" operator="equal">
      <formula>"Napkin Hs"</formula>
    </cfRule>
  </conditionalFormatting>
  <conditionalFormatting sqref="C136:C137">
    <cfRule type="cellIs" dxfId="2787" priority="255" stopIfTrue="1" operator="equal">
      <formula>"Towel"</formula>
    </cfRule>
    <cfRule type="cellIs" dxfId="2786" priority="256" stopIfTrue="1" operator="equal">
      <formula>"Napkin Hs"</formula>
    </cfRule>
  </conditionalFormatting>
  <conditionalFormatting sqref="C136:C137">
    <cfRule type="cellIs" dxfId="2785" priority="265" stopIfTrue="1" operator="equal">
      <formula>"Towel"</formula>
    </cfRule>
    <cfRule type="cellIs" dxfId="2784" priority="266" stopIfTrue="1" operator="equal">
      <formula>"Napkin Hs"</formula>
    </cfRule>
  </conditionalFormatting>
  <conditionalFormatting sqref="B136:B137">
    <cfRule type="cellIs" dxfId="2783" priority="253" stopIfTrue="1" operator="equal">
      <formula>"Towel"</formula>
    </cfRule>
    <cfRule type="cellIs" dxfId="2782" priority="254" stopIfTrue="1" operator="equal">
      <formula>"Napkin Hs"</formula>
    </cfRule>
  </conditionalFormatting>
  <conditionalFormatting sqref="C136:C137">
    <cfRule type="cellIs" dxfId="2781" priority="264" stopIfTrue="1" operator="equal">
      <formula>"Napkin Hs"</formula>
    </cfRule>
  </conditionalFormatting>
  <conditionalFormatting sqref="C136:C137">
    <cfRule type="cellIs" dxfId="2780" priority="263" stopIfTrue="1" operator="equal">
      <formula>"Towel"</formula>
    </cfRule>
  </conditionalFormatting>
  <conditionalFormatting sqref="C136:C137">
    <cfRule type="cellIs" dxfId="2779" priority="259" stopIfTrue="1" operator="equal">
      <formula>"Towel"</formula>
    </cfRule>
    <cfRule type="cellIs" dxfId="2778" priority="260" stopIfTrue="1" operator="equal">
      <formula>"Napkin Hs"</formula>
    </cfRule>
  </conditionalFormatting>
  <conditionalFormatting sqref="C136:C137">
    <cfRule type="cellIs" dxfId="2777" priority="258" stopIfTrue="1" operator="equal">
      <formula>"Napkin Hs"</formula>
    </cfRule>
  </conditionalFormatting>
  <conditionalFormatting sqref="C136:C137">
    <cfRule type="cellIs" dxfId="2776" priority="257" stopIfTrue="1" operator="equal">
      <formula>"Towel"</formula>
    </cfRule>
  </conditionalFormatting>
  <conditionalFormatting sqref="C136:C137">
    <cfRule type="cellIs" dxfId="2775" priority="250" stopIfTrue="1" operator="equal">
      <formula>"Napkin Hs"</formula>
    </cfRule>
  </conditionalFormatting>
  <conditionalFormatting sqref="C136:C137">
    <cfRule type="cellIs" dxfId="2774" priority="249" stopIfTrue="1" operator="equal">
      <formula>"Napkin Hs"</formula>
    </cfRule>
  </conditionalFormatting>
  <conditionalFormatting sqref="B141:B145">
    <cfRule type="cellIs" dxfId="2773" priority="181" stopIfTrue="1" operator="equal">
      <formula>"Towel"</formula>
    </cfRule>
    <cfRule type="cellIs" dxfId="2772" priority="182" stopIfTrue="1" operator="equal">
      <formula>"Napkin Hs"</formula>
    </cfRule>
  </conditionalFormatting>
  <conditionalFormatting sqref="C141:C145">
    <cfRule type="cellIs" dxfId="2771" priority="195" stopIfTrue="1" operator="equal">
      <formula>"Towel"</formula>
    </cfRule>
    <cfRule type="cellIs" dxfId="2770" priority="196" stopIfTrue="1" operator="equal">
      <formula>"Napkin Hs"</formula>
    </cfRule>
  </conditionalFormatting>
  <conditionalFormatting sqref="C141:C145">
    <cfRule type="cellIs" dxfId="2769" priority="191" stopIfTrue="1" operator="equal">
      <formula>"Towel"</formula>
    </cfRule>
    <cfRule type="cellIs" dxfId="2768" priority="192" stopIfTrue="1" operator="equal">
      <formula>"Napkin Hs"</formula>
    </cfRule>
  </conditionalFormatting>
  <conditionalFormatting sqref="B141:B145">
    <cfRule type="cellIs" dxfId="2767" priority="183" stopIfTrue="1" operator="equal">
      <formula>"Towel"</formula>
    </cfRule>
    <cfRule type="cellIs" dxfId="2766" priority="184" stopIfTrue="1" operator="equal">
      <formula>"Napkin Hs"</formula>
    </cfRule>
  </conditionalFormatting>
  <conditionalFormatting sqref="C141:C145">
    <cfRule type="cellIs" dxfId="2765" priority="185" stopIfTrue="1" operator="equal">
      <formula>"Towel"</formula>
    </cfRule>
    <cfRule type="cellIs" dxfId="2764" priority="186" stopIfTrue="1" operator="equal">
      <formula>"Napkin Hs"</formula>
    </cfRule>
  </conditionalFormatting>
  <conditionalFormatting sqref="C141:C145">
    <cfRule type="cellIs" dxfId="2763" priority="194" stopIfTrue="1" operator="equal">
      <formula>"Napkin Hs"</formula>
    </cfRule>
  </conditionalFormatting>
  <conditionalFormatting sqref="C141:C145">
    <cfRule type="cellIs" dxfId="2762" priority="193" stopIfTrue="1" operator="equal">
      <formula>"Towel"</formula>
    </cfRule>
  </conditionalFormatting>
  <conditionalFormatting sqref="C141:C145">
    <cfRule type="cellIs" dxfId="2761" priority="189" stopIfTrue="1" operator="equal">
      <formula>"Towel"</formula>
    </cfRule>
    <cfRule type="cellIs" dxfId="2760" priority="190" stopIfTrue="1" operator="equal">
      <formula>"Napkin Hs"</formula>
    </cfRule>
  </conditionalFormatting>
  <conditionalFormatting sqref="C141:C145">
    <cfRule type="cellIs" dxfId="2759" priority="188" stopIfTrue="1" operator="equal">
      <formula>"Napkin Hs"</formula>
    </cfRule>
  </conditionalFormatting>
  <conditionalFormatting sqref="C141:C145">
    <cfRule type="cellIs" dxfId="2758" priority="187" stopIfTrue="1" operator="equal">
      <formula>"Towel"</formula>
    </cfRule>
  </conditionalFormatting>
  <conditionalFormatting sqref="B141:C145">
    <cfRule type="cellIs" dxfId="2757" priority="179" stopIfTrue="1" operator="equal">
      <formula>"Towel"</formula>
    </cfRule>
    <cfRule type="cellIs" dxfId="2756" priority="180" stopIfTrue="1" operator="equal">
      <formula>"Napkin Hs"</formula>
    </cfRule>
  </conditionalFormatting>
  <conditionalFormatting sqref="C141:C145">
    <cfRule type="cellIs" dxfId="2755" priority="178" stopIfTrue="1" operator="equal">
      <formula>"Napkin Hs"</formula>
    </cfRule>
  </conditionalFormatting>
  <conditionalFormatting sqref="C141:C145">
    <cfRule type="cellIs" dxfId="2754" priority="177" stopIfTrue="1" operator="equal">
      <formula>"Towel"</formula>
    </cfRule>
  </conditionalFormatting>
  <conditionalFormatting sqref="C141:C145">
    <cfRule type="cellIs" dxfId="2753" priority="175" stopIfTrue="1" operator="equal">
      <formula>"Towel"</formula>
    </cfRule>
    <cfRule type="cellIs" dxfId="2752" priority="176" stopIfTrue="1" operator="equal">
      <formula>"Napkin Hs"</formula>
    </cfRule>
  </conditionalFormatting>
  <conditionalFormatting sqref="B141:C145">
    <cfRule type="cellIs" dxfId="2751" priority="173" stopIfTrue="1" operator="equal">
      <formula>"Towel"</formula>
    </cfRule>
    <cfRule type="cellIs" dxfId="2750" priority="174" stopIfTrue="1" operator="equal">
      <formula>"Napkin Hs"</formula>
    </cfRule>
  </conditionalFormatting>
  <conditionalFormatting sqref="C141:C145">
    <cfRule type="cellIs" dxfId="2749" priority="171" stopIfTrue="1" operator="equal">
      <formula>"Towel"</formula>
    </cfRule>
    <cfRule type="cellIs" dxfId="2748" priority="172" stopIfTrue="1" operator="equal">
      <formula>"Napkin Hs"</formula>
    </cfRule>
  </conditionalFormatting>
  <conditionalFormatting sqref="C141:C145">
    <cfRule type="cellIs" dxfId="2747" priority="169" stopIfTrue="1" operator="equal">
      <formula>"Towel"</formula>
    </cfRule>
    <cfRule type="cellIs" dxfId="2746" priority="170" stopIfTrue="1" operator="equal">
      <formula>"Napkin Hs"</formula>
    </cfRule>
  </conditionalFormatting>
  <conditionalFormatting sqref="C141:C145">
    <cfRule type="cellIs" dxfId="2745" priority="163" stopIfTrue="1" operator="equal">
      <formula>"Towel"</formula>
    </cfRule>
    <cfRule type="cellIs" dxfId="2744" priority="164" stopIfTrue="1" operator="equal">
      <formula>"Napkin Hs"</formula>
    </cfRule>
  </conditionalFormatting>
  <conditionalFormatting sqref="B141:B145">
    <cfRule type="cellIs" dxfId="2743" priority="153" stopIfTrue="1" operator="equal">
      <formula>"Towel"</formula>
    </cfRule>
    <cfRule type="cellIs" dxfId="2742" priority="154" stopIfTrue="1" operator="equal">
      <formula>"Napkin Hs"</formula>
    </cfRule>
  </conditionalFormatting>
  <conditionalFormatting sqref="C141:C145">
    <cfRule type="cellIs" dxfId="2741" priority="157" stopIfTrue="1" operator="equal">
      <formula>"Towel"</formula>
    </cfRule>
    <cfRule type="cellIs" dxfId="2740" priority="158" stopIfTrue="1" operator="equal">
      <formula>"Napkin Hs"</formula>
    </cfRule>
  </conditionalFormatting>
  <conditionalFormatting sqref="C141:C145">
    <cfRule type="cellIs" dxfId="2739" priority="167" stopIfTrue="1" operator="equal">
      <formula>"Towel"</formula>
    </cfRule>
    <cfRule type="cellIs" dxfId="2738" priority="168" stopIfTrue="1" operator="equal">
      <formula>"Napkin Hs"</formula>
    </cfRule>
  </conditionalFormatting>
  <conditionalFormatting sqref="B141:B145">
    <cfRule type="cellIs" dxfId="2737" priority="155" stopIfTrue="1" operator="equal">
      <formula>"Towel"</formula>
    </cfRule>
    <cfRule type="cellIs" dxfId="2736" priority="156" stopIfTrue="1" operator="equal">
      <formula>"Napkin Hs"</formula>
    </cfRule>
  </conditionalFormatting>
  <conditionalFormatting sqref="C141:C145">
    <cfRule type="cellIs" dxfId="2735" priority="166" stopIfTrue="1" operator="equal">
      <formula>"Napkin Hs"</formula>
    </cfRule>
  </conditionalFormatting>
  <conditionalFormatting sqref="C141:C145">
    <cfRule type="cellIs" dxfId="2734" priority="165" stopIfTrue="1" operator="equal">
      <formula>"Towel"</formula>
    </cfRule>
  </conditionalFormatting>
  <conditionalFormatting sqref="C141:C145">
    <cfRule type="cellIs" dxfId="2733" priority="161" stopIfTrue="1" operator="equal">
      <formula>"Towel"</formula>
    </cfRule>
    <cfRule type="cellIs" dxfId="2732" priority="162" stopIfTrue="1" operator="equal">
      <formula>"Napkin Hs"</formula>
    </cfRule>
  </conditionalFormatting>
  <conditionalFormatting sqref="C141:C145">
    <cfRule type="cellIs" dxfId="2731" priority="160" stopIfTrue="1" operator="equal">
      <formula>"Napkin Hs"</formula>
    </cfRule>
  </conditionalFormatting>
  <conditionalFormatting sqref="C141:C145">
    <cfRule type="cellIs" dxfId="2730" priority="159" stopIfTrue="1" operator="equal">
      <formula>"Towel"</formula>
    </cfRule>
  </conditionalFormatting>
  <conditionalFormatting sqref="C141:C145">
    <cfRule type="cellIs" dxfId="2729" priority="152" stopIfTrue="1" operator="equal">
      <formula>"Napkin Hs"</formula>
    </cfRule>
  </conditionalFormatting>
  <conditionalFormatting sqref="C141:C145">
    <cfRule type="cellIs" dxfId="2728" priority="151" stopIfTrue="1" operator="equal">
      <formula>"Napkin Hs"</formula>
    </cfRule>
  </conditionalFormatting>
  <conditionalFormatting sqref="B149:C151">
    <cfRule type="cellIs" dxfId="2727" priority="143" stopIfTrue="1" operator="equal">
      <formula>"Towel"</formula>
    </cfRule>
    <cfRule type="cellIs" dxfId="2726" priority="144" stopIfTrue="1" operator="equal">
      <formula>"Napkin Hs"</formula>
    </cfRule>
  </conditionalFormatting>
  <conditionalFormatting sqref="C149:C151">
    <cfRule type="cellIs" dxfId="2725" priority="142" stopIfTrue="1" operator="equal">
      <formula>"Napkin Hs"</formula>
    </cfRule>
  </conditionalFormatting>
  <conditionalFormatting sqref="C149:C151">
    <cfRule type="cellIs" dxfId="2724" priority="139" stopIfTrue="1" operator="equal">
      <formula>"Towel"</formula>
    </cfRule>
    <cfRule type="cellIs" dxfId="2723" priority="140" stopIfTrue="1" operator="equal">
      <formula>"Napkin Hs"</formula>
    </cfRule>
  </conditionalFormatting>
  <conditionalFormatting sqref="C149:C151">
    <cfRule type="cellIs" dxfId="2722" priority="141" stopIfTrue="1" operator="equal">
      <formula>"Towel"</formula>
    </cfRule>
  </conditionalFormatting>
  <conditionalFormatting sqref="B148">
    <cfRule type="cellIs" dxfId="2721" priority="123" stopIfTrue="1" operator="equal">
      <formula>"Towel"</formula>
    </cfRule>
    <cfRule type="cellIs" dxfId="2720" priority="124" stopIfTrue="1" operator="equal">
      <formula>"Napkin Hs"</formula>
    </cfRule>
  </conditionalFormatting>
  <conditionalFormatting sqref="C148">
    <cfRule type="cellIs" dxfId="2719" priority="137" stopIfTrue="1" operator="equal">
      <formula>"Towel"</formula>
    </cfRule>
    <cfRule type="cellIs" dxfId="2718" priority="138" stopIfTrue="1" operator="equal">
      <formula>"Napkin Hs"</formula>
    </cfRule>
  </conditionalFormatting>
  <conditionalFormatting sqref="C148">
    <cfRule type="cellIs" dxfId="2717" priority="133" stopIfTrue="1" operator="equal">
      <formula>"Towel"</formula>
    </cfRule>
    <cfRule type="cellIs" dxfId="2716" priority="134" stopIfTrue="1" operator="equal">
      <formula>"Napkin Hs"</formula>
    </cfRule>
  </conditionalFormatting>
  <conditionalFormatting sqref="B148">
    <cfRule type="cellIs" dxfId="2715" priority="125" stopIfTrue="1" operator="equal">
      <formula>"Towel"</formula>
    </cfRule>
    <cfRule type="cellIs" dxfId="2714" priority="126" stopIfTrue="1" operator="equal">
      <formula>"Napkin Hs"</formula>
    </cfRule>
  </conditionalFormatting>
  <conditionalFormatting sqref="C148">
    <cfRule type="cellIs" dxfId="2713" priority="127" stopIfTrue="1" operator="equal">
      <formula>"Towel"</formula>
    </cfRule>
    <cfRule type="cellIs" dxfId="2712" priority="128" stopIfTrue="1" operator="equal">
      <formula>"Napkin Hs"</formula>
    </cfRule>
  </conditionalFormatting>
  <conditionalFormatting sqref="C148">
    <cfRule type="cellIs" dxfId="2711" priority="136" stopIfTrue="1" operator="equal">
      <formula>"Napkin Hs"</formula>
    </cfRule>
  </conditionalFormatting>
  <conditionalFormatting sqref="C148">
    <cfRule type="cellIs" dxfId="2710" priority="135" stopIfTrue="1" operator="equal">
      <formula>"Towel"</formula>
    </cfRule>
  </conditionalFormatting>
  <conditionalFormatting sqref="C148">
    <cfRule type="cellIs" dxfId="2709" priority="131" stopIfTrue="1" operator="equal">
      <formula>"Towel"</formula>
    </cfRule>
    <cfRule type="cellIs" dxfId="2708" priority="132" stopIfTrue="1" operator="equal">
      <formula>"Napkin Hs"</formula>
    </cfRule>
  </conditionalFormatting>
  <conditionalFormatting sqref="C148">
    <cfRule type="cellIs" dxfId="2707" priority="130" stopIfTrue="1" operator="equal">
      <formula>"Napkin Hs"</formula>
    </cfRule>
  </conditionalFormatting>
  <conditionalFormatting sqref="C148">
    <cfRule type="cellIs" dxfId="2706" priority="129" stopIfTrue="1" operator="equal">
      <formula>"Towel"</formula>
    </cfRule>
  </conditionalFormatting>
  <conditionalFormatting sqref="B148:C148">
    <cfRule type="cellIs" dxfId="2705" priority="121" stopIfTrue="1" operator="equal">
      <formula>"Towel"</formula>
    </cfRule>
    <cfRule type="cellIs" dxfId="2704" priority="122" stopIfTrue="1" operator="equal">
      <formula>"Napkin Hs"</formula>
    </cfRule>
  </conditionalFormatting>
  <conditionalFormatting sqref="C148">
    <cfRule type="cellIs" dxfId="2703" priority="120" stopIfTrue="1" operator="equal">
      <formula>"Napkin Hs"</formula>
    </cfRule>
  </conditionalFormatting>
  <conditionalFormatting sqref="C148">
    <cfRule type="cellIs" dxfId="2702" priority="119" stopIfTrue="1" operator="equal">
      <formula>"Towel"</formula>
    </cfRule>
  </conditionalFormatting>
  <conditionalFormatting sqref="C148">
    <cfRule type="cellIs" dxfId="2701" priority="117" stopIfTrue="1" operator="equal">
      <formula>"Towel"</formula>
    </cfRule>
    <cfRule type="cellIs" dxfId="2700" priority="118" stopIfTrue="1" operator="equal">
      <formula>"Napkin Hs"</formula>
    </cfRule>
  </conditionalFormatting>
  <conditionalFormatting sqref="B148:C148">
    <cfRule type="cellIs" dxfId="2699" priority="115" stopIfTrue="1" operator="equal">
      <formula>"Towel"</formula>
    </cfRule>
    <cfRule type="cellIs" dxfId="2698" priority="116" stopIfTrue="1" operator="equal">
      <formula>"Napkin Hs"</formula>
    </cfRule>
  </conditionalFormatting>
  <conditionalFormatting sqref="C148">
    <cfRule type="cellIs" dxfId="2697" priority="113" stopIfTrue="1" operator="equal">
      <formula>"Towel"</formula>
    </cfRule>
    <cfRule type="cellIs" dxfId="2696" priority="114" stopIfTrue="1" operator="equal">
      <formula>"Napkin Hs"</formula>
    </cfRule>
  </conditionalFormatting>
  <conditionalFormatting sqref="C148">
    <cfRule type="cellIs" dxfId="2695" priority="111" stopIfTrue="1" operator="equal">
      <formula>"Towel"</formula>
    </cfRule>
    <cfRule type="cellIs" dxfId="2694" priority="112" stopIfTrue="1" operator="equal">
      <formula>"Napkin Hs"</formula>
    </cfRule>
  </conditionalFormatting>
  <conditionalFormatting sqref="C148">
    <cfRule type="cellIs" dxfId="2693" priority="105" stopIfTrue="1" operator="equal">
      <formula>"Towel"</formula>
    </cfRule>
    <cfRule type="cellIs" dxfId="2692" priority="106" stopIfTrue="1" operator="equal">
      <formula>"Napkin Hs"</formula>
    </cfRule>
  </conditionalFormatting>
  <conditionalFormatting sqref="B148">
    <cfRule type="cellIs" dxfId="2691" priority="95" stopIfTrue="1" operator="equal">
      <formula>"Towel"</formula>
    </cfRule>
    <cfRule type="cellIs" dxfId="2690" priority="96" stopIfTrue="1" operator="equal">
      <formula>"Napkin Hs"</formula>
    </cfRule>
  </conditionalFormatting>
  <conditionalFormatting sqref="C148">
    <cfRule type="cellIs" dxfId="2689" priority="99" stopIfTrue="1" operator="equal">
      <formula>"Towel"</formula>
    </cfRule>
    <cfRule type="cellIs" dxfId="2688" priority="100" stopIfTrue="1" operator="equal">
      <formula>"Napkin Hs"</formula>
    </cfRule>
  </conditionalFormatting>
  <conditionalFormatting sqref="C148">
    <cfRule type="cellIs" dxfId="2687" priority="109" stopIfTrue="1" operator="equal">
      <formula>"Towel"</formula>
    </cfRule>
    <cfRule type="cellIs" dxfId="2686" priority="110" stopIfTrue="1" operator="equal">
      <formula>"Napkin Hs"</formula>
    </cfRule>
  </conditionalFormatting>
  <conditionalFormatting sqref="B148">
    <cfRule type="cellIs" dxfId="2685" priority="97" stopIfTrue="1" operator="equal">
      <formula>"Towel"</formula>
    </cfRule>
    <cfRule type="cellIs" dxfId="2684" priority="98" stopIfTrue="1" operator="equal">
      <formula>"Napkin Hs"</formula>
    </cfRule>
  </conditionalFormatting>
  <conditionalFormatting sqref="C148">
    <cfRule type="cellIs" dxfId="2683" priority="108" stopIfTrue="1" operator="equal">
      <formula>"Napkin Hs"</formula>
    </cfRule>
  </conditionalFormatting>
  <conditionalFormatting sqref="C148">
    <cfRule type="cellIs" dxfId="2682" priority="107" stopIfTrue="1" operator="equal">
      <formula>"Towel"</formula>
    </cfRule>
  </conditionalFormatting>
  <conditionalFormatting sqref="C148">
    <cfRule type="cellIs" dxfId="2681" priority="103" stopIfTrue="1" operator="equal">
      <formula>"Towel"</formula>
    </cfRule>
    <cfRule type="cellIs" dxfId="2680" priority="104" stopIfTrue="1" operator="equal">
      <formula>"Napkin Hs"</formula>
    </cfRule>
  </conditionalFormatting>
  <conditionalFormatting sqref="C148">
    <cfRule type="cellIs" dxfId="2679" priority="102" stopIfTrue="1" operator="equal">
      <formula>"Napkin Hs"</formula>
    </cfRule>
  </conditionalFormatting>
  <conditionalFormatting sqref="C148">
    <cfRule type="cellIs" dxfId="2678" priority="101" stopIfTrue="1" operator="equal">
      <formula>"Towel"</formula>
    </cfRule>
  </conditionalFormatting>
  <conditionalFormatting sqref="C148">
    <cfRule type="cellIs" dxfId="2677" priority="94" stopIfTrue="1" operator="equal">
      <formula>"Napkin Hs"</formula>
    </cfRule>
  </conditionalFormatting>
  <conditionalFormatting sqref="C148">
    <cfRule type="cellIs" dxfId="2676" priority="93" stopIfTrue="1" operator="equal">
      <formula>"Napkin Hs"</formula>
    </cfRule>
  </conditionalFormatting>
  <conditionalFormatting sqref="B147">
    <cfRule type="cellIs" dxfId="2675" priority="31" stopIfTrue="1" operator="equal">
      <formula>"Towel"</formula>
    </cfRule>
    <cfRule type="cellIs" dxfId="2674" priority="32" stopIfTrue="1" operator="equal">
      <formula>"Napkin Hs"</formula>
    </cfRule>
  </conditionalFormatting>
  <conditionalFormatting sqref="C147">
    <cfRule type="cellIs" dxfId="2673" priority="45" stopIfTrue="1" operator="equal">
      <formula>"Towel"</formula>
    </cfRule>
    <cfRule type="cellIs" dxfId="2672" priority="46" stopIfTrue="1" operator="equal">
      <formula>"Napkin Hs"</formula>
    </cfRule>
  </conditionalFormatting>
  <conditionalFormatting sqref="C147">
    <cfRule type="cellIs" dxfId="2671" priority="41" stopIfTrue="1" operator="equal">
      <formula>"Towel"</formula>
    </cfRule>
    <cfRule type="cellIs" dxfId="2670" priority="42" stopIfTrue="1" operator="equal">
      <formula>"Napkin Hs"</formula>
    </cfRule>
  </conditionalFormatting>
  <conditionalFormatting sqref="B147">
    <cfRule type="cellIs" dxfId="2669" priority="33" stopIfTrue="1" operator="equal">
      <formula>"Towel"</formula>
    </cfRule>
    <cfRule type="cellIs" dxfId="2668" priority="34" stopIfTrue="1" operator="equal">
      <formula>"Napkin Hs"</formula>
    </cfRule>
  </conditionalFormatting>
  <conditionalFormatting sqref="C147">
    <cfRule type="cellIs" dxfId="2667" priority="35" stopIfTrue="1" operator="equal">
      <formula>"Towel"</formula>
    </cfRule>
    <cfRule type="cellIs" dxfId="2666" priority="36" stopIfTrue="1" operator="equal">
      <formula>"Napkin Hs"</formula>
    </cfRule>
  </conditionalFormatting>
  <conditionalFormatting sqref="C147">
    <cfRule type="cellIs" dxfId="2665" priority="44" stopIfTrue="1" operator="equal">
      <formula>"Napkin Hs"</formula>
    </cfRule>
  </conditionalFormatting>
  <conditionalFormatting sqref="C147">
    <cfRule type="cellIs" dxfId="2664" priority="43" stopIfTrue="1" operator="equal">
      <formula>"Towel"</formula>
    </cfRule>
  </conditionalFormatting>
  <conditionalFormatting sqref="C147">
    <cfRule type="cellIs" dxfId="2663" priority="39" stopIfTrue="1" operator="equal">
      <formula>"Towel"</formula>
    </cfRule>
    <cfRule type="cellIs" dxfId="2662" priority="40" stopIfTrue="1" operator="equal">
      <formula>"Napkin Hs"</formula>
    </cfRule>
  </conditionalFormatting>
  <conditionalFormatting sqref="C147">
    <cfRule type="cellIs" dxfId="2661" priority="38" stopIfTrue="1" operator="equal">
      <formula>"Napkin Hs"</formula>
    </cfRule>
  </conditionalFormatting>
  <conditionalFormatting sqref="C147">
    <cfRule type="cellIs" dxfId="2660" priority="37" stopIfTrue="1" operator="equal">
      <formula>"Towel"</formula>
    </cfRule>
  </conditionalFormatting>
  <conditionalFormatting sqref="B147:C147">
    <cfRule type="cellIs" dxfId="2659" priority="29" stopIfTrue="1" operator="equal">
      <formula>"Towel"</formula>
    </cfRule>
    <cfRule type="cellIs" dxfId="2658" priority="30" stopIfTrue="1" operator="equal">
      <formula>"Napkin Hs"</formula>
    </cfRule>
  </conditionalFormatting>
  <conditionalFormatting sqref="C147">
    <cfRule type="cellIs" dxfId="2657" priority="28" stopIfTrue="1" operator="equal">
      <formula>"Napkin Hs"</formula>
    </cfRule>
  </conditionalFormatting>
  <conditionalFormatting sqref="C147">
    <cfRule type="cellIs" dxfId="2656" priority="27" stopIfTrue="1" operator="equal">
      <formula>"Towel"</formula>
    </cfRule>
  </conditionalFormatting>
  <conditionalFormatting sqref="C147">
    <cfRule type="cellIs" dxfId="2655" priority="25" stopIfTrue="1" operator="equal">
      <formula>"Towel"</formula>
    </cfRule>
    <cfRule type="cellIs" dxfId="2654" priority="26" stopIfTrue="1" operator="equal">
      <formula>"Napkin Hs"</formula>
    </cfRule>
  </conditionalFormatting>
  <conditionalFormatting sqref="B147:C147">
    <cfRule type="cellIs" dxfId="2653" priority="23" stopIfTrue="1" operator="equal">
      <formula>"Towel"</formula>
    </cfRule>
    <cfRule type="cellIs" dxfId="2652" priority="24" stopIfTrue="1" operator="equal">
      <formula>"Napkin Hs"</formula>
    </cfRule>
  </conditionalFormatting>
  <conditionalFormatting sqref="C147">
    <cfRule type="cellIs" dxfId="2651" priority="21" stopIfTrue="1" operator="equal">
      <formula>"Towel"</formula>
    </cfRule>
    <cfRule type="cellIs" dxfId="2650" priority="22" stopIfTrue="1" operator="equal">
      <formula>"Napkin Hs"</formula>
    </cfRule>
  </conditionalFormatting>
  <conditionalFormatting sqref="C147">
    <cfRule type="cellIs" dxfId="2649" priority="19" stopIfTrue="1" operator="equal">
      <formula>"Towel"</formula>
    </cfRule>
    <cfRule type="cellIs" dxfId="2648" priority="20" stopIfTrue="1" operator="equal">
      <formula>"Napkin Hs"</formula>
    </cfRule>
  </conditionalFormatting>
  <conditionalFormatting sqref="C147">
    <cfRule type="cellIs" dxfId="2647" priority="13" stopIfTrue="1" operator="equal">
      <formula>"Towel"</formula>
    </cfRule>
    <cfRule type="cellIs" dxfId="2646" priority="14" stopIfTrue="1" operator="equal">
      <formula>"Napkin Hs"</formula>
    </cfRule>
  </conditionalFormatting>
  <conditionalFormatting sqref="B147">
    <cfRule type="cellIs" dxfId="2645" priority="3" stopIfTrue="1" operator="equal">
      <formula>"Towel"</formula>
    </cfRule>
    <cfRule type="cellIs" dxfId="2644" priority="4" stopIfTrue="1" operator="equal">
      <formula>"Napkin Hs"</formula>
    </cfRule>
  </conditionalFormatting>
  <conditionalFormatting sqref="C147">
    <cfRule type="cellIs" dxfId="2643" priority="7" stopIfTrue="1" operator="equal">
      <formula>"Towel"</formula>
    </cfRule>
    <cfRule type="cellIs" dxfId="2642" priority="8" stopIfTrue="1" operator="equal">
      <formula>"Napkin Hs"</formula>
    </cfRule>
  </conditionalFormatting>
  <conditionalFormatting sqref="C147">
    <cfRule type="cellIs" dxfId="2641" priority="17" stopIfTrue="1" operator="equal">
      <formula>"Towel"</formula>
    </cfRule>
    <cfRule type="cellIs" dxfId="2640" priority="18" stopIfTrue="1" operator="equal">
      <formula>"Napkin Hs"</formula>
    </cfRule>
  </conditionalFormatting>
  <conditionalFormatting sqref="B147">
    <cfRule type="cellIs" dxfId="2639" priority="5" stopIfTrue="1" operator="equal">
      <formula>"Towel"</formula>
    </cfRule>
    <cfRule type="cellIs" dxfId="2638" priority="6" stopIfTrue="1" operator="equal">
      <formula>"Napkin Hs"</formula>
    </cfRule>
  </conditionalFormatting>
  <conditionalFormatting sqref="C147">
    <cfRule type="cellIs" dxfId="2637" priority="16" stopIfTrue="1" operator="equal">
      <formula>"Napkin Hs"</formula>
    </cfRule>
  </conditionalFormatting>
  <conditionalFormatting sqref="C147">
    <cfRule type="cellIs" dxfId="2636" priority="15" stopIfTrue="1" operator="equal">
      <formula>"Towel"</formula>
    </cfRule>
  </conditionalFormatting>
  <conditionalFormatting sqref="C147">
    <cfRule type="cellIs" dxfId="2635" priority="11" stopIfTrue="1" operator="equal">
      <formula>"Towel"</formula>
    </cfRule>
    <cfRule type="cellIs" dxfId="2634" priority="12" stopIfTrue="1" operator="equal">
      <formula>"Napkin Hs"</formula>
    </cfRule>
  </conditionalFormatting>
  <conditionalFormatting sqref="C147">
    <cfRule type="cellIs" dxfId="2633" priority="10" stopIfTrue="1" operator="equal">
      <formula>"Napkin Hs"</formula>
    </cfRule>
  </conditionalFormatting>
  <conditionalFormatting sqref="C147">
    <cfRule type="cellIs" dxfId="2632" priority="9" stopIfTrue="1" operator="equal">
      <formula>"Towel"</formula>
    </cfRule>
  </conditionalFormatting>
  <conditionalFormatting sqref="C147">
    <cfRule type="cellIs" dxfId="2631" priority="2" stopIfTrue="1" operator="equal">
      <formula>"Napkin Hs"</formula>
    </cfRule>
  </conditionalFormatting>
  <conditionalFormatting sqref="C147">
    <cfRule type="cellIs" dxfId="2630" priority="1" stopIfTrue="1" operator="equal">
      <formula>"Napkin Hs"</formula>
    </cfRule>
  </conditionalFormatting>
  <pageMargins left="0.75" right="0.75" top="1" bottom="1" header="0.5" footer="0.5"/>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223"/>
  <sheetViews>
    <sheetView zoomScale="90" zoomScaleNormal="90" workbookViewId="0">
      <pane xSplit="6" ySplit="6" topLeftCell="W166" activePane="bottomRight" state="frozen"/>
      <selection pane="topRight" activeCell="F1" sqref="F1"/>
      <selection pane="bottomLeft" activeCell="A7" sqref="A7"/>
      <selection pane="bottomRight" activeCell="W180" sqref="W180"/>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8" customWidth="1"/>
    <col min="7" max="9" width="10.28515625" style="31" customWidth="1"/>
    <col min="10" max="11" width="10.28515625" style="87" customWidth="1"/>
    <col min="12" max="13" width="12.7109375" style="59" customWidth="1"/>
    <col min="14" max="15" width="10.28515625" style="31" customWidth="1"/>
    <col min="16" max="16" width="16.85546875" style="31" bestFit="1" customWidth="1"/>
    <col min="17" max="17" width="12.7109375" style="320"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0" style="31" customWidth="1"/>
    <col min="32" max="37" width="10.28515625" style="31" customWidth="1"/>
    <col min="38" max="39" width="11.7109375" style="31" customWidth="1"/>
    <col min="40" max="41" width="10.28515625" style="31" customWidth="1"/>
    <col min="42" max="42" width="12.42578125" style="31" customWidth="1"/>
    <col min="43" max="43" width="12.5703125" style="31" customWidth="1"/>
    <col min="44" max="44" width="29.7109375" style="31" bestFit="1" customWidth="1"/>
    <col min="45" max="16384" width="10.28515625" style="31"/>
  </cols>
  <sheetData>
    <row r="1" spans="1:58" s="24" customFormat="1" ht="15.75">
      <c r="A1" s="23" t="s">
        <v>406</v>
      </c>
      <c r="G1" s="25"/>
      <c r="H1" s="25"/>
      <c r="I1" s="25"/>
      <c r="J1" s="84"/>
      <c r="K1" s="84"/>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4"/>
      <c r="G2" s="25"/>
      <c r="H2" s="25"/>
      <c r="I2" s="25"/>
      <c r="J2" s="84"/>
      <c r="K2" s="84"/>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59" t="s">
        <v>8</v>
      </c>
      <c r="B3" s="659" t="s">
        <v>9</v>
      </c>
      <c r="C3" s="659" t="s">
        <v>205</v>
      </c>
      <c r="D3" s="659" t="s">
        <v>102</v>
      </c>
      <c r="E3" s="659" t="s">
        <v>103</v>
      </c>
      <c r="F3" s="659" t="s">
        <v>104</v>
      </c>
      <c r="G3" s="682" t="s">
        <v>105</v>
      </c>
      <c r="H3" s="683"/>
      <c r="I3" s="683"/>
      <c r="J3" s="683"/>
      <c r="K3" s="684"/>
      <c r="L3" s="708" t="s">
        <v>106</v>
      </c>
      <c r="M3" s="709"/>
      <c r="N3" s="710"/>
      <c r="O3" s="714" t="s">
        <v>107</v>
      </c>
      <c r="P3" s="661" t="s">
        <v>119</v>
      </c>
      <c r="Q3" s="714" t="s">
        <v>108</v>
      </c>
      <c r="R3" s="663" t="s">
        <v>109</v>
      </c>
      <c r="S3" s="663" t="s">
        <v>110</v>
      </c>
      <c r="T3" s="659" t="s">
        <v>163</v>
      </c>
      <c r="U3" s="659" t="s">
        <v>162</v>
      </c>
      <c r="V3" s="659" t="s">
        <v>164</v>
      </c>
      <c r="W3" s="663" t="s">
        <v>154</v>
      </c>
      <c r="X3" s="705" t="s">
        <v>112</v>
      </c>
      <c r="Y3" s="705" t="s">
        <v>303</v>
      </c>
      <c r="Z3" s="663" t="s">
        <v>113</v>
      </c>
      <c r="AA3" s="659" t="s">
        <v>165</v>
      </c>
      <c r="AB3" s="659" t="s">
        <v>176</v>
      </c>
      <c r="AC3" s="659" t="s">
        <v>174</v>
      </c>
      <c r="AD3" s="659" t="s">
        <v>137</v>
      </c>
      <c r="AE3" s="659" t="s">
        <v>138</v>
      </c>
      <c r="AF3" s="694" t="s">
        <v>139</v>
      </c>
      <c r="AG3" s="694"/>
      <c r="AH3" s="694"/>
      <c r="AI3" s="694"/>
      <c r="AJ3" s="694"/>
      <c r="AK3" s="694"/>
      <c r="AL3" s="694"/>
      <c r="AM3" s="674" t="s">
        <v>140</v>
      </c>
      <c r="AN3" s="664" t="s">
        <v>114</v>
      </c>
      <c r="AO3" s="664"/>
      <c r="AP3" s="664"/>
      <c r="AQ3" s="664"/>
      <c r="AR3" s="664"/>
      <c r="AS3" s="665" t="s">
        <v>115</v>
      </c>
      <c r="AT3" s="688" t="s">
        <v>238</v>
      </c>
      <c r="AU3" s="689"/>
      <c r="AV3" s="667" t="s">
        <v>141</v>
      </c>
      <c r="AW3" s="668"/>
      <c r="AX3" s="669" t="s">
        <v>141</v>
      </c>
      <c r="AY3" s="670"/>
      <c r="AZ3" s="671" t="s">
        <v>312</v>
      </c>
      <c r="BA3" s="662" t="s">
        <v>116</v>
      </c>
      <c r="BB3" s="658" t="s">
        <v>117</v>
      </c>
      <c r="BC3" s="658" t="s">
        <v>118</v>
      </c>
      <c r="BD3" s="696" t="s">
        <v>407</v>
      </c>
      <c r="BE3" s="699" t="s">
        <v>408</v>
      </c>
      <c r="BF3" s="658" t="s">
        <v>409</v>
      </c>
    </row>
    <row r="4" spans="1:58" ht="12" customHeight="1">
      <c r="A4" s="692"/>
      <c r="B4" s="692"/>
      <c r="C4" s="692"/>
      <c r="D4" s="692"/>
      <c r="E4" s="692"/>
      <c r="F4" s="692"/>
      <c r="G4" s="685"/>
      <c r="H4" s="686"/>
      <c r="I4" s="686"/>
      <c r="J4" s="686"/>
      <c r="K4" s="687"/>
      <c r="L4" s="711"/>
      <c r="M4" s="712"/>
      <c r="N4" s="713"/>
      <c r="O4" s="715"/>
      <c r="P4" s="680"/>
      <c r="Q4" s="715"/>
      <c r="R4" s="695"/>
      <c r="S4" s="695"/>
      <c r="T4" s="692"/>
      <c r="U4" s="692"/>
      <c r="V4" s="692"/>
      <c r="W4" s="695"/>
      <c r="X4" s="706"/>
      <c r="Y4" s="706"/>
      <c r="Z4" s="695"/>
      <c r="AA4" s="692"/>
      <c r="AB4" s="692"/>
      <c r="AC4" s="692"/>
      <c r="AD4" s="692"/>
      <c r="AE4" s="692"/>
      <c r="AF4" s="677" t="s">
        <v>142</v>
      </c>
      <c r="AG4" s="678"/>
      <c r="AH4" s="679"/>
      <c r="AI4" s="680" t="s">
        <v>229</v>
      </c>
      <c r="AJ4" s="680" t="s">
        <v>15</v>
      </c>
      <c r="AK4" s="680" t="s">
        <v>143</v>
      </c>
      <c r="AL4" s="680" t="s">
        <v>18</v>
      </c>
      <c r="AM4" s="675"/>
      <c r="AN4" s="660" t="s">
        <v>120</v>
      </c>
      <c r="AO4" s="660" t="s">
        <v>15</v>
      </c>
      <c r="AP4" s="660" t="s">
        <v>121</v>
      </c>
      <c r="AQ4" s="660" t="s">
        <v>18</v>
      </c>
      <c r="AR4" s="662" t="s">
        <v>122</v>
      </c>
      <c r="AS4" s="665"/>
      <c r="AT4" s="690"/>
      <c r="AU4" s="691"/>
      <c r="AV4" s="500" t="s">
        <v>7</v>
      </c>
      <c r="AW4" s="500" t="s">
        <v>144</v>
      </c>
      <c r="AX4" s="501" t="s">
        <v>7</v>
      </c>
      <c r="AY4" s="502" t="s">
        <v>144</v>
      </c>
      <c r="AZ4" s="672"/>
      <c r="BA4" s="662"/>
      <c r="BB4" s="658"/>
      <c r="BC4" s="658"/>
      <c r="BD4" s="697"/>
      <c r="BE4" s="700"/>
      <c r="BF4" s="658"/>
    </row>
    <row r="5" spans="1:58" s="34" customFormat="1" ht="48">
      <c r="A5" s="692"/>
      <c r="B5" s="692"/>
      <c r="C5" s="693"/>
      <c r="D5" s="692"/>
      <c r="E5" s="692"/>
      <c r="F5" s="692"/>
      <c r="G5" s="518" t="s">
        <v>123</v>
      </c>
      <c r="H5" s="517" t="s">
        <v>124</v>
      </c>
      <c r="I5" s="32" t="s">
        <v>125</v>
      </c>
      <c r="J5" s="85" t="s">
        <v>126</v>
      </c>
      <c r="K5" s="85" t="s">
        <v>111</v>
      </c>
      <c r="L5" s="33" t="s">
        <v>127</v>
      </c>
      <c r="M5" s="33" t="s">
        <v>128</v>
      </c>
      <c r="N5" s="517" t="s">
        <v>129</v>
      </c>
      <c r="O5" s="715"/>
      <c r="P5" s="681"/>
      <c r="Q5" s="715"/>
      <c r="R5" s="695"/>
      <c r="S5" s="695"/>
      <c r="T5" s="692"/>
      <c r="U5" s="692"/>
      <c r="V5" s="692"/>
      <c r="W5" s="695"/>
      <c r="X5" s="706"/>
      <c r="Y5" s="707"/>
      <c r="Z5" s="695"/>
      <c r="AA5" s="692"/>
      <c r="AB5" s="693"/>
      <c r="AC5" s="692"/>
      <c r="AD5" s="693"/>
      <c r="AE5" s="692"/>
      <c r="AF5" s="414" t="s">
        <v>222</v>
      </c>
      <c r="AG5" s="519" t="s">
        <v>223</v>
      </c>
      <c r="AH5" s="519" t="s">
        <v>224</v>
      </c>
      <c r="AI5" s="681"/>
      <c r="AJ5" s="681"/>
      <c r="AK5" s="681"/>
      <c r="AL5" s="681"/>
      <c r="AM5" s="676"/>
      <c r="AN5" s="661"/>
      <c r="AO5" s="661"/>
      <c r="AP5" s="661"/>
      <c r="AQ5" s="661"/>
      <c r="AR5" s="663"/>
      <c r="AS5" s="666"/>
      <c r="AT5" s="520" t="s">
        <v>300</v>
      </c>
      <c r="AU5" s="520" t="s">
        <v>301</v>
      </c>
      <c r="AV5" s="503" t="s">
        <v>302</v>
      </c>
      <c r="AW5" s="503" t="s">
        <v>302</v>
      </c>
      <c r="AX5" s="501" t="s">
        <v>17</v>
      </c>
      <c r="AY5" s="501" t="s">
        <v>17</v>
      </c>
      <c r="AZ5" s="673"/>
      <c r="BA5" s="663"/>
      <c r="BB5" s="659"/>
      <c r="BC5" s="659"/>
      <c r="BD5" s="698"/>
      <c r="BE5" s="701"/>
      <c r="BF5" s="702"/>
    </row>
    <row r="6" spans="1:58" ht="12.95" customHeight="1">
      <c r="A6" s="42">
        <f>+Report1!A9</f>
        <v>45931</v>
      </c>
      <c r="B6" s="43" t="s">
        <v>421</v>
      </c>
      <c r="C6" s="402">
        <f>(M6*E6*O6*Q6)/100000000</f>
        <v>0</v>
      </c>
      <c r="D6" s="43" t="s">
        <v>413</v>
      </c>
      <c r="E6" s="44">
        <v>17</v>
      </c>
      <c r="F6" s="44">
        <v>1</v>
      </c>
      <c r="G6" s="415">
        <v>1025</v>
      </c>
      <c r="H6" s="557">
        <f>+N6</f>
        <v>0.19999999999999996</v>
      </c>
      <c r="I6" s="47">
        <v>0.88</v>
      </c>
      <c r="J6" s="86">
        <f>E6*G6*(1-H6)*1440/1000000*2.74</f>
        <v>55.001663999999998</v>
      </c>
      <c r="K6" s="86">
        <f>(IF(G6&lt;L6,L6,G6)*(1-IF(H6&lt;N6,H6,N6))*E6*O6*Q6)/100000000</f>
        <v>0</v>
      </c>
      <c r="L6" s="37">
        <v>1050</v>
      </c>
      <c r="M6" s="37">
        <v>840</v>
      </c>
      <c r="N6" s="48">
        <f>1-(M6/L6)</f>
        <v>0.19999999999999996</v>
      </c>
      <c r="O6" s="49">
        <f>+'Trim Rwd'!H4</f>
        <v>256.5</v>
      </c>
      <c r="P6" s="50">
        <f>O6*(Q6-R6-S6)</f>
        <v>0</v>
      </c>
      <c r="Q6" s="49">
        <f>1440-1440</f>
        <v>0</v>
      </c>
      <c r="R6" s="371">
        <f>1440-1440</f>
        <v>0</v>
      </c>
      <c r="S6" s="371">
        <v>0</v>
      </c>
      <c r="T6" s="39">
        <f>E6*M6*O6*Q6/100000000</f>
        <v>0</v>
      </c>
      <c r="U6" s="39">
        <f>E6*M6*O6*(Q6-R6-S6)/100000000</f>
        <v>0</v>
      </c>
      <c r="V6" s="39">
        <f>E6*G6*(1-N6)*O6/100*(R6+S6)/1000000</f>
        <v>0</v>
      </c>
      <c r="W6" s="39">
        <f>+'1'!K7/1000</f>
        <v>3.3639999999999999</v>
      </c>
      <c r="X6" s="370" t="e">
        <f>SUM(W6:W9)/SUM(K6:K9)</f>
        <v>#DIV/0!</v>
      </c>
      <c r="Y6" s="39">
        <v>0</v>
      </c>
      <c r="Z6" s="39">
        <f>+'1'!D34/1000</f>
        <v>0</v>
      </c>
      <c r="AA6" s="51">
        <f>SUM(U6:U9)-SUM(W6:W9)-SUM(Z6:Z9)-SUM(Y6:Y9)</f>
        <v>-3.3639999999999999</v>
      </c>
      <c r="AB6" s="51">
        <f>(SUM(K6:K9)-SUM(W6:W9)-SUM(Y6:Y9)-SUM(Z6:Z9)-SUM(AC6:AC9)-SUM(V6:V9))-AA6</f>
        <v>0</v>
      </c>
      <c r="AC6" s="39">
        <f>K6-T6</f>
        <v>0</v>
      </c>
      <c r="AD6" s="39">
        <f>+AM6+BA6</f>
        <v>0</v>
      </c>
      <c r="AE6" s="230" t="s">
        <v>418</v>
      </c>
      <c r="AF6" s="39">
        <v>0</v>
      </c>
      <c r="AG6" s="39"/>
      <c r="AH6" s="39"/>
      <c r="AI6" s="485"/>
      <c r="AJ6" s="39"/>
      <c r="AK6" s="39"/>
      <c r="AL6" s="39"/>
      <c r="AM6" s="39">
        <f>SUM(AF6:AL6)+AT6+AV6+AX6</f>
        <v>0</v>
      </c>
      <c r="AN6" s="39"/>
      <c r="AO6" s="39"/>
      <c r="AP6" s="39"/>
      <c r="AQ6" s="39"/>
      <c r="AR6" s="39">
        <f>SUM(AN6:AQ6)</f>
        <v>0</v>
      </c>
      <c r="AS6" s="39"/>
      <c r="AT6" s="39"/>
      <c r="AU6" s="39"/>
      <c r="AV6" s="39"/>
      <c r="AW6" s="39"/>
      <c r="AX6" s="39"/>
      <c r="AY6" s="39"/>
      <c r="AZ6" s="39"/>
      <c r="BA6" s="39">
        <f>+AR6+AS6+AU6+AW6+AY6+AZ6</f>
        <v>0</v>
      </c>
      <c r="BB6" s="35">
        <v>0</v>
      </c>
      <c r="BC6" s="53"/>
      <c r="BD6" s="53"/>
      <c r="BE6" s="35"/>
      <c r="BF6" s="53"/>
    </row>
    <row r="7" spans="1:58" ht="12.95" customHeight="1">
      <c r="A7" s="42"/>
      <c r="B7" s="43"/>
      <c r="C7" s="402"/>
      <c r="D7" s="43"/>
      <c r="E7" s="44"/>
      <c r="F7" s="44"/>
      <c r="G7" s="415"/>
      <c r="H7" s="557"/>
      <c r="I7" s="47"/>
      <c r="J7" s="86"/>
      <c r="K7" s="86"/>
      <c r="L7" s="37"/>
      <c r="M7" s="37"/>
      <c r="N7" s="48"/>
      <c r="O7" s="49"/>
      <c r="P7" s="50"/>
      <c r="Q7" s="49"/>
      <c r="R7" s="371"/>
      <c r="S7" s="371"/>
      <c r="T7" s="39"/>
      <c r="U7" s="39"/>
      <c r="V7" s="39"/>
      <c r="W7" s="39"/>
      <c r="X7" s="40"/>
      <c r="Y7" s="213"/>
      <c r="Z7" s="39"/>
      <c r="AA7" s="39"/>
      <c r="AB7" s="39"/>
      <c r="AC7" s="39"/>
      <c r="AD7" s="39">
        <f t="shared" ref="AD7:AD9" si="0">+AM7+BA7</f>
        <v>0</v>
      </c>
      <c r="AE7" s="230" t="s">
        <v>419</v>
      </c>
      <c r="AF7" s="39"/>
      <c r="AG7" s="39">
        <v>0</v>
      </c>
      <c r="AH7" s="39"/>
      <c r="AI7" s="485"/>
      <c r="AJ7" s="39"/>
      <c r="AK7" s="39"/>
      <c r="AL7" s="39"/>
      <c r="AM7" s="39">
        <f t="shared" ref="AM7:AM9" si="1">SUM(AF7:AL7)+AT7+AV7+AX7</f>
        <v>0</v>
      </c>
      <c r="AN7" s="87"/>
      <c r="AO7" s="39"/>
      <c r="AP7" s="39"/>
      <c r="AQ7" s="39"/>
      <c r="AR7" s="39">
        <f t="shared" ref="AR7:AR9" si="2">SUM(AN7:AQ7)</f>
        <v>0</v>
      </c>
      <c r="AS7" s="39"/>
      <c r="AT7" s="39"/>
      <c r="AU7" s="39"/>
      <c r="AV7" s="39"/>
      <c r="AW7" s="39"/>
      <c r="AX7" s="39"/>
      <c r="AY7" s="39"/>
      <c r="AZ7" s="39"/>
      <c r="BA7" s="39">
        <f t="shared" ref="BA7:BA9" si="3">+AR7+AS7+AU7+AW7+AY7+AZ7</f>
        <v>0</v>
      </c>
      <c r="BB7" s="52"/>
      <c r="BC7" s="53">
        <v>0</v>
      </c>
      <c r="BD7" s="53"/>
      <c r="BE7" s="52"/>
      <c r="BF7" s="53"/>
    </row>
    <row r="8" spans="1:58" ht="12.95" customHeight="1">
      <c r="A8" s="42"/>
      <c r="B8" s="43"/>
      <c r="C8" s="402"/>
      <c r="D8" s="43"/>
      <c r="E8" s="44"/>
      <c r="F8" s="44"/>
      <c r="G8" s="45"/>
      <c r="H8" s="46"/>
      <c r="I8" s="47"/>
      <c r="J8" s="86"/>
      <c r="K8" s="86"/>
      <c r="L8" s="37"/>
      <c r="M8" s="37"/>
      <c r="N8" s="48"/>
      <c r="O8" s="49"/>
      <c r="P8" s="50"/>
      <c r="Q8" s="49"/>
      <c r="R8" s="371"/>
      <c r="S8" s="371"/>
      <c r="T8" s="39"/>
      <c r="U8" s="39"/>
      <c r="V8" s="39"/>
      <c r="W8" s="39"/>
      <c r="X8" s="40"/>
      <c r="Y8" s="213"/>
      <c r="Z8" s="39"/>
      <c r="AA8" s="39"/>
      <c r="AB8" s="39"/>
      <c r="AC8" s="39"/>
      <c r="AD8" s="39">
        <f t="shared" si="0"/>
        <v>0</v>
      </c>
      <c r="AE8" s="230" t="s">
        <v>420</v>
      </c>
      <c r="AF8" s="35"/>
      <c r="AG8" s="35"/>
      <c r="AH8" s="35">
        <v>0</v>
      </c>
      <c r="AJ8" s="39"/>
      <c r="AK8" s="39"/>
      <c r="AL8" s="39"/>
      <c r="AM8" s="39">
        <f t="shared" si="1"/>
        <v>0</v>
      </c>
      <c r="AN8" s="39"/>
      <c r="AO8" s="39"/>
      <c r="AP8" s="39"/>
      <c r="AQ8" s="39"/>
      <c r="AR8" s="39">
        <f t="shared" si="2"/>
        <v>0</v>
      </c>
      <c r="AS8" s="39"/>
      <c r="AT8" s="39"/>
      <c r="AU8" s="39"/>
      <c r="AV8" s="39"/>
      <c r="AW8" s="39"/>
      <c r="AX8" s="39"/>
      <c r="AY8" s="39"/>
      <c r="AZ8" s="39"/>
      <c r="BA8" s="39">
        <f t="shared" si="3"/>
        <v>0</v>
      </c>
      <c r="BB8" s="35"/>
      <c r="BC8" s="486"/>
      <c r="BD8" s="486"/>
      <c r="BE8" s="35"/>
      <c r="BF8" s="486"/>
    </row>
    <row r="9" spans="1:58" ht="12.95" customHeight="1">
      <c r="A9" s="42"/>
      <c r="B9" s="43"/>
      <c r="C9" s="402"/>
      <c r="D9" s="43"/>
      <c r="E9" s="44"/>
      <c r="F9" s="44"/>
      <c r="G9" s="45"/>
      <c r="H9" s="46"/>
      <c r="I9" s="47"/>
      <c r="J9" s="86"/>
      <c r="K9" s="86"/>
      <c r="L9" s="37"/>
      <c r="M9" s="37"/>
      <c r="N9" s="48"/>
      <c r="O9" s="49"/>
      <c r="P9" s="50"/>
      <c r="Q9" s="49"/>
      <c r="R9" s="371"/>
      <c r="S9" s="371"/>
      <c r="T9" s="39"/>
      <c r="U9" s="39"/>
      <c r="V9" s="39"/>
      <c r="W9" s="39"/>
      <c r="X9" s="40"/>
      <c r="Y9" s="213"/>
      <c r="Z9" s="39"/>
      <c r="AA9" s="39"/>
      <c r="AB9" s="39"/>
      <c r="AC9" s="39"/>
      <c r="AD9" s="39">
        <f t="shared" si="0"/>
        <v>0</v>
      </c>
      <c r="AE9" s="230" t="s">
        <v>422</v>
      </c>
      <c r="AF9" s="35"/>
      <c r="AG9" s="35"/>
      <c r="AH9" s="35"/>
      <c r="AJ9" s="39"/>
      <c r="AK9" s="39"/>
      <c r="AL9" s="39"/>
      <c r="AM9" s="39">
        <f t="shared" si="1"/>
        <v>0</v>
      </c>
      <c r="AN9" s="39"/>
      <c r="AO9" s="39"/>
      <c r="AP9" s="39"/>
      <c r="AQ9" s="39"/>
      <c r="AR9" s="39">
        <f t="shared" si="2"/>
        <v>0</v>
      </c>
      <c r="AS9" s="39"/>
      <c r="AT9" s="39"/>
      <c r="AU9" s="39">
        <f>1440-1440</f>
        <v>0</v>
      </c>
      <c r="AV9" s="39"/>
      <c r="AW9" s="39"/>
      <c r="AX9" s="39"/>
      <c r="AY9" s="39"/>
      <c r="AZ9" s="39"/>
      <c r="BA9" s="39">
        <f t="shared" si="3"/>
        <v>0</v>
      </c>
      <c r="BB9" s="35"/>
      <c r="BC9" s="486"/>
      <c r="BD9" s="486"/>
      <c r="BE9" s="35"/>
      <c r="BF9" s="486"/>
    </row>
    <row r="10" spans="1:58" ht="12.95" customHeight="1">
      <c r="A10" s="42"/>
      <c r="B10" s="43"/>
      <c r="C10" s="402"/>
      <c r="D10" s="43"/>
      <c r="E10" s="44"/>
      <c r="F10" s="44"/>
      <c r="G10" s="415"/>
      <c r="H10" s="46"/>
      <c r="I10" s="47"/>
      <c r="J10" s="86"/>
      <c r="K10" s="86"/>
      <c r="L10" s="37"/>
      <c r="M10" s="37"/>
      <c r="N10" s="48"/>
      <c r="O10" s="49"/>
      <c r="P10" s="50"/>
      <c r="Q10" s="49"/>
      <c r="R10" s="371"/>
      <c r="S10" s="371"/>
      <c r="T10" s="39"/>
      <c r="U10" s="39"/>
      <c r="V10" s="39"/>
      <c r="W10" s="39"/>
      <c r="X10" s="370"/>
      <c r="Y10" s="39"/>
      <c r="Z10" s="39"/>
      <c r="AA10" s="51"/>
      <c r="AB10" s="51"/>
      <c r="AC10" s="39"/>
      <c r="AD10" s="39"/>
      <c r="AE10" s="230"/>
      <c r="AF10" s="39"/>
      <c r="AG10" s="39"/>
      <c r="AH10" s="39"/>
      <c r="AI10" s="485"/>
      <c r="AJ10" s="39"/>
      <c r="AK10" s="39"/>
      <c r="AL10" s="39"/>
      <c r="AM10" s="39"/>
      <c r="AN10" s="39"/>
      <c r="AO10" s="39"/>
      <c r="AP10" s="39"/>
      <c r="AQ10" s="39"/>
      <c r="AR10" s="39"/>
      <c r="AS10" s="39"/>
      <c r="AT10" s="39"/>
      <c r="AU10" s="39"/>
      <c r="AV10" s="39"/>
      <c r="AW10" s="39"/>
      <c r="AX10" s="39"/>
      <c r="AY10" s="39"/>
      <c r="AZ10" s="39"/>
      <c r="BA10" s="39"/>
      <c r="BB10" s="35"/>
      <c r="BC10" s="53"/>
      <c r="BD10" s="53"/>
      <c r="BE10" s="35"/>
      <c r="BF10" s="53"/>
    </row>
    <row r="11" spans="1:58" ht="12.95" customHeight="1">
      <c r="A11" s="42">
        <v>45932</v>
      </c>
      <c r="B11" s="43" t="s">
        <v>421</v>
      </c>
      <c r="C11" s="402">
        <f>(M11*E11*O11*Q11)/100000000</f>
        <v>0</v>
      </c>
      <c r="D11" s="43" t="s">
        <v>413</v>
      </c>
      <c r="E11" s="44">
        <v>17</v>
      </c>
      <c r="F11" s="44">
        <v>1</v>
      </c>
      <c r="G11" s="415">
        <v>1025</v>
      </c>
      <c r="H11" s="557">
        <f>+N11</f>
        <v>0.19999999999999996</v>
      </c>
      <c r="I11" s="47">
        <v>0.88</v>
      </c>
      <c r="J11" s="86">
        <f>E11*G11*(1-H11)*1440/1000000*2.74</f>
        <v>55.001663999999998</v>
      </c>
      <c r="K11" s="86">
        <f>(IF(G11&lt;L11,L11,G11)*(1-IF(H11&lt;N11,H11,N11))*E11*O11*Q11)/100000000</f>
        <v>0</v>
      </c>
      <c r="L11" s="37">
        <v>1050</v>
      </c>
      <c r="M11" s="37">
        <v>840</v>
      </c>
      <c r="N11" s="48">
        <f>1-(M11/L11)</f>
        <v>0.19999999999999996</v>
      </c>
      <c r="O11" s="49">
        <f>+'Trim Rwd'!H6</f>
        <v>256.5</v>
      </c>
      <c r="P11" s="50">
        <f>O11*(Q11-R11-S11)</f>
        <v>0</v>
      </c>
      <c r="Q11" s="49">
        <f>1440-1440</f>
        <v>0</v>
      </c>
      <c r="R11" s="371">
        <f>1440-1440</f>
        <v>0</v>
      </c>
      <c r="S11" s="371">
        <v>0</v>
      </c>
      <c r="T11" s="39">
        <f>E11*M11*O11*Q11/100000000</f>
        <v>0</v>
      </c>
      <c r="U11" s="39">
        <f>E11*M11*O11*(Q11-R11-S11)/100000000</f>
        <v>0</v>
      </c>
      <c r="V11" s="39">
        <f>E11*G11*(1-N11)*O11/100*(R11+S11)/1000000</f>
        <v>0</v>
      </c>
      <c r="W11" s="39">
        <f>+'1'!K12/1000</f>
        <v>0</v>
      </c>
      <c r="X11" s="370" t="e">
        <f>SUM(W11:W14)/SUM(K11:K14)</f>
        <v>#DIV/0!</v>
      </c>
      <c r="Y11" s="39">
        <v>0</v>
      </c>
      <c r="Z11" s="39">
        <f>+'1'!D39/1000</f>
        <v>0</v>
      </c>
      <c r="AA11" s="51">
        <f>SUM(U11:U14)-SUM(W11:W14)-SUM(Z11:Z14)-SUM(Y11:Y14)</f>
        <v>0</v>
      </c>
      <c r="AB11" s="51">
        <f>(SUM(K11:K14)-SUM(W11:W14)-SUM(Y11:Y14)-SUM(Z11:Z14)-SUM(AC11:AC14)-SUM(V11:V14))-AA11</f>
        <v>0</v>
      </c>
      <c r="AC11" s="39">
        <f>K11-T11</f>
        <v>0</v>
      </c>
      <c r="AD11" s="39">
        <f>+AM11+BA11</f>
        <v>0</v>
      </c>
      <c r="AE11" s="230" t="s">
        <v>418</v>
      </c>
      <c r="AF11" s="39">
        <v>0</v>
      </c>
      <c r="AG11" s="39"/>
      <c r="AH11" s="39"/>
      <c r="AI11" s="485"/>
      <c r="AJ11" s="39"/>
      <c r="AK11" s="39"/>
      <c r="AL11" s="39"/>
      <c r="AM11" s="39">
        <f>SUM(AF11:AL11)+AT11+AV11+AX11</f>
        <v>0</v>
      </c>
      <c r="AN11" s="39"/>
      <c r="AO11" s="39"/>
      <c r="AP11" s="39"/>
      <c r="AQ11" s="39"/>
      <c r="AR11" s="39">
        <f>SUM(AN11:AQ11)</f>
        <v>0</v>
      </c>
      <c r="AS11" s="39"/>
      <c r="AT11" s="39"/>
      <c r="AU11" s="39"/>
      <c r="AV11" s="39"/>
      <c r="AW11" s="39"/>
      <c r="AX11" s="39"/>
      <c r="AY11" s="39"/>
      <c r="AZ11" s="39"/>
      <c r="BA11" s="39">
        <f>+AR11+AS11+AU11+AW11+AY11+AZ11</f>
        <v>0</v>
      </c>
      <c r="BB11" s="35">
        <v>0</v>
      </c>
      <c r="BC11" s="53"/>
      <c r="BD11" s="53"/>
      <c r="BE11" s="35"/>
      <c r="BF11" s="53"/>
    </row>
    <row r="12" spans="1:58" ht="12.95" customHeight="1">
      <c r="A12" s="42"/>
      <c r="B12" s="43"/>
      <c r="C12" s="402"/>
      <c r="D12" s="43"/>
      <c r="E12" s="44"/>
      <c r="F12" s="44"/>
      <c r="G12" s="415"/>
      <c r="H12" s="557"/>
      <c r="I12" s="47"/>
      <c r="J12" s="86"/>
      <c r="K12" s="86"/>
      <c r="L12" s="37"/>
      <c r="M12" s="37"/>
      <c r="N12" s="48"/>
      <c r="O12" s="49"/>
      <c r="P12" s="50"/>
      <c r="Q12" s="49"/>
      <c r="R12" s="371"/>
      <c r="S12" s="371"/>
      <c r="T12" s="39"/>
      <c r="U12" s="39"/>
      <c r="V12" s="39"/>
      <c r="W12" s="39"/>
      <c r="X12" s="40"/>
      <c r="Y12" s="213"/>
      <c r="Z12" s="39"/>
      <c r="AA12" s="39"/>
      <c r="AB12" s="39"/>
      <c r="AC12" s="39"/>
      <c r="AD12" s="39">
        <f t="shared" ref="AD12:AD14" si="4">+AM12+BA12</f>
        <v>0</v>
      </c>
      <c r="AE12" s="230" t="s">
        <v>419</v>
      </c>
      <c r="AF12" s="39"/>
      <c r="AG12" s="39">
        <v>0</v>
      </c>
      <c r="AH12" s="39"/>
      <c r="AI12" s="485"/>
      <c r="AJ12" s="39"/>
      <c r="AK12" s="39"/>
      <c r="AL12" s="39"/>
      <c r="AM12" s="39">
        <f t="shared" ref="AM12:AM14" si="5">SUM(AF12:AL12)+AT12+AV12+AX12</f>
        <v>0</v>
      </c>
      <c r="AN12" s="87"/>
      <c r="AO12" s="39"/>
      <c r="AP12" s="39"/>
      <c r="AQ12" s="39"/>
      <c r="AR12" s="39">
        <f t="shared" ref="AR12:AR14" si="6">SUM(AN12:AQ12)</f>
        <v>0</v>
      </c>
      <c r="AS12" s="39"/>
      <c r="AT12" s="39"/>
      <c r="AU12" s="39"/>
      <c r="AV12" s="39"/>
      <c r="AW12" s="39"/>
      <c r="AX12" s="39"/>
      <c r="AY12" s="39"/>
      <c r="AZ12" s="39"/>
      <c r="BA12" s="39">
        <f t="shared" ref="BA12:BA14" si="7">+AR12+AS12+AU12+AW12+AY12+AZ12</f>
        <v>0</v>
      </c>
      <c r="BB12" s="52"/>
      <c r="BC12" s="53">
        <v>0</v>
      </c>
      <c r="BD12" s="53"/>
      <c r="BE12" s="52"/>
      <c r="BF12" s="53"/>
    </row>
    <row r="13" spans="1:58" ht="12.95" customHeight="1">
      <c r="A13" s="42"/>
      <c r="B13" s="43"/>
      <c r="C13" s="402"/>
      <c r="D13" s="43"/>
      <c r="E13" s="44"/>
      <c r="F13" s="44"/>
      <c r="G13" s="45"/>
      <c r="H13" s="46"/>
      <c r="I13" s="47"/>
      <c r="J13" s="86"/>
      <c r="K13" s="86"/>
      <c r="L13" s="37"/>
      <c r="M13" s="37"/>
      <c r="N13" s="48"/>
      <c r="O13" s="49"/>
      <c r="P13" s="50"/>
      <c r="Q13" s="49"/>
      <c r="R13" s="371"/>
      <c r="S13" s="371"/>
      <c r="T13" s="39"/>
      <c r="U13" s="39"/>
      <c r="V13" s="39"/>
      <c r="W13" s="39"/>
      <c r="X13" s="40"/>
      <c r="Y13" s="213"/>
      <c r="Z13" s="39"/>
      <c r="AA13" s="39"/>
      <c r="AB13" s="39"/>
      <c r="AC13" s="39"/>
      <c r="AD13" s="39">
        <f t="shared" si="4"/>
        <v>0</v>
      </c>
      <c r="AE13" s="230" t="s">
        <v>420</v>
      </c>
      <c r="AF13" s="35"/>
      <c r="AG13" s="35"/>
      <c r="AH13" s="35">
        <v>0</v>
      </c>
      <c r="AJ13" s="39"/>
      <c r="AK13" s="39"/>
      <c r="AL13" s="39"/>
      <c r="AM13" s="39">
        <f t="shared" si="5"/>
        <v>0</v>
      </c>
      <c r="AN13" s="39"/>
      <c r="AO13" s="39"/>
      <c r="AP13" s="39"/>
      <c r="AQ13" s="39"/>
      <c r="AR13" s="39">
        <f t="shared" si="6"/>
        <v>0</v>
      </c>
      <c r="AS13" s="39"/>
      <c r="AT13" s="39"/>
      <c r="AU13" s="39"/>
      <c r="AV13" s="39"/>
      <c r="AW13" s="39"/>
      <c r="AX13" s="39"/>
      <c r="AY13" s="39"/>
      <c r="AZ13" s="39"/>
      <c r="BA13" s="39">
        <f t="shared" si="7"/>
        <v>0</v>
      </c>
      <c r="BB13" s="35"/>
      <c r="BC13" s="486"/>
      <c r="BD13" s="486"/>
      <c r="BE13" s="35"/>
      <c r="BF13" s="486"/>
    </row>
    <row r="14" spans="1:58" ht="12.95" customHeight="1">
      <c r="A14" s="42"/>
      <c r="B14" s="43"/>
      <c r="C14" s="402"/>
      <c r="D14" s="43"/>
      <c r="E14" s="44"/>
      <c r="F14" s="44"/>
      <c r="G14" s="45"/>
      <c r="H14" s="46"/>
      <c r="I14" s="47"/>
      <c r="J14" s="86"/>
      <c r="K14" s="86"/>
      <c r="L14" s="37"/>
      <c r="M14" s="37"/>
      <c r="N14" s="48"/>
      <c r="O14" s="49"/>
      <c r="P14" s="50"/>
      <c r="Q14" s="49"/>
      <c r="R14" s="371"/>
      <c r="S14" s="371"/>
      <c r="T14" s="39"/>
      <c r="U14" s="39"/>
      <c r="V14" s="39"/>
      <c r="W14" s="39"/>
      <c r="X14" s="40"/>
      <c r="Y14" s="213"/>
      <c r="Z14" s="39"/>
      <c r="AA14" s="39"/>
      <c r="AB14" s="39"/>
      <c r="AC14" s="39"/>
      <c r="AD14" s="39">
        <f t="shared" si="4"/>
        <v>0</v>
      </c>
      <c r="AE14" s="230" t="s">
        <v>422</v>
      </c>
      <c r="AF14" s="35"/>
      <c r="AG14" s="35"/>
      <c r="AH14" s="35"/>
      <c r="AJ14" s="39"/>
      <c r="AK14" s="39"/>
      <c r="AL14" s="39"/>
      <c r="AM14" s="39">
        <f t="shared" si="5"/>
        <v>0</v>
      </c>
      <c r="AN14" s="39"/>
      <c r="AO14" s="39"/>
      <c r="AP14" s="39"/>
      <c r="AQ14" s="39"/>
      <c r="AR14" s="39">
        <f t="shared" si="6"/>
        <v>0</v>
      </c>
      <c r="AS14" s="39"/>
      <c r="AT14" s="39"/>
      <c r="AU14" s="39">
        <f>1440-1440</f>
        <v>0</v>
      </c>
      <c r="AV14" s="39"/>
      <c r="AW14" s="39"/>
      <c r="AX14" s="39"/>
      <c r="AY14" s="39"/>
      <c r="AZ14" s="39"/>
      <c r="BA14" s="39">
        <f t="shared" si="7"/>
        <v>0</v>
      </c>
      <c r="BB14" s="35"/>
      <c r="BC14" s="486"/>
      <c r="BD14" s="486"/>
      <c r="BE14" s="35"/>
      <c r="BF14" s="486"/>
    </row>
    <row r="15" spans="1:58" ht="12.95" customHeight="1">
      <c r="A15" s="42"/>
      <c r="B15" s="43"/>
      <c r="C15" s="402"/>
      <c r="D15" s="43"/>
      <c r="E15" s="44"/>
      <c r="F15" s="44"/>
      <c r="G15" s="415"/>
      <c r="H15" s="46"/>
      <c r="I15" s="47"/>
      <c r="J15" s="86"/>
      <c r="K15" s="86"/>
      <c r="L15" s="37"/>
      <c r="M15" s="37"/>
      <c r="N15" s="48"/>
      <c r="O15" s="49"/>
      <c r="P15" s="50"/>
      <c r="Q15" s="49"/>
      <c r="R15" s="371"/>
      <c r="S15" s="371"/>
      <c r="T15" s="39"/>
      <c r="U15" s="39"/>
      <c r="V15" s="39"/>
      <c r="W15" s="39"/>
      <c r="X15" s="370"/>
      <c r="Y15" s="39"/>
      <c r="Z15" s="39"/>
      <c r="AA15" s="51"/>
      <c r="AB15" s="51"/>
      <c r="AC15" s="39"/>
      <c r="AD15" s="39"/>
      <c r="AE15" s="230"/>
      <c r="AF15" s="39"/>
      <c r="AG15" s="39"/>
      <c r="AH15" s="39"/>
      <c r="AI15" s="485"/>
      <c r="AJ15" s="39"/>
      <c r="AK15" s="39"/>
      <c r="AL15" s="39"/>
      <c r="AM15" s="39"/>
      <c r="AN15" s="39"/>
      <c r="AO15" s="39"/>
      <c r="AP15" s="39"/>
      <c r="AQ15" s="39"/>
      <c r="AR15" s="39"/>
      <c r="AS15" s="39"/>
      <c r="AT15" s="39"/>
      <c r="AU15" s="39"/>
      <c r="AV15" s="39"/>
      <c r="AW15" s="39"/>
      <c r="AX15" s="39"/>
      <c r="AY15" s="39"/>
      <c r="AZ15" s="39"/>
      <c r="BA15" s="39"/>
      <c r="BB15" s="35"/>
      <c r="BC15" s="53"/>
      <c r="BD15" s="53"/>
      <c r="BE15" s="52"/>
      <c r="BF15" s="53"/>
    </row>
    <row r="16" spans="1:58" ht="12.95" customHeight="1">
      <c r="A16" s="42">
        <v>45933</v>
      </c>
      <c r="B16" s="43" t="s">
        <v>421</v>
      </c>
      <c r="C16" s="402">
        <f>(M16*E16*O16*Q16)/100000000</f>
        <v>0</v>
      </c>
      <c r="D16" s="43" t="s">
        <v>413</v>
      </c>
      <c r="E16" s="44">
        <v>17</v>
      </c>
      <c r="F16" s="44">
        <v>1</v>
      </c>
      <c r="G16" s="415">
        <v>1025</v>
      </c>
      <c r="H16" s="557">
        <f>+N16</f>
        <v>0.19999999999999996</v>
      </c>
      <c r="I16" s="47">
        <v>0.88</v>
      </c>
      <c r="J16" s="86">
        <f>E16*G16*(1-H16)*1440/1000000*2.74</f>
        <v>55.001663999999998</v>
      </c>
      <c r="K16" s="86">
        <f>(IF(G16&lt;L16,L16,G16)*(1-IF(H16&lt;N16,H16,N16))*E16*O16*Q16)/100000000</f>
        <v>0</v>
      </c>
      <c r="L16" s="37">
        <v>1050</v>
      </c>
      <c r="M16" s="37">
        <v>840</v>
      </c>
      <c r="N16" s="48">
        <f>1-(M16/L16)</f>
        <v>0.19999999999999996</v>
      </c>
      <c r="O16" s="49">
        <f>+'Trim Rwd'!H8</f>
        <v>256.5</v>
      </c>
      <c r="P16" s="50">
        <f>O16*(Q16-R16-S16)</f>
        <v>0</v>
      </c>
      <c r="Q16" s="49">
        <f>1440-1440</f>
        <v>0</v>
      </c>
      <c r="R16" s="371">
        <f>1440-1440</f>
        <v>0</v>
      </c>
      <c r="S16" s="371">
        <v>0</v>
      </c>
      <c r="T16" s="39">
        <f>E16*M16*O16*Q16/100000000</f>
        <v>0</v>
      </c>
      <c r="U16" s="39">
        <f>E16*M16*O16*(Q16-R16-S16)/100000000</f>
        <v>0</v>
      </c>
      <c r="V16" s="39">
        <f>E16*G16*(1-N16)*O16/100*(R16+S16)/1000000</f>
        <v>0</v>
      </c>
      <c r="W16" s="39">
        <f>+'1'!K17/1000</f>
        <v>0</v>
      </c>
      <c r="X16" s="370" t="e">
        <f>SUM(W16:W19)/SUM(K16:K19)</f>
        <v>#DIV/0!</v>
      </c>
      <c r="Y16" s="39">
        <v>0</v>
      </c>
      <c r="Z16" s="39">
        <f>+'1'!D44/1000</f>
        <v>0</v>
      </c>
      <c r="AA16" s="51">
        <f>SUM(U16:U19)-SUM(W16:W19)-SUM(Z16:Z19)-SUM(Y16:Y19)</f>
        <v>0</v>
      </c>
      <c r="AB16" s="51">
        <f>(SUM(K16:K19)-SUM(W16:W19)-SUM(Y16:Y19)-SUM(Z16:Z19)-SUM(AC16:AC19)-SUM(V16:V19))-AA16</f>
        <v>0</v>
      </c>
      <c r="AC16" s="39">
        <f>K16-T16</f>
        <v>0</v>
      </c>
      <c r="AD16" s="39">
        <f>+AM16+BA16</f>
        <v>0</v>
      </c>
      <c r="AE16" s="230" t="s">
        <v>418</v>
      </c>
      <c r="AF16" s="39">
        <v>0</v>
      </c>
      <c r="AG16" s="39"/>
      <c r="AH16" s="39"/>
      <c r="AI16" s="485"/>
      <c r="AJ16" s="39"/>
      <c r="AK16" s="39"/>
      <c r="AL16" s="39"/>
      <c r="AM16" s="39">
        <f>SUM(AF16:AL16)+AT16+AV16+AX16</f>
        <v>0</v>
      </c>
      <c r="AN16" s="39"/>
      <c r="AO16" s="39"/>
      <c r="AP16" s="39"/>
      <c r="AQ16" s="39"/>
      <c r="AR16" s="39">
        <f>SUM(AN16:AQ16)</f>
        <v>0</v>
      </c>
      <c r="AS16" s="39"/>
      <c r="AT16" s="39"/>
      <c r="AU16" s="39"/>
      <c r="AV16" s="39"/>
      <c r="AW16" s="39"/>
      <c r="AX16" s="39"/>
      <c r="AY16" s="39"/>
      <c r="AZ16" s="39"/>
      <c r="BA16" s="39">
        <f>+AR16+AS16+AU16+AW16+AY16+AZ16</f>
        <v>0</v>
      </c>
      <c r="BB16" s="35">
        <v>0</v>
      </c>
      <c r="BC16" s="53"/>
      <c r="BD16" s="53"/>
      <c r="BE16" s="35"/>
      <c r="BF16" s="53"/>
    </row>
    <row r="17" spans="1:58" ht="12.95" customHeight="1">
      <c r="A17" s="42"/>
      <c r="B17" s="43"/>
      <c r="C17" s="402"/>
      <c r="D17" s="43"/>
      <c r="E17" s="44"/>
      <c r="F17" s="44"/>
      <c r="G17" s="415"/>
      <c r="H17" s="557"/>
      <c r="I17" s="47"/>
      <c r="J17" s="86"/>
      <c r="K17" s="86"/>
      <c r="L17" s="37"/>
      <c r="M17" s="37"/>
      <c r="N17" s="48"/>
      <c r="O17" s="49"/>
      <c r="P17" s="50"/>
      <c r="Q17" s="49"/>
      <c r="R17" s="371"/>
      <c r="S17" s="371"/>
      <c r="T17" s="39"/>
      <c r="U17" s="39"/>
      <c r="V17" s="39"/>
      <c r="W17" s="39"/>
      <c r="X17" s="40"/>
      <c r="Y17" s="213"/>
      <c r="Z17" s="39"/>
      <c r="AA17" s="39"/>
      <c r="AB17" s="39"/>
      <c r="AC17" s="39"/>
      <c r="AD17" s="39">
        <f t="shared" ref="AD17:AD19" si="8">+AM17+BA17</f>
        <v>0</v>
      </c>
      <c r="AE17" s="230" t="s">
        <v>419</v>
      </c>
      <c r="AF17" s="39"/>
      <c r="AG17" s="39">
        <v>0</v>
      </c>
      <c r="AH17" s="39"/>
      <c r="AI17" s="485"/>
      <c r="AJ17" s="39"/>
      <c r="AK17" s="39"/>
      <c r="AL17" s="39"/>
      <c r="AM17" s="39">
        <f t="shared" ref="AM17:AM19" si="9">SUM(AF17:AL17)+AT17+AV17+AX17</f>
        <v>0</v>
      </c>
      <c r="AN17" s="87"/>
      <c r="AO17" s="39"/>
      <c r="AP17" s="39"/>
      <c r="AQ17" s="39"/>
      <c r="AR17" s="39">
        <f t="shared" ref="AR17:AR19" si="10">SUM(AN17:AQ17)</f>
        <v>0</v>
      </c>
      <c r="AS17" s="39"/>
      <c r="AT17" s="39"/>
      <c r="AU17" s="39"/>
      <c r="AV17" s="39"/>
      <c r="AW17" s="39"/>
      <c r="AX17" s="39"/>
      <c r="AY17" s="39"/>
      <c r="AZ17" s="39"/>
      <c r="BA17" s="39">
        <f t="shared" ref="BA17:BA19" si="11">+AR17+AS17+AU17+AW17+AY17+AZ17</f>
        <v>0</v>
      </c>
      <c r="BB17" s="52"/>
      <c r="BC17" s="53">
        <v>0</v>
      </c>
      <c r="BD17" s="53"/>
      <c r="BE17" s="52"/>
      <c r="BF17" s="53"/>
    </row>
    <row r="18" spans="1:58" ht="12.95" customHeight="1">
      <c r="A18" s="42"/>
      <c r="B18" s="43"/>
      <c r="C18" s="402"/>
      <c r="D18" s="43"/>
      <c r="E18" s="44"/>
      <c r="F18" s="44"/>
      <c r="G18" s="45"/>
      <c r="H18" s="46"/>
      <c r="I18" s="47"/>
      <c r="J18" s="86"/>
      <c r="K18" s="86"/>
      <c r="L18" s="37"/>
      <c r="M18" s="37"/>
      <c r="N18" s="48"/>
      <c r="O18" s="49"/>
      <c r="P18" s="50"/>
      <c r="Q18" s="49"/>
      <c r="R18" s="371"/>
      <c r="S18" s="371"/>
      <c r="T18" s="39"/>
      <c r="U18" s="39"/>
      <c r="V18" s="39"/>
      <c r="W18" s="39"/>
      <c r="X18" s="40"/>
      <c r="Y18" s="213"/>
      <c r="Z18" s="39"/>
      <c r="AA18" s="39"/>
      <c r="AB18" s="39"/>
      <c r="AC18" s="39"/>
      <c r="AD18" s="39">
        <f t="shared" si="8"/>
        <v>0</v>
      </c>
      <c r="AE18" s="230" t="s">
        <v>420</v>
      </c>
      <c r="AF18" s="35"/>
      <c r="AG18" s="35"/>
      <c r="AH18" s="35">
        <v>0</v>
      </c>
      <c r="AJ18" s="39"/>
      <c r="AK18" s="39"/>
      <c r="AL18" s="39"/>
      <c r="AM18" s="39">
        <f t="shared" si="9"/>
        <v>0</v>
      </c>
      <c r="AN18" s="39"/>
      <c r="AO18" s="39"/>
      <c r="AP18" s="39"/>
      <c r="AQ18" s="39"/>
      <c r="AR18" s="39">
        <f t="shared" si="10"/>
        <v>0</v>
      </c>
      <c r="AS18" s="39"/>
      <c r="AT18" s="39"/>
      <c r="AU18" s="39"/>
      <c r="AV18" s="39"/>
      <c r="AW18" s="39"/>
      <c r="AX18" s="39"/>
      <c r="AY18" s="39"/>
      <c r="AZ18" s="39"/>
      <c r="BA18" s="39">
        <f t="shared" si="11"/>
        <v>0</v>
      </c>
      <c r="BB18" s="35"/>
      <c r="BC18" s="486"/>
      <c r="BD18" s="486"/>
      <c r="BE18" s="35"/>
      <c r="BF18" s="486"/>
    </row>
    <row r="19" spans="1:58" ht="12.95" customHeight="1">
      <c r="A19" s="42"/>
      <c r="B19" s="43"/>
      <c r="C19" s="402"/>
      <c r="D19" s="43"/>
      <c r="E19" s="44"/>
      <c r="F19" s="44"/>
      <c r="G19" s="45"/>
      <c r="H19" s="46"/>
      <c r="I19" s="47"/>
      <c r="J19" s="86"/>
      <c r="K19" s="86"/>
      <c r="L19" s="37"/>
      <c r="M19" s="37"/>
      <c r="N19" s="48"/>
      <c r="O19" s="49"/>
      <c r="P19" s="50"/>
      <c r="Q19" s="49"/>
      <c r="R19" s="371"/>
      <c r="S19" s="371"/>
      <c r="T19" s="39"/>
      <c r="U19" s="39"/>
      <c r="V19" s="39"/>
      <c r="W19" s="39"/>
      <c r="X19" s="40"/>
      <c r="Y19" s="213"/>
      <c r="Z19" s="39"/>
      <c r="AA19" s="39"/>
      <c r="AB19" s="39"/>
      <c r="AC19" s="39"/>
      <c r="AD19" s="39">
        <f t="shared" si="8"/>
        <v>0</v>
      </c>
      <c r="AE19" s="230" t="s">
        <v>422</v>
      </c>
      <c r="AF19" s="35"/>
      <c r="AG19" s="35"/>
      <c r="AH19" s="35"/>
      <c r="AJ19" s="39"/>
      <c r="AK19" s="39"/>
      <c r="AL19" s="39"/>
      <c r="AM19" s="39">
        <f t="shared" si="9"/>
        <v>0</v>
      </c>
      <c r="AN19" s="39"/>
      <c r="AO19" s="39"/>
      <c r="AP19" s="39"/>
      <c r="AQ19" s="39"/>
      <c r="AR19" s="39">
        <f t="shared" si="10"/>
        <v>0</v>
      </c>
      <c r="AS19" s="39"/>
      <c r="AT19" s="39"/>
      <c r="AU19" s="39">
        <f>1440-1440</f>
        <v>0</v>
      </c>
      <c r="AV19" s="39"/>
      <c r="AW19" s="39"/>
      <c r="AX19" s="39"/>
      <c r="AY19" s="39"/>
      <c r="AZ19" s="39"/>
      <c r="BA19" s="39">
        <f t="shared" si="11"/>
        <v>0</v>
      </c>
      <c r="BB19" s="35"/>
      <c r="BC19" s="486"/>
      <c r="BD19" s="486"/>
      <c r="BE19" s="35"/>
      <c r="BF19" s="486"/>
    </row>
    <row r="20" spans="1:58" ht="12.95" customHeight="1">
      <c r="A20" s="42"/>
      <c r="B20" s="43"/>
      <c r="C20" s="402"/>
      <c r="D20" s="43"/>
      <c r="E20" s="44"/>
      <c r="F20" s="44"/>
      <c r="G20" s="415"/>
      <c r="H20" s="46"/>
      <c r="I20" s="47"/>
      <c r="J20" s="86"/>
      <c r="K20" s="86"/>
      <c r="L20" s="37"/>
      <c r="M20" s="37"/>
      <c r="N20" s="48"/>
      <c r="O20" s="49"/>
      <c r="P20" s="50"/>
      <c r="Q20" s="49"/>
      <c r="R20" s="371"/>
      <c r="S20" s="371"/>
      <c r="T20" s="39"/>
      <c r="U20" s="39"/>
      <c r="V20" s="39"/>
      <c r="W20" s="39"/>
      <c r="X20" s="40"/>
      <c r="Y20" s="213"/>
      <c r="Z20" s="39"/>
      <c r="AA20" s="39"/>
      <c r="AB20" s="39"/>
      <c r="AC20" s="39"/>
      <c r="AD20" s="39"/>
      <c r="AE20" s="230"/>
      <c r="AF20" s="39"/>
      <c r="AG20" s="39"/>
      <c r="AH20" s="39"/>
      <c r="AI20" s="485"/>
      <c r="AJ20" s="39"/>
      <c r="AK20" s="39"/>
      <c r="AL20" s="39"/>
      <c r="AM20" s="39"/>
      <c r="AN20" s="87"/>
      <c r="AO20" s="39"/>
      <c r="AP20" s="39"/>
      <c r="AQ20" s="39"/>
      <c r="AR20" s="39"/>
      <c r="AS20" s="39"/>
      <c r="AT20" s="39"/>
      <c r="AU20" s="39"/>
      <c r="AV20" s="39"/>
      <c r="AW20" s="39"/>
      <c r="AX20" s="39"/>
      <c r="AY20" s="39"/>
      <c r="AZ20" s="39"/>
      <c r="BA20" s="39"/>
      <c r="BB20" s="52"/>
      <c r="BC20" s="53"/>
      <c r="BD20" s="486"/>
      <c r="BE20" s="35"/>
      <c r="BF20" s="486"/>
    </row>
    <row r="21" spans="1:58" ht="12.95" customHeight="1">
      <c r="A21" s="42">
        <v>45934</v>
      </c>
      <c r="B21" s="43" t="s">
        <v>421</v>
      </c>
      <c r="C21" s="402">
        <f>(M21*E21*O21*Q21)/100000000</f>
        <v>0</v>
      </c>
      <c r="D21" s="43" t="s">
        <v>413</v>
      </c>
      <c r="E21" s="44">
        <v>17</v>
      </c>
      <c r="F21" s="44">
        <v>1</v>
      </c>
      <c r="G21" s="415">
        <v>1025</v>
      </c>
      <c r="H21" s="557">
        <f>+N21</f>
        <v>0.19999999999999996</v>
      </c>
      <c r="I21" s="47">
        <v>0.88</v>
      </c>
      <c r="J21" s="86">
        <f>E21*G21*(1-H21)*1440/1000000*2.74</f>
        <v>55.001663999999998</v>
      </c>
      <c r="K21" s="86">
        <f>(IF(G21&lt;L21,L21,G21)*(1-IF(H21&lt;N21,H21,N21))*E21*O21*Q21)/100000000</f>
        <v>0</v>
      </c>
      <c r="L21" s="37">
        <v>1050</v>
      </c>
      <c r="M21" s="37">
        <v>840</v>
      </c>
      <c r="N21" s="48">
        <f>1-(M21/L21)</f>
        <v>0.19999999999999996</v>
      </c>
      <c r="O21" s="49">
        <f>+'Trim Rwd'!H10</f>
        <v>256.5</v>
      </c>
      <c r="P21" s="50">
        <f>O21*(Q21-R21-S21)</f>
        <v>0</v>
      </c>
      <c r="Q21" s="49">
        <f>1440-1440</f>
        <v>0</v>
      </c>
      <c r="R21" s="371">
        <f>1440-1440</f>
        <v>0</v>
      </c>
      <c r="S21" s="371">
        <v>0</v>
      </c>
      <c r="T21" s="39">
        <f>E21*M21*O21*Q21/100000000</f>
        <v>0</v>
      </c>
      <c r="U21" s="39">
        <f>E21*M21*O21*(Q21-R21-S21)/100000000</f>
        <v>0</v>
      </c>
      <c r="V21" s="39">
        <f>E21*G21*(1-N21)*O21/100*(R21+S21)/1000000</f>
        <v>0</v>
      </c>
      <c r="W21" s="39">
        <f>+'1'!K22/1000</f>
        <v>0</v>
      </c>
      <c r="X21" s="370" t="e">
        <f>SUM(W21:W24)/SUM(K21:K24)</f>
        <v>#DIV/0!</v>
      </c>
      <c r="Y21" s="39">
        <v>0</v>
      </c>
      <c r="Z21" s="39">
        <v>0</v>
      </c>
      <c r="AA21" s="51">
        <f>SUM(U21:U24)-SUM(W21:W24)-SUM(Z21:Z24)-SUM(Y21:Y24)</f>
        <v>0</v>
      </c>
      <c r="AB21" s="51">
        <f>(SUM(K21:K24)-SUM(W21:W24)-SUM(Y21:Y24)-SUM(Z21:Z24)-SUM(AC21:AC24)-SUM(V21:V24))-AA21</f>
        <v>0</v>
      </c>
      <c r="AC21" s="39">
        <f>K21-T21</f>
        <v>0</v>
      </c>
      <c r="AD21" s="39">
        <f>+AM21+BA21</f>
        <v>0</v>
      </c>
      <c r="AE21" s="230" t="s">
        <v>418</v>
      </c>
      <c r="AF21" s="39">
        <v>0</v>
      </c>
      <c r="AG21" s="39"/>
      <c r="AH21" s="39"/>
      <c r="AI21" s="485"/>
      <c r="AJ21" s="39"/>
      <c r="AK21" s="39"/>
      <c r="AL21" s="39"/>
      <c r="AM21" s="39">
        <f>SUM(AF21:AL21)+AT21+AV21+AX21</f>
        <v>0</v>
      </c>
      <c r="AN21" s="39"/>
      <c r="AO21" s="39"/>
      <c r="AP21" s="39"/>
      <c r="AQ21" s="39"/>
      <c r="AR21" s="39">
        <f>SUM(AN21:AQ21)</f>
        <v>0</v>
      </c>
      <c r="AS21" s="39"/>
      <c r="AT21" s="39"/>
      <c r="AU21" s="39"/>
      <c r="AV21" s="39"/>
      <c r="AW21" s="39"/>
      <c r="AX21" s="39"/>
      <c r="AY21" s="39"/>
      <c r="AZ21" s="39"/>
      <c r="BA21" s="39">
        <f>+AR21+AS21+AU21+AW21+AY21+AZ21</f>
        <v>0</v>
      </c>
      <c r="BB21" s="35">
        <v>0</v>
      </c>
      <c r="BC21" s="53"/>
      <c r="BD21" s="53"/>
      <c r="BE21" s="35"/>
      <c r="BF21" s="53"/>
    </row>
    <row r="22" spans="1:58" ht="12.95" customHeight="1">
      <c r="A22" s="42"/>
      <c r="B22" s="43"/>
      <c r="C22" s="402"/>
      <c r="D22" s="43"/>
      <c r="E22" s="44"/>
      <c r="F22" s="44"/>
      <c r="G22" s="415"/>
      <c r="H22" s="557"/>
      <c r="I22" s="47"/>
      <c r="J22" s="86"/>
      <c r="K22" s="86"/>
      <c r="L22" s="37"/>
      <c r="M22" s="37"/>
      <c r="N22" s="48"/>
      <c r="O22" s="49"/>
      <c r="P22" s="50"/>
      <c r="Q22" s="49"/>
      <c r="R22" s="371"/>
      <c r="S22" s="371"/>
      <c r="T22" s="39"/>
      <c r="U22" s="39"/>
      <c r="V22" s="39"/>
      <c r="W22" s="39"/>
      <c r="X22" s="40"/>
      <c r="Y22" s="213"/>
      <c r="Z22" s="39"/>
      <c r="AA22" s="39"/>
      <c r="AB22" s="39"/>
      <c r="AC22" s="39"/>
      <c r="AD22" s="39">
        <f t="shared" ref="AD22:AD24" si="12">+AM22+BA22</f>
        <v>0</v>
      </c>
      <c r="AE22" s="230" t="s">
        <v>419</v>
      </c>
      <c r="AF22" s="39"/>
      <c r="AG22" s="39">
        <v>0</v>
      </c>
      <c r="AH22" s="39"/>
      <c r="AI22" s="485"/>
      <c r="AJ22" s="39"/>
      <c r="AK22" s="39"/>
      <c r="AL22" s="39"/>
      <c r="AM22" s="39">
        <f t="shared" ref="AM22:AM24" si="13">SUM(AF22:AL22)+AT22+AV22+AX22</f>
        <v>0</v>
      </c>
      <c r="AN22" s="87"/>
      <c r="AO22" s="39"/>
      <c r="AP22" s="39"/>
      <c r="AQ22" s="39"/>
      <c r="AR22" s="39">
        <f t="shared" ref="AR22:AR24" si="14">SUM(AN22:AQ22)</f>
        <v>0</v>
      </c>
      <c r="AS22" s="39"/>
      <c r="AT22" s="39"/>
      <c r="AU22" s="39"/>
      <c r="AV22" s="39"/>
      <c r="AW22" s="39"/>
      <c r="AX22" s="39"/>
      <c r="AY22" s="39"/>
      <c r="AZ22" s="39"/>
      <c r="BA22" s="39">
        <f t="shared" ref="BA22:BA24" si="15">+AR22+AS22+AU22+AW22+AY22+AZ22</f>
        <v>0</v>
      </c>
      <c r="BB22" s="52"/>
      <c r="BC22" s="53">
        <v>0</v>
      </c>
      <c r="BD22" s="53"/>
      <c r="BE22" s="52"/>
      <c r="BF22" s="53"/>
    </row>
    <row r="23" spans="1:58" ht="12.95" customHeight="1">
      <c r="A23" s="42"/>
      <c r="B23" s="43"/>
      <c r="C23" s="402"/>
      <c r="D23" s="43"/>
      <c r="E23" s="44"/>
      <c r="F23" s="44"/>
      <c r="G23" s="45"/>
      <c r="H23" s="46"/>
      <c r="I23" s="47"/>
      <c r="J23" s="86"/>
      <c r="K23" s="86"/>
      <c r="L23" s="37"/>
      <c r="M23" s="37"/>
      <c r="N23" s="48"/>
      <c r="O23" s="49"/>
      <c r="P23" s="50"/>
      <c r="Q23" s="49"/>
      <c r="R23" s="371"/>
      <c r="S23" s="371"/>
      <c r="T23" s="39"/>
      <c r="U23" s="39"/>
      <c r="V23" s="39"/>
      <c r="W23" s="39"/>
      <c r="X23" s="40"/>
      <c r="Y23" s="213"/>
      <c r="Z23" s="39"/>
      <c r="AA23" s="39"/>
      <c r="AB23" s="39"/>
      <c r="AC23" s="39"/>
      <c r="AD23" s="39">
        <f t="shared" si="12"/>
        <v>0</v>
      </c>
      <c r="AE23" s="230" t="s">
        <v>420</v>
      </c>
      <c r="AF23" s="35"/>
      <c r="AG23" s="35"/>
      <c r="AH23" s="35">
        <v>0</v>
      </c>
      <c r="AJ23" s="39"/>
      <c r="AK23" s="39"/>
      <c r="AL23" s="39"/>
      <c r="AM23" s="39">
        <f t="shared" si="13"/>
        <v>0</v>
      </c>
      <c r="AN23" s="39"/>
      <c r="AO23" s="39"/>
      <c r="AP23" s="39"/>
      <c r="AQ23" s="39"/>
      <c r="AR23" s="39">
        <f t="shared" si="14"/>
        <v>0</v>
      </c>
      <c r="AS23" s="39"/>
      <c r="AT23" s="39"/>
      <c r="AU23" s="39"/>
      <c r="AV23" s="39"/>
      <c r="AW23" s="39"/>
      <c r="AX23" s="39"/>
      <c r="AY23" s="39"/>
      <c r="AZ23" s="39"/>
      <c r="BA23" s="39">
        <f t="shared" si="15"/>
        <v>0</v>
      </c>
      <c r="BB23" s="35"/>
      <c r="BC23" s="486"/>
      <c r="BD23" s="486"/>
      <c r="BE23" s="35"/>
      <c r="BF23" s="486"/>
    </row>
    <row r="24" spans="1:58" ht="12.95" customHeight="1">
      <c r="A24" s="42"/>
      <c r="B24" s="43"/>
      <c r="C24" s="402"/>
      <c r="D24" s="43"/>
      <c r="E24" s="44"/>
      <c r="F24" s="44"/>
      <c r="G24" s="45"/>
      <c r="H24" s="46"/>
      <c r="I24" s="47"/>
      <c r="J24" s="86"/>
      <c r="K24" s="86"/>
      <c r="L24" s="37"/>
      <c r="M24" s="37"/>
      <c r="N24" s="48"/>
      <c r="O24" s="49"/>
      <c r="P24" s="50"/>
      <c r="Q24" s="49"/>
      <c r="R24" s="371"/>
      <c r="S24" s="371"/>
      <c r="T24" s="39"/>
      <c r="U24" s="39"/>
      <c r="V24" s="39"/>
      <c r="W24" s="39"/>
      <c r="X24" s="40"/>
      <c r="Y24" s="213"/>
      <c r="Z24" s="39"/>
      <c r="AA24" s="39"/>
      <c r="AB24" s="39"/>
      <c r="AC24" s="39"/>
      <c r="AD24" s="39">
        <f t="shared" si="12"/>
        <v>0</v>
      </c>
      <c r="AE24" s="230" t="s">
        <v>422</v>
      </c>
      <c r="AF24" s="35"/>
      <c r="AG24" s="35"/>
      <c r="AH24" s="35"/>
      <c r="AJ24" s="39"/>
      <c r="AK24" s="39"/>
      <c r="AL24" s="39"/>
      <c r="AM24" s="39">
        <f t="shared" si="13"/>
        <v>0</v>
      </c>
      <c r="AN24" s="39"/>
      <c r="AO24" s="39"/>
      <c r="AP24" s="39"/>
      <c r="AQ24" s="39"/>
      <c r="AR24" s="39">
        <f t="shared" si="14"/>
        <v>0</v>
      </c>
      <c r="AS24" s="39"/>
      <c r="AT24" s="39"/>
      <c r="AU24" s="39">
        <f>1440-1440</f>
        <v>0</v>
      </c>
      <c r="AV24" s="39"/>
      <c r="AW24" s="39"/>
      <c r="AX24" s="39"/>
      <c r="AY24" s="39"/>
      <c r="AZ24" s="39"/>
      <c r="BA24" s="39">
        <f t="shared" si="15"/>
        <v>0</v>
      </c>
      <c r="BB24" s="35"/>
      <c r="BC24" s="486"/>
      <c r="BD24" s="486"/>
      <c r="BE24" s="35"/>
      <c r="BF24" s="486"/>
    </row>
    <row r="25" spans="1:58" ht="12.95" customHeight="1">
      <c r="A25" s="42"/>
      <c r="B25" s="43"/>
      <c r="C25" s="402"/>
      <c r="D25" s="43"/>
      <c r="E25" s="44"/>
      <c r="F25" s="44"/>
      <c r="G25" s="415"/>
      <c r="H25" s="46"/>
      <c r="I25" s="47"/>
      <c r="J25" s="86"/>
      <c r="K25" s="86"/>
      <c r="L25" s="37"/>
      <c r="M25" s="37"/>
      <c r="N25" s="48"/>
      <c r="O25" s="49"/>
      <c r="P25" s="50"/>
      <c r="Q25" s="49"/>
      <c r="R25" s="371"/>
      <c r="S25" s="371"/>
      <c r="T25" s="39"/>
      <c r="U25" s="39"/>
      <c r="V25" s="39"/>
      <c r="W25" s="39"/>
      <c r="X25" s="40"/>
      <c r="Y25" s="213"/>
      <c r="Z25" s="39"/>
      <c r="AA25" s="39"/>
      <c r="AB25" s="39"/>
      <c r="AC25" s="39"/>
      <c r="AD25" s="39"/>
      <c r="AE25" s="230"/>
      <c r="AF25" s="35"/>
      <c r="AG25" s="35"/>
      <c r="AH25" s="35"/>
      <c r="AJ25" s="39"/>
      <c r="AK25" s="39"/>
      <c r="AL25" s="39"/>
      <c r="AM25" s="39"/>
      <c r="AN25" s="39"/>
      <c r="AO25" s="39"/>
      <c r="AP25" s="39"/>
      <c r="AQ25" s="39"/>
      <c r="AR25" s="39"/>
      <c r="AS25" s="39"/>
      <c r="AT25" s="39"/>
      <c r="AU25" s="39"/>
      <c r="AV25" s="39"/>
      <c r="AW25" s="39"/>
      <c r="AX25" s="39"/>
      <c r="AY25" s="39"/>
      <c r="AZ25" s="39"/>
      <c r="BA25" s="39"/>
      <c r="BB25" s="35"/>
      <c r="BC25" s="486"/>
      <c r="BD25" s="53"/>
      <c r="BE25" s="53"/>
      <c r="BF25" s="53"/>
    </row>
    <row r="26" spans="1:58" ht="12.95" customHeight="1">
      <c r="A26" s="42">
        <v>45935</v>
      </c>
      <c r="B26" s="43" t="s">
        <v>421</v>
      </c>
      <c r="C26" s="402">
        <f>(M26*E26*O26*Q26)/100000000</f>
        <v>0</v>
      </c>
      <c r="D26" s="43" t="s">
        <v>413</v>
      </c>
      <c r="E26" s="44">
        <v>17</v>
      </c>
      <c r="F26" s="44">
        <v>1</v>
      </c>
      <c r="G26" s="415">
        <v>1025</v>
      </c>
      <c r="H26" s="557">
        <f>+N26</f>
        <v>0.19999999999999996</v>
      </c>
      <c r="I26" s="47">
        <v>0.88</v>
      </c>
      <c r="J26" s="86">
        <f>E26*G26*(1-H26)*1440/1000000*2.74</f>
        <v>55.001663999999998</v>
      </c>
      <c r="K26" s="86">
        <f>(IF(G26&lt;L26,L26,G26)*(1-IF(H26&lt;N26,H26,N26))*E26*O26*Q26)/100000000</f>
        <v>0</v>
      </c>
      <c r="L26" s="37">
        <v>1050</v>
      </c>
      <c r="M26" s="37">
        <v>840</v>
      </c>
      <c r="N26" s="48">
        <f>1-(M26/L26)</f>
        <v>0.19999999999999996</v>
      </c>
      <c r="O26" s="49">
        <f>+'Trim Rwd'!H12</f>
        <v>256.5</v>
      </c>
      <c r="P26" s="50">
        <f>O26*(Q26-R26-S26)</f>
        <v>0</v>
      </c>
      <c r="Q26" s="49">
        <f>1440-1440</f>
        <v>0</v>
      </c>
      <c r="R26" s="371">
        <f>1440-1440</f>
        <v>0</v>
      </c>
      <c r="S26" s="371">
        <v>0</v>
      </c>
      <c r="T26" s="39">
        <f>E26*M26*O26*Q26/100000000</f>
        <v>0</v>
      </c>
      <c r="U26" s="39">
        <f>E26*M26*O26*(Q26-R26-S26)/100000000</f>
        <v>0</v>
      </c>
      <c r="V26" s="39">
        <f>E26*G26*(1-N26)*O26/100*(R26+S26)/1000000</f>
        <v>0</v>
      </c>
      <c r="W26" s="39">
        <f>+'1'!K27/1000</f>
        <v>0</v>
      </c>
      <c r="X26" s="370" t="e">
        <f>SUM(W26:W29)/SUM(K26:K29)</f>
        <v>#DIV/0!</v>
      </c>
      <c r="Y26" s="39">
        <v>0</v>
      </c>
      <c r="Z26" s="39">
        <v>0</v>
      </c>
      <c r="AA26" s="51">
        <f>SUM(U26:U29)-SUM(W26:W29)-SUM(Z26:Z29)-SUM(Y26:Y29)</f>
        <v>0</v>
      </c>
      <c r="AB26" s="51">
        <f>(SUM(K26:K29)-SUM(W26:W29)-SUM(Y26:Y29)-SUM(Z26:Z29)-SUM(AC26:AC29)-SUM(V26:V29))-AA26</f>
        <v>0</v>
      </c>
      <c r="AC26" s="39">
        <f>K26-T26</f>
        <v>0</v>
      </c>
      <c r="AD26" s="39">
        <f>+AM26+BA26</f>
        <v>0</v>
      </c>
      <c r="AE26" s="230" t="s">
        <v>418</v>
      </c>
      <c r="AF26" s="39">
        <v>0</v>
      </c>
      <c r="AG26" s="39"/>
      <c r="AH26" s="39"/>
      <c r="AI26" s="485"/>
      <c r="AJ26" s="39"/>
      <c r="AK26" s="39"/>
      <c r="AL26" s="39"/>
      <c r="AM26" s="39">
        <f>SUM(AF26:AL26)+AT26+AV26+AX26</f>
        <v>0</v>
      </c>
      <c r="AN26" s="39"/>
      <c r="AO26" s="39"/>
      <c r="AP26" s="39"/>
      <c r="AQ26" s="39"/>
      <c r="AR26" s="39">
        <f>SUM(AN26:AQ26)</f>
        <v>0</v>
      </c>
      <c r="AS26" s="39"/>
      <c r="AT26" s="39"/>
      <c r="AU26" s="39"/>
      <c r="AV26" s="39"/>
      <c r="AW26" s="39"/>
      <c r="AX26" s="39"/>
      <c r="AY26" s="39"/>
      <c r="AZ26" s="39"/>
      <c r="BA26" s="39">
        <f>+AR26+AS26+AU26+AW26+AY26+AZ26</f>
        <v>0</v>
      </c>
      <c r="BB26" s="35">
        <v>0</v>
      </c>
      <c r="BC26" s="53"/>
      <c r="BD26" s="53"/>
      <c r="BE26" s="35"/>
      <c r="BF26" s="53"/>
    </row>
    <row r="27" spans="1:58" ht="12.95" customHeight="1">
      <c r="A27" s="42"/>
      <c r="B27" s="43"/>
      <c r="C27" s="402"/>
      <c r="D27" s="43"/>
      <c r="E27" s="44"/>
      <c r="F27" s="44"/>
      <c r="G27" s="415"/>
      <c r="H27" s="557"/>
      <c r="I27" s="47"/>
      <c r="J27" s="86"/>
      <c r="K27" s="86"/>
      <c r="L27" s="37"/>
      <c r="M27" s="37"/>
      <c r="N27" s="48"/>
      <c r="O27" s="49"/>
      <c r="P27" s="50"/>
      <c r="Q27" s="49"/>
      <c r="R27" s="371"/>
      <c r="S27" s="371"/>
      <c r="T27" s="39"/>
      <c r="U27" s="39"/>
      <c r="V27" s="39"/>
      <c r="W27" s="39"/>
      <c r="X27" s="40"/>
      <c r="Y27" s="213"/>
      <c r="Z27" s="39"/>
      <c r="AA27" s="39"/>
      <c r="AB27" s="39"/>
      <c r="AC27" s="39"/>
      <c r="AD27" s="39">
        <f t="shared" ref="AD27:AD29" si="16">+AM27+BA27</f>
        <v>0</v>
      </c>
      <c r="AE27" s="230" t="s">
        <v>419</v>
      </c>
      <c r="AF27" s="39"/>
      <c r="AG27" s="39">
        <v>0</v>
      </c>
      <c r="AH27" s="39"/>
      <c r="AI27" s="485"/>
      <c r="AJ27" s="39"/>
      <c r="AK27" s="39"/>
      <c r="AL27" s="39"/>
      <c r="AM27" s="39">
        <f t="shared" ref="AM27:AM29" si="17">SUM(AF27:AL27)+AT27+AV27+AX27</f>
        <v>0</v>
      </c>
      <c r="AN27" s="87"/>
      <c r="AO27" s="39"/>
      <c r="AP27" s="39"/>
      <c r="AQ27" s="39"/>
      <c r="AR27" s="39">
        <f t="shared" ref="AR27:AR29" si="18">SUM(AN27:AQ27)</f>
        <v>0</v>
      </c>
      <c r="AS27" s="39"/>
      <c r="AT27" s="39"/>
      <c r="AU27" s="39"/>
      <c r="AV27" s="39"/>
      <c r="AW27" s="39"/>
      <c r="AX27" s="39"/>
      <c r="AY27" s="39"/>
      <c r="AZ27" s="39"/>
      <c r="BA27" s="39">
        <f t="shared" ref="BA27:BA29" si="19">+AR27+AS27+AU27+AW27+AY27+AZ27</f>
        <v>0</v>
      </c>
      <c r="BB27" s="52"/>
      <c r="BC27" s="53">
        <v>0</v>
      </c>
      <c r="BD27" s="53"/>
      <c r="BE27" s="52"/>
      <c r="BF27" s="53"/>
    </row>
    <row r="28" spans="1:58" ht="12.95" customHeight="1">
      <c r="A28" s="42"/>
      <c r="B28" s="43"/>
      <c r="C28" s="402"/>
      <c r="D28" s="43"/>
      <c r="E28" s="44"/>
      <c r="F28" s="44"/>
      <c r="G28" s="45"/>
      <c r="H28" s="46"/>
      <c r="I28" s="47"/>
      <c r="J28" s="86"/>
      <c r="K28" s="86"/>
      <c r="L28" s="37"/>
      <c r="M28" s="37"/>
      <c r="N28" s="48"/>
      <c r="O28" s="49"/>
      <c r="P28" s="50"/>
      <c r="Q28" s="49"/>
      <c r="R28" s="371"/>
      <c r="S28" s="371"/>
      <c r="T28" s="39"/>
      <c r="U28" s="39"/>
      <c r="V28" s="39"/>
      <c r="W28" s="39"/>
      <c r="X28" s="40"/>
      <c r="Y28" s="213"/>
      <c r="Z28" s="39"/>
      <c r="AA28" s="39"/>
      <c r="AB28" s="39"/>
      <c r="AC28" s="39"/>
      <c r="AD28" s="39">
        <f t="shared" si="16"/>
        <v>0</v>
      </c>
      <c r="AE28" s="230" t="s">
        <v>420</v>
      </c>
      <c r="AF28" s="35"/>
      <c r="AG28" s="35"/>
      <c r="AH28" s="35">
        <v>0</v>
      </c>
      <c r="AJ28" s="39"/>
      <c r="AK28" s="39"/>
      <c r="AL28" s="39"/>
      <c r="AM28" s="39">
        <f t="shared" si="17"/>
        <v>0</v>
      </c>
      <c r="AN28" s="39"/>
      <c r="AO28" s="39"/>
      <c r="AP28" s="39"/>
      <c r="AQ28" s="39"/>
      <c r="AR28" s="39">
        <f t="shared" si="18"/>
        <v>0</v>
      </c>
      <c r="AS28" s="39"/>
      <c r="AT28" s="39"/>
      <c r="AU28" s="39"/>
      <c r="AV28" s="39"/>
      <c r="AW28" s="39"/>
      <c r="AX28" s="39"/>
      <c r="AY28" s="39"/>
      <c r="AZ28" s="39"/>
      <c r="BA28" s="39">
        <f t="shared" si="19"/>
        <v>0</v>
      </c>
      <c r="BB28" s="35"/>
      <c r="BC28" s="486"/>
      <c r="BD28" s="486"/>
      <c r="BE28" s="35"/>
      <c r="BF28" s="486"/>
    </row>
    <row r="29" spans="1:58" ht="12.95" customHeight="1">
      <c r="A29" s="42"/>
      <c r="B29" s="43"/>
      <c r="C29" s="402"/>
      <c r="D29" s="43"/>
      <c r="E29" s="44"/>
      <c r="F29" s="44"/>
      <c r="G29" s="45"/>
      <c r="H29" s="46"/>
      <c r="I29" s="47"/>
      <c r="J29" s="86"/>
      <c r="K29" s="86"/>
      <c r="L29" s="37"/>
      <c r="M29" s="37"/>
      <c r="N29" s="48"/>
      <c r="O29" s="49"/>
      <c r="P29" s="50"/>
      <c r="Q29" s="49"/>
      <c r="R29" s="371"/>
      <c r="S29" s="371"/>
      <c r="T29" s="39"/>
      <c r="U29" s="39"/>
      <c r="V29" s="39"/>
      <c r="W29" s="39"/>
      <c r="X29" s="40"/>
      <c r="Y29" s="213"/>
      <c r="Z29" s="39"/>
      <c r="AA29" s="39"/>
      <c r="AB29" s="39"/>
      <c r="AC29" s="39"/>
      <c r="AD29" s="39">
        <f t="shared" si="16"/>
        <v>0</v>
      </c>
      <c r="AE29" s="230" t="s">
        <v>422</v>
      </c>
      <c r="AF29" s="35"/>
      <c r="AG29" s="35"/>
      <c r="AH29" s="35"/>
      <c r="AJ29" s="39"/>
      <c r="AK29" s="39"/>
      <c r="AL29" s="39"/>
      <c r="AM29" s="39">
        <f t="shared" si="17"/>
        <v>0</v>
      </c>
      <c r="AN29" s="39"/>
      <c r="AO29" s="39"/>
      <c r="AP29" s="39"/>
      <c r="AQ29" s="39"/>
      <c r="AR29" s="39">
        <f t="shared" si="18"/>
        <v>0</v>
      </c>
      <c r="AS29" s="39"/>
      <c r="AT29" s="39"/>
      <c r="AU29" s="39">
        <f>1440-1440</f>
        <v>0</v>
      </c>
      <c r="AV29" s="39"/>
      <c r="AW29" s="39"/>
      <c r="AX29" s="39"/>
      <c r="AY29" s="39"/>
      <c r="AZ29" s="39"/>
      <c r="BA29" s="39">
        <f t="shared" si="19"/>
        <v>0</v>
      </c>
      <c r="BB29" s="35"/>
      <c r="BC29" s="486"/>
      <c r="BD29" s="486"/>
      <c r="BE29" s="35"/>
      <c r="BF29" s="486"/>
    </row>
    <row r="30" spans="1:58" ht="12.95" customHeight="1">
      <c r="A30" s="42"/>
      <c r="B30" s="554"/>
      <c r="C30" s="555"/>
      <c r="D30" s="554"/>
      <c r="E30" s="44"/>
      <c r="F30" s="44"/>
      <c r="G30" s="556"/>
      <c r="H30" s="46"/>
      <c r="I30" s="47"/>
      <c r="J30" s="86"/>
      <c r="K30" s="86"/>
      <c r="L30" s="558"/>
      <c r="M30" s="558"/>
      <c r="N30" s="48"/>
      <c r="O30" s="49"/>
      <c r="P30" s="50"/>
      <c r="Q30" s="49"/>
      <c r="R30" s="559"/>
      <c r="S30" s="559"/>
      <c r="T30" s="39"/>
      <c r="U30" s="39"/>
      <c r="V30" s="39"/>
      <c r="W30" s="39"/>
      <c r="X30" s="370"/>
      <c r="Y30" s="213"/>
      <c r="Z30" s="39"/>
      <c r="AA30" s="39"/>
      <c r="AB30" s="39"/>
      <c r="AC30" s="39"/>
      <c r="AD30" s="39"/>
      <c r="AE30" s="230"/>
      <c r="AF30" s="39"/>
      <c r="AG30" s="39"/>
      <c r="AH30" s="39"/>
      <c r="AI30" s="485"/>
      <c r="AJ30" s="39"/>
      <c r="AK30" s="39"/>
      <c r="AL30" s="39"/>
      <c r="AM30" s="39"/>
      <c r="AN30" s="87"/>
      <c r="AO30" s="39"/>
      <c r="AP30" s="39"/>
      <c r="AQ30" s="39"/>
      <c r="AR30" s="39"/>
      <c r="AS30" s="39"/>
      <c r="AT30" s="39"/>
      <c r="AU30" s="39"/>
      <c r="AV30" s="39"/>
      <c r="AW30" s="39"/>
      <c r="AX30" s="39"/>
      <c r="AY30" s="39"/>
      <c r="AZ30" s="39"/>
      <c r="BA30" s="39"/>
      <c r="BB30" s="52"/>
      <c r="BC30" s="53"/>
      <c r="BD30" s="53"/>
      <c r="BE30" s="52"/>
      <c r="BF30" s="53"/>
    </row>
    <row r="31" spans="1:58" ht="12.95" customHeight="1">
      <c r="A31" s="42">
        <v>45936</v>
      </c>
      <c r="B31" s="43" t="s">
        <v>421</v>
      </c>
      <c r="C31" s="402">
        <f>(M31*E31*O31*Q31)/100000000</f>
        <v>0</v>
      </c>
      <c r="D31" s="43" t="s">
        <v>413</v>
      </c>
      <c r="E31" s="44">
        <v>17</v>
      </c>
      <c r="F31" s="44">
        <v>1</v>
      </c>
      <c r="G31" s="415">
        <v>1025</v>
      </c>
      <c r="H31" s="557">
        <f>+N31</f>
        <v>0.19999999999999996</v>
      </c>
      <c r="I31" s="47">
        <v>0.88</v>
      </c>
      <c r="J31" s="86">
        <f>E31*G31*(1-H31)*1440/1000000*2.74</f>
        <v>55.001663999999998</v>
      </c>
      <c r="K31" s="86">
        <f>(IF(G31&lt;L31,L31,G31)*(1-IF(H31&lt;N31,H31,N31))*E31*O31*Q31)/100000000</f>
        <v>0</v>
      </c>
      <c r="L31" s="37">
        <v>1050</v>
      </c>
      <c r="M31" s="37">
        <v>840</v>
      </c>
      <c r="N31" s="48">
        <f>1-(M31/L31)</f>
        <v>0.19999999999999996</v>
      </c>
      <c r="O31" s="49">
        <f>+'Trim Rwd'!H14</f>
        <v>256.5</v>
      </c>
      <c r="P31" s="50">
        <f>O31*(Q31-R31-S31)</f>
        <v>0</v>
      </c>
      <c r="Q31" s="49">
        <f>1440-1440</f>
        <v>0</v>
      </c>
      <c r="R31" s="371">
        <f>1440-1440</f>
        <v>0</v>
      </c>
      <c r="S31" s="371">
        <v>0</v>
      </c>
      <c r="T31" s="39">
        <f>E31*M31*O31*Q31/100000000</f>
        <v>0</v>
      </c>
      <c r="U31" s="39">
        <f>E31*M31*O31*(Q31-R31-S31)/100000000</f>
        <v>0</v>
      </c>
      <c r="V31" s="39">
        <f>E31*G31*(1-N31)*O31/100*(R31+S31)/1000000</f>
        <v>0</v>
      </c>
      <c r="W31" s="39">
        <f>+'1'!K32/1000</f>
        <v>0</v>
      </c>
      <c r="X31" s="370" t="e">
        <f>SUM(W31:W34)/SUM(K31:K34)</f>
        <v>#DIV/0!</v>
      </c>
      <c r="Y31" s="39">
        <v>0</v>
      </c>
      <c r="Z31" s="39">
        <f>+'1'!D59/1000</f>
        <v>0</v>
      </c>
      <c r="AA31" s="51">
        <f>SUM(U31:U34)-SUM(W31:W34)-SUM(Z31:Z34)-SUM(Y31:Y34)</f>
        <v>0</v>
      </c>
      <c r="AB31" s="51">
        <f>(SUM(K31:K34)-SUM(W31:W34)-SUM(Y31:Y34)-SUM(Z31:Z34)-SUM(AC31:AC34)-SUM(V31:V34))-AA31</f>
        <v>0</v>
      </c>
      <c r="AC31" s="39">
        <f>K31-T31</f>
        <v>0</v>
      </c>
      <c r="AD31" s="39">
        <f>+AM31+BA31</f>
        <v>0</v>
      </c>
      <c r="AE31" s="230" t="s">
        <v>418</v>
      </c>
      <c r="AF31" s="39">
        <v>0</v>
      </c>
      <c r="AG31" s="39"/>
      <c r="AH31" s="39"/>
      <c r="AI31" s="485"/>
      <c r="AJ31" s="39"/>
      <c r="AK31" s="39"/>
      <c r="AL31" s="39"/>
      <c r="AM31" s="39">
        <f>SUM(AF31:AL31)+AT31+AV31+AX31</f>
        <v>0</v>
      </c>
      <c r="AN31" s="39"/>
      <c r="AO31" s="39"/>
      <c r="AP31" s="39"/>
      <c r="AQ31" s="39"/>
      <c r="AR31" s="39">
        <f>SUM(AN31:AQ31)</f>
        <v>0</v>
      </c>
      <c r="AS31" s="39"/>
      <c r="AT31" s="39"/>
      <c r="AU31" s="39"/>
      <c r="AV31" s="39"/>
      <c r="AW31" s="39"/>
      <c r="AX31" s="39"/>
      <c r="AY31" s="39"/>
      <c r="AZ31" s="39"/>
      <c r="BA31" s="39">
        <f>+AR31+AS31+AU31+AW31+AY31+AZ31</f>
        <v>0</v>
      </c>
      <c r="BB31" s="35">
        <v>0</v>
      </c>
      <c r="BC31" s="53"/>
      <c r="BD31" s="53"/>
      <c r="BE31" s="35"/>
      <c r="BF31" s="53"/>
    </row>
    <row r="32" spans="1:58" ht="12.95" customHeight="1">
      <c r="A32" s="42"/>
      <c r="B32" s="43"/>
      <c r="C32" s="402"/>
      <c r="D32" s="43"/>
      <c r="E32" s="44"/>
      <c r="F32" s="44"/>
      <c r="G32" s="415"/>
      <c r="H32" s="557"/>
      <c r="I32" s="47"/>
      <c r="J32" s="86"/>
      <c r="K32" s="86"/>
      <c r="L32" s="37"/>
      <c r="M32" s="37"/>
      <c r="N32" s="48"/>
      <c r="O32" s="49"/>
      <c r="P32" s="50"/>
      <c r="Q32" s="49"/>
      <c r="R32" s="371"/>
      <c r="S32" s="371"/>
      <c r="T32" s="39"/>
      <c r="U32" s="39"/>
      <c r="V32" s="39"/>
      <c r="W32" s="39"/>
      <c r="X32" s="40"/>
      <c r="Y32" s="213"/>
      <c r="Z32" s="39"/>
      <c r="AA32" s="39"/>
      <c r="AB32" s="39"/>
      <c r="AC32" s="39"/>
      <c r="AD32" s="39">
        <f t="shared" ref="AD32:AD34" si="20">+AM32+BA32</f>
        <v>0</v>
      </c>
      <c r="AE32" s="230" t="s">
        <v>419</v>
      </c>
      <c r="AF32" s="39"/>
      <c r="AG32" s="39">
        <v>0</v>
      </c>
      <c r="AH32" s="39"/>
      <c r="AI32" s="485"/>
      <c r="AJ32" s="39"/>
      <c r="AK32" s="39"/>
      <c r="AL32" s="39"/>
      <c r="AM32" s="39">
        <f t="shared" ref="AM32:AM34" si="21">SUM(AF32:AL32)+AT32+AV32+AX32</f>
        <v>0</v>
      </c>
      <c r="AN32" s="87"/>
      <c r="AO32" s="39"/>
      <c r="AP32" s="39"/>
      <c r="AQ32" s="39"/>
      <c r="AR32" s="39">
        <f t="shared" ref="AR32:AR34" si="22">SUM(AN32:AQ32)</f>
        <v>0</v>
      </c>
      <c r="AS32" s="39"/>
      <c r="AT32" s="39"/>
      <c r="AU32" s="39"/>
      <c r="AV32" s="39"/>
      <c r="AW32" s="39"/>
      <c r="AX32" s="39"/>
      <c r="AY32" s="39"/>
      <c r="AZ32" s="39"/>
      <c r="BA32" s="39">
        <f t="shared" ref="BA32:BA34" si="23">+AR32+AS32+AU32+AW32+AY32+AZ32</f>
        <v>0</v>
      </c>
      <c r="BB32" s="52"/>
      <c r="BC32" s="53">
        <v>0</v>
      </c>
      <c r="BD32" s="53"/>
      <c r="BE32" s="52"/>
      <c r="BF32" s="53"/>
    </row>
    <row r="33" spans="1:58" ht="12.95" customHeight="1">
      <c r="A33" s="42"/>
      <c r="B33" s="43"/>
      <c r="C33" s="402"/>
      <c r="D33" s="43"/>
      <c r="E33" s="44"/>
      <c r="F33" s="44"/>
      <c r="G33" s="45"/>
      <c r="H33" s="46"/>
      <c r="I33" s="47"/>
      <c r="J33" s="86"/>
      <c r="K33" s="86"/>
      <c r="L33" s="37"/>
      <c r="M33" s="37"/>
      <c r="N33" s="48"/>
      <c r="O33" s="49"/>
      <c r="P33" s="50"/>
      <c r="Q33" s="49"/>
      <c r="R33" s="371"/>
      <c r="S33" s="371"/>
      <c r="T33" s="39"/>
      <c r="U33" s="39"/>
      <c r="V33" s="39"/>
      <c r="W33" s="39"/>
      <c r="X33" s="40"/>
      <c r="Y33" s="213"/>
      <c r="Z33" s="39"/>
      <c r="AA33" s="39"/>
      <c r="AB33" s="39"/>
      <c r="AC33" s="39"/>
      <c r="AD33" s="39">
        <f t="shared" si="20"/>
        <v>0</v>
      </c>
      <c r="AE33" s="230" t="s">
        <v>420</v>
      </c>
      <c r="AF33" s="35"/>
      <c r="AG33" s="35"/>
      <c r="AH33" s="35">
        <v>0</v>
      </c>
      <c r="AJ33" s="39"/>
      <c r="AK33" s="39"/>
      <c r="AL33" s="39"/>
      <c r="AM33" s="39">
        <f t="shared" si="21"/>
        <v>0</v>
      </c>
      <c r="AN33" s="39"/>
      <c r="AO33" s="39"/>
      <c r="AP33" s="39"/>
      <c r="AQ33" s="39"/>
      <c r="AR33" s="39">
        <f t="shared" si="22"/>
        <v>0</v>
      </c>
      <c r="AS33" s="39"/>
      <c r="AT33" s="39"/>
      <c r="AU33" s="39"/>
      <c r="AV33" s="39"/>
      <c r="AW33" s="39"/>
      <c r="AX33" s="39"/>
      <c r="AY33" s="39"/>
      <c r="AZ33" s="39"/>
      <c r="BA33" s="39">
        <f t="shared" si="23"/>
        <v>0</v>
      </c>
      <c r="BB33" s="35"/>
      <c r="BC33" s="486"/>
      <c r="BD33" s="486"/>
      <c r="BE33" s="35"/>
      <c r="BF33" s="486"/>
    </row>
    <row r="34" spans="1:58" ht="12.95" customHeight="1">
      <c r="A34" s="42"/>
      <c r="B34" s="43"/>
      <c r="C34" s="402"/>
      <c r="D34" s="43"/>
      <c r="E34" s="44"/>
      <c r="F34" s="44"/>
      <c r="G34" s="45"/>
      <c r="H34" s="46"/>
      <c r="I34" s="47"/>
      <c r="J34" s="86"/>
      <c r="K34" s="86"/>
      <c r="L34" s="37"/>
      <c r="M34" s="37"/>
      <c r="N34" s="48"/>
      <c r="O34" s="49"/>
      <c r="P34" s="50"/>
      <c r="Q34" s="49"/>
      <c r="R34" s="371"/>
      <c r="S34" s="371"/>
      <c r="T34" s="39"/>
      <c r="U34" s="39"/>
      <c r="V34" s="39"/>
      <c r="W34" s="39"/>
      <c r="X34" s="40"/>
      <c r="Y34" s="213"/>
      <c r="Z34" s="39"/>
      <c r="AA34" s="39"/>
      <c r="AB34" s="39"/>
      <c r="AC34" s="39"/>
      <c r="AD34" s="39">
        <f t="shared" si="20"/>
        <v>0</v>
      </c>
      <c r="AE34" s="230" t="s">
        <v>422</v>
      </c>
      <c r="AF34" s="35"/>
      <c r="AG34" s="35"/>
      <c r="AH34" s="35"/>
      <c r="AJ34" s="39"/>
      <c r="AK34" s="39"/>
      <c r="AL34" s="39"/>
      <c r="AM34" s="39">
        <f t="shared" si="21"/>
        <v>0</v>
      </c>
      <c r="AN34" s="39"/>
      <c r="AO34" s="39"/>
      <c r="AP34" s="39"/>
      <c r="AQ34" s="39"/>
      <c r="AR34" s="39">
        <f t="shared" si="22"/>
        <v>0</v>
      </c>
      <c r="AS34" s="39"/>
      <c r="AT34" s="39"/>
      <c r="AU34" s="39">
        <f>1440-1440</f>
        <v>0</v>
      </c>
      <c r="AV34" s="39"/>
      <c r="AW34" s="39"/>
      <c r="AX34" s="39"/>
      <c r="AY34" s="39"/>
      <c r="AZ34" s="39"/>
      <c r="BA34" s="39">
        <f t="shared" si="23"/>
        <v>0</v>
      </c>
      <c r="BB34" s="35"/>
      <c r="BC34" s="486"/>
      <c r="BD34" s="486"/>
      <c r="BE34" s="35"/>
      <c r="BF34" s="486"/>
    </row>
    <row r="35" spans="1:58" ht="12.95" customHeight="1">
      <c r="A35" s="42"/>
      <c r="B35" s="554"/>
      <c r="C35" s="555"/>
      <c r="D35" s="554"/>
      <c r="E35" s="44"/>
      <c r="F35" s="44"/>
      <c r="G35" s="556"/>
      <c r="H35" s="46"/>
      <c r="I35" s="47"/>
      <c r="J35" s="86"/>
      <c r="K35" s="86"/>
      <c r="L35" s="558"/>
      <c r="M35" s="558"/>
      <c r="N35" s="48"/>
      <c r="O35" s="49"/>
      <c r="P35" s="50"/>
      <c r="Q35" s="49"/>
      <c r="R35" s="559"/>
      <c r="S35" s="559"/>
      <c r="T35" s="39"/>
      <c r="U35" s="39"/>
      <c r="V35" s="39"/>
      <c r="W35" s="39"/>
      <c r="X35" s="370"/>
      <c r="Y35" s="213"/>
      <c r="Z35" s="39"/>
      <c r="AA35" s="39"/>
      <c r="AB35" s="39"/>
      <c r="AC35" s="39"/>
      <c r="AD35" s="39"/>
      <c r="AE35" s="230"/>
      <c r="AF35" s="35"/>
      <c r="AG35" s="35"/>
      <c r="AH35" s="35"/>
      <c r="AJ35" s="39"/>
      <c r="AK35" s="39"/>
      <c r="AL35" s="39"/>
      <c r="AM35" s="39"/>
      <c r="AN35" s="39"/>
      <c r="AO35" s="39"/>
      <c r="AP35" s="39"/>
      <c r="AQ35" s="39"/>
      <c r="AR35" s="39"/>
      <c r="AS35" s="39"/>
      <c r="AT35" s="39"/>
      <c r="AU35" s="39"/>
      <c r="AV35" s="39"/>
      <c r="AW35" s="39"/>
      <c r="AX35" s="39"/>
      <c r="AY35" s="39"/>
      <c r="AZ35" s="39"/>
      <c r="BA35" s="39"/>
      <c r="BB35" s="35"/>
      <c r="BC35" s="486"/>
      <c r="BD35" s="53"/>
      <c r="BE35" s="52"/>
      <c r="BF35" s="53"/>
    </row>
    <row r="36" spans="1:58" ht="12.95" customHeight="1">
      <c r="A36" s="42">
        <v>45937</v>
      </c>
      <c r="B36" s="43" t="s">
        <v>421</v>
      </c>
      <c r="C36" s="402">
        <f>(M36*E36*O36*Q36)/100000000</f>
        <v>0</v>
      </c>
      <c r="D36" s="43" t="s">
        <v>413</v>
      </c>
      <c r="E36" s="44">
        <v>17</v>
      </c>
      <c r="F36" s="44">
        <v>1</v>
      </c>
      <c r="G36" s="415">
        <v>1025</v>
      </c>
      <c r="H36" s="557">
        <f>+N36</f>
        <v>0.19999999999999996</v>
      </c>
      <c r="I36" s="47">
        <v>0.88</v>
      </c>
      <c r="J36" s="86">
        <f>E36*G36*(1-H36)*1440/1000000*2.74</f>
        <v>55.001663999999998</v>
      </c>
      <c r="K36" s="86">
        <f>(IF(G36&lt;L36,L36,G36)*(1-IF(H36&lt;N36,H36,N36))*E36*O36*Q36)/100000000</f>
        <v>0</v>
      </c>
      <c r="L36" s="37">
        <v>1050</v>
      </c>
      <c r="M36" s="37">
        <v>840</v>
      </c>
      <c r="N36" s="48">
        <f>1-(M36/L36)</f>
        <v>0.19999999999999996</v>
      </c>
      <c r="O36" s="49">
        <f>+'Trim Rwd'!H16</f>
        <v>256.5</v>
      </c>
      <c r="P36" s="50">
        <f>O36*(Q36-R36-S36)</f>
        <v>0</v>
      </c>
      <c r="Q36" s="49">
        <f>1440-1440</f>
        <v>0</v>
      </c>
      <c r="R36" s="371">
        <f>1440-1440</f>
        <v>0</v>
      </c>
      <c r="S36" s="371">
        <v>0</v>
      </c>
      <c r="T36" s="39">
        <f>E36*M36*O36*Q36/100000000</f>
        <v>0</v>
      </c>
      <c r="U36" s="39">
        <f>E36*M36*O36*(Q36-R36-S36)/100000000</f>
        <v>0</v>
      </c>
      <c r="V36" s="39">
        <f>E36*G36*(1-N36)*O36/100*(R36+S36)/1000000</f>
        <v>0</v>
      </c>
      <c r="W36" s="39">
        <v>0</v>
      </c>
      <c r="X36" s="370" t="e">
        <f>SUM(W36:W39)/SUM(K36:K39)</f>
        <v>#DIV/0!</v>
      </c>
      <c r="Y36" s="39">
        <v>0</v>
      </c>
      <c r="Z36" s="39">
        <f>+'1'!D64/1000</f>
        <v>0</v>
      </c>
      <c r="AA36" s="51">
        <f>SUM(U36:U39)-SUM(W36:W39)-SUM(Z36:Z39)-SUM(Y36:Y39)</f>
        <v>0</v>
      </c>
      <c r="AB36" s="51">
        <f>(SUM(K36:K39)-SUM(W36:W39)-SUM(Y36:Y39)-SUM(Z36:Z39)-SUM(AC36:AC39)-SUM(V36:V39))-AA36</f>
        <v>0</v>
      </c>
      <c r="AC36" s="39">
        <f>K36-T36</f>
        <v>0</v>
      </c>
      <c r="AD36" s="39">
        <f>+AM36+BA36</f>
        <v>0</v>
      </c>
      <c r="AE36" s="230" t="s">
        <v>418</v>
      </c>
      <c r="AF36" s="39">
        <v>0</v>
      </c>
      <c r="AG36" s="39"/>
      <c r="AH36" s="39"/>
      <c r="AI36" s="485"/>
      <c r="AJ36" s="39"/>
      <c r="AK36" s="39"/>
      <c r="AL36" s="39"/>
      <c r="AM36" s="39">
        <f>SUM(AF36:AL36)+AT36+AV36+AX36</f>
        <v>0</v>
      </c>
      <c r="AN36" s="39"/>
      <c r="AO36" s="39"/>
      <c r="AP36" s="39"/>
      <c r="AQ36" s="39"/>
      <c r="AR36" s="39">
        <f>SUM(AN36:AQ36)</f>
        <v>0</v>
      </c>
      <c r="AS36" s="39"/>
      <c r="AT36" s="39"/>
      <c r="AU36" s="39"/>
      <c r="AV36" s="39"/>
      <c r="AW36" s="39"/>
      <c r="AX36" s="39"/>
      <c r="AY36" s="39"/>
      <c r="AZ36" s="39"/>
      <c r="BA36" s="39">
        <f>+AR36+AS36+AU36+AW36+AY36+AZ36</f>
        <v>0</v>
      </c>
      <c r="BB36" s="35">
        <v>0</v>
      </c>
      <c r="BC36" s="53"/>
      <c r="BD36" s="53"/>
      <c r="BE36" s="35"/>
      <c r="BF36" s="53"/>
    </row>
    <row r="37" spans="1:58" ht="12.95" customHeight="1">
      <c r="A37" s="42"/>
      <c r="B37" s="43"/>
      <c r="C37" s="402"/>
      <c r="D37" s="43"/>
      <c r="E37" s="44"/>
      <c r="F37" s="44"/>
      <c r="G37" s="415"/>
      <c r="H37" s="557"/>
      <c r="I37" s="47"/>
      <c r="J37" s="86"/>
      <c r="K37" s="86"/>
      <c r="L37" s="37"/>
      <c r="M37" s="37"/>
      <c r="N37" s="48"/>
      <c r="O37" s="49"/>
      <c r="P37" s="50"/>
      <c r="Q37" s="49"/>
      <c r="R37" s="371"/>
      <c r="S37" s="371"/>
      <c r="T37" s="39"/>
      <c r="U37" s="39"/>
      <c r="V37" s="39"/>
      <c r="W37" s="39"/>
      <c r="X37" s="40"/>
      <c r="Y37" s="213"/>
      <c r="Z37" s="39"/>
      <c r="AA37" s="39"/>
      <c r="AB37" s="39"/>
      <c r="AC37" s="39"/>
      <c r="AD37" s="39">
        <f t="shared" ref="AD37:AD39" si="24">+AM37+BA37</f>
        <v>0</v>
      </c>
      <c r="AE37" s="230" t="s">
        <v>419</v>
      </c>
      <c r="AF37" s="39"/>
      <c r="AG37" s="39">
        <v>0</v>
      </c>
      <c r="AH37" s="39"/>
      <c r="AI37" s="485"/>
      <c r="AJ37" s="39"/>
      <c r="AK37" s="39"/>
      <c r="AL37" s="39"/>
      <c r="AM37" s="39">
        <f t="shared" ref="AM37:AM39" si="25">SUM(AF37:AL37)+AT37+AV37+AX37</f>
        <v>0</v>
      </c>
      <c r="AN37" s="87"/>
      <c r="AO37" s="39"/>
      <c r="AP37" s="39"/>
      <c r="AQ37" s="39"/>
      <c r="AR37" s="39">
        <f t="shared" ref="AR37:AR39" si="26">SUM(AN37:AQ37)</f>
        <v>0</v>
      </c>
      <c r="AS37" s="39"/>
      <c r="AT37" s="39"/>
      <c r="AU37" s="39"/>
      <c r="AV37" s="39"/>
      <c r="AW37" s="39"/>
      <c r="AX37" s="39"/>
      <c r="AY37" s="39"/>
      <c r="AZ37" s="39"/>
      <c r="BA37" s="39">
        <f t="shared" ref="BA37:BA39" si="27">+AR37+AS37+AU37+AW37+AY37+AZ37</f>
        <v>0</v>
      </c>
      <c r="BB37" s="52"/>
      <c r="BC37" s="53">
        <v>0</v>
      </c>
      <c r="BD37" s="53"/>
      <c r="BE37" s="52"/>
      <c r="BF37" s="53"/>
    </row>
    <row r="38" spans="1:58" ht="12.95" customHeight="1">
      <c r="A38" s="42"/>
      <c r="B38" s="43"/>
      <c r="C38" s="402"/>
      <c r="D38" s="43"/>
      <c r="E38" s="44"/>
      <c r="F38" s="44"/>
      <c r="G38" s="45"/>
      <c r="H38" s="46"/>
      <c r="I38" s="47"/>
      <c r="J38" s="86"/>
      <c r="K38" s="86"/>
      <c r="L38" s="37"/>
      <c r="M38" s="37"/>
      <c r="N38" s="48"/>
      <c r="O38" s="49"/>
      <c r="P38" s="50"/>
      <c r="Q38" s="49"/>
      <c r="R38" s="371"/>
      <c r="S38" s="371"/>
      <c r="T38" s="39"/>
      <c r="U38" s="39"/>
      <c r="V38" s="39"/>
      <c r="W38" s="39"/>
      <c r="X38" s="40"/>
      <c r="Y38" s="213"/>
      <c r="Z38" s="39"/>
      <c r="AA38" s="39"/>
      <c r="AB38" s="39"/>
      <c r="AC38" s="39"/>
      <c r="AD38" s="39">
        <f t="shared" si="24"/>
        <v>0</v>
      </c>
      <c r="AE38" s="230" t="s">
        <v>420</v>
      </c>
      <c r="AF38" s="35"/>
      <c r="AG38" s="35"/>
      <c r="AH38" s="35">
        <v>0</v>
      </c>
      <c r="AJ38" s="39"/>
      <c r="AK38" s="39"/>
      <c r="AL38" s="39"/>
      <c r="AM38" s="39">
        <f t="shared" si="25"/>
        <v>0</v>
      </c>
      <c r="AN38" s="39"/>
      <c r="AO38" s="39"/>
      <c r="AP38" s="39"/>
      <c r="AQ38" s="39"/>
      <c r="AR38" s="39">
        <f t="shared" si="26"/>
        <v>0</v>
      </c>
      <c r="AS38" s="39"/>
      <c r="AT38" s="39"/>
      <c r="AU38" s="39"/>
      <c r="AV38" s="39"/>
      <c r="AW38" s="39"/>
      <c r="AX38" s="39"/>
      <c r="AY38" s="39"/>
      <c r="AZ38" s="39"/>
      <c r="BA38" s="39">
        <f t="shared" si="27"/>
        <v>0</v>
      </c>
      <c r="BB38" s="35"/>
      <c r="BC38" s="486"/>
      <c r="BD38" s="486"/>
      <c r="BE38" s="35"/>
      <c r="BF38" s="486"/>
    </row>
    <row r="39" spans="1:58" ht="12.95" customHeight="1">
      <c r="A39" s="42"/>
      <c r="B39" s="43"/>
      <c r="C39" s="402"/>
      <c r="D39" s="43"/>
      <c r="E39" s="44"/>
      <c r="F39" s="44"/>
      <c r="G39" s="45"/>
      <c r="H39" s="46"/>
      <c r="I39" s="47"/>
      <c r="J39" s="86"/>
      <c r="K39" s="86"/>
      <c r="L39" s="37"/>
      <c r="M39" s="37"/>
      <c r="N39" s="48"/>
      <c r="O39" s="49"/>
      <c r="P39" s="50"/>
      <c r="Q39" s="49"/>
      <c r="R39" s="371"/>
      <c r="S39" s="371"/>
      <c r="T39" s="39"/>
      <c r="U39" s="39"/>
      <c r="V39" s="39"/>
      <c r="W39" s="39"/>
      <c r="X39" s="40"/>
      <c r="Y39" s="213"/>
      <c r="Z39" s="39"/>
      <c r="AA39" s="39"/>
      <c r="AB39" s="39"/>
      <c r="AC39" s="39"/>
      <c r="AD39" s="39">
        <f t="shared" si="24"/>
        <v>0</v>
      </c>
      <c r="AE39" s="230" t="s">
        <v>422</v>
      </c>
      <c r="AF39" s="35"/>
      <c r="AG39" s="35"/>
      <c r="AH39" s="35"/>
      <c r="AJ39" s="39"/>
      <c r="AK39" s="39"/>
      <c r="AL39" s="39"/>
      <c r="AM39" s="39">
        <f t="shared" si="25"/>
        <v>0</v>
      </c>
      <c r="AN39" s="39"/>
      <c r="AO39" s="39"/>
      <c r="AP39" s="39"/>
      <c r="AQ39" s="39"/>
      <c r="AR39" s="39">
        <f t="shared" si="26"/>
        <v>0</v>
      </c>
      <c r="AS39" s="39"/>
      <c r="AT39" s="39"/>
      <c r="AU39" s="39">
        <f>1440-1440</f>
        <v>0</v>
      </c>
      <c r="AV39" s="39"/>
      <c r="AW39" s="39"/>
      <c r="AX39" s="39"/>
      <c r="AY39" s="39"/>
      <c r="AZ39" s="39"/>
      <c r="BA39" s="39">
        <f t="shared" si="27"/>
        <v>0</v>
      </c>
      <c r="BB39" s="35"/>
      <c r="BC39" s="486"/>
      <c r="BD39" s="486"/>
      <c r="BE39" s="35"/>
      <c r="BF39" s="486"/>
    </row>
    <row r="40" spans="1:58" ht="12.95" customHeight="1">
      <c r="A40" s="42"/>
      <c r="B40" s="43"/>
      <c r="C40" s="402"/>
      <c r="D40" s="43"/>
      <c r="E40" s="44"/>
      <c r="F40" s="44"/>
      <c r="G40" s="415"/>
      <c r="H40" s="557"/>
      <c r="I40" s="47"/>
      <c r="J40" s="86"/>
      <c r="K40" s="86"/>
      <c r="L40" s="37"/>
      <c r="M40" s="37"/>
      <c r="N40" s="48"/>
      <c r="O40" s="49"/>
      <c r="P40" s="50"/>
      <c r="Q40" s="49"/>
      <c r="R40" s="371"/>
      <c r="S40" s="371"/>
      <c r="T40" s="39"/>
      <c r="U40" s="39"/>
      <c r="V40" s="39"/>
      <c r="W40" s="39"/>
      <c r="X40" s="370"/>
      <c r="Y40" s="213"/>
      <c r="Z40" s="39"/>
      <c r="AA40" s="51"/>
      <c r="AB40" s="51"/>
      <c r="AC40" s="39"/>
      <c r="AD40" s="39"/>
      <c r="AE40" s="230"/>
      <c r="AF40" s="39"/>
      <c r="AG40" s="39"/>
      <c r="AH40" s="39"/>
      <c r="AI40" s="39"/>
      <c r="AJ40" s="39"/>
      <c r="AK40" s="39"/>
      <c r="AL40" s="39"/>
      <c r="AM40" s="39"/>
      <c r="AN40" s="39"/>
      <c r="AO40" s="39"/>
      <c r="AP40" s="39"/>
      <c r="AQ40" s="39"/>
      <c r="AR40" s="39"/>
      <c r="AS40" s="39"/>
      <c r="AT40" s="39"/>
      <c r="AU40" s="39"/>
      <c r="AV40" s="39"/>
      <c r="AW40" s="39"/>
      <c r="AX40" s="39"/>
      <c r="AY40" s="39"/>
      <c r="AZ40" s="39"/>
      <c r="BA40" s="39"/>
      <c r="BB40" s="52"/>
      <c r="BC40" s="53"/>
      <c r="BD40" s="486"/>
      <c r="BE40" s="35"/>
      <c r="BF40" s="486"/>
    </row>
    <row r="41" spans="1:58" ht="12.95" customHeight="1">
      <c r="A41" s="42">
        <v>45938</v>
      </c>
      <c r="B41" s="43" t="s">
        <v>421</v>
      </c>
      <c r="C41" s="402">
        <f>(M41*E41*O41*Q41)/100000000</f>
        <v>0</v>
      </c>
      <c r="D41" s="43" t="s">
        <v>413</v>
      </c>
      <c r="E41" s="44">
        <v>17</v>
      </c>
      <c r="F41" s="44">
        <v>1</v>
      </c>
      <c r="G41" s="415">
        <v>1025</v>
      </c>
      <c r="H41" s="557">
        <f>+N41</f>
        <v>0.19999999999999996</v>
      </c>
      <c r="I41" s="47">
        <v>0.88</v>
      </c>
      <c r="J41" s="86">
        <f>E41*G41*(1-H41)*1440/1000000*2.74</f>
        <v>55.001663999999998</v>
      </c>
      <c r="K41" s="86">
        <f>(IF(G41&lt;L41,L41,G41)*(1-IF(H41&lt;N41,H41,N41))*E41*O41*Q41)/100000000</f>
        <v>0</v>
      </c>
      <c r="L41" s="37">
        <v>1050</v>
      </c>
      <c r="M41" s="37">
        <v>840</v>
      </c>
      <c r="N41" s="48">
        <f>1-(M41/L41)</f>
        <v>0.19999999999999996</v>
      </c>
      <c r="O41" s="49">
        <f>+'Trim Rwd'!H18</f>
        <v>256.5</v>
      </c>
      <c r="P41" s="50">
        <f>O41*(Q41-R41-S41)</f>
        <v>0</v>
      </c>
      <c r="Q41" s="49">
        <f>1440-1440</f>
        <v>0</v>
      </c>
      <c r="R41" s="371">
        <f>1440-1440</f>
        <v>0</v>
      </c>
      <c r="S41" s="371">
        <v>0</v>
      </c>
      <c r="T41" s="39">
        <f>E41*M41*O41*Q41/100000000</f>
        <v>0</v>
      </c>
      <c r="U41" s="39">
        <f>E41*M41*O41*(Q41-R41-S41)/100000000</f>
        <v>0</v>
      </c>
      <c r="V41" s="39">
        <f>E41*G41*(1-N41)*O41/100*(R41+S41)/1000000</f>
        <v>0</v>
      </c>
      <c r="W41" s="39">
        <v>0</v>
      </c>
      <c r="X41" s="370" t="e">
        <f>SUM(W41:W44)/SUM(K41:K44)</f>
        <v>#DIV/0!</v>
      </c>
      <c r="Y41" s="39">
        <v>0</v>
      </c>
      <c r="Z41" s="39">
        <f>+'1'!D69/1000</f>
        <v>0</v>
      </c>
      <c r="AA41" s="51">
        <f>SUM(U41:U44)-SUM(W41:W44)-SUM(Z41:Z44)-SUM(Y41:Y44)</f>
        <v>0</v>
      </c>
      <c r="AB41" s="51">
        <f>(SUM(K41:K44)-SUM(W41:W44)-SUM(Y41:Y44)-SUM(Z41:Z44)-SUM(AC41:AC44)-SUM(V41:V44))-AA41</f>
        <v>0</v>
      </c>
      <c r="AC41" s="39">
        <f>K41-T41</f>
        <v>0</v>
      </c>
      <c r="AD41" s="39">
        <f>+AM41+BA41</f>
        <v>0</v>
      </c>
      <c r="AE41" s="230" t="s">
        <v>418</v>
      </c>
      <c r="AF41" s="39">
        <v>0</v>
      </c>
      <c r="AG41" s="39"/>
      <c r="AH41" s="39"/>
      <c r="AI41" s="485"/>
      <c r="AJ41" s="39"/>
      <c r="AK41" s="39"/>
      <c r="AL41" s="39"/>
      <c r="AM41" s="39">
        <f>SUM(AF41:AL41)+AT41+AV41+AX41</f>
        <v>0</v>
      </c>
      <c r="AN41" s="39"/>
      <c r="AO41" s="39"/>
      <c r="AP41" s="39"/>
      <c r="AQ41" s="39"/>
      <c r="AR41" s="39">
        <f>SUM(AN41:AQ41)</f>
        <v>0</v>
      </c>
      <c r="AS41" s="39"/>
      <c r="AT41" s="39"/>
      <c r="AU41" s="39"/>
      <c r="AV41" s="39"/>
      <c r="AW41" s="39"/>
      <c r="AX41" s="39"/>
      <c r="AY41" s="39"/>
      <c r="AZ41" s="39"/>
      <c r="BA41" s="39">
        <f>+AR41+AS41+AU41+AW41+AY41+AZ41</f>
        <v>0</v>
      </c>
      <c r="BB41" s="35">
        <v>0</v>
      </c>
      <c r="BC41" s="53"/>
      <c r="BD41" s="53"/>
      <c r="BE41" s="35"/>
      <c r="BF41" s="53"/>
    </row>
    <row r="42" spans="1:58" ht="12.95" customHeight="1">
      <c r="A42" s="42"/>
      <c r="B42" s="43"/>
      <c r="C42" s="402"/>
      <c r="D42" s="43"/>
      <c r="E42" s="44"/>
      <c r="F42" s="44"/>
      <c r="G42" s="415"/>
      <c r="H42" s="557"/>
      <c r="I42" s="47"/>
      <c r="J42" s="86"/>
      <c r="K42" s="86"/>
      <c r="L42" s="37"/>
      <c r="M42" s="37"/>
      <c r="N42" s="48"/>
      <c r="O42" s="49"/>
      <c r="P42" s="50"/>
      <c r="Q42" s="49"/>
      <c r="R42" s="371"/>
      <c r="S42" s="371"/>
      <c r="T42" s="39"/>
      <c r="U42" s="39"/>
      <c r="V42" s="39"/>
      <c r="W42" s="39"/>
      <c r="X42" s="40"/>
      <c r="Y42" s="213"/>
      <c r="Z42" s="39"/>
      <c r="AA42" s="39"/>
      <c r="AB42" s="39"/>
      <c r="AC42" s="39"/>
      <c r="AD42" s="39">
        <f t="shared" ref="AD42:AD44" si="28">+AM42+BA42</f>
        <v>0</v>
      </c>
      <c r="AE42" s="230" t="s">
        <v>419</v>
      </c>
      <c r="AF42" s="39"/>
      <c r="AG42" s="39">
        <v>0</v>
      </c>
      <c r="AH42" s="39"/>
      <c r="AI42" s="485"/>
      <c r="AJ42" s="39"/>
      <c r="AK42" s="39"/>
      <c r="AL42" s="39"/>
      <c r="AM42" s="39">
        <f t="shared" ref="AM42:AM44" si="29">SUM(AF42:AL42)+AT42+AV42+AX42</f>
        <v>0</v>
      </c>
      <c r="AN42" s="87"/>
      <c r="AO42" s="39"/>
      <c r="AP42" s="39"/>
      <c r="AQ42" s="39"/>
      <c r="AR42" s="39">
        <f t="shared" ref="AR42:AR44" si="30">SUM(AN42:AQ42)</f>
        <v>0</v>
      </c>
      <c r="AS42" s="39"/>
      <c r="AT42" s="39"/>
      <c r="AU42" s="39"/>
      <c r="AV42" s="39"/>
      <c r="AW42" s="39"/>
      <c r="AX42" s="39"/>
      <c r="AY42" s="39"/>
      <c r="AZ42" s="39"/>
      <c r="BA42" s="39">
        <f t="shared" ref="BA42:BA44" si="31">+AR42+AS42+AU42+AW42+AY42+AZ42</f>
        <v>0</v>
      </c>
      <c r="BB42" s="52"/>
      <c r="BC42" s="53">
        <v>0</v>
      </c>
      <c r="BD42" s="53"/>
      <c r="BE42" s="52"/>
      <c r="BF42" s="53"/>
    </row>
    <row r="43" spans="1:58" ht="12.95" customHeight="1">
      <c r="A43" s="42"/>
      <c r="B43" s="43"/>
      <c r="C43" s="402"/>
      <c r="D43" s="43"/>
      <c r="E43" s="44"/>
      <c r="F43" s="44"/>
      <c r="G43" s="45"/>
      <c r="H43" s="46"/>
      <c r="I43" s="47"/>
      <c r="J43" s="86"/>
      <c r="K43" s="86"/>
      <c r="L43" s="37"/>
      <c r="M43" s="37"/>
      <c r="N43" s="48"/>
      <c r="O43" s="49"/>
      <c r="P43" s="50"/>
      <c r="Q43" s="49"/>
      <c r="R43" s="371"/>
      <c r="S43" s="371"/>
      <c r="T43" s="39"/>
      <c r="U43" s="39"/>
      <c r="V43" s="39"/>
      <c r="W43" s="39"/>
      <c r="X43" s="40"/>
      <c r="Y43" s="213"/>
      <c r="Z43" s="39"/>
      <c r="AA43" s="39"/>
      <c r="AB43" s="39"/>
      <c r="AC43" s="39"/>
      <c r="AD43" s="39">
        <f t="shared" si="28"/>
        <v>0</v>
      </c>
      <c r="AE43" s="230" t="s">
        <v>420</v>
      </c>
      <c r="AF43" s="35"/>
      <c r="AG43" s="35"/>
      <c r="AH43" s="35">
        <v>0</v>
      </c>
      <c r="AJ43" s="39"/>
      <c r="AK43" s="39"/>
      <c r="AL43" s="39"/>
      <c r="AM43" s="39">
        <f t="shared" si="29"/>
        <v>0</v>
      </c>
      <c r="AN43" s="39"/>
      <c r="AO43" s="39"/>
      <c r="AP43" s="39"/>
      <c r="AQ43" s="39"/>
      <c r="AR43" s="39">
        <f t="shared" si="30"/>
        <v>0</v>
      </c>
      <c r="AS43" s="39"/>
      <c r="AT43" s="39"/>
      <c r="AU43" s="39"/>
      <c r="AV43" s="39"/>
      <c r="AW43" s="39"/>
      <c r="AX43" s="39"/>
      <c r="AY43" s="39"/>
      <c r="AZ43" s="39"/>
      <c r="BA43" s="39">
        <f t="shared" si="31"/>
        <v>0</v>
      </c>
      <c r="BB43" s="35"/>
      <c r="BC43" s="486"/>
      <c r="BD43" s="486"/>
      <c r="BE43" s="35"/>
      <c r="BF43" s="486"/>
    </row>
    <row r="44" spans="1:58" ht="12.95" customHeight="1">
      <c r="A44" s="42"/>
      <c r="B44" s="43"/>
      <c r="C44" s="402"/>
      <c r="D44" s="43"/>
      <c r="E44" s="44"/>
      <c r="F44" s="44"/>
      <c r="G44" s="45"/>
      <c r="H44" s="46"/>
      <c r="I44" s="47"/>
      <c r="J44" s="86"/>
      <c r="K44" s="86"/>
      <c r="L44" s="37"/>
      <c r="M44" s="37"/>
      <c r="N44" s="48"/>
      <c r="O44" s="49"/>
      <c r="P44" s="50"/>
      <c r="Q44" s="49"/>
      <c r="R44" s="371"/>
      <c r="S44" s="371"/>
      <c r="T44" s="39"/>
      <c r="U44" s="39"/>
      <c r="V44" s="39"/>
      <c r="W44" s="39"/>
      <c r="X44" s="40"/>
      <c r="Y44" s="213"/>
      <c r="Z44" s="39"/>
      <c r="AA44" s="39"/>
      <c r="AB44" s="39"/>
      <c r="AC44" s="39"/>
      <c r="AD44" s="39">
        <f t="shared" si="28"/>
        <v>0</v>
      </c>
      <c r="AE44" s="230" t="s">
        <v>422</v>
      </c>
      <c r="AF44" s="35"/>
      <c r="AG44" s="35"/>
      <c r="AH44" s="35"/>
      <c r="AJ44" s="39"/>
      <c r="AK44" s="39"/>
      <c r="AL44" s="39"/>
      <c r="AM44" s="39">
        <f t="shared" si="29"/>
        <v>0</v>
      </c>
      <c r="AN44" s="39"/>
      <c r="AO44" s="39"/>
      <c r="AP44" s="39"/>
      <c r="AQ44" s="39"/>
      <c r="AR44" s="39">
        <f t="shared" si="30"/>
        <v>0</v>
      </c>
      <c r="AS44" s="39"/>
      <c r="AT44" s="39"/>
      <c r="AU44" s="39">
        <f>1440-1440</f>
        <v>0</v>
      </c>
      <c r="AV44" s="39"/>
      <c r="AW44" s="39"/>
      <c r="AX44" s="39"/>
      <c r="AY44" s="39"/>
      <c r="AZ44" s="39"/>
      <c r="BA44" s="39">
        <f t="shared" si="31"/>
        <v>0</v>
      </c>
      <c r="BB44" s="35"/>
      <c r="BC44" s="486"/>
      <c r="BD44" s="486"/>
      <c r="BE44" s="35"/>
      <c r="BF44" s="486"/>
    </row>
    <row r="45" spans="1:58" ht="12.95" customHeight="1">
      <c r="A45" s="42"/>
      <c r="B45" s="43"/>
      <c r="C45" s="402"/>
      <c r="D45" s="43"/>
      <c r="E45" s="44"/>
      <c r="F45" s="44"/>
      <c r="G45" s="415"/>
      <c r="H45" s="557"/>
      <c r="I45" s="47"/>
      <c r="J45" s="86"/>
      <c r="K45" s="86"/>
      <c r="L45" s="37"/>
      <c r="M45" s="37"/>
      <c r="N45" s="48"/>
      <c r="O45" s="49"/>
      <c r="P45" s="50"/>
      <c r="Q45" s="49"/>
      <c r="R45" s="371"/>
      <c r="S45" s="371"/>
      <c r="T45" s="39"/>
      <c r="U45" s="39"/>
      <c r="V45" s="39"/>
      <c r="W45" s="39"/>
      <c r="X45" s="370"/>
      <c r="Y45" s="39"/>
      <c r="Z45" s="39"/>
      <c r="AA45" s="51"/>
      <c r="AB45" s="51"/>
      <c r="AC45" s="39"/>
      <c r="AD45" s="39"/>
      <c r="AE45" s="230"/>
      <c r="AF45" s="39"/>
      <c r="AG45" s="39"/>
      <c r="AH45" s="39"/>
      <c r="AI45" s="485"/>
      <c r="AJ45" s="39"/>
      <c r="AK45" s="39"/>
      <c r="AL45" s="39"/>
      <c r="AM45" s="39"/>
      <c r="AN45" s="39"/>
      <c r="AO45" s="39"/>
      <c r="AP45" s="39"/>
      <c r="AQ45" s="39"/>
      <c r="AR45" s="39"/>
      <c r="AS45" s="39"/>
      <c r="AT45" s="39"/>
      <c r="AU45" s="39"/>
      <c r="AV45" s="39"/>
      <c r="AW45" s="39"/>
      <c r="AX45" s="39"/>
      <c r="AY45" s="39"/>
      <c r="AZ45" s="39"/>
      <c r="BA45" s="39"/>
      <c r="BB45" s="35"/>
      <c r="BC45" s="53"/>
      <c r="BD45" s="53"/>
      <c r="BE45" s="52"/>
      <c r="BF45" s="53"/>
    </row>
    <row r="46" spans="1:58" ht="12.95" customHeight="1">
      <c r="A46" s="42">
        <v>45939</v>
      </c>
      <c r="B46" s="43" t="s">
        <v>460</v>
      </c>
      <c r="C46" s="402">
        <f>(M46*E46*O46*Q46)/100000000</f>
        <v>28.335733876645165</v>
      </c>
      <c r="D46" s="43" t="s">
        <v>462</v>
      </c>
      <c r="E46" s="44">
        <v>14</v>
      </c>
      <c r="F46" s="44">
        <v>1</v>
      </c>
      <c r="G46" s="415">
        <v>1300</v>
      </c>
      <c r="H46" s="557">
        <f>+N46</f>
        <v>0.23340044851794073</v>
      </c>
      <c r="I46" s="47">
        <v>0.88</v>
      </c>
      <c r="J46" s="86">
        <f>E46*G46*(1-H46)*1440/1000000*2.74</f>
        <v>55.04945246396256</v>
      </c>
      <c r="K46" s="86">
        <f>(IF(G46&lt;L46,L46,G46)*(1-IF(H46&lt;N46,H46,N46))*E46*O46*Q46)/100000000</f>
        <v>38.969922614087359</v>
      </c>
      <c r="L46" s="37">
        <v>945.25345622119812</v>
      </c>
      <c r="M46" s="37">
        <v>724.63087557603683</v>
      </c>
      <c r="N46" s="48">
        <f>1-(M46/L46)</f>
        <v>0.23340044851794073</v>
      </c>
      <c r="O46" s="49">
        <f>+'Trim Rwd'!H20</f>
        <v>264</v>
      </c>
      <c r="P46" s="50">
        <f>O46*(Q46-R46-S46)</f>
        <v>225456</v>
      </c>
      <c r="Q46" s="49">
        <f>1383-325</f>
        <v>1058</v>
      </c>
      <c r="R46" s="371">
        <f>515-325</f>
        <v>190</v>
      </c>
      <c r="S46" s="371">
        <v>14</v>
      </c>
      <c r="T46" s="39">
        <f>E46*M46*O46*Q46/100000000</f>
        <v>28.335733876645165</v>
      </c>
      <c r="U46" s="39">
        <f>E46*M46*O46*(Q46-R46-S46)/100000000</f>
        <v>22.872133015741934</v>
      </c>
      <c r="V46" s="39">
        <f>E46*G46*(1-N46)*O46/100*(R46+S46)/1000000</f>
        <v>7.5140493509204358</v>
      </c>
      <c r="W46" s="39">
        <f>+'9'!K8/1000</f>
        <v>17.867000000000001</v>
      </c>
      <c r="X46" s="370">
        <f>SUM(W46:W49)/SUM(K46:K49)</f>
        <v>0.43567001734586691</v>
      </c>
      <c r="Y46" s="39">
        <v>0</v>
      </c>
      <c r="Z46" s="39">
        <f>+'1'!D74/1000</f>
        <v>0</v>
      </c>
      <c r="AA46" s="51">
        <f>SUM(U46:U49)-SUM(W46:W49)-SUM(Z46:Z49)-SUM(Y46:Y49)</f>
        <v>6.6274884619919341</v>
      </c>
      <c r="AB46" s="51">
        <f>(SUM(K46:K49)-SUM(W46:W49)-SUM(Y46:Y49)-SUM(Z46:Z49)-SUM(AC46:AC49)-SUM(V46:V49))-AA46</f>
        <v>-2.0630493090172051</v>
      </c>
      <c r="AC46" s="39">
        <f>K46-T46</f>
        <v>10.634188737442194</v>
      </c>
      <c r="AD46" s="39">
        <f>+AM46+BA46</f>
        <v>0</v>
      </c>
      <c r="AE46" s="230" t="s">
        <v>418</v>
      </c>
      <c r="AF46" s="39">
        <v>0</v>
      </c>
      <c r="AG46" s="39"/>
      <c r="AH46" s="39"/>
      <c r="AI46" s="485"/>
      <c r="AJ46" s="39"/>
      <c r="AK46" s="39"/>
      <c r="AL46" s="39"/>
      <c r="AM46" s="39">
        <f>SUM(AF46:AL46)+AT46+AV46+AX46</f>
        <v>0</v>
      </c>
      <c r="AN46" s="39"/>
      <c r="AO46" s="39"/>
      <c r="AP46" s="39"/>
      <c r="AQ46" s="39"/>
      <c r="AR46" s="39">
        <f>SUM(AN46:AQ46)</f>
        <v>0</v>
      </c>
      <c r="AS46" s="39"/>
      <c r="AT46" s="39"/>
      <c r="AU46" s="39"/>
      <c r="AV46" s="39"/>
      <c r="AW46" s="39"/>
      <c r="AX46" s="39"/>
      <c r="AY46" s="39"/>
      <c r="AZ46" s="39"/>
      <c r="BA46" s="39">
        <f>+AR46+AS46+AU46+AW46+AY46+AZ46</f>
        <v>0</v>
      </c>
      <c r="BB46" s="35">
        <v>0</v>
      </c>
      <c r="BC46" s="53"/>
      <c r="BD46" s="53"/>
      <c r="BE46" s="35"/>
      <c r="BF46" s="53"/>
    </row>
    <row r="47" spans="1:58" ht="12.95" customHeight="1">
      <c r="A47" s="42"/>
      <c r="B47" s="43" t="s">
        <v>460</v>
      </c>
      <c r="C47" s="402">
        <f>(M47*E47*O47*Q47)/100000000</f>
        <v>1.6813501897500003</v>
      </c>
      <c r="D47" s="43" t="s">
        <v>462</v>
      </c>
      <c r="E47" s="44">
        <v>14.5</v>
      </c>
      <c r="F47" s="44">
        <v>1</v>
      </c>
      <c r="G47" s="415">
        <v>1250</v>
      </c>
      <c r="H47" s="557">
        <f>+N47</f>
        <v>0.22999999999999998</v>
      </c>
      <c r="I47" s="47">
        <v>0.88</v>
      </c>
      <c r="J47" s="86">
        <f>E47*G47*(1-H47)*1440/1000000*2.74</f>
        <v>55.065780000000011</v>
      </c>
      <c r="K47" s="86">
        <f>(IF(G47&lt;L47,L47,G47)*(1-IF(H47&lt;N47,H47,N47))*E47*O47*Q47)/100000000</f>
        <v>2.04047353125</v>
      </c>
      <c r="L47" s="37">
        <v>1030</v>
      </c>
      <c r="M47" s="37">
        <v>793.1</v>
      </c>
      <c r="N47" s="48">
        <f>1-(M47/L47)</f>
        <v>0.22999999999999998</v>
      </c>
      <c r="O47" s="49">
        <f>+'Trim Rwd'!H21</f>
        <v>256.5</v>
      </c>
      <c r="P47" s="50">
        <f>O47*(Q47-R47-S47)</f>
        <v>14107.5</v>
      </c>
      <c r="Q47" s="49">
        <v>57</v>
      </c>
      <c r="R47" s="371">
        <v>0</v>
      </c>
      <c r="S47" s="371">
        <v>2</v>
      </c>
      <c r="T47" s="39">
        <f>E47*M47*O47*Q47/100000000</f>
        <v>1.6813501897500003</v>
      </c>
      <c r="U47" s="39">
        <f>E47*M47*O47*(Q47-R47-S47)/100000000</f>
        <v>1.6223554462500003</v>
      </c>
      <c r="V47" s="39">
        <f>E47*G47*(1-N47)*O47/100*(R47+S47)/1000000</f>
        <v>7.1595562500000001E-2</v>
      </c>
      <c r="W47" s="39">
        <v>0</v>
      </c>
      <c r="X47" s="40"/>
      <c r="Y47" s="213"/>
      <c r="Z47" s="39"/>
      <c r="AA47" s="39"/>
      <c r="AB47" s="39"/>
      <c r="AC47" s="39">
        <f>K47-T47</f>
        <v>0.35912334149999969</v>
      </c>
      <c r="AD47" s="39">
        <f t="shared" ref="AD47:AD50" si="32">+AM47+BA47</f>
        <v>5</v>
      </c>
      <c r="AE47" s="230" t="s">
        <v>464</v>
      </c>
      <c r="AF47" s="39"/>
      <c r="AG47" s="39">
        <v>5</v>
      </c>
      <c r="AH47" s="39"/>
      <c r="AI47" s="485"/>
      <c r="AJ47" s="39"/>
      <c r="AK47" s="39"/>
      <c r="AL47" s="39"/>
      <c r="AM47" s="39">
        <f t="shared" ref="AM47:AM48" si="33">SUM(AF47:AL47)+AT47+AV47+AX47</f>
        <v>5</v>
      </c>
      <c r="AN47" s="87"/>
      <c r="AO47" s="39"/>
      <c r="AP47" s="39"/>
      <c r="AQ47" s="39"/>
      <c r="AR47" s="39">
        <f t="shared" ref="AR47:AR50" si="34">SUM(AN47:AQ47)</f>
        <v>0</v>
      </c>
      <c r="AS47" s="39"/>
      <c r="AT47" s="39"/>
      <c r="AU47" s="39"/>
      <c r="AV47" s="39"/>
      <c r="AW47" s="39"/>
      <c r="AX47" s="39"/>
      <c r="AY47" s="39"/>
      <c r="AZ47" s="39"/>
      <c r="BA47" s="39">
        <f t="shared" ref="BA47:BA50" si="35">+AR47+AS47+AU47+AW47+AY47+AZ47</f>
        <v>0</v>
      </c>
      <c r="BB47" s="52"/>
      <c r="BC47" s="53">
        <v>9</v>
      </c>
      <c r="BD47" s="53"/>
      <c r="BE47" s="52"/>
      <c r="BF47" s="53"/>
    </row>
    <row r="48" spans="1:58" ht="12.95" customHeight="1">
      <c r="A48" s="42"/>
      <c r="B48" s="43"/>
      <c r="C48" s="402"/>
      <c r="D48" s="43"/>
      <c r="E48" s="44"/>
      <c r="F48" s="44"/>
      <c r="G48" s="45"/>
      <c r="H48" s="46"/>
      <c r="I48" s="47"/>
      <c r="J48" s="86"/>
      <c r="K48" s="86"/>
      <c r="L48" s="37"/>
      <c r="M48" s="37"/>
      <c r="N48" s="48"/>
      <c r="O48" s="49"/>
      <c r="P48" s="50"/>
      <c r="Q48" s="49"/>
      <c r="R48" s="371"/>
      <c r="S48" s="371"/>
      <c r="T48" s="39"/>
      <c r="U48" s="39"/>
      <c r="V48" s="39"/>
      <c r="W48" s="39"/>
      <c r="X48" s="40"/>
      <c r="Y48" s="213"/>
      <c r="Z48" s="39"/>
      <c r="AA48" s="39"/>
      <c r="AB48" s="39"/>
      <c r="AC48" s="39"/>
      <c r="AD48" s="39">
        <f t="shared" si="32"/>
        <v>11</v>
      </c>
      <c r="AE48" s="230" t="s">
        <v>465</v>
      </c>
      <c r="AF48" s="35"/>
      <c r="AG48" s="35"/>
      <c r="AH48" s="35">
        <v>11</v>
      </c>
      <c r="AJ48" s="39"/>
      <c r="AK48" s="39"/>
      <c r="AL48" s="39"/>
      <c r="AM48" s="39">
        <f t="shared" si="33"/>
        <v>11</v>
      </c>
      <c r="AN48" s="39"/>
      <c r="AO48" s="39"/>
      <c r="AP48" s="39"/>
      <c r="AQ48" s="39"/>
      <c r="AR48" s="39">
        <f t="shared" si="34"/>
        <v>0</v>
      </c>
      <c r="AS48" s="39"/>
      <c r="AT48" s="39"/>
      <c r="AU48" s="39"/>
      <c r="AV48" s="39"/>
      <c r="AW48" s="39"/>
      <c r="AX48" s="39"/>
      <c r="AY48" s="39"/>
      <c r="AZ48" s="39"/>
      <c r="BA48" s="39">
        <f t="shared" si="35"/>
        <v>0</v>
      </c>
      <c r="BB48" s="35"/>
      <c r="BC48" s="486"/>
      <c r="BD48" s="486"/>
      <c r="BE48" s="35"/>
      <c r="BF48" s="486"/>
    </row>
    <row r="49" spans="1:58" ht="12.95" customHeight="1">
      <c r="A49" s="42"/>
      <c r="B49" s="43"/>
      <c r="C49" s="402"/>
      <c r="D49" s="43"/>
      <c r="E49" s="44"/>
      <c r="F49" s="44"/>
      <c r="G49" s="45"/>
      <c r="H49" s="46"/>
      <c r="I49" s="47"/>
      <c r="J49" s="86"/>
      <c r="K49" s="86"/>
      <c r="L49" s="37"/>
      <c r="M49" s="37"/>
      <c r="N49" s="48"/>
      <c r="O49" s="49"/>
      <c r="P49" s="50"/>
      <c r="Q49" s="49"/>
      <c r="R49" s="371"/>
      <c r="S49" s="371"/>
      <c r="T49" s="39"/>
      <c r="U49" s="39"/>
      <c r="V49" s="39"/>
      <c r="W49" s="39"/>
      <c r="X49" s="40"/>
      <c r="Y49" s="213"/>
      <c r="Z49" s="39"/>
      <c r="AA49" s="39"/>
      <c r="AB49" s="39"/>
      <c r="AC49" s="39"/>
      <c r="AD49" s="39">
        <f t="shared" si="32"/>
        <v>0</v>
      </c>
      <c r="AE49" s="230" t="s">
        <v>422</v>
      </c>
      <c r="AF49" s="35"/>
      <c r="AG49" s="35"/>
      <c r="AH49" s="35"/>
      <c r="AJ49" s="39"/>
      <c r="AK49" s="39"/>
      <c r="AL49" s="39"/>
      <c r="AM49" s="39">
        <f t="shared" ref="AM49:AM50" si="36">SUM(AF49:AL49)+AT49+AV49+AX49</f>
        <v>0</v>
      </c>
      <c r="AN49" s="39"/>
      <c r="AO49" s="39"/>
      <c r="AP49" s="39"/>
      <c r="AQ49" s="39"/>
      <c r="AR49" s="39">
        <f t="shared" si="34"/>
        <v>0</v>
      </c>
      <c r="AS49" s="39"/>
      <c r="AT49" s="39"/>
      <c r="AU49" s="39">
        <f>325-325</f>
        <v>0</v>
      </c>
      <c r="AV49" s="39"/>
      <c r="AW49" s="39"/>
      <c r="AX49" s="39"/>
      <c r="AY49" s="39"/>
      <c r="AZ49" s="39"/>
      <c r="BA49" s="39">
        <f t="shared" si="35"/>
        <v>0</v>
      </c>
      <c r="BB49" s="35"/>
      <c r="BC49" s="486"/>
      <c r="BD49" s="486"/>
      <c r="BE49" s="35"/>
      <c r="BF49" s="486"/>
    </row>
    <row r="50" spans="1:58" ht="12.95" customHeight="1">
      <c r="A50" s="42"/>
      <c r="B50" s="43"/>
      <c r="C50" s="402"/>
      <c r="D50" s="43"/>
      <c r="E50" s="44"/>
      <c r="F50" s="44"/>
      <c r="G50" s="415"/>
      <c r="H50" s="557"/>
      <c r="I50" s="47"/>
      <c r="J50" s="86"/>
      <c r="K50" s="86"/>
      <c r="L50" s="37"/>
      <c r="M50" s="37"/>
      <c r="N50" s="48"/>
      <c r="O50" s="49"/>
      <c r="P50" s="50"/>
      <c r="Q50" s="49"/>
      <c r="R50" s="371"/>
      <c r="S50" s="371"/>
      <c r="T50" s="39"/>
      <c r="U50" s="39"/>
      <c r="V50" s="39"/>
      <c r="W50" s="39"/>
      <c r="X50" s="370"/>
      <c r="Y50" s="39"/>
      <c r="Z50" s="39"/>
      <c r="AA50" s="51"/>
      <c r="AB50" s="51"/>
      <c r="AC50" s="39"/>
      <c r="AD50" s="39">
        <f t="shared" si="32"/>
        <v>190</v>
      </c>
      <c r="AE50" s="230" t="s">
        <v>463</v>
      </c>
      <c r="AF50" s="39"/>
      <c r="AG50" s="39"/>
      <c r="AH50" s="39"/>
      <c r="AI50" s="485"/>
      <c r="AJ50" s="39"/>
      <c r="AK50" s="39"/>
      <c r="AL50" s="39"/>
      <c r="AM50" s="39">
        <f t="shared" si="36"/>
        <v>0</v>
      </c>
      <c r="AN50" s="39">
        <v>190</v>
      </c>
      <c r="AO50" s="39"/>
      <c r="AP50" s="39"/>
      <c r="AQ50" s="39"/>
      <c r="AR50" s="39">
        <f t="shared" si="34"/>
        <v>190</v>
      </c>
      <c r="AS50" s="39"/>
      <c r="AT50" s="39"/>
      <c r="AU50" s="39"/>
      <c r="AV50" s="39"/>
      <c r="AW50" s="39"/>
      <c r="AX50" s="39"/>
      <c r="AY50" s="39"/>
      <c r="AZ50" s="39"/>
      <c r="BA50" s="39">
        <f t="shared" si="35"/>
        <v>190</v>
      </c>
      <c r="BB50" s="35"/>
      <c r="BC50" s="53"/>
      <c r="BD50" s="53"/>
      <c r="BE50" s="53"/>
      <c r="BF50" s="53">
        <v>1</v>
      </c>
    </row>
    <row r="51" spans="1:58" ht="12.95" customHeight="1">
      <c r="A51" s="42"/>
      <c r="B51" s="554"/>
      <c r="C51" s="555"/>
      <c r="D51" s="554"/>
      <c r="E51" s="44"/>
      <c r="F51" s="44"/>
      <c r="G51" s="556"/>
      <c r="H51" s="557"/>
      <c r="I51" s="47"/>
      <c r="J51" s="86"/>
      <c r="K51" s="86"/>
      <c r="L51" s="558"/>
      <c r="M51" s="558"/>
      <c r="N51" s="48"/>
      <c r="O51" s="49"/>
      <c r="P51" s="50"/>
      <c r="Q51" s="49"/>
      <c r="R51" s="559"/>
      <c r="S51" s="559"/>
      <c r="T51" s="39"/>
      <c r="U51" s="39"/>
      <c r="V51" s="39"/>
      <c r="W51" s="39"/>
      <c r="X51" s="370"/>
      <c r="Y51" s="213"/>
      <c r="Z51" s="39"/>
      <c r="AA51" s="39"/>
      <c r="AB51" s="39"/>
      <c r="AC51" s="39"/>
      <c r="AD51" s="39"/>
      <c r="AE51" s="230"/>
      <c r="AF51" s="39"/>
      <c r="AG51" s="39"/>
      <c r="AH51" s="39"/>
      <c r="AI51" s="485"/>
      <c r="AJ51" s="39"/>
      <c r="AK51" s="39"/>
      <c r="AL51" s="39"/>
      <c r="AM51" s="39"/>
      <c r="AN51" s="87"/>
      <c r="AO51" s="39"/>
      <c r="AP51" s="39"/>
      <c r="AQ51" s="39"/>
      <c r="AR51" s="39"/>
      <c r="AS51" s="39"/>
      <c r="AT51" s="39"/>
      <c r="AU51" s="39"/>
      <c r="AV51" s="39"/>
      <c r="AW51" s="39"/>
      <c r="AX51" s="39"/>
      <c r="AY51" s="39"/>
      <c r="AZ51" s="39"/>
      <c r="BA51" s="39"/>
      <c r="BB51" s="52"/>
      <c r="BC51" s="53"/>
      <c r="BD51" s="53"/>
      <c r="BE51" s="35"/>
      <c r="BF51" s="53"/>
    </row>
    <row r="52" spans="1:58" ht="12.95" customHeight="1">
      <c r="A52" s="42">
        <v>45940</v>
      </c>
      <c r="B52" s="43" t="s">
        <v>460</v>
      </c>
      <c r="C52" s="402">
        <f>(M52*E52*O52*Q52)/100000000</f>
        <v>48.791463010434782</v>
      </c>
      <c r="D52" s="43" t="s">
        <v>462</v>
      </c>
      <c r="E52" s="44">
        <v>14.5</v>
      </c>
      <c r="F52" s="44">
        <v>1</v>
      </c>
      <c r="G52" s="415">
        <v>1230</v>
      </c>
      <c r="H52" s="557">
        <f>+N52</f>
        <v>0.21674537411999251</v>
      </c>
      <c r="I52" s="47">
        <v>0.88</v>
      </c>
      <c r="J52" s="86">
        <f>E52*G52*(1-H52)*1440/1000000*2.74</f>
        <v>55.117452574139932</v>
      </c>
      <c r="K52" s="86">
        <f>(IF(G52&lt;L52,L52,G52)*(1-IF(H52&lt;N52,H52,N52))*E52*O52*Q52)/100000000</f>
        <v>51.597177318492307</v>
      </c>
      <c r="L52" s="37">
        <v>1163.1159420289855</v>
      </c>
      <c r="M52" s="37">
        <v>911.01594202898548</v>
      </c>
      <c r="N52" s="48">
        <f>1-(M52/L52)</f>
        <v>0.21674537411999251</v>
      </c>
      <c r="O52" s="49">
        <f>+'Trim Rwd'!H24</f>
        <v>256.5</v>
      </c>
      <c r="P52" s="50">
        <f>O52*(Q52-R52-S52)</f>
        <v>339349.5</v>
      </c>
      <c r="Q52" s="49">
        <v>1440</v>
      </c>
      <c r="R52" s="371">
        <v>60</v>
      </c>
      <c r="S52" s="371">
        <v>57</v>
      </c>
      <c r="T52" s="39">
        <f>E52*M52*O52*Q52/100000000</f>
        <v>48.791463010434782</v>
      </c>
      <c r="U52" s="39">
        <f>E52*M52*O52*(Q52-R52-S52)/100000000</f>
        <v>44.827156640836954</v>
      </c>
      <c r="V52" s="39">
        <f>E52*G52*(1-N52)*O52/100*(R52+S52)/1000000</f>
        <v>4.1922706571274997</v>
      </c>
      <c r="W52" s="39">
        <f>+'10'!K9/1000</f>
        <v>32.18</v>
      </c>
      <c r="X52" s="370">
        <f>SUM(W52:W55)/SUM(K52:K55)</f>
        <v>0.73928462722957755</v>
      </c>
      <c r="Y52" s="39">
        <v>0</v>
      </c>
      <c r="Z52" s="39">
        <f>+'1'!D80/1000</f>
        <v>0</v>
      </c>
      <c r="AA52" s="51">
        <f>SUM(U52:U55)-SUM(W52:W55)-SUM(Z52:Z55)-SUM(Y52:Y55)</f>
        <v>6.6821566408369577</v>
      </c>
      <c r="AB52" s="51">
        <f>(SUM(K52:K55)-SUM(W52:W55)-SUM(Y52:Y55)-SUM(Z52:Z55)-SUM(AC52:AC55)-SUM(V52:V55))-AA52</f>
        <v>-0.22796428752967124</v>
      </c>
      <c r="AC52" s="39">
        <f>K52-T52</f>
        <v>2.8057143080575244</v>
      </c>
      <c r="AD52" s="39">
        <f>+AM52+BA52</f>
        <v>0</v>
      </c>
      <c r="AE52" s="230" t="s">
        <v>418</v>
      </c>
      <c r="AF52" s="39">
        <v>0</v>
      </c>
      <c r="AG52" s="39"/>
      <c r="AH52" s="39"/>
      <c r="AI52" s="485"/>
      <c r="AJ52" s="39"/>
      <c r="AK52" s="39"/>
      <c r="AL52" s="39"/>
      <c r="AM52" s="39">
        <f>SUM(AF52:AL52)+AT52+AV52+AX52</f>
        <v>0</v>
      </c>
      <c r="AN52" s="39"/>
      <c r="AO52" s="39"/>
      <c r="AP52" s="39"/>
      <c r="AQ52" s="39"/>
      <c r="AR52" s="39">
        <f>SUM(AN52:AQ52)</f>
        <v>0</v>
      </c>
      <c r="AS52" s="39"/>
      <c r="AT52" s="39"/>
      <c r="AU52" s="39"/>
      <c r="AV52" s="39"/>
      <c r="AW52" s="39"/>
      <c r="AX52" s="39"/>
      <c r="AY52" s="39"/>
      <c r="AZ52" s="39"/>
      <c r="BA52" s="39">
        <f>+AR52+AS52+AU52+AW52+AY52+AZ52</f>
        <v>0</v>
      </c>
      <c r="BB52" s="35">
        <v>0</v>
      </c>
      <c r="BC52" s="53"/>
      <c r="BD52" s="53"/>
      <c r="BE52" s="35"/>
      <c r="BF52" s="53"/>
    </row>
    <row r="53" spans="1:58" ht="12.95" customHeight="1">
      <c r="A53" s="42"/>
      <c r="B53" s="43" t="s">
        <v>460</v>
      </c>
      <c r="C53" s="402"/>
      <c r="D53" s="43" t="s">
        <v>462</v>
      </c>
      <c r="E53" s="44">
        <v>14</v>
      </c>
      <c r="F53" s="44"/>
      <c r="G53" s="415"/>
      <c r="H53" s="557"/>
      <c r="I53" s="47"/>
      <c r="J53" s="86"/>
      <c r="K53" s="86"/>
      <c r="L53" s="37"/>
      <c r="M53" s="37"/>
      <c r="N53" s="48"/>
      <c r="O53" s="49"/>
      <c r="P53" s="50"/>
      <c r="Q53" s="49"/>
      <c r="R53" s="371"/>
      <c r="S53" s="371"/>
      <c r="T53" s="39"/>
      <c r="U53" s="39"/>
      <c r="V53" s="39"/>
      <c r="W53" s="39">
        <f>+'10'!K8/1000</f>
        <v>5.9649999999999999</v>
      </c>
      <c r="X53" s="40"/>
      <c r="Y53" s="213"/>
      <c r="Z53" s="39"/>
      <c r="AA53" s="39"/>
      <c r="AB53" s="39"/>
      <c r="AC53" s="39"/>
      <c r="AD53" s="39">
        <f t="shared" ref="AD53:AD55" si="37">+AM53+BA53</f>
        <v>27</v>
      </c>
      <c r="AE53" s="230" t="s">
        <v>488</v>
      </c>
      <c r="AF53" s="39"/>
      <c r="AG53" s="39">
        <v>27</v>
      </c>
      <c r="AH53" s="39"/>
      <c r="AI53" s="485"/>
      <c r="AJ53" s="39"/>
      <c r="AK53" s="39"/>
      <c r="AL53" s="39"/>
      <c r="AM53" s="39">
        <f t="shared" ref="AM53:AM54" si="38">SUM(AF53:AL53)+AT53+AV53+AX53</f>
        <v>27</v>
      </c>
      <c r="AN53" s="87"/>
      <c r="AO53" s="39"/>
      <c r="AP53" s="39"/>
      <c r="AQ53" s="39"/>
      <c r="AR53" s="39">
        <f t="shared" ref="AR53:AR54" si="39">SUM(AN53:AQ53)</f>
        <v>0</v>
      </c>
      <c r="AS53" s="39"/>
      <c r="AT53" s="39"/>
      <c r="AU53" s="39"/>
      <c r="AV53" s="39"/>
      <c r="AW53" s="39"/>
      <c r="AX53" s="39"/>
      <c r="AY53" s="39"/>
      <c r="AZ53" s="39"/>
      <c r="BA53" s="39">
        <f t="shared" ref="BA53:BA55" si="40">+AR53+AS53+AU53+AW53+AY53+AZ53</f>
        <v>0</v>
      </c>
      <c r="BB53" s="52"/>
      <c r="BC53" s="53">
        <v>16</v>
      </c>
      <c r="BD53" s="53"/>
      <c r="BE53" s="52"/>
      <c r="BF53" s="53"/>
    </row>
    <row r="54" spans="1:58" ht="12.95" customHeight="1">
      <c r="A54" s="42"/>
      <c r="B54" s="43"/>
      <c r="C54" s="402"/>
      <c r="D54" s="43"/>
      <c r="E54" s="44"/>
      <c r="F54" s="44"/>
      <c r="G54" s="45"/>
      <c r="H54" s="46"/>
      <c r="I54" s="47"/>
      <c r="J54" s="86"/>
      <c r="K54" s="86"/>
      <c r="L54" s="37"/>
      <c r="M54" s="37"/>
      <c r="N54" s="48"/>
      <c r="O54" s="49"/>
      <c r="P54" s="50"/>
      <c r="Q54" s="49"/>
      <c r="R54" s="371"/>
      <c r="S54" s="371"/>
      <c r="T54" s="39"/>
      <c r="U54" s="39"/>
      <c r="V54" s="39"/>
      <c r="W54" s="39"/>
      <c r="X54" s="40"/>
      <c r="Y54" s="213"/>
      <c r="Z54" s="39"/>
      <c r="AA54" s="39"/>
      <c r="AB54" s="39"/>
      <c r="AC54" s="39"/>
      <c r="AD54" s="39">
        <f t="shared" si="37"/>
        <v>30</v>
      </c>
      <c r="AE54" s="230" t="s">
        <v>489</v>
      </c>
      <c r="AF54" s="35"/>
      <c r="AG54" s="35"/>
      <c r="AH54" s="35">
        <v>30</v>
      </c>
      <c r="AJ54" s="39"/>
      <c r="AK54" s="39"/>
      <c r="AL54" s="39"/>
      <c r="AM54" s="39">
        <f t="shared" si="38"/>
        <v>30</v>
      </c>
      <c r="AN54" s="39"/>
      <c r="AO54" s="39"/>
      <c r="AP54" s="39"/>
      <c r="AQ54" s="39"/>
      <c r="AR54" s="39">
        <f t="shared" si="39"/>
        <v>0</v>
      </c>
      <c r="AS54" s="39"/>
      <c r="AT54" s="39"/>
      <c r="AU54" s="39"/>
      <c r="AV54" s="39"/>
      <c r="AW54" s="39"/>
      <c r="AX54" s="39"/>
      <c r="AY54" s="39"/>
      <c r="AZ54" s="39"/>
      <c r="BA54" s="39">
        <f t="shared" si="40"/>
        <v>0</v>
      </c>
      <c r="BB54" s="35"/>
      <c r="BC54" s="486"/>
      <c r="BD54" s="486"/>
      <c r="BE54" s="35"/>
      <c r="BF54" s="486"/>
    </row>
    <row r="55" spans="1:58" ht="12.95" customHeight="1">
      <c r="A55" s="42"/>
      <c r="B55" s="43"/>
      <c r="C55" s="402"/>
      <c r="D55" s="43"/>
      <c r="E55" s="44"/>
      <c r="F55" s="44"/>
      <c r="G55" s="45"/>
      <c r="H55" s="46"/>
      <c r="I55" s="47"/>
      <c r="J55" s="86"/>
      <c r="K55" s="86"/>
      <c r="L55" s="37"/>
      <c r="M55" s="37"/>
      <c r="N55" s="48"/>
      <c r="O55" s="49"/>
      <c r="P55" s="50"/>
      <c r="Q55" s="49"/>
      <c r="R55" s="371"/>
      <c r="S55" s="371"/>
      <c r="T55" s="39"/>
      <c r="U55" s="39"/>
      <c r="V55" s="39"/>
      <c r="W55" s="39"/>
      <c r="X55" s="40"/>
      <c r="Y55" s="213"/>
      <c r="Z55" s="39"/>
      <c r="AA55" s="39"/>
      <c r="AB55" s="39"/>
      <c r="AC55" s="39"/>
      <c r="AD55" s="39">
        <f t="shared" si="37"/>
        <v>60</v>
      </c>
      <c r="AE55" s="230" t="s">
        <v>487</v>
      </c>
      <c r="AF55" s="35"/>
      <c r="AG55" s="35"/>
      <c r="AH55" s="35"/>
      <c r="AJ55" s="39"/>
      <c r="AK55" s="39"/>
      <c r="AL55" s="39"/>
      <c r="AM55" s="39">
        <f t="shared" ref="AM55" si="41">SUM(AF55:AL55)+AT55+AV55+AX55</f>
        <v>0</v>
      </c>
      <c r="AN55" s="39"/>
      <c r="AO55" s="39"/>
      <c r="AP55" s="39">
        <v>60</v>
      </c>
      <c r="AQ55" s="39"/>
      <c r="AR55" s="39">
        <f t="shared" ref="AR55" si="42">SUM(AN55:AQ55)</f>
        <v>60</v>
      </c>
      <c r="AS55" s="39"/>
      <c r="AT55" s="39"/>
      <c r="AU55" s="39">
        <v>0</v>
      </c>
      <c r="AV55" s="39"/>
      <c r="AW55" s="39"/>
      <c r="AX55" s="39"/>
      <c r="AY55" s="39"/>
      <c r="AZ55" s="39"/>
      <c r="BA55" s="39">
        <f t="shared" si="40"/>
        <v>60</v>
      </c>
      <c r="BB55" s="35"/>
      <c r="BC55" s="486"/>
      <c r="BD55" s="486"/>
      <c r="BE55" s="35"/>
      <c r="BF55" s="486"/>
    </row>
    <row r="56" spans="1:58" ht="12.95" customHeight="1">
      <c r="A56" s="42"/>
      <c r="B56" s="554"/>
      <c r="C56" s="555"/>
      <c r="D56" s="554"/>
      <c r="E56" s="44"/>
      <c r="F56" s="44"/>
      <c r="G56" s="556"/>
      <c r="H56" s="557"/>
      <c r="I56" s="47"/>
      <c r="J56" s="86"/>
      <c r="K56" s="86"/>
      <c r="L56" s="558"/>
      <c r="M56" s="558"/>
      <c r="N56" s="48"/>
      <c r="O56" s="49"/>
      <c r="P56" s="50"/>
      <c r="Q56" s="49"/>
      <c r="R56" s="559"/>
      <c r="S56" s="559"/>
      <c r="T56" s="39"/>
      <c r="U56" s="39"/>
      <c r="V56" s="39"/>
      <c r="W56" s="39"/>
      <c r="X56" s="370"/>
      <c r="Y56" s="213"/>
      <c r="Z56" s="39"/>
      <c r="AA56" s="39"/>
      <c r="AB56" s="39"/>
      <c r="AC56" s="39"/>
      <c r="AD56" s="39"/>
      <c r="AE56" s="230"/>
      <c r="AF56" s="39"/>
      <c r="AG56" s="39"/>
      <c r="AH56" s="39"/>
      <c r="AI56" s="485"/>
      <c r="AJ56" s="39"/>
      <c r="AK56" s="39"/>
      <c r="AL56" s="39"/>
      <c r="AM56" s="39"/>
      <c r="AN56" s="87"/>
      <c r="AO56" s="39"/>
      <c r="AP56" s="39"/>
      <c r="AQ56" s="39"/>
      <c r="AR56" s="39"/>
      <c r="AS56" s="39"/>
      <c r="AT56" s="39"/>
      <c r="AU56" s="39"/>
      <c r="AV56" s="39"/>
      <c r="AW56" s="39"/>
      <c r="AX56" s="39"/>
      <c r="AY56" s="39"/>
      <c r="AZ56" s="39"/>
      <c r="BA56" s="39"/>
      <c r="BB56" s="52"/>
      <c r="BC56" s="53"/>
      <c r="BD56" s="53"/>
      <c r="BE56" s="52"/>
      <c r="BF56" s="53"/>
    </row>
    <row r="57" spans="1:58" ht="12.95" customHeight="1">
      <c r="A57" s="42">
        <v>45941</v>
      </c>
      <c r="B57" s="43" t="s">
        <v>460</v>
      </c>
      <c r="C57" s="402">
        <f>(M57*E57*O57*Q57)/100000000</f>
        <v>50.565379511250001</v>
      </c>
      <c r="D57" s="43" t="s">
        <v>462</v>
      </c>
      <c r="E57" s="44">
        <v>14.5</v>
      </c>
      <c r="F57" s="44">
        <v>1</v>
      </c>
      <c r="G57" s="415">
        <v>1240</v>
      </c>
      <c r="H57" s="557">
        <f>+N57</f>
        <v>0.2233091490759519</v>
      </c>
      <c r="I57" s="47">
        <v>0.88</v>
      </c>
      <c r="J57" s="86">
        <f>E57*G57*(1-H57)*1440/1000000*2.74</f>
        <v>55.099915356878526</v>
      </c>
      <c r="K57" s="86">
        <f>(IF(G57&lt;L57,L57,G57)*(1-IF(H57&lt;N57,H57,N57))*E57*O57*Q57)/100000000</f>
        <v>51.580760178975687</v>
      </c>
      <c r="L57" s="37">
        <v>1215.5902777777778</v>
      </c>
      <c r="M57" s="37">
        <v>944.13784722222226</v>
      </c>
      <c r="N57" s="48">
        <f>1-(M57/L57)</f>
        <v>0.2233091490759519</v>
      </c>
      <c r="O57" s="49">
        <f>+'Trim Rwd'!H26</f>
        <v>256.5</v>
      </c>
      <c r="P57" s="50">
        <f>O57*(Q57-R57-S57)</f>
        <v>345762</v>
      </c>
      <c r="Q57" s="49">
        <v>1440</v>
      </c>
      <c r="R57" s="371">
        <v>0</v>
      </c>
      <c r="S57" s="371">
        <v>92</v>
      </c>
      <c r="T57" s="39">
        <f>E57*M57*O57*Q57/100000000</f>
        <v>50.565379511250001</v>
      </c>
      <c r="U57" s="39">
        <f>E57*M57*O57*(Q57-R57-S57)/100000000</f>
        <v>47.334813598031246</v>
      </c>
      <c r="V57" s="39">
        <f>E57*G57*(1-N57)*O57/100*(R57+S57)/1000000</f>
        <v>3.2954374558790027</v>
      </c>
      <c r="W57" s="39">
        <f>+'11'!K9/1000</f>
        <v>35.463999999999999</v>
      </c>
      <c r="X57" s="370">
        <f>SUM(W57:W60)/SUM(K57:K60)</f>
        <v>0.68754318232120826</v>
      </c>
      <c r="Y57" s="39">
        <f>+SUM(RBP!AG8:AG9)</f>
        <v>0</v>
      </c>
      <c r="Z57" s="39">
        <f>+'1'!D85/1000</f>
        <v>0</v>
      </c>
      <c r="AA57" s="51">
        <f>SUM(U57:U60)-SUM(W57:W60)-SUM(Z57:Z60)-SUM(Y57:Y60)</f>
        <v>11.870813598031248</v>
      </c>
      <c r="AB57" s="51">
        <f>(SUM(K57:K60)-SUM(W57:W60)-SUM(Y57:Y60)-SUM(Z57:Z60)-SUM(AC57:AC60)-SUM(V57:V60))-AA57</f>
        <v>-6.4871542660249304E-2</v>
      </c>
      <c r="AC57" s="39">
        <f>K57-T57</f>
        <v>1.0153806677256867</v>
      </c>
      <c r="AD57" s="39">
        <f>+AM57+BA57</f>
        <v>10</v>
      </c>
      <c r="AE57" s="230" t="s">
        <v>506</v>
      </c>
      <c r="AF57" s="39">
        <v>10</v>
      </c>
      <c r="AG57" s="39"/>
      <c r="AH57" s="39"/>
      <c r="AI57" s="485"/>
      <c r="AJ57" s="39"/>
      <c r="AK57" s="39"/>
      <c r="AL57" s="39"/>
      <c r="AM57" s="39">
        <f>SUM(AF57:AL57)+AT57+AV57+AX57</f>
        <v>10</v>
      </c>
      <c r="AN57" s="39"/>
      <c r="AO57" s="39"/>
      <c r="AP57" s="39"/>
      <c r="AQ57" s="39"/>
      <c r="AR57" s="39">
        <f>SUM(AN57:AQ57)</f>
        <v>0</v>
      </c>
      <c r="AS57" s="39"/>
      <c r="AT57" s="39"/>
      <c r="AU57" s="39"/>
      <c r="AV57" s="39"/>
      <c r="AW57" s="39"/>
      <c r="AX57" s="39"/>
      <c r="AY57" s="39"/>
      <c r="AZ57" s="39"/>
      <c r="BA57" s="39">
        <f>+AR57+AS57+AU57+AW57+AY57+AZ57</f>
        <v>0</v>
      </c>
      <c r="BB57" s="35">
        <v>5</v>
      </c>
      <c r="BC57" s="53"/>
      <c r="BD57" s="53"/>
      <c r="BE57" s="35"/>
      <c r="BF57" s="53"/>
    </row>
    <row r="58" spans="1:58" ht="12.95" customHeight="1">
      <c r="A58" s="42"/>
      <c r="B58" s="43"/>
      <c r="C58" s="402"/>
      <c r="D58" s="43"/>
      <c r="E58" s="44"/>
      <c r="F58" s="44"/>
      <c r="G58" s="415"/>
      <c r="H58" s="557"/>
      <c r="I58" s="47"/>
      <c r="J58" s="86"/>
      <c r="K58" s="86"/>
      <c r="L58" s="37"/>
      <c r="M58" s="37"/>
      <c r="N58" s="48"/>
      <c r="O58" s="49"/>
      <c r="P58" s="50"/>
      <c r="Q58" s="49"/>
      <c r="R58" s="371"/>
      <c r="S58" s="371"/>
      <c r="T58" s="39"/>
      <c r="U58" s="39"/>
      <c r="V58" s="39"/>
      <c r="W58" s="39"/>
      <c r="X58" s="40"/>
      <c r="Y58" s="213"/>
      <c r="Z58" s="39"/>
      <c r="AA58" s="39"/>
      <c r="AB58" s="39"/>
      <c r="AC58" s="39"/>
      <c r="AD58" s="39">
        <f t="shared" ref="AD58:AD59" si="43">+AM58+BA58</f>
        <v>28</v>
      </c>
      <c r="AE58" s="230" t="s">
        <v>512</v>
      </c>
      <c r="AF58" s="39"/>
      <c r="AG58" s="39">
        <v>28</v>
      </c>
      <c r="AH58" s="39"/>
      <c r="AI58" s="485"/>
      <c r="AJ58" s="39"/>
      <c r="AK58" s="39"/>
      <c r="AL58" s="39"/>
      <c r="AM58" s="39">
        <f t="shared" ref="AM58:AM59" si="44">SUM(AF58:AL58)+AT58+AV58+AX58</f>
        <v>28</v>
      </c>
      <c r="AN58" s="87"/>
      <c r="AO58" s="39"/>
      <c r="AP58" s="39"/>
      <c r="AQ58" s="39"/>
      <c r="AR58" s="39">
        <f t="shared" ref="AR58:AR59" si="45">SUM(AN58:AQ58)</f>
        <v>0</v>
      </c>
      <c r="AS58" s="39"/>
      <c r="AT58" s="39"/>
      <c r="AU58" s="39"/>
      <c r="AV58" s="39"/>
      <c r="AW58" s="39"/>
      <c r="AX58" s="39"/>
      <c r="AY58" s="39"/>
      <c r="AZ58" s="39"/>
      <c r="BA58" s="39">
        <f t="shared" ref="BA58:BA59" si="46">+AR58+AS58+AU58+AW58+AY58+AZ58</f>
        <v>0</v>
      </c>
      <c r="BB58" s="52"/>
      <c r="BC58" s="53">
        <v>12</v>
      </c>
      <c r="BD58" s="53"/>
      <c r="BE58" s="52"/>
      <c r="BF58" s="53"/>
    </row>
    <row r="59" spans="1:58" ht="12.95" customHeight="1">
      <c r="A59" s="42"/>
      <c r="B59" s="43"/>
      <c r="C59" s="402"/>
      <c r="D59" s="43"/>
      <c r="E59" s="44"/>
      <c r="F59" s="44"/>
      <c r="G59" s="45"/>
      <c r="H59" s="46"/>
      <c r="I59" s="47"/>
      <c r="J59" s="86"/>
      <c r="K59" s="86"/>
      <c r="L59" s="37"/>
      <c r="M59" s="37"/>
      <c r="N59" s="48"/>
      <c r="O59" s="49"/>
      <c r="P59" s="50"/>
      <c r="Q59" s="49"/>
      <c r="R59" s="371"/>
      <c r="S59" s="371"/>
      <c r="T59" s="39"/>
      <c r="U59" s="39"/>
      <c r="V59" s="39"/>
      <c r="W59" s="39"/>
      <c r="X59" s="40"/>
      <c r="Y59" s="213"/>
      <c r="Z59" s="39"/>
      <c r="AA59" s="39"/>
      <c r="AB59" s="39"/>
      <c r="AC59" s="39"/>
      <c r="AD59" s="39">
        <f t="shared" si="43"/>
        <v>54</v>
      </c>
      <c r="AE59" s="230" t="s">
        <v>513</v>
      </c>
      <c r="AF59" s="35"/>
      <c r="AG59" s="35"/>
      <c r="AH59" s="35">
        <v>54</v>
      </c>
      <c r="AJ59" s="39"/>
      <c r="AK59" s="39"/>
      <c r="AL59" s="39"/>
      <c r="AM59" s="39">
        <f t="shared" si="44"/>
        <v>54</v>
      </c>
      <c r="AN59" s="39"/>
      <c r="AO59" s="39"/>
      <c r="AP59" s="39"/>
      <c r="AQ59" s="39"/>
      <c r="AR59" s="39">
        <f t="shared" si="45"/>
        <v>0</v>
      </c>
      <c r="AS59" s="39"/>
      <c r="AT59" s="39"/>
      <c r="AU59" s="39"/>
      <c r="AV59" s="39"/>
      <c r="AW59" s="39"/>
      <c r="AX59" s="39"/>
      <c r="AY59" s="39"/>
      <c r="AZ59" s="39"/>
      <c r="BA59" s="39">
        <f t="shared" si="46"/>
        <v>0</v>
      </c>
      <c r="BB59" s="35"/>
      <c r="BC59" s="486"/>
      <c r="BD59" s="486"/>
      <c r="BE59" s="35"/>
      <c r="BF59" s="486"/>
    </row>
    <row r="60" spans="1:58" ht="12.95" customHeight="1">
      <c r="A60" s="42"/>
      <c r="B60" s="43"/>
      <c r="C60" s="402"/>
      <c r="D60" s="43"/>
      <c r="E60" s="44"/>
      <c r="F60" s="44"/>
      <c r="G60" s="45"/>
      <c r="H60" s="46"/>
      <c r="I60" s="47"/>
      <c r="J60" s="86"/>
      <c r="K60" s="86"/>
      <c r="L60" s="37"/>
      <c r="M60" s="37"/>
      <c r="N60" s="48"/>
      <c r="O60" s="49"/>
      <c r="P60" s="50"/>
      <c r="Q60" s="49"/>
      <c r="R60" s="371"/>
      <c r="S60" s="371"/>
      <c r="T60" s="39"/>
      <c r="U60" s="39"/>
      <c r="V60" s="39"/>
      <c r="W60" s="39"/>
      <c r="X60" s="40"/>
      <c r="Y60" s="213"/>
      <c r="Z60" s="39"/>
      <c r="AA60" s="39"/>
      <c r="AB60" s="39"/>
      <c r="AC60" s="39"/>
      <c r="AD60" s="39"/>
      <c r="AE60" s="230"/>
      <c r="AF60" s="35"/>
      <c r="AG60" s="35"/>
      <c r="AH60" s="35"/>
      <c r="AJ60" s="39"/>
      <c r="AK60" s="39"/>
      <c r="AL60" s="39"/>
      <c r="AM60" s="39"/>
      <c r="AN60" s="39"/>
      <c r="AO60" s="39"/>
      <c r="AP60" s="39"/>
      <c r="AQ60" s="39"/>
      <c r="AR60" s="39"/>
      <c r="AS60" s="39"/>
      <c r="AT60" s="39"/>
      <c r="AU60" s="39"/>
      <c r="AV60" s="39"/>
      <c r="AW60" s="39"/>
      <c r="AX60" s="39"/>
      <c r="AY60" s="39"/>
      <c r="AZ60" s="39"/>
      <c r="BA60" s="39"/>
      <c r="BB60" s="35"/>
      <c r="BC60" s="486"/>
      <c r="BD60" s="486"/>
      <c r="BE60" s="35"/>
      <c r="BF60" s="486"/>
    </row>
    <row r="61" spans="1:58" ht="12.95" customHeight="1">
      <c r="A61" s="42">
        <v>45942</v>
      </c>
      <c r="B61" s="43" t="s">
        <v>460</v>
      </c>
      <c r="C61" s="402">
        <f>(M61*E61*O61*Q61)/100000000</f>
        <v>50.687182937947902</v>
      </c>
      <c r="D61" s="43" t="s">
        <v>462</v>
      </c>
      <c r="E61" s="44">
        <v>14.5</v>
      </c>
      <c r="F61" s="44">
        <v>1</v>
      </c>
      <c r="G61" s="415">
        <v>1240</v>
      </c>
      <c r="H61" s="557">
        <f>+N61</f>
        <v>0.22380293815884456</v>
      </c>
      <c r="I61" s="47">
        <v>0.88</v>
      </c>
      <c r="J61" s="86">
        <f>E61*G61*(1-H61)*1440/1000000*2.74</f>
        <v>55.064885027064321</v>
      </c>
      <c r="K61" s="86">
        <f>(IF(G61&lt;L61,L61,G61)*(1-IF(H61&lt;N61,H61,N61))*E61*O61*Q61)/100000000</f>
        <v>51.547967187744526</v>
      </c>
      <c r="L61" s="37">
        <v>1219.2936069455407</v>
      </c>
      <c r="M61" s="37">
        <v>946.41211523283334</v>
      </c>
      <c r="N61" s="48">
        <f>1-(M61/L61)</f>
        <v>0.22380293815884456</v>
      </c>
      <c r="O61" s="49">
        <f>+'Trim Rwd'!H28</f>
        <v>256.5</v>
      </c>
      <c r="P61" s="50">
        <f>O61*(Q61-R61-S61)</f>
        <v>310365</v>
      </c>
      <c r="Q61" s="49">
        <v>1440</v>
      </c>
      <c r="R61" s="371">
        <v>173</v>
      </c>
      <c r="S61" s="371">
        <v>57</v>
      </c>
      <c r="T61" s="39">
        <f>E61*M61*O61*Q61/100000000</f>
        <v>50.687182937947902</v>
      </c>
      <c r="U61" s="39">
        <f>E61*M61*O61*(Q61-R61-S61)/100000000</f>
        <v>42.591313440914554</v>
      </c>
      <c r="V61" s="39">
        <f>E61*G61*(1-N61)*O61/100*(R61+S61)/1000000</f>
        <v>8.2333558702647505</v>
      </c>
      <c r="W61" s="39">
        <f>+'12'!K9/1000</f>
        <v>44.765000000000001</v>
      </c>
      <c r="X61" s="370">
        <f>SUM(W61:W64)/SUM(K61:K64)</f>
        <v>0.86841445826486119</v>
      </c>
      <c r="Y61" s="39">
        <v>0</v>
      </c>
      <c r="Z61" s="39">
        <f>+'1'!D89/1000</f>
        <v>0</v>
      </c>
      <c r="AA61" s="51">
        <f>SUM(U61:U64)-SUM(W61:W64)-SUM(Z61:Z64)-SUM(Y61:Y64)</f>
        <v>-2.1736865590854464</v>
      </c>
      <c r="AB61" s="51">
        <f>(SUM(K61:K64)-SUM(W61:W64)-SUM(Y61:Y64)-SUM(Z61:Z64)-SUM(AC61:AC64)-SUM(V61:V64))-AA61</f>
        <v>-0.13748637323140223</v>
      </c>
      <c r="AC61" s="39">
        <f>K61-T61</f>
        <v>0.86078424979662316</v>
      </c>
      <c r="AD61" s="39">
        <f>+AM61+BA61</f>
        <v>0</v>
      </c>
      <c r="AE61" s="230" t="s">
        <v>418</v>
      </c>
      <c r="AF61" s="39">
        <v>0</v>
      </c>
      <c r="AG61" s="39"/>
      <c r="AH61" s="39"/>
      <c r="AI61" s="485"/>
      <c r="AJ61" s="39"/>
      <c r="AK61" s="39"/>
      <c r="AL61" s="39"/>
      <c r="AM61" s="39">
        <f>SUM(AF61:AL61)+AT61+AV61+AX61</f>
        <v>0</v>
      </c>
      <c r="AN61" s="39"/>
      <c r="AO61" s="39"/>
      <c r="AP61" s="39"/>
      <c r="AQ61" s="39"/>
      <c r="AR61" s="39">
        <f>SUM(AN61:AQ61)</f>
        <v>0</v>
      </c>
      <c r="AS61" s="39"/>
      <c r="AT61" s="39"/>
      <c r="AU61" s="39"/>
      <c r="AV61" s="39"/>
      <c r="AW61" s="39"/>
      <c r="AX61" s="39"/>
      <c r="AY61" s="39"/>
      <c r="AZ61" s="39"/>
      <c r="BA61" s="39">
        <f>+AR61+AS61+AU61+AW61+AY61+AZ61</f>
        <v>0</v>
      </c>
      <c r="BB61" s="35">
        <v>0</v>
      </c>
      <c r="BC61" s="53"/>
      <c r="BD61" s="53"/>
      <c r="BE61" s="35"/>
      <c r="BF61" s="53"/>
    </row>
    <row r="62" spans="1:58" ht="12.95" customHeight="1">
      <c r="A62" s="42"/>
      <c r="B62" s="43"/>
      <c r="C62" s="402"/>
      <c r="D62" s="43"/>
      <c r="E62" s="44"/>
      <c r="F62" s="44"/>
      <c r="G62" s="415"/>
      <c r="H62" s="557"/>
      <c r="I62" s="47"/>
      <c r="J62" s="86"/>
      <c r="K62" s="86"/>
      <c r="L62" s="37"/>
      <c r="M62" s="37"/>
      <c r="N62" s="48"/>
      <c r="O62" s="49"/>
      <c r="P62" s="50"/>
      <c r="Q62" s="49"/>
      <c r="R62" s="371"/>
      <c r="S62" s="371"/>
      <c r="T62" s="39"/>
      <c r="U62" s="39"/>
      <c r="V62" s="39"/>
      <c r="W62" s="39"/>
      <c r="X62" s="40"/>
      <c r="Y62" s="213"/>
      <c r="Z62" s="39"/>
      <c r="AA62" s="39"/>
      <c r="AB62" s="39"/>
      <c r="AC62" s="39"/>
      <c r="AD62" s="39">
        <f t="shared" ref="AD62:AD64" si="47">+AM62+BA62</f>
        <v>27</v>
      </c>
      <c r="AE62" s="230" t="s">
        <v>464</v>
      </c>
      <c r="AF62" s="39"/>
      <c r="AG62" s="39">
        <v>27</v>
      </c>
      <c r="AH62" s="39"/>
      <c r="AI62" s="485"/>
      <c r="AJ62" s="39"/>
      <c r="AK62" s="39"/>
      <c r="AL62" s="39"/>
      <c r="AM62" s="39">
        <f t="shared" ref="AM62:AM63" si="48">SUM(AF62:AL62)+AT62+AV62+AX62</f>
        <v>27</v>
      </c>
      <c r="AN62" s="87"/>
      <c r="AO62" s="39"/>
      <c r="AP62" s="39"/>
      <c r="AQ62" s="39"/>
      <c r="AR62" s="39">
        <f t="shared" ref="AR62:AR63" si="49">SUM(AN62:AQ62)</f>
        <v>0</v>
      </c>
      <c r="AS62" s="39"/>
      <c r="AT62" s="39"/>
      <c r="AU62" s="39"/>
      <c r="AV62" s="39"/>
      <c r="AW62" s="39"/>
      <c r="AX62" s="39"/>
      <c r="AY62" s="39"/>
      <c r="AZ62" s="39"/>
      <c r="BA62" s="39">
        <f t="shared" ref="BA62:BA64" si="50">+AR62+AS62+AU62+AW62+AY62+AZ62</f>
        <v>0</v>
      </c>
      <c r="BB62" s="52"/>
      <c r="BC62" s="53">
        <v>9</v>
      </c>
      <c r="BD62" s="53"/>
      <c r="BE62" s="52"/>
      <c r="BF62" s="53"/>
    </row>
    <row r="63" spans="1:58" ht="12.95" customHeight="1">
      <c r="A63" s="42"/>
      <c r="B63" s="43"/>
      <c r="C63" s="402"/>
      <c r="D63" s="43"/>
      <c r="E63" s="44"/>
      <c r="F63" s="44"/>
      <c r="G63" s="45"/>
      <c r="H63" s="46"/>
      <c r="I63" s="47"/>
      <c r="J63" s="86"/>
      <c r="K63" s="86"/>
      <c r="L63" s="37"/>
      <c r="M63" s="37"/>
      <c r="N63" s="48"/>
      <c r="O63" s="49"/>
      <c r="P63" s="50"/>
      <c r="Q63" s="49"/>
      <c r="R63" s="371"/>
      <c r="S63" s="371"/>
      <c r="T63" s="39"/>
      <c r="U63" s="39"/>
      <c r="V63" s="39"/>
      <c r="W63" s="39"/>
      <c r="X63" s="40"/>
      <c r="Y63" s="213"/>
      <c r="Z63" s="39"/>
      <c r="AA63" s="39"/>
      <c r="AB63" s="39"/>
      <c r="AC63" s="39"/>
      <c r="AD63" s="39">
        <f t="shared" si="47"/>
        <v>30</v>
      </c>
      <c r="AE63" s="230" t="s">
        <v>514</v>
      </c>
      <c r="AF63" s="35"/>
      <c r="AG63" s="35"/>
      <c r="AH63" s="35">
        <v>30</v>
      </c>
      <c r="AJ63" s="39"/>
      <c r="AK63" s="39"/>
      <c r="AL63" s="39"/>
      <c r="AM63" s="39">
        <f t="shared" si="48"/>
        <v>30</v>
      </c>
      <c r="AN63" s="39"/>
      <c r="AO63" s="39"/>
      <c r="AP63" s="39"/>
      <c r="AQ63" s="39"/>
      <c r="AR63" s="39">
        <f t="shared" si="49"/>
        <v>0</v>
      </c>
      <c r="AS63" s="39"/>
      <c r="AT63" s="39"/>
      <c r="AU63" s="39"/>
      <c r="AV63" s="39"/>
      <c r="AW63" s="39"/>
      <c r="AX63" s="39"/>
      <c r="AY63" s="39"/>
      <c r="AZ63" s="39"/>
      <c r="BA63" s="39">
        <f t="shared" si="50"/>
        <v>0</v>
      </c>
      <c r="BB63" s="35"/>
      <c r="BC63" s="486"/>
      <c r="BD63" s="486"/>
      <c r="BE63" s="35"/>
      <c r="BF63" s="486"/>
    </row>
    <row r="64" spans="1:58" ht="12.95" customHeight="1">
      <c r="A64" s="42"/>
      <c r="B64" s="43"/>
      <c r="C64" s="402"/>
      <c r="D64" s="43"/>
      <c r="E64" s="44"/>
      <c r="F64" s="44"/>
      <c r="G64" s="45"/>
      <c r="H64" s="46"/>
      <c r="I64" s="47"/>
      <c r="J64" s="86"/>
      <c r="K64" s="86"/>
      <c r="L64" s="37"/>
      <c r="M64" s="37"/>
      <c r="N64" s="48"/>
      <c r="O64" s="49"/>
      <c r="P64" s="50"/>
      <c r="Q64" s="49"/>
      <c r="R64" s="371"/>
      <c r="S64" s="371"/>
      <c r="T64" s="39"/>
      <c r="U64" s="39"/>
      <c r="V64" s="39"/>
      <c r="W64" s="39"/>
      <c r="X64" s="40"/>
      <c r="Y64" s="213"/>
      <c r="Z64" s="39"/>
      <c r="AA64" s="39"/>
      <c r="AB64" s="39"/>
      <c r="AC64" s="39"/>
      <c r="AD64" s="39">
        <f t="shared" si="47"/>
        <v>173</v>
      </c>
      <c r="AE64" s="230" t="s">
        <v>515</v>
      </c>
      <c r="AF64" s="35"/>
      <c r="AG64" s="35"/>
      <c r="AH64" s="35"/>
      <c r="AJ64" s="39"/>
      <c r="AK64" s="39"/>
      <c r="AL64" s="39"/>
      <c r="AM64" s="39">
        <f t="shared" ref="AM64" si="51">SUM(AF64:AL64)+AT64+AV64+AX64</f>
        <v>0</v>
      </c>
      <c r="AN64" s="39">
        <v>173</v>
      </c>
      <c r="AO64" s="39"/>
      <c r="AP64" s="39"/>
      <c r="AQ64" s="39"/>
      <c r="AR64" s="39">
        <f t="shared" ref="AR64" si="52">SUM(AN64:AQ64)</f>
        <v>173</v>
      </c>
      <c r="AS64" s="39"/>
      <c r="AT64" s="39"/>
      <c r="AU64" s="39">
        <v>0</v>
      </c>
      <c r="AV64" s="39"/>
      <c r="AW64" s="39"/>
      <c r="AX64" s="39"/>
      <c r="AY64" s="39"/>
      <c r="AZ64" s="39"/>
      <c r="BA64" s="39">
        <f t="shared" si="50"/>
        <v>173</v>
      </c>
      <c r="BB64" s="35"/>
      <c r="BC64" s="486"/>
      <c r="BD64" s="486"/>
      <c r="BE64" s="35"/>
      <c r="BF64" s="486">
        <v>2</v>
      </c>
    </row>
    <row r="65" spans="1:58" ht="12.95" customHeight="1">
      <c r="A65" s="42"/>
      <c r="B65" s="43"/>
      <c r="C65" s="402"/>
      <c r="D65" s="43"/>
      <c r="E65" s="44"/>
      <c r="F65" s="44"/>
      <c r="G65" s="415"/>
      <c r="H65" s="557"/>
      <c r="I65" s="47"/>
      <c r="J65" s="86"/>
      <c r="K65" s="86"/>
      <c r="L65" s="37"/>
      <c r="M65" s="37"/>
      <c r="N65" s="48"/>
      <c r="O65" s="49"/>
      <c r="P65" s="50"/>
      <c r="Q65" s="49"/>
      <c r="R65" s="371"/>
      <c r="S65" s="371"/>
      <c r="T65" s="39"/>
      <c r="U65" s="39"/>
      <c r="V65" s="39"/>
      <c r="W65" s="39"/>
      <c r="X65" s="40"/>
      <c r="Y65" s="213"/>
      <c r="Z65" s="39"/>
      <c r="AA65" s="39"/>
      <c r="AB65" s="39"/>
      <c r="AC65" s="39"/>
      <c r="AD65" s="39"/>
      <c r="AE65" s="230"/>
      <c r="AF65" s="39"/>
      <c r="AG65" s="39"/>
      <c r="AH65" s="39"/>
      <c r="AI65" s="39"/>
      <c r="AJ65" s="39"/>
      <c r="AK65" s="39"/>
      <c r="AL65" s="39"/>
      <c r="AM65" s="39"/>
      <c r="AN65" s="39"/>
      <c r="AO65" s="39"/>
      <c r="AP65" s="39"/>
      <c r="AQ65" s="39"/>
      <c r="AR65" s="39"/>
      <c r="AS65" s="39"/>
      <c r="AT65" s="39"/>
      <c r="AU65" s="39"/>
      <c r="AV65" s="39"/>
      <c r="AW65" s="39"/>
      <c r="AX65" s="39"/>
      <c r="AY65" s="39"/>
      <c r="AZ65" s="39"/>
      <c r="BA65" s="39"/>
      <c r="BB65" s="35"/>
      <c r="BC65" s="53"/>
      <c r="BD65" s="53"/>
      <c r="BE65" s="53"/>
      <c r="BF65" s="53"/>
    </row>
    <row r="66" spans="1:58" ht="12.95" customHeight="1">
      <c r="A66" s="42">
        <v>45943</v>
      </c>
      <c r="B66" s="43" t="s">
        <v>460</v>
      </c>
      <c r="C66" s="402">
        <f>(M66*E66*O66*Q66)/100000000</f>
        <v>49.804900744499996</v>
      </c>
      <c r="D66" s="43" t="s">
        <v>462</v>
      </c>
      <c r="E66" s="44">
        <v>14.5</v>
      </c>
      <c r="F66" s="44">
        <v>1</v>
      </c>
      <c r="G66" s="415">
        <v>1235</v>
      </c>
      <c r="H66" s="557">
        <f>+N66</f>
        <v>0.2208239726525566</v>
      </c>
      <c r="I66" s="47">
        <v>0.88</v>
      </c>
      <c r="J66" s="86">
        <f>E66*G66*(1-H66)*1440/1000000*2.74</f>
        <v>55.053330486688374</v>
      </c>
      <c r="K66" s="86">
        <f>(IF(G66&lt;L66,L66,G66)*(1-IF(H66&lt;N66,H66,N66))*E66*O66*Q66)/100000000</f>
        <v>51.537150619837824</v>
      </c>
      <c r="L66" s="37">
        <v>1193.4895833333333</v>
      </c>
      <c r="M66" s="37">
        <v>929.93847222222212</v>
      </c>
      <c r="N66" s="48">
        <f>1-(M66/L66)</f>
        <v>0.2208239726525566</v>
      </c>
      <c r="O66" s="49">
        <f>+'Trim Rwd'!H30</f>
        <v>256.5</v>
      </c>
      <c r="P66" s="50">
        <f>O66*(Q66-R66-S66)</f>
        <v>355252.5</v>
      </c>
      <c r="Q66" s="49">
        <v>1440</v>
      </c>
      <c r="R66" s="371">
        <v>0</v>
      </c>
      <c r="S66" s="371">
        <v>55</v>
      </c>
      <c r="T66" s="39">
        <f>E66*M66*O66*Q66/100000000</f>
        <v>49.804900744499996</v>
      </c>
      <c r="U66" s="39">
        <f>E66*M66*O66*(Q66-R66-S66)/100000000</f>
        <v>47.902630229953125</v>
      </c>
      <c r="V66" s="39">
        <f>E66*G66*(1-N66)*O66/100*(R66+S66)/1000000</f>
        <v>1.9684328361743617</v>
      </c>
      <c r="W66" s="39">
        <f>+'13'!K9/1000</f>
        <v>42.232999999999997</v>
      </c>
      <c r="X66" s="370">
        <f>SUM(W66:W69)/SUM(K66:K69)</f>
        <v>0.81946711240461079</v>
      </c>
      <c r="Y66" s="39">
        <v>0</v>
      </c>
      <c r="Z66" s="39">
        <f>+'1'!D94/1000</f>
        <v>0</v>
      </c>
      <c r="AA66" s="51">
        <f>SUM(U66:U69)-SUM(W66:W69)-SUM(Z66:Z69)-SUM(Y66:Y69)</f>
        <v>5.6696302299531283</v>
      </c>
      <c r="AB66" s="51">
        <f>(SUM(K66:K69)-SUM(W66:W69)-SUM(Y66:Y69)-SUM(Z66:Z69)-SUM(AC66:AC69)-SUM(V66:V69))-AA66</f>
        <v>-6.6162321627491139E-2</v>
      </c>
      <c r="AC66" s="39">
        <f>K66-T66</f>
        <v>1.7322498753378284</v>
      </c>
      <c r="AD66" s="39">
        <f>+AM66+BA66</f>
        <v>0</v>
      </c>
      <c r="AE66" s="230" t="s">
        <v>418</v>
      </c>
      <c r="AF66" s="39">
        <v>0</v>
      </c>
      <c r="AG66" s="39"/>
      <c r="AH66" s="39"/>
      <c r="AI66" s="485"/>
      <c r="AJ66" s="39"/>
      <c r="AK66" s="39"/>
      <c r="AL66" s="39"/>
      <c r="AM66" s="39">
        <f>SUM(AF66:AL66)+AT66+AV66+AX66</f>
        <v>0</v>
      </c>
      <c r="AN66" s="39"/>
      <c r="AO66" s="39"/>
      <c r="AP66" s="39"/>
      <c r="AQ66" s="39"/>
      <c r="AR66" s="39">
        <f>SUM(AN66:AQ66)</f>
        <v>0</v>
      </c>
      <c r="AS66" s="39"/>
      <c r="AT66" s="39"/>
      <c r="AU66" s="39"/>
      <c r="AV66" s="39"/>
      <c r="AW66" s="39"/>
      <c r="AX66" s="39"/>
      <c r="AY66" s="39"/>
      <c r="AZ66" s="39"/>
      <c r="BA66" s="39">
        <f>+AR66+AS66+AU66+AW66+AY66+AZ66</f>
        <v>0</v>
      </c>
      <c r="BB66" s="35">
        <v>0</v>
      </c>
      <c r="BC66" s="53"/>
      <c r="BD66" s="53"/>
      <c r="BE66" s="35"/>
      <c r="BF66" s="53">
        <v>2</v>
      </c>
    </row>
    <row r="67" spans="1:58" ht="12.95" customHeight="1">
      <c r="A67" s="42"/>
      <c r="B67" s="43"/>
      <c r="C67" s="402"/>
      <c r="D67" s="43"/>
      <c r="E67" s="44"/>
      <c r="F67" s="44"/>
      <c r="G67" s="415"/>
      <c r="H67" s="557"/>
      <c r="I67" s="47"/>
      <c r="J67" s="86"/>
      <c r="K67" s="86"/>
      <c r="L67" s="37"/>
      <c r="M67" s="37"/>
      <c r="N67" s="48"/>
      <c r="O67" s="49"/>
      <c r="P67" s="50"/>
      <c r="Q67" s="49"/>
      <c r="R67" s="371"/>
      <c r="S67" s="371"/>
      <c r="T67" s="39"/>
      <c r="U67" s="39"/>
      <c r="V67" s="39"/>
      <c r="W67" s="39"/>
      <c r="X67" s="40"/>
      <c r="Y67" s="213"/>
      <c r="Z67" s="39"/>
      <c r="AA67" s="39"/>
      <c r="AB67" s="39"/>
      <c r="AC67" s="39"/>
      <c r="AD67" s="39">
        <f t="shared" ref="AD67:AD68" si="53">+AM67+BA67</f>
        <v>18</v>
      </c>
      <c r="AE67" s="230" t="s">
        <v>464</v>
      </c>
      <c r="AF67" s="39"/>
      <c r="AG67" s="39">
        <v>18</v>
      </c>
      <c r="AH67" s="39"/>
      <c r="AI67" s="485"/>
      <c r="AJ67" s="39"/>
      <c r="AK67" s="39"/>
      <c r="AL67" s="39"/>
      <c r="AM67" s="39">
        <f t="shared" ref="AM67:AM68" si="54">SUM(AF67:AL67)+AT67+AV67+AX67</f>
        <v>18</v>
      </c>
      <c r="AN67" s="87"/>
      <c r="AO67" s="39"/>
      <c r="AP67" s="39"/>
      <c r="AQ67" s="39"/>
      <c r="AR67" s="39">
        <f t="shared" ref="AR67:AR68" si="55">SUM(AN67:AQ67)</f>
        <v>0</v>
      </c>
      <c r="AS67" s="39"/>
      <c r="AT67" s="39"/>
      <c r="AU67" s="39"/>
      <c r="AV67" s="39"/>
      <c r="AW67" s="39"/>
      <c r="AX67" s="39"/>
      <c r="AY67" s="39"/>
      <c r="AZ67" s="39"/>
      <c r="BA67" s="39">
        <f t="shared" ref="BA67:BA68" si="56">+AR67+AS67+AU67+AW67+AY67+AZ67</f>
        <v>0</v>
      </c>
      <c r="BB67" s="52"/>
      <c r="BC67" s="53">
        <v>9</v>
      </c>
      <c r="BD67" s="53"/>
      <c r="BE67" s="52"/>
      <c r="BF67" s="53"/>
    </row>
    <row r="68" spans="1:58" ht="12.95" customHeight="1">
      <c r="A68" s="42"/>
      <c r="B68" s="43"/>
      <c r="C68" s="402"/>
      <c r="D68" s="43"/>
      <c r="E68" s="44"/>
      <c r="F68" s="44"/>
      <c r="G68" s="45"/>
      <c r="H68" s="46"/>
      <c r="I68" s="47"/>
      <c r="J68" s="86"/>
      <c r="K68" s="86"/>
      <c r="L68" s="37"/>
      <c r="M68" s="37"/>
      <c r="N68" s="48"/>
      <c r="O68" s="49"/>
      <c r="P68" s="50"/>
      <c r="Q68" s="49"/>
      <c r="R68" s="371"/>
      <c r="S68" s="371"/>
      <c r="T68" s="39"/>
      <c r="U68" s="39"/>
      <c r="V68" s="39"/>
      <c r="W68" s="39"/>
      <c r="X68" s="40"/>
      <c r="Y68" s="213"/>
      <c r="Z68" s="39"/>
      <c r="AA68" s="39"/>
      <c r="AB68" s="39"/>
      <c r="AC68" s="39"/>
      <c r="AD68" s="39">
        <f t="shared" si="53"/>
        <v>37</v>
      </c>
      <c r="AE68" s="230" t="s">
        <v>513</v>
      </c>
      <c r="AF68" s="35"/>
      <c r="AG68" s="35"/>
      <c r="AH68" s="35">
        <v>37</v>
      </c>
      <c r="AJ68" s="39"/>
      <c r="AK68" s="39"/>
      <c r="AL68" s="39"/>
      <c r="AM68" s="39">
        <f t="shared" si="54"/>
        <v>37</v>
      </c>
      <c r="AN68" s="39"/>
      <c r="AO68" s="39"/>
      <c r="AP68" s="39"/>
      <c r="AQ68" s="39"/>
      <c r="AR68" s="39">
        <f t="shared" si="55"/>
        <v>0</v>
      </c>
      <c r="AS68" s="39"/>
      <c r="AT68" s="39"/>
      <c r="AU68" s="39"/>
      <c r="AV68" s="39"/>
      <c r="AW68" s="39"/>
      <c r="AX68" s="39"/>
      <c r="AY68" s="39"/>
      <c r="AZ68" s="39"/>
      <c r="BA68" s="39">
        <f t="shared" si="56"/>
        <v>0</v>
      </c>
      <c r="BB68" s="35"/>
      <c r="BC68" s="486"/>
      <c r="BD68" s="486"/>
      <c r="BE68" s="35"/>
      <c r="BF68" s="486"/>
    </row>
    <row r="69" spans="1:58" ht="12.95" customHeight="1">
      <c r="A69" s="42"/>
      <c r="B69" s="43"/>
      <c r="C69" s="402"/>
      <c r="D69" s="43"/>
      <c r="E69" s="44"/>
      <c r="F69" s="44"/>
      <c r="G69" s="415"/>
      <c r="H69" s="557"/>
      <c r="I69" s="47"/>
      <c r="J69" s="86"/>
      <c r="K69" s="86"/>
      <c r="L69" s="37"/>
      <c r="M69" s="37"/>
      <c r="N69" s="48"/>
      <c r="O69" s="49"/>
      <c r="P69" s="50"/>
      <c r="Q69" s="49"/>
      <c r="R69" s="371"/>
      <c r="S69" s="371"/>
      <c r="T69" s="39"/>
      <c r="U69" s="39"/>
      <c r="V69" s="39"/>
      <c r="W69" s="39"/>
      <c r="X69" s="370"/>
      <c r="Y69" s="213"/>
      <c r="Z69" s="39"/>
      <c r="AA69" s="51"/>
      <c r="AB69" s="51"/>
      <c r="AC69" s="39"/>
      <c r="AD69" s="39"/>
      <c r="AE69" s="230"/>
      <c r="AF69" s="39"/>
      <c r="AG69" s="39"/>
      <c r="AH69" s="39"/>
      <c r="AI69" s="39"/>
      <c r="AJ69" s="39"/>
      <c r="AK69" s="39"/>
      <c r="AL69" s="39"/>
      <c r="AM69" s="39"/>
      <c r="AN69" s="39"/>
      <c r="AO69" s="39"/>
      <c r="AP69" s="39"/>
      <c r="AQ69" s="39"/>
      <c r="AR69" s="39"/>
      <c r="AS69" s="39"/>
      <c r="AT69" s="39"/>
      <c r="AU69" s="39"/>
      <c r="AV69" s="39"/>
      <c r="AW69" s="39"/>
      <c r="AX69" s="39"/>
      <c r="AY69" s="39"/>
      <c r="AZ69" s="39"/>
      <c r="BA69" s="39"/>
      <c r="BB69" s="35"/>
      <c r="BC69" s="53"/>
      <c r="BD69" s="486"/>
      <c r="BE69" s="35"/>
      <c r="BF69" s="486"/>
    </row>
    <row r="70" spans="1:58" ht="12" customHeight="1">
      <c r="A70" s="42">
        <v>45944</v>
      </c>
      <c r="B70" s="43" t="s">
        <v>460</v>
      </c>
      <c r="C70" s="402">
        <f>(M70*E70*O70*Q70)/100000000</f>
        <v>31.728401054999999</v>
      </c>
      <c r="D70" s="43" t="s">
        <v>462</v>
      </c>
      <c r="E70" s="44">
        <v>14.5</v>
      </c>
      <c r="F70" s="44">
        <v>1</v>
      </c>
      <c r="G70" s="415">
        <v>1235</v>
      </c>
      <c r="H70" s="557">
        <f>+N70</f>
        <v>0.21999999999999997</v>
      </c>
      <c r="I70" s="47">
        <v>0.88</v>
      </c>
      <c r="J70" s="86">
        <f>E70*G70*(1-H70)*1440/1000000*2.74</f>
        <v>55.11154896</v>
      </c>
      <c r="K70" s="86">
        <f>(IF(G70&lt;L70,L70,G70)*(1-IF(H70&lt;N70,H70,N70))*E70*O70*Q70)/100000000</f>
        <v>32.423919401249996</v>
      </c>
      <c r="L70" s="37">
        <v>1208.5082872928176</v>
      </c>
      <c r="M70" s="37">
        <v>942.63646408839782</v>
      </c>
      <c r="N70" s="48">
        <f>1-(M70/L70)</f>
        <v>0.21999999999999997</v>
      </c>
      <c r="O70" s="49">
        <f>+'Trim Rwd'!H32</f>
        <v>256.5</v>
      </c>
      <c r="P70" s="50">
        <f>O70*(Q70-R70-S70)</f>
        <v>219820.5</v>
      </c>
      <c r="Q70" s="49">
        <v>905</v>
      </c>
      <c r="R70" s="371">
        <v>0</v>
      </c>
      <c r="S70" s="371">
        <v>48</v>
      </c>
      <c r="T70" s="39">
        <f>E70*M70*O70*Q70/100000000</f>
        <v>31.728401054999999</v>
      </c>
      <c r="U70" s="39">
        <f>E70*M70*O70*(Q70-R70-S70)/100000000</f>
        <v>30.045568733850832</v>
      </c>
      <c r="V70" s="39">
        <f>E70*G70*(1-N70)*O70/100*(R70+S70)/1000000</f>
        <v>1.719721692</v>
      </c>
      <c r="W70" s="39">
        <f>+'14'!K9/1000</f>
        <v>35.51</v>
      </c>
      <c r="X70" s="370">
        <f>SUM(W70:W73)/SUM(K70:K73)</f>
        <v>0.75745989323230722</v>
      </c>
      <c r="Y70" s="39">
        <f>+SUM(RBP!AG21:AG22)</f>
        <v>0</v>
      </c>
      <c r="Z70" s="39">
        <f>+'1'!D98/1000</f>
        <v>0</v>
      </c>
      <c r="AA70" s="51">
        <f>SUM(U70:U73)-SUM(W70:W73)-SUM(Z70:Z73)-SUM(Y70:Y73)</f>
        <v>9.0571837075424284</v>
      </c>
      <c r="AB70" s="51">
        <f>(SUM(K70:K73)-SUM(W70:W73)-SUM(Y70:Y73)-SUM(Z70:Z73)-SUM(AC70:AC73)-SUM(V70:V73))-AA70</f>
        <v>-5.0584560436655934E-2</v>
      </c>
      <c r="AC70" s="39">
        <f>K70-T70</f>
        <v>0.69551834624999742</v>
      </c>
      <c r="AD70" s="39">
        <f>+AM70+BA70</f>
        <v>0</v>
      </c>
      <c r="AE70" s="230" t="s">
        <v>418</v>
      </c>
      <c r="AF70" s="39">
        <v>0</v>
      </c>
      <c r="AG70" s="39"/>
      <c r="AH70" s="39"/>
      <c r="AI70" s="485"/>
      <c r="AJ70" s="39"/>
      <c r="AK70" s="39"/>
      <c r="AL70" s="39"/>
      <c r="AM70" s="39">
        <f>SUM(AF70:AL70)+AT70+AV70+AX70</f>
        <v>0</v>
      </c>
      <c r="AN70" s="39"/>
      <c r="AO70" s="39"/>
      <c r="AP70" s="39"/>
      <c r="AQ70" s="39"/>
      <c r="AR70" s="39">
        <f>SUM(AN70:AQ70)</f>
        <v>0</v>
      </c>
      <c r="AS70" s="39"/>
      <c r="AT70" s="39"/>
      <c r="AU70" s="39"/>
      <c r="AV70" s="39"/>
      <c r="AW70" s="39"/>
      <c r="AX70" s="39"/>
      <c r="AY70" s="39"/>
      <c r="AZ70" s="39"/>
      <c r="BA70" s="39">
        <f>+AR70+AS70+AU70+AW70+AY70+AZ70</f>
        <v>0</v>
      </c>
      <c r="BB70" s="35">
        <v>0</v>
      </c>
      <c r="BC70" s="53"/>
      <c r="BD70" s="53"/>
      <c r="BE70" s="35"/>
      <c r="BF70" s="53"/>
    </row>
    <row r="71" spans="1:58" ht="12.95" customHeight="1">
      <c r="A71" s="42"/>
      <c r="B71" s="43" t="s">
        <v>460</v>
      </c>
      <c r="C71" s="402">
        <f>(M71*E71*O71*Q71)/100000000</f>
        <v>19.3728902175</v>
      </c>
      <c r="D71" s="43" t="s">
        <v>462</v>
      </c>
      <c r="E71" s="44">
        <v>13.5</v>
      </c>
      <c r="F71" s="44">
        <v>1</v>
      </c>
      <c r="G71" s="415">
        <v>1295</v>
      </c>
      <c r="H71" s="557">
        <f>+N71</f>
        <v>0.20204688644688651</v>
      </c>
      <c r="I71" s="47">
        <v>0.88</v>
      </c>
      <c r="J71" s="86">
        <f>E71*G71*(1-H71)*1440/1000000*2.74</f>
        <v>55.041969518030761</v>
      </c>
      <c r="K71" s="86">
        <f>(IF(G71&lt;L71,L71,G71)*(1-IF(H71&lt;N71,H71,N71))*E71*O71*Q71)/100000000</f>
        <v>19.665967274636536</v>
      </c>
      <c r="L71" s="37">
        <v>1275.7009345794393</v>
      </c>
      <c r="M71" s="37">
        <v>1017.9495327102803</v>
      </c>
      <c r="N71" s="48">
        <f>1-(M71/L71)</f>
        <v>0.20204688644688651</v>
      </c>
      <c r="O71" s="49">
        <f>+'Trim Rwd'!H33</f>
        <v>263.5</v>
      </c>
      <c r="P71" s="50">
        <f>O71*(Q71-R71-S71)</f>
        <v>134385</v>
      </c>
      <c r="Q71" s="49">
        <v>535</v>
      </c>
      <c r="R71" s="371">
        <v>0</v>
      </c>
      <c r="S71" s="371">
        <f>73-S70</f>
        <v>25</v>
      </c>
      <c r="T71" s="39">
        <f>E71*M71*O71*Q71/100000000</f>
        <v>19.3728902175</v>
      </c>
      <c r="U71" s="39">
        <f>E71*M71*O71*(Q71-R71-S71)/100000000</f>
        <v>18.467614973691589</v>
      </c>
      <c r="V71" s="39">
        <f>E71*G71*(1-N71)*O71/100*(R71+S71)/1000000</f>
        <v>0.91897043339423068</v>
      </c>
      <c r="W71" s="39">
        <f>+'14'!K10/1000</f>
        <v>3.9460000000000002</v>
      </c>
      <c r="X71" s="40"/>
      <c r="Y71" s="213"/>
      <c r="Z71" s="39"/>
      <c r="AA71" s="39"/>
      <c r="AB71" s="39"/>
      <c r="AC71" s="39">
        <f>K71-T71</f>
        <v>0.29307705713653576</v>
      </c>
      <c r="AD71" s="39">
        <f t="shared" ref="AD71:AD72" si="57">+AM71+BA71</f>
        <v>24</v>
      </c>
      <c r="AE71" s="230" t="s">
        <v>464</v>
      </c>
      <c r="AF71" s="39"/>
      <c r="AG71" s="39">
        <v>24</v>
      </c>
      <c r="AH71" s="39"/>
      <c r="AI71" s="485"/>
      <c r="AJ71" s="39"/>
      <c r="AK71" s="39"/>
      <c r="AL71" s="39"/>
      <c r="AM71" s="39">
        <f t="shared" ref="AM71:AM72" si="58">SUM(AF71:AL71)+AT71+AV71+AX71</f>
        <v>24</v>
      </c>
      <c r="AN71" s="87"/>
      <c r="AO71" s="39"/>
      <c r="AP71" s="39"/>
      <c r="AQ71" s="39"/>
      <c r="AR71" s="39">
        <f t="shared" ref="AR71:AR72" si="59">SUM(AN71:AQ71)</f>
        <v>0</v>
      </c>
      <c r="AS71" s="39"/>
      <c r="AT71" s="39"/>
      <c r="AU71" s="39"/>
      <c r="AV71" s="39"/>
      <c r="AW71" s="39"/>
      <c r="AX71" s="39"/>
      <c r="AY71" s="39"/>
      <c r="AZ71" s="39"/>
      <c r="BA71" s="39">
        <f t="shared" ref="BA71:BA72" si="60">+AR71+AS71+AU71+AW71+AY71+AZ71</f>
        <v>0</v>
      </c>
      <c r="BB71" s="52"/>
      <c r="BC71" s="53">
        <v>9</v>
      </c>
      <c r="BD71" s="53"/>
      <c r="BE71" s="52"/>
      <c r="BF71" s="53"/>
    </row>
    <row r="72" spans="1:58" ht="12.95" customHeight="1">
      <c r="A72" s="42"/>
      <c r="B72" s="43"/>
      <c r="C72" s="402"/>
      <c r="D72" s="43"/>
      <c r="E72" s="44"/>
      <c r="F72" s="44"/>
      <c r="G72" s="45"/>
      <c r="H72" s="46"/>
      <c r="I72" s="47"/>
      <c r="J72" s="86"/>
      <c r="K72" s="86"/>
      <c r="L72" s="37"/>
      <c r="M72" s="37"/>
      <c r="N72" s="48"/>
      <c r="O72" s="49"/>
      <c r="P72" s="50"/>
      <c r="Q72" s="49"/>
      <c r="R72" s="371"/>
      <c r="S72" s="371"/>
      <c r="T72" s="39"/>
      <c r="U72" s="39"/>
      <c r="V72" s="39"/>
      <c r="W72" s="39"/>
      <c r="X72" s="40"/>
      <c r="Y72" s="213"/>
      <c r="Z72" s="39"/>
      <c r="AA72" s="39"/>
      <c r="AB72" s="39"/>
      <c r="AC72" s="39"/>
      <c r="AD72" s="39">
        <f t="shared" si="57"/>
        <v>49</v>
      </c>
      <c r="AE72" s="230" t="s">
        <v>513</v>
      </c>
      <c r="AF72" s="35"/>
      <c r="AG72" s="35"/>
      <c r="AH72" s="35">
        <v>49</v>
      </c>
      <c r="AJ72" s="39"/>
      <c r="AK72" s="39"/>
      <c r="AL72" s="39"/>
      <c r="AM72" s="39">
        <f t="shared" si="58"/>
        <v>49</v>
      </c>
      <c r="AN72" s="39"/>
      <c r="AO72" s="39"/>
      <c r="AP72" s="39"/>
      <c r="AQ72" s="39"/>
      <c r="AR72" s="39">
        <f t="shared" si="59"/>
        <v>0</v>
      </c>
      <c r="AS72" s="39"/>
      <c r="AT72" s="39"/>
      <c r="AU72" s="39"/>
      <c r="AV72" s="39"/>
      <c r="AW72" s="39"/>
      <c r="AX72" s="39"/>
      <c r="AY72" s="39"/>
      <c r="AZ72" s="39"/>
      <c r="BA72" s="39">
        <f t="shared" si="60"/>
        <v>0</v>
      </c>
      <c r="BB72" s="35"/>
      <c r="BC72" s="486"/>
      <c r="BD72" s="486"/>
      <c r="BE72" s="35"/>
      <c r="BF72" s="486"/>
    </row>
    <row r="73" spans="1:58" ht="12.95" customHeight="1">
      <c r="A73" s="42"/>
      <c r="B73" s="43"/>
      <c r="C73" s="402"/>
      <c r="D73" s="43"/>
      <c r="E73" s="44"/>
      <c r="F73" s="44"/>
      <c r="G73" s="415"/>
      <c r="H73" s="557"/>
      <c r="I73" s="47"/>
      <c r="J73" s="86"/>
      <c r="K73" s="86"/>
      <c r="L73" s="37"/>
      <c r="M73" s="37"/>
      <c r="N73" s="48"/>
      <c r="O73" s="49"/>
      <c r="P73" s="50"/>
      <c r="Q73" s="49"/>
      <c r="R73" s="371"/>
      <c r="S73" s="371"/>
      <c r="T73" s="39"/>
      <c r="U73" s="39"/>
      <c r="V73" s="39"/>
      <c r="W73" s="39"/>
      <c r="X73" s="370"/>
      <c r="Y73" s="39"/>
      <c r="Z73" s="39"/>
      <c r="AA73" s="51"/>
      <c r="AB73" s="51"/>
      <c r="AC73" s="39"/>
      <c r="AD73" s="39"/>
      <c r="AE73" s="230"/>
      <c r="AF73" s="39"/>
      <c r="AG73" s="39"/>
      <c r="AH73" s="39"/>
      <c r="AI73" s="485"/>
      <c r="AJ73" s="39"/>
      <c r="AK73" s="39"/>
      <c r="AL73" s="39"/>
      <c r="AM73" s="39"/>
      <c r="AN73" s="39"/>
      <c r="AO73" s="39"/>
      <c r="AP73" s="39"/>
      <c r="AQ73" s="39"/>
      <c r="AR73" s="39"/>
      <c r="AS73" s="39"/>
      <c r="AT73" s="39"/>
      <c r="AU73" s="39"/>
      <c r="AV73" s="39"/>
      <c r="AW73" s="39"/>
      <c r="AX73" s="39"/>
      <c r="AY73" s="39"/>
      <c r="AZ73" s="39"/>
      <c r="BA73" s="39"/>
      <c r="BB73" s="35"/>
      <c r="BC73" s="53"/>
      <c r="BD73" s="53"/>
      <c r="BE73" s="53"/>
      <c r="BF73" s="53"/>
    </row>
    <row r="74" spans="1:58" ht="12" customHeight="1">
      <c r="A74" s="42">
        <v>45945</v>
      </c>
      <c r="B74" s="43" t="s">
        <v>460</v>
      </c>
      <c r="C74" s="402">
        <f>(M74*E74*O74*Q74)/100000000</f>
        <v>31.624733637551021</v>
      </c>
      <c r="D74" s="43" t="s">
        <v>462</v>
      </c>
      <c r="E74" s="44">
        <v>13.5</v>
      </c>
      <c r="F74" s="44">
        <v>1</v>
      </c>
      <c r="G74" s="415">
        <v>1335</v>
      </c>
      <c r="H74" s="557">
        <f>+N74</f>
        <v>0.22409360691877234</v>
      </c>
      <c r="I74" s="47">
        <v>0.88</v>
      </c>
      <c r="J74" s="86">
        <f>E74*G74*(1-H74)*1440/1000000*2.74</f>
        <v>55.174374627695435</v>
      </c>
      <c r="K74" s="86">
        <f>(IF(G74&lt;L74,L74,G74)*(1-IF(H74&lt;N74,H74,N74))*E74*O74*Q74)/100000000</f>
        <v>32.933269334950104</v>
      </c>
      <c r="L74" s="37">
        <v>1281.9565217391305</v>
      </c>
      <c r="M74" s="37">
        <v>994.67826086956518</v>
      </c>
      <c r="N74" s="48">
        <f>1-(M74/L74)</f>
        <v>0.22409360691877234</v>
      </c>
      <c r="O74" s="49">
        <f>+'Trim Rwd'!H35</f>
        <v>255.98979591836735</v>
      </c>
      <c r="P74" s="50">
        <f>O74*(Q74-R74-S74)</f>
        <v>222711.12244897959</v>
      </c>
      <c r="Q74" s="49">
        <v>920</v>
      </c>
      <c r="R74" s="371">
        <v>0</v>
      </c>
      <c r="S74" s="371">
        <f>85-S75-S76</f>
        <v>50</v>
      </c>
      <c r="T74" s="39">
        <f>E74*M74*O74*Q74/100000000</f>
        <v>31.624733637551021</v>
      </c>
      <c r="U74" s="39">
        <f>E74*M74*O74*(Q74-R74-S74)/100000000</f>
        <v>29.905998113771076</v>
      </c>
      <c r="V74" s="39">
        <f>E74*G74*(1-N74)*O74/100*(R74+S74)/1000000</f>
        <v>1.7898515942907667</v>
      </c>
      <c r="W74" s="39">
        <f>+'15'!K10/1000</f>
        <v>31.661999999999999</v>
      </c>
      <c r="X74" s="370">
        <f>SUM(W74:W77)/SUM(K74:K77)</f>
        <v>0.76448884990270061</v>
      </c>
      <c r="Y74" s="39">
        <v>0</v>
      </c>
      <c r="Z74" s="39">
        <f>+'1'!D102/1000</f>
        <v>0</v>
      </c>
      <c r="AA74" s="51">
        <f>SUM(U74:U77)-SUM(W74:W77)-SUM(Z74:Z77)-SUM(Y74:Y77)</f>
        <v>7.9267662487710737</v>
      </c>
      <c r="AB74" s="51">
        <f>(SUM(K74:K77)-SUM(W74:W77)-SUM(Y74:Y77)-SUM(Z74:Z77)-SUM(AC74:AC77)-SUM(V74:V77))-AA74</f>
        <v>-2.0859710510816143E-2</v>
      </c>
      <c r="AC74" s="39">
        <f>K74-T74</f>
        <v>1.3085356973990834</v>
      </c>
      <c r="AD74" s="39">
        <f>+AM74+BA74</f>
        <v>0</v>
      </c>
      <c r="AE74" s="230" t="s">
        <v>418</v>
      </c>
      <c r="AF74" s="39">
        <v>0</v>
      </c>
      <c r="AG74" s="39"/>
      <c r="AH74" s="39"/>
      <c r="AI74" s="485"/>
      <c r="AJ74" s="39"/>
      <c r="AK74" s="39"/>
      <c r="AL74" s="39"/>
      <c r="AM74" s="39">
        <f>SUM(AF74:AL74)+AT74+AV74+AX74</f>
        <v>0</v>
      </c>
      <c r="AN74" s="39"/>
      <c r="AO74" s="39"/>
      <c r="AP74" s="39"/>
      <c r="AQ74" s="39"/>
      <c r="AR74" s="39">
        <f>SUM(AN74:AQ74)</f>
        <v>0</v>
      </c>
      <c r="AS74" s="39"/>
      <c r="AT74" s="39"/>
      <c r="AU74" s="39"/>
      <c r="AV74" s="39"/>
      <c r="AW74" s="39"/>
      <c r="AX74" s="39"/>
      <c r="AY74" s="39"/>
      <c r="AZ74" s="39"/>
      <c r="BA74" s="39">
        <f>+AR74+AS74+AU74+AW74+AY74+AZ74</f>
        <v>0</v>
      </c>
      <c r="BB74" s="35">
        <v>0</v>
      </c>
      <c r="BC74" s="53"/>
      <c r="BD74" s="53"/>
      <c r="BE74" s="35"/>
      <c r="BF74" s="53"/>
    </row>
    <row r="75" spans="1:58" ht="12.95" customHeight="1">
      <c r="A75" s="42"/>
      <c r="B75" s="43" t="s">
        <v>460</v>
      </c>
      <c r="C75" s="402">
        <f>(M75*E75*O75*Q75)/100000000</f>
        <v>11.630757600000001</v>
      </c>
      <c r="D75" s="43" t="s">
        <v>462</v>
      </c>
      <c r="E75" s="44">
        <v>16.5</v>
      </c>
      <c r="F75" s="44">
        <v>1</v>
      </c>
      <c r="G75" s="415">
        <v>1010</v>
      </c>
      <c r="H75" s="557">
        <f>+N75</f>
        <v>0.15999999999999992</v>
      </c>
      <c r="I75" s="47">
        <v>0.88</v>
      </c>
      <c r="J75" s="86">
        <f>E75*G75*(1-H75)*1440/1000000*2.74</f>
        <v>55.232876160000011</v>
      </c>
      <c r="K75" s="86">
        <f>(IF(G75&lt;L75,L75,G75)*(1-IF(H75&lt;N75,H75,N75))*E75*O75*Q75)/100000000</f>
        <v>11.630757600000001</v>
      </c>
      <c r="L75" s="37">
        <v>1080</v>
      </c>
      <c r="M75" s="37">
        <v>907.2</v>
      </c>
      <c r="N75" s="48">
        <f>1-(M75/L75)</f>
        <v>0.15999999999999992</v>
      </c>
      <c r="O75" s="49">
        <f>+'Trim Rwd'!H37</f>
        <v>259</v>
      </c>
      <c r="P75" s="50">
        <f>O75*(Q75-R75-S75)</f>
        <v>72520</v>
      </c>
      <c r="Q75" s="49">
        <v>300</v>
      </c>
      <c r="R75" s="371">
        <v>0</v>
      </c>
      <c r="S75" s="371">
        <v>20</v>
      </c>
      <c r="T75" s="39">
        <f>E75*M75*O75*Q75/100000000</f>
        <v>11.630757600000001</v>
      </c>
      <c r="U75" s="39">
        <f>E75*M75*O75*(Q75-R75-S75)/100000000</f>
        <v>10.855373760000001</v>
      </c>
      <c r="V75" s="39">
        <f>E75*G75*(1-N75)*O75/100*(R75+S75)/1000000</f>
        <v>0.72512748000000005</v>
      </c>
      <c r="W75" s="39">
        <f>+'15'!K11/1000</f>
        <v>8.0449999999999999</v>
      </c>
      <c r="X75" s="40"/>
      <c r="Y75" s="213"/>
      <c r="Z75" s="39"/>
      <c r="AA75" s="39"/>
      <c r="AB75" s="39"/>
      <c r="AC75" s="39">
        <f>K75-T75</f>
        <v>0</v>
      </c>
      <c r="AD75" s="39">
        <f t="shared" ref="AD75:AD76" si="61">+AM75+BA75</f>
        <v>31</v>
      </c>
      <c r="AE75" s="230" t="s">
        <v>557</v>
      </c>
      <c r="AF75" s="39"/>
      <c r="AG75" s="39">
        <v>31</v>
      </c>
      <c r="AH75" s="39"/>
      <c r="AI75" s="485"/>
      <c r="AJ75" s="39"/>
      <c r="AK75" s="39"/>
      <c r="AL75" s="39"/>
      <c r="AM75" s="39">
        <f t="shared" ref="AM75:AM76" si="62">SUM(AF75:AL75)+AT75+AV75+AX75</f>
        <v>31</v>
      </c>
      <c r="AN75" s="87"/>
      <c r="AO75" s="39"/>
      <c r="AP75" s="39"/>
      <c r="AQ75" s="39"/>
      <c r="AR75" s="39">
        <f t="shared" ref="AR75:AR76" si="63">SUM(AN75:AQ75)</f>
        <v>0</v>
      </c>
      <c r="AS75" s="39"/>
      <c r="AT75" s="39"/>
      <c r="AU75" s="39"/>
      <c r="AV75" s="39"/>
      <c r="AW75" s="39"/>
      <c r="AX75" s="39"/>
      <c r="AY75" s="39"/>
      <c r="AZ75" s="39"/>
      <c r="BA75" s="39">
        <f t="shared" ref="BA75:BA76" si="64">+AR75+AS75+AU75+AW75+AY75+AZ75</f>
        <v>0</v>
      </c>
      <c r="BB75" s="52"/>
      <c r="BC75" s="53">
        <v>14</v>
      </c>
      <c r="BD75" s="53"/>
      <c r="BE75" s="52"/>
      <c r="BF75" s="53"/>
    </row>
    <row r="76" spans="1:58" ht="12.95" customHeight="1">
      <c r="A76" s="42"/>
      <c r="B76" s="43" t="s">
        <v>460</v>
      </c>
      <c r="C76" s="402">
        <f>(M76*E76*O76*Q76)/100000000</f>
        <v>7.3752525000000002</v>
      </c>
      <c r="D76" s="43" t="s">
        <v>462</v>
      </c>
      <c r="E76" s="44">
        <v>12.5</v>
      </c>
      <c r="F76" s="44">
        <v>1</v>
      </c>
      <c r="G76" s="415">
        <v>1350</v>
      </c>
      <c r="H76" s="557">
        <f>+N76</f>
        <v>0.22999999999999998</v>
      </c>
      <c r="I76" s="47">
        <v>0.88</v>
      </c>
      <c r="J76" s="86">
        <f>E76*G76*(1-H76)*1440/1000000*2.74</f>
        <v>51.268140000000002</v>
      </c>
      <c r="K76" s="86">
        <f>(IF(G76&lt;L76,L76,G76)*(1-IF(H76&lt;N76,H76,N76))*E76*O76*Q76)/100000000</f>
        <v>7.3752525000000002</v>
      </c>
      <c r="L76" s="37">
        <v>1350</v>
      </c>
      <c r="M76" s="37">
        <v>1039.5</v>
      </c>
      <c r="N76" s="48">
        <f>1-(M76/L76)</f>
        <v>0.22999999999999998</v>
      </c>
      <c r="O76" s="49">
        <f>+'Trim Rwd'!H38</f>
        <v>258</v>
      </c>
      <c r="P76" s="50">
        <f>O76*(Q76-R76-S76)</f>
        <v>52890</v>
      </c>
      <c r="Q76" s="49">
        <v>220</v>
      </c>
      <c r="R76" s="371">
        <v>0</v>
      </c>
      <c r="S76" s="371">
        <v>15</v>
      </c>
      <c r="T76" s="39">
        <f>E76*M76*O76*Q76/100000000</f>
        <v>7.3752525000000002</v>
      </c>
      <c r="U76" s="39">
        <f>E76*M76*O76*(Q76-R76-S76)/100000000</f>
        <v>6.8723943749999998</v>
      </c>
      <c r="V76" s="39">
        <f>E76*G76*(1-N76)*O76/100*(R76+S76)/1000000</f>
        <v>0.50285812500000004</v>
      </c>
      <c r="W76" s="39">
        <f>+'14'!K15/1000</f>
        <v>0</v>
      </c>
      <c r="X76" s="40"/>
      <c r="Y76" s="213"/>
      <c r="Z76" s="39"/>
      <c r="AA76" s="39"/>
      <c r="AB76" s="39"/>
      <c r="AC76" s="39">
        <f>K76-T76</f>
        <v>0</v>
      </c>
      <c r="AD76" s="39">
        <f t="shared" si="61"/>
        <v>54</v>
      </c>
      <c r="AE76" s="230" t="s">
        <v>489</v>
      </c>
      <c r="AF76" s="35"/>
      <c r="AG76" s="35"/>
      <c r="AH76" s="35">
        <v>54</v>
      </c>
      <c r="AJ76" s="39"/>
      <c r="AK76" s="39"/>
      <c r="AL76" s="39"/>
      <c r="AM76" s="39">
        <f t="shared" si="62"/>
        <v>54</v>
      </c>
      <c r="AN76" s="39"/>
      <c r="AO76" s="39"/>
      <c r="AP76" s="39"/>
      <c r="AQ76" s="39"/>
      <c r="AR76" s="39">
        <f t="shared" si="63"/>
        <v>0</v>
      </c>
      <c r="AS76" s="39"/>
      <c r="AT76" s="39"/>
      <c r="AU76" s="39"/>
      <c r="AV76" s="39"/>
      <c r="AW76" s="39"/>
      <c r="AX76" s="39"/>
      <c r="AY76" s="39"/>
      <c r="AZ76" s="39"/>
      <c r="BA76" s="39">
        <f t="shared" si="64"/>
        <v>0</v>
      </c>
      <c r="BB76" s="35"/>
      <c r="BC76" s="486"/>
      <c r="BD76" s="486"/>
      <c r="BE76" s="35"/>
      <c r="BF76" s="486"/>
    </row>
    <row r="77" spans="1:58" ht="12.95" customHeight="1">
      <c r="A77" s="42"/>
      <c r="B77" s="43"/>
      <c r="C77" s="402"/>
      <c r="D77" s="43"/>
      <c r="E77" s="44"/>
      <c r="F77" s="44"/>
      <c r="G77" s="415"/>
      <c r="H77" s="557"/>
      <c r="I77" s="47"/>
      <c r="J77" s="86"/>
      <c r="K77" s="86"/>
      <c r="L77" s="37"/>
      <c r="M77" s="37"/>
      <c r="N77" s="48"/>
      <c r="O77" s="49"/>
      <c r="P77" s="50"/>
      <c r="Q77" s="49"/>
      <c r="R77" s="371"/>
      <c r="S77" s="371"/>
      <c r="T77" s="39"/>
      <c r="U77" s="39"/>
      <c r="V77" s="39"/>
      <c r="W77" s="39"/>
      <c r="X77" s="370"/>
      <c r="Y77" s="39"/>
      <c r="Z77" s="39"/>
      <c r="AA77" s="51"/>
      <c r="AB77" s="51"/>
      <c r="AC77" s="39"/>
      <c r="AD77" s="39"/>
      <c r="AE77" s="230"/>
      <c r="AF77" s="39"/>
      <c r="AG77" s="39"/>
      <c r="AH77" s="39"/>
      <c r="AI77" s="485"/>
      <c r="AJ77" s="39"/>
      <c r="AK77" s="39"/>
      <c r="AL77" s="39"/>
      <c r="AM77" s="39"/>
      <c r="AN77" s="39"/>
      <c r="AO77" s="39"/>
      <c r="AP77" s="39"/>
      <c r="AQ77" s="39"/>
      <c r="AR77" s="39"/>
      <c r="AS77" s="39"/>
      <c r="AT77" s="39"/>
      <c r="AU77" s="39"/>
      <c r="AV77" s="39"/>
      <c r="AW77" s="39"/>
      <c r="AX77" s="39"/>
      <c r="AY77" s="39"/>
      <c r="AZ77" s="39"/>
      <c r="BA77" s="39"/>
      <c r="BB77" s="35"/>
      <c r="BC77" s="53"/>
      <c r="BD77" s="53"/>
      <c r="BE77" s="53"/>
      <c r="BF77" s="53"/>
    </row>
    <row r="78" spans="1:58" ht="12" customHeight="1">
      <c r="A78" s="42">
        <v>45946</v>
      </c>
      <c r="B78" s="43" t="s">
        <v>460</v>
      </c>
      <c r="C78" s="402">
        <f>(M78*E78*O78*Q78)/100000000</f>
        <v>7.4710349999999996</v>
      </c>
      <c r="D78" s="43" t="s">
        <v>462</v>
      </c>
      <c r="E78" s="44">
        <v>12.5</v>
      </c>
      <c r="F78" s="44">
        <v>1</v>
      </c>
      <c r="G78" s="415">
        <v>1350</v>
      </c>
      <c r="H78" s="557">
        <f>+N78</f>
        <v>0.21999999999999997</v>
      </c>
      <c r="I78" s="47">
        <v>0.88</v>
      </c>
      <c r="J78" s="86">
        <f>E78*G78*(1-H78)*1440/1000000*2.74</f>
        <v>51.933960000000006</v>
      </c>
      <c r="K78" s="86">
        <f>(IF(G78&lt;L78,L78,G78)*(1-IF(H78&lt;N78,H78,N78))*E78*O78*Q78)/100000000</f>
        <v>7.4710349999999996</v>
      </c>
      <c r="L78" s="37">
        <v>1350</v>
      </c>
      <c r="M78" s="37">
        <v>1053</v>
      </c>
      <c r="N78" s="48">
        <f>1-(M78/L78)</f>
        <v>0.21999999999999997</v>
      </c>
      <c r="O78" s="49">
        <f>+'Trim Rwd'!H40</f>
        <v>258</v>
      </c>
      <c r="P78" s="50">
        <f>O78*(Q78-R78-S78)</f>
        <v>53922</v>
      </c>
      <c r="Q78" s="49">
        <v>220</v>
      </c>
      <c r="R78" s="371">
        <v>0</v>
      </c>
      <c r="S78" s="371">
        <v>11</v>
      </c>
      <c r="T78" s="39">
        <f>E78*M78*O78*Q78/100000000</f>
        <v>7.4710349999999996</v>
      </c>
      <c r="U78" s="39">
        <f>E78*M78*O78*(Q78-R78-S78)/100000000</f>
        <v>7.0974832499999998</v>
      </c>
      <c r="V78" s="39">
        <f>E78*G78*(1-N78)*O78/100*(R78+S78)/1000000</f>
        <v>0.37355175000000002</v>
      </c>
      <c r="W78" s="39">
        <f>+'16'!K12/1000</f>
        <v>12.919</v>
      </c>
      <c r="X78" s="370">
        <f>SUM(W78:W81)/SUM(K78:K81)</f>
        <v>0.8353990327974482</v>
      </c>
      <c r="Y78" s="39">
        <f>+SUM(RBP!AG29:AG30)</f>
        <v>0</v>
      </c>
      <c r="Z78" s="39">
        <f>+'1'!D106/1000</f>
        <v>0</v>
      </c>
      <c r="AA78" s="51">
        <f>SUM(U78:U81)-SUM(W78:W81)-SUM(Z78:Z81)-SUM(Y78:Y81)</f>
        <v>6.6616427630000032</v>
      </c>
      <c r="AB78" s="51">
        <f>(SUM(K78:K81)-SUM(W78:W81)-SUM(Y78:Y81)-SUM(Z78:Z81)-SUM(AC78:AC81)-SUM(V78:V81))-AA78</f>
        <v>9.5741415000052399E-3</v>
      </c>
      <c r="AC78" s="39">
        <f>K78-T78</f>
        <v>0</v>
      </c>
      <c r="AD78" s="39">
        <f>+AM78+BA78</f>
        <v>0</v>
      </c>
      <c r="AE78" s="230" t="s">
        <v>418</v>
      </c>
      <c r="AF78" s="39">
        <v>0</v>
      </c>
      <c r="AG78" s="39"/>
      <c r="AH78" s="39"/>
      <c r="AI78" s="485"/>
      <c r="AJ78" s="39"/>
      <c r="AK78" s="39"/>
      <c r="AL78" s="39"/>
      <c r="AM78" s="39">
        <f>SUM(AF78:AL78)+AT78+AV78+AX78</f>
        <v>0</v>
      </c>
      <c r="AN78" s="39"/>
      <c r="AO78" s="39"/>
      <c r="AP78" s="39"/>
      <c r="AQ78" s="39"/>
      <c r="AR78" s="39">
        <f>SUM(AN78:AQ78)</f>
        <v>0</v>
      </c>
      <c r="AS78" s="39"/>
      <c r="AT78" s="39"/>
      <c r="AU78" s="39"/>
      <c r="AV78" s="39"/>
      <c r="AW78" s="39"/>
      <c r="AX78" s="39"/>
      <c r="AY78" s="39"/>
      <c r="AZ78" s="39"/>
      <c r="BA78" s="39">
        <f>+AR78+AS78+AU78+AW78+AY78+AZ78</f>
        <v>0</v>
      </c>
      <c r="BB78" s="35">
        <v>0</v>
      </c>
      <c r="BC78" s="53"/>
      <c r="BD78" s="53"/>
      <c r="BE78" s="35"/>
      <c r="BF78" s="53"/>
    </row>
    <row r="79" spans="1:58" ht="12.95" customHeight="1">
      <c r="A79" s="42"/>
      <c r="B79" s="43" t="s">
        <v>460</v>
      </c>
      <c r="C79" s="402">
        <f>(M79*E79*O79*Q79)/100000000</f>
        <v>4.4153802000000004</v>
      </c>
      <c r="D79" s="43" t="s">
        <v>462</v>
      </c>
      <c r="E79" s="44">
        <v>16.5</v>
      </c>
      <c r="F79" s="44">
        <v>1</v>
      </c>
      <c r="G79" s="415">
        <v>1035</v>
      </c>
      <c r="H79" s="557">
        <f>+N79</f>
        <v>0.18000000000000005</v>
      </c>
      <c r="I79" s="47">
        <v>0.88</v>
      </c>
      <c r="J79" s="86">
        <f>E79*G79*(1-H79)*1440/1000000*2.74</f>
        <v>55.252406880000009</v>
      </c>
      <c r="K79" s="86">
        <f>(IF(G79&lt;L79,L79,G79)*(1-IF(H79&lt;N79,H79,N79))*E79*O79*Q79)/100000000</f>
        <v>4.4153802000000004</v>
      </c>
      <c r="L79" s="37">
        <v>1050</v>
      </c>
      <c r="M79" s="37">
        <v>861</v>
      </c>
      <c r="N79" s="48">
        <f>1-(M79/L79)</f>
        <v>0.18000000000000005</v>
      </c>
      <c r="O79" s="49">
        <f>+'Trim Rwd'!H42</f>
        <v>259</v>
      </c>
      <c r="P79" s="50">
        <f>O79*(Q79-R79-S79)</f>
        <v>29785</v>
      </c>
      <c r="Q79" s="49">
        <v>120</v>
      </c>
      <c r="R79" s="371">
        <v>0</v>
      </c>
      <c r="S79" s="371">
        <v>5</v>
      </c>
      <c r="T79" s="39">
        <f>E79*M79*O79*Q79/100000000</f>
        <v>4.4153802000000004</v>
      </c>
      <c r="U79" s="39">
        <f>E79*M79*O79*(Q79-R79-S79)/100000000</f>
        <v>4.2314060250000001</v>
      </c>
      <c r="V79" s="39">
        <f>E79*G79*(1-N79)*O79/100*(R79+S79)/1000000</f>
        <v>0.18134597249999998</v>
      </c>
      <c r="W79" s="39">
        <f>+'16'!K11/1000</f>
        <v>1.8819999999999999</v>
      </c>
      <c r="X79" s="40"/>
      <c r="Y79" s="213"/>
      <c r="Z79" s="39"/>
      <c r="AA79" s="39"/>
      <c r="AB79" s="39"/>
      <c r="AC79" s="39">
        <f>K79-T79</f>
        <v>0</v>
      </c>
      <c r="AD79" s="39">
        <f t="shared" ref="AD79:AD81" si="65">+AM79+BA79</f>
        <v>10</v>
      </c>
      <c r="AE79" s="230" t="s">
        <v>482</v>
      </c>
      <c r="AF79" s="39"/>
      <c r="AG79" s="39">
        <v>10</v>
      </c>
      <c r="AH79" s="39"/>
      <c r="AI79" s="485"/>
      <c r="AJ79" s="39"/>
      <c r="AK79" s="39"/>
      <c r="AL79" s="39"/>
      <c r="AM79" s="39">
        <f t="shared" ref="AM79:AM81" si="66">SUM(AF79:AL79)+AT79+AV79+AX79</f>
        <v>10</v>
      </c>
      <c r="AN79" s="87"/>
      <c r="AO79" s="39"/>
      <c r="AP79" s="39"/>
      <c r="AQ79" s="39"/>
      <c r="AR79" s="39">
        <f t="shared" ref="AR79:AR81" si="67">SUM(AN79:AQ79)</f>
        <v>0</v>
      </c>
      <c r="AS79" s="39"/>
      <c r="AT79" s="39"/>
      <c r="AU79" s="39"/>
      <c r="AV79" s="39"/>
      <c r="AW79" s="39"/>
      <c r="AX79" s="39"/>
      <c r="AY79" s="39"/>
      <c r="AZ79" s="39"/>
      <c r="BA79" s="39">
        <f t="shared" ref="BA79:BA81" si="68">+AR79+AS79+AU79+AW79+AY79+AZ79</f>
        <v>0</v>
      </c>
      <c r="BB79" s="52"/>
      <c r="BC79" s="53">
        <v>6</v>
      </c>
      <c r="BD79" s="53"/>
      <c r="BE79" s="52"/>
      <c r="BF79" s="53"/>
    </row>
    <row r="80" spans="1:58" ht="12.95" customHeight="1">
      <c r="A80" s="42"/>
      <c r="B80" s="43" t="s">
        <v>574</v>
      </c>
      <c r="C80" s="402">
        <f>(M80*E80*O80*Q80)/100000000</f>
        <v>40.749508800000001</v>
      </c>
      <c r="D80" s="43" t="s">
        <v>462</v>
      </c>
      <c r="E80" s="44">
        <v>18</v>
      </c>
      <c r="F80" s="44">
        <v>1</v>
      </c>
      <c r="G80" s="415">
        <v>1035</v>
      </c>
      <c r="H80" s="557">
        <v>0.25</v>
      </c>
      <c r="I80" s="47">
        <v>0.88</v>
      </c>
      <c r="J80" s="86">
        <f>E80*G80*(1-H80)*1440/1000000*2.74</f>
        <v>55.129896000000002</v>
      </c>
      <c r="K80" s="86">
        <f>(IF(G80&lt;L80,L80,G80)*(1-IF(H80&lt;N80,H80,N80))*E80*O80*Q80)/100000000</f>
        <v>40.749508800000001</v>
      </c>
      <c r="L80" s="37">
        <v>1040</v>
      </c>
      <c r="M80" s="37">
        <v>800.8</v>
      </c>
      <c r="N80" s="48">
        <f>1-(M80/L80)</f>
        <v>0.23000000000000009</v>
      </c>
      <c r="O80" s="49">
        <f>+'Trim Rwd'!H43</f>
        <v>257</v>
      </c>
      <c r="P80" s="50">
        <f>O80*(Q80-R80-S80)</f>
        <v>272677</v>
      </c>
      <c r="Q80" s="49">
        <f>1083+17</f>
        <v>1100</v>
      </c>
      <c r="R80" s="371">
        <v>17</v>
      </c>
      <c r="S80" s="371">
        <f>38-S78-S79</f>
        <v>22</v>
      </c>
      <c r="T80" s="39">
        <f>E80*M80*O80*Q80/100000000</f>
        <v>40.749508800000001</v>
      </c>
      <c r="U80" s="39">
        <f>E80*M80*O80*(Q80-R80-S80)/100000000</f>
        <v>39.304753487999996</v>
      </c>
      <c r="V80" s="39">
        <f>E80*G80*(1-N80)*O80/100*(R80+S80)/1000000</f>
        <v>1.4378093729999999</v>
      </c>
      <c r="W80" s="39">
        <f>+'16'!K13/1000</f>
        <v>24.928999999999998</v>
      </c>
      <c r="X80" s="40"/>
      <c r="Y80" s="213"/>
      <c r="Z80" s="39"/>
      <c r="AA80" s="39"/>
      <c r="AB80" s="39"/>
      <c r="AC80" s="39">
        <f>K80-T80</f>
        <v>0</v>
      </c>
      <c r="AD80" s="39">
        <f t="shared" si="65"/>
        <v>28</v>
      </c>
      <c r="AE80" s="230" t="s">
        <v>514</v>
      </c>
      <c r="AF80" s="35"/>
      <c r="AG80" s="35"/>
      <c r="AH80" s="35">
        <v>28</v>
      </c>
      <c r="AJ80" s="39"/>
      <c r="AK80" s="39"/>
      <c r="AL80" s="39"/>
      <c r="AM80" s="39">
        <f t="shared" si="66"/>
        <v>28</v>
      </c>
      <c r="AN80" s="39"/>
      <c r="AO80" s="39"/>
      <c r="AP80" s="39"/>
      <c r="AQ80" s="39"/>
      <c r="AR80" s="39">
        <f t="shared" si="67"/>
        <v>0</v>
      </c>
      <c r="AS80" s="39"/>
      <c r="AT80" s="39"/>
      <c r="AU80" s="39"/>
      <c r="AV80" s="39"/>
      <c r="AW80" s="39"/>
      <c r="AX80" s="39"/>
      <c r="AY80" s="39"/>
      <c r="AZ80" s="39"/>
      <c r="BA80" s="39">
        <f t="shared" si="68"/>
        <v>0</v>
      </c>
      <c r="BB80" s="35"/>
      <c r="BC80" s="486"/>
      <c r="BD80" s="486"/>
      <c r="BE80" s="35"/>
      <c r="BF80" s="486"/>
    </row>
    <row r="81" spans="1:58" ht="12.95" customHeight="1">
      <c r="A81" s="42"/>
      <c r="B81" s="43" t="s">
        <v>460</v>
      </c>
      <c r="C81" s="402"/>
      <c r="D81" s="43" t="s">
        <v>462</v>
      </c>
      <c r="E81" s="44">
        <v>13.5</v>
      </c>
      <c r="F81" s="44"/>
      <c r="G81" s="415"/>
      <c r="H81" s="557"/>
      <c r="I81" s="47"/>
      <c r="J81" s="86"/>
      <c r="K81" s="86"/>
      <c r="L81" s="37"/>
      <c r="M81" s="37"/>
      <c r="N81" s="48"/>
      <c r="O81" s="49"/>
      <c r="P81" s="50"/>
      <c r="Q81" s="49"/>
      <c r="R81" s="371"/>
      <c r="S81" s="371"/>
      <c r="T81" s="39"/>
      <c r="U81" s="39"/>
      <c r="V81" s="39"/>
      <c r="W81" s="39">
        <f>+'16'!K10/1000</f>
        <v>4.242</v>
      </c>
      <c r="X81" s="40"/>
      <c r="Y81" s="213"/>
      <c r="Z81" s="39"/>
      <c r="AA81" s="39"/>
      <c r="AB81" s="39"/>
      <c r="AC81" s="39"/>
      <c r="AD81" s="39">
        <f t="shared" si="65"/>
        <v>17</v>
      </c>
      <c r="AE81" s="230" t="s">
        <v>575</v>
      </c>
      <c r="AF81" s="35"/>
      <c r="AG81" s="35"/>
      <c r="AH81" s="35"/>
      <c r="AJ81" s="39"/>
      <c r="AK81" s="39"/>
      <c r="AL81" s="39"/>
      <c r="AM81" s="39">
        <f t="shared" si="66"/>
        <v>0</v>
      </c>
      <c r="AN81" s="39"/>
      <c r="AO81" s="39">
        <v>17</v>
      </c>
      <c r="AP81" s="39"/>
      <c r="AQ81" s="39"/>
      <c r="AR81" s="39">
        <f t="shared" si="67"/>
        <v>17</v>
      </c>
      <c r="AS81" s="39"/>
      <c r="AT81" s="39"/>
      <c r="AU81" s="39"/>
      <c r="AV81" s="39"/>
      <c r="AW81" s="39"/>
      <c r="AX81" s="39"/>
      <c r="AY81" s="39"/>
      <c r="AZ81" s="39"/>
      <c r="BA81" s="39">
        <f t="shared" si="68"/>
        <v>17</v>
      </c>
      <c r="BB81" s="35"/>
      <c r="BC81" s="486"/>
      <c r="BD81" s="486"/>
      <c r="BE81" s="35"/>
      <c r="BF81" s="486"/>
    </row>
    <row r="82" spans="1:58" ht="12.95" customHeight="1">
      <c r="A82" s="42"/>
      <c r="B82" s="43"/>
      <c r="C82" s="402"/>
      <c r="D82" s="43"/>
      <c r="E82" s="44"/>
      <c r="F82" s="44"/>
      <c r="G82" s="415"/>
      <c r="H82" s="557"/>
      <c r="I82" s="47"/>
      <c r="J82" s="86"/>
      <c r="K82" s="86"/>
      <c r="L82" s="37"/>
      <c r="M82" s="37"/>
      <c r="N82" s="48"/>
      <c r="O82" s="49"/>
      <c r="P82" s="50"/>
      <c r="Q82" s="49"/>
      <c r="R82" s="371"/>
      <c r="S82" s="371"/>
      <c r="T82" s="39"/>
      <c r="U82" s="39"/>
      <c r="V82" s="39"/>
      <c r="W82" s="39"/>
      <c r="X82" s="370"/>
      <c r="Y82" s="213"/>
      <c r="Z82" s="39"/>
      <c r="AA82" s="51"/>
      <c r="AB82" s="51"/>
      <c r="AC82" s="39"/>
      <c r="AD82" s="39"/>
      <c r="AE82" s="230"/>
      <c r="AF82" s="39"/>
      <c r="AG82" s="39"/>
      <c r="AH82" s="39"/>
      <c r="AI82" s="39"/>
      <c r="AJ82" s="39"/>
      <c r="AK82" s="39"/>
      <c r="AL82" s="39"/>
      <c r="AM82" s="39"/>
      <c r="AN82" s="39"/>
      <c r="AO82" s="39"/>
      <c r="AP82" s="39"/>
      <c r="AQ82" s="39"/>
      <c r="AR82" s="39"/>
      <c r="AS82" s="39"/>
      <c r="AT82" s="39"/>
      <c r="AU82" s="39"/>
      <c r="AV82" s="39"/>
      <c r="AW82" s="39"/>
      <c r="AX82" s="39"/>
      <c r="AY82" s="39"/>
      <c r="AZ82" s="39"/>
      <c r="BA82" s="39"/>
      <c r="BB82" s="35"/>
      <c r="BC82" s="53"/>
      <c r="BD82" s="53"/>
      <c r="BE82" s="53"/>
      <c r="BF82" s="53"/>
    </row>
    <row r="83" spans="1:58" ht="12" customHeight="1">
      <c r="A83" s="42">
        <v>45947</v>
      </c>
      <c r="B83" s="43" t="s">
        <v>574</v>
      </c>
      <c r="C83" s="402">
        <f>(M83*E83*O83*Q83)/100000000</f>
        <v>51.754947839999993</v>
      </c>
      <c r="D83" s="43" t="s">
        <v>462</v>
      </c>
      <c r="E83" s="44">
        <v>18</v>
      </c>
      <c r="F83" s="44">
        <v>1</v>
      </c>
      <c r="G83" s="415">
        <v>1035</v>
      </c>
      <c r="H83" s="557">
        <v>0.25</v>
      </c>
      <c r="I83" s="47">
        <v>0.88</v>
      </c>
      <c r="J83" s="86">
        <f>E83*G83*(1-H83)*1440/1000000*2.74</f>
        <v>55.129896000000002</v>
      </c>
      <c r="K83" s="86">
        <f>(IF(G83&lt;L83,L83,G83)*(1-IF(H83&lt;N83,H83,N83))*E83*O83*Q83)/100000000</f>
        <v>52.17503670233765</v>
      </c>
      <c r="L83" s="37">
        <v>1026.6666666666667</v>
      </c>
      <c r="M83" s="37">
        <v>776.93333333333328</v>
      </c>
      <c r="N83" s="48">
        <f>1-(M83/L83)</f>
        <v>0.24324675324675338</v>
      </c>
      <c r="O83" s="49">
        <f>+'Trim Rwd'!H45</f>
        <v>257</v>
      </c>
      <c r="P83" s="50">
        <f>O83*(Q83-R83-S83)</f>
        <v>363398</v>
      </c>
      <c r="Q83" s="49">
        <v>1440</v>
      </c>
      <c r="R83" s="371">
        <v>0</v>
      </c>
      <c r="S83" s="371">
        <v>26</v>
      </c>
      <c r="T83" s="39">
        <f>E83*M83*O83*Q83/100000000</f>
        <v>51.754947839999993</v>
      </c>
      <c r="U83" s="39">
        <f>E83*M83*O83*(Q83-R83-S83)/100000000</f>
        <v>50.820483503999995</v>
      </c>
      <c r="V83" s="39">
        <f>E83*G83*(1-N83)*O83/100*(R83+S83)/1000000</f>
        <v>0.9420492737922076</v>
      </c>
      <c r="W83" s="39">
        <f>+'17'!K13/1000</f>
        <v>55.052999999999997</v>
      </c>
      <c r="X83" s="370">
        <f>SUM(W83:W86)/SUM(K83:K86)</f>
        <v>1.0551597752404343</v>
      </c>
      <c r="Y83" s="39">
        <f>+SUM(RBP!AG34:AG35)</f>
        <v>0</v>
      </c>
      <c r="Z83" s="39">
        <f>+'17'!D34/1000</f>
        <v>1.8</v>
      </c>
      <c r="AA83" s="51">
        <f>SUM(U83:U86)-SUM(W83:W86)-SUM(Z83:Z86)-SUM(Y83:Y86)</f>
        <v>-6.0325164960000022</v>
      </c>
      <c r="AB83" s="51">
        <f>(SUM(K83:K86)-SUM(W83:W86)-SUM(Y83:Y86)-SUM(Z83:Z86)-SUM(AC83:AC86)-SUM(V83:V86))-AA83</f>
        <v>-7.5849377922097005E-3</v>
      </c>
      <c r="AC83" s="39">
        <f>K83-T83</f>
        <v>0.42008886233765708</v>
      </c>
      <c r="AD83" s="39">
        <f>+AM83+BA83</f>
        <v>0</v>
      </c>
      <c r="AE83" s="230" t="s">
        <v>418</v>
      </c>
      <c r="AF83" s="39">
        <v>0</v>
      </c>
      <c r="AG83" s="39"/>
      <c r="AH83" s="39"/>
      <c r="AI83" s="485"/>
      <c r="AJ83" s="39"/>
      <c r="AK83" s="39"/>
      <c r="AL83" s="39"/>
      <c r="AM83" s="39">
        <f>SUM(AF83:AL83)+AT83+AV83+AX83</f>
        <v>0</v>
      </c>
      <c r="AN83" s="39"/>
      <c r="AO83" s="39"/>
      <c r="AP83" s="39"/>
      <c r="AQ83" s="39"/>
      <c r="AR83" s="39">
        <f>SUM(AN83:AQ83)</f>
        <v>0</v>
      </c>
      <c r="AS83" s="39"/>
      <c r="AT83" s="39"/>
      <c r="AU83" s="39"/>
      <c r="AV83" s="39"/>
      <c r="AW83" s="39"/>
      <c r="AX83" s="39"/>
      <c r="AY83" s="39"/>
      <c r="AZ83" s="39"/>
      <c r="BA83" s="39">
        <f>+AR83+AS83+AU83+AW83+AY83+AZ83</f>
        <v>0</v>
      </c>
      <c r="BB83" s="35">
        <v>0</v>
      </c>
      <c r="BC83" s="53"/>
      <c r="BD83" s="53"/>
      <c r="BE83" s="35"/>
      <c r="BF83" s="53"/>
    </row>
    <row r="84" spans="1:58" ht="12.95" customHeight="1">
      <c r="A84" s="42"/>
      <c r="B84" s="43"/>
      <c r="C84" s="402"/>
      <c r="D84" s="43"/>
      <c r="E84" s="44"/>
      <c r="F84" s="44"/>
      <c r="G84" s="415"/>
      <c r="H84" s="557"/>
      <c r="I84" s="47"/>
      <c r="J84" s="86"/>
      <c r="K84" s="86"/>
      <c r="L84" s="37"/>
      <c r="M84" s="37"/>
      <c r="N84" s="48"/>
      <c r="O84" s="49"/>
      <c r="P84" s="50"/>
      <c r="Q84" s="49"/>
      <c r="R84" s="371"/>
      <c r="S84" s="371"/>
      <c r="T84" s="39"/>
      <c r="U84" s="39"/>
      <c r="V84" s="39"/>
      <c r="W84" s="39"/>
      <c r="X84" s="40"/>
      <c r="Y84" s="213"/>
      <c r="Z84" s="39"/>
      <c r="AA84" s="39"/>
      <c r="AB84" s="39"/>
      <c r="AC84" s="39"/>
      <c r="AD84" s="39">
        <f t="shared" ref="AD84:AD85" si="69">+AM84+BA84</f>
        <v>7</v>
      </c>
      <c r="AE84" s="230" t="s">
        <v>540</v>
      </c>
      <c r="AF84" s="39"/>
      <c r="AG84" s="39">
        <v>7</v>
      </c>
      <c r="AH84" s="39"/>
      <c r="AI84" s="485"/>
      <c r="AJ84" s="39"/>
      <c r="AK84" s="39"/>
      <c r="AL84" s="39"/>
      <c r="AM84" s="39">
        <f t="shared" ref="AM84:AM85" si="70">SUM(AF84:AL84)+AT84+AV84+AX84</f>
        <v>7</v>
      </c>
      <c r="AN84" s="87"/>
      <c r="AO84" s="39"/>
      <c r="AP84" s="39"/>
      <c r="AQ84" s="39"/>
      <c r="AR84" s="39">
        <f t="shared" ref="AR84:AR85" si="71">SUM(AN84:AQ84)</f>
        <v>0</v>
      </c>
      <c r="AS84" s="39"/>
      <c r="AT84" s="39"/>
      <c r="AU84" s="39"/>
      <c r="AV84" s="39"/>
      <c r="AW84" s="39"/>
      <c r="AX84" s="39"/>
      <c r="AY84" s="39"/>
      <c r="AZ84" s="39"/>
      <c r="BA84" s="39">
        <f t="shared" ref="BA84:BA85" si="72">+AR84+AS84+AU84+AW84+AY84+AZ84</f>
        <v>0</v>
      </c>
      <c r="BB84" s="52"/>
      <c r="BC84" s="53">
        <v>5</v>
      </c>
      <c r="BD84" s="53"/>
      <c r="BE84" s="52"/>
      <c r="BF84" s="53"/>
    </row>
    <row r="85" spans="1:58" ht="12.95" customHeight="1">
      <c r="A85" s="42"/>
      <c r="B85" s="43"/>
      <c r="C85" s="402"/>
      <c r="D85" s="43"/>
      <c r="E85" s="44"/>
      <c r="F85" s="44"/>
      <c r="G85" s="45"/>
      <c r="H85" s="46"/>
      <c r="I85" s="47"/>
      <c r="J85" s="86"/>
      <c r="K85" s="86"/>
      <c r="L85" s="37"/>
      <c r="M85" s="37"/>
      <c r="N85" s="48"/>
      <c r="O85" s="49"/>
      <c r="P85" s="50"/>
      <c r="Q85" s="49"/>
      <c r="R85" s="371"/>
      <c r="S85" s="371"/>
      <c r="T85" s="39"/>
      <c r="U85" s="39"/>
      <c r="V85" s="39"/>
      <c r="W85" s="39"/>
      <c r="X85" s="40"/>
      <c r="Y85" s="213"/>
      <c r="Z85" s="39"/>
      <c r="AA85" s="39"/>
      <c r="AB85" s="39"/>
      <c r="AC85" s="39"/>
      <c r="AD85" s="39">
        <f t="shared" si="69"/>
        <v>19</v>
      </c>
      <c r="AE85" s="230" t="s">
        <v>592</v>
      </c>
      <c r="AF85" s="35"/>
      <c r="AG85" s="35"/>
      <c r="AH85" s="35">
        <v>19</v>
      </c>
      <c r="AJ85" s="39"/>
      <c r="AK85" s="39"/>
      <c r="AL85" s="39"/>
      <c r="AM85" s="39">
        <f t="shared" si="70"/>
        <v>19</v>
      </c>
      <c r="AN85" s="39"/>
      <c r="AO85" s="39"/>
      <c r="AP85" s="39"/>
      <c r="AQ85" s="39"/>
      <c r="AR85" s="39">
        <f t="shared" si="71"/>
        <v>0</v>
      </c>
      <c r="AS85" s="39"/>
      <c r="AT85" s="39"/>
      <c r="AU85" s="39"/>
      <c r="AV85" s="39"/>
      <c r="AW85" s="39"/>
      <c r="AX85" s="39"/>
      <c r="AY85" s="39"/>
      <c r="AZ85" s="39"/>
      <c r="BA85" s="39">
        <f t="shared" si="72"/>
        <v>0</v>
      </c>
      <c r="BB85" s="35"/>
      <c r="BC85" s="486"/>
      <c r="BD85" s="486"/>
      <c r="BE85" s="35"/>
      <c r="BF85" s="486"/>
    </row>
    <row r="86" spans="1:58" ht="12.95" customHeight="1">
      <c r="A86" s="42"/>
      <c r="B86" s="567"/>
      <c r="C86" s="402"/>
      <c r="D86" s="43"/>
      <c r="E86" s="44"/>
      <c r="F86" s="44"/>
      <c r="G86" s="45"/>
      <c r="H86" s="557"/>
      <c r="I86" s="47"/>
      <c r="J86" s="86"/>
      <c r="K86" s="86"/>
      <c r="L86" s="37"/>
      <c r="M86" s="37"/>
      <c r="N86" s="48"/>
      <c r="O86" s="49"/>
      <c r="P86" s="50"/>
      <c r="Q86" s="36"/>
      <c r="R86" s="371"/>
      <c r="S86" s="371"/>
      <c r="T86" s="39"/>
      <c r="U86" s="39"/>
      <c r="V86" s="39"/>
      <c r="W86" s="39"/>
      <c r="X86" s="40"/>
      <c r="Y86" s="40"/>
      <c r="Z86" s="39"/>
      <c r="AA86" s="51"/>
      <c r="AB86" s="51"/>
      <c r="AC86" s="39"/>
      <c r="AD86" s="39"/>
      <c r="AE86" s="22"/>
      <c r="AF86" s="39"/>
      <c r="AG86" s="39"/>
      <c r="AH86" s="39"/>
      <c r="AI86" s="39"/>
      <c r="AJ86" s="39"/>
      <c r="AK86" s="39"/>
      <c r="AL86" s="39"/>
      <c r="AM86" s="39"/>
      <c r="AN86" s="39"/>
      <c r="AO86" s="39"/>
      <c r="AP86" s="39"/>
      <c r="AQ86" s="39"/>
      <c r="AR86" s="39"/>
      <c r="AS86" s="39"/>
      <c r="AT86" s="39"/>
      <c r="AU86" s="39"/>
      <c r="AV86" s="39"/>
      <c r="AW86" s="39"/>
      <c r="AX86" s="39"/>
      <c r="AY86" s="39"/>
      <c r="AZ86" s="39"/>
      <c r="BA86" s="39"/>
      <c r="BB86" s="35"/>
      <c r="BC86" s="53"/>
      <c r="BD86" s="486"/>
      <c r="BE86" s="35"/>
      <c r="BF86" s="486"/>
    </row>
    <row r="87" spans="1:58" ht="12" customHeight="1">
      <c r="A87" s="42">
        <v>45948</v>
      </c>
      <c r="B87" s="43" t="s">
        <v>574</v>
      </c>
      <c r="C87" s="402">
        <f>(M87*E87*O87*Q87)/100000000</f>
        <v>50.994933048</v>
      </c>
      <c r="D87" s="43" t="s">
        <v>462</v>
      </c>
      <c r="E87" s="44">
        <v>18</v>
      </c>
      <c r="F87" s="44">
        <v>1</v>
      </c>
      <c r="G87" s="415">
        <v>1035</v>
      </c>
      <c r="H87" s="557">
        <v>0.25</v>
      </c>
      <c r="I87" s="47">
        <v>0.88</v>
      </c>
      <c r="J87" s="86">
        <f>E87*G87*(1-H87)*1440/1000000*2.74</f>
        <v>55.129896000000002</v>
      </c>
      <c r="K87" s="86">
        <f>(IF(G87&lt;L87,L87,G87)*(1-IF(H87&lt;N87,H87,N87))*E87*O87*Q87)/100000000</f>
        <v>51.709428000000003</v>
      </c>
      <c r="L87" s="37">
        <v>1020.7083333333334</v>
      </c>
      <c r="M87" s="37">
        <v>765.5241666666667</v>
      </c>
      <c r="N87" s="48">
        <f>1-(M87/L87)</f>
        <v>0.25000693962526022</v>
      </c>
      <c r="O87" s="49">
        <f>+'Trim Rwd'!H47</f>
        <v>257</v>
      </c>
      <c r="P87" s="50">
        <f>O87*(Q87-R87-S87)</f>
        <v>360057</v>
      </c>
      <c r="Q87" s="49">
        <v>1440</v>
      </c>
      <c r="R87" s="371">
        <v>0</v>
      </c>
      <c r="S87" s="371">
        <v>39</v>
      </c>
      <c r="T87" s="39">
        <f>E87*M87*O87*Q87/100000000</f>
        <v>50.994933048</v>
      </c>
      <c r="U87" s="39">
        <f>E87*M87*O87*(Q87-R87-S87)/100000000</f>
        <v>49.613820277949998</v>
      </c>
      <c r="V87" s="39">
        <f>E87*G87*(1-N87)*O87/100*(R87+S87)/1000000</f>
        <v>1.40045071674254</v>
      </c>
      <c r="W87" s="39">
        <f>+'18'!K13/1000</f>
        <v>48.03</v>
      </c>
      <c r="X87" s="370">
        <f>SUM(W87:W90)/SUM(K87:K90)</f>
        <v>0.92884415584716962</v>
      </c>
      <c r="Y87" s="39">
        <v>0</v>
      </c>
      <c r="Z87" s="39">
        <v>0</v>
      </c>
      <c r="AA87" s="51">
        <f>SUM(U87:U90)-SUM(W87:W90)-SUM(Z87:Z90)-SUM(Y87:Y90)</f>
        <v>1.5838202779499966</v>
      </c>
      <c r="AB87" s="51">
        <f>(SUM(K87:K90)-SUM(W87:W90)-SUM(Y87:Y90)-SUM(Z87:Z90)-SUM(AC87:AC90)-SUM(V87:V90))-AA87</f>
        <v>-1.9337946692537633E-2</v>
      </c>
      <c r="AC87" s="39">
        <f>K87-T87</f>
        <v>0.71449495200000257</v>
      </c>
      <c r="AD87" s="39">
        <f>+AM87+BA87</f>
        <v>0</v>
      </c>
      <c r="AE87" s="230" t="s">
        <v>418</v>
      </c>
      <c r="AF87" s="39">
        <v>0</v>
      </c>
      <c r="AG87" s="39"/>
      <c r="AH87" s="39"/>
      <c r="AI87" s="485"/>
      <c r="AJ87" s="39"/>
      <c r="AK87" s="39"/>
      <c r="AL87" s="39"/>
      <c r="AM87" s="39">
        <f>SUM(AF87:AL87)+AT87+AV87+AX87</f>
        <v>0</v>
      </c>
      <c r="AN87" s="39"/>
      <c r="AO87" s="39"/>
      <c r="AP87" s="39"/>
      <c r="AQ87" s="39"/>
      <c r="AR87" s="39">
        <f>SUM(AN87:AQ87)</f>
        <v>0</v>
      </c>
      <c r="AS87" s="39"/>
      <c r="AT87" s="39"/>
      <c r="AU87" s="39"/>
      <c r="AV87" s="39"/>
      <c r="AW87" s="39"/>
      <c r="AX87" s="39"/>
      <c r="AY87" s="39"/>
      <c r="AZ87" s="39"/>
      <c r="BA87" s="39">
        <f>+AR87+AS87+AU87+AW87+AY87+AZ87</f>
        <v>0</v>
      </c>
      <c r="BB87" s="35">
        <v>0</v>
      </c>
      <c r="BC87" s="53"/>
      <c r="BD87" s="53"/>
      <c r="BE87" s="35"/>
      <c r="BF87" s="53"/>
    </row>
    <row r="88" spans="1:58" ht="12.95" customHeight="1">
      <c r="A88" s="42"/>
      <c r="B88" s="43"/>
      <c r="C88" s="402"/>
      <c r="D88" s="43"/>
      <c r="E88" s="44"/>
      <c r="F88" s="44"/>
      <c r="G88" s="415"/>
      <c r="H88" s="557"/>
      <c r="I88" s="47"/>
      <c r="J88" s="86"/>
      <c r="K88" s="86"/>
      <c r="L88" s="37"/>
      <c r="M88" s="37"/>
      <c r="N88" s="48"/>
      <c r="O88" s="49"/>
      <c r="P88" s="50"/>
      <c r="Q88" s="49"/>
      <c r="R88" s="371"/>
      <c r="S88" s="371"/>
      <c r="T88" s="39"/>
      <c r="U88" s="39"/>
      <c r="V88" s="39"/>
      <c r="W88" s="39"/>
      <c r="X88" s="40"/>
      <c r="Y88" s="213"/>
      <c r="Z88" s="39"/>
      <c r="AA88" s="39"/>
      <c r="AB88" s="39"/>
      <c r="AC88" s="39"/>
      <c r="AD88" s="39">
        <f t="shared" ref="AD88:AD89" si="73">+AM88+BA88</f>
        <v>10</v>
      </c>
      <c r="AE88" s="230" t="s">
        <v>482</v>
      </c>
      <c r="AF88" s="39"/>
      <c r="AG88" s="39">
        <v>10</v>
      </c>
      <c r="AH88" s="39"/>
      <c r="AI88" s="485"/>
      <c r="AJ88" s="39"/>
      <c r="AK88" s="39"/>
      <c r="AL88" s="39"/>
      <c r="AM88" s="39">
        <f t="shared" ref="AM88:AM89" si="74">SUM(AF88:AL88)+AT88+AV88+AX88</f>
        <v>10</v>
      </c>
      <c r="AN88" s="87"/>
      <c r="AO88" s="39"/>
      <c r="AP88" s="39"/>
      <c r="AQ88" s="39"/>
      <c r="AR88" s="39">
        <f t="shared" ref="AR88:AR89" si="75">SUM(AN88:AQ88)</f>
        <v>0</v>
      </c>
      <c r="AS88" s="39"/>
      <c r="AT88" s="39"/>
      <c r="AU88" s="39"/>
      <c r="AV88" s="39"/>
      <c r="AW88" s="39"/>
      <c r="AX88" s="39"/>
      <c r="AY88" s="39"/>
      <c r="AZ88" s="39"/>
      <c r="BA88" s="39">
        <f t="shared" ref="BA88:BA89" si="76">+AR88+AS88+AU88+AW88+AY88+AZ88</f>
        <v>0</v>
      </c>
      <c r="BB88" s="52"/>
      <c r="BC88" s="53">
        <v>6</v>
      </c>
      <c r="BD88" s="53"/>
      <c r="BE88" s="52"/>
      <c r="BF88" s="53"/>
    </row>
    <row r="89" spans="1:58" ht="12.95" customHeight="1">
      <c r="A89" s="42"/>
      <c r="B89" s="43"/>
      <c r="C89" s="402"/>
      <c r="D89" s="43"/>
      <c r="E89" s="44"/>
      <c r="F89" s="44"/>
      <c r="G89" s="45"/>
      <c r="H89" s="46"/>
      <c r="I89" s="47"/>
      <c r="J89" s="86"/>
      <c r="K89" s="86"/>
      <c r="L89" s="37"/>
      <c r="M89" s="37"/>
      <c r="N89" s="48"/>
      <c r="O89" s="49"/>
      <c r="P89" s="50"/>
      <c r="Q89" s="49"/>
      <c r="R89" s="371"/>
      <c r="S89" s="371"/>
      <c r="T89" s="39"/>
      <c r="U89" s="39"/>
      <c r="V89" s="39"/>
      <c r="W89" s="39"/>
      <c r="X89" s="40"/>
      <c r="Y89" s="213"/>
      <c r="Z89" s="39"/>
      <c r="AA89" s="39"/>
      <c r="AB89" s="39"/>
      <c r="AC89" s="39"/>
      <c r="AD89" s="39">
        <f t="shared" si="73"/>
        <v>29</v>
      </c>
      <c r="AE89" s="230" t="s">
        <v>592</v>
      </c>
      <c r="AF89" s="35"/>
      <c r="AG89" s="35"/>
      <c r="AH89" s="35">
        <v>29</v>
      </c>
      <c r="AJ89" s="39"/>
      <c r="AK89" s="39"/>
      <c r="AL89" s="39"/>
      <c r="AM89" s="39">
        <f t="shared" si="74"/>
        <v>29</v>
      </c>
      <c r="AN89" s="39"/>
      <c r="AO89" s="39"/>
      <c r="AP89" s="39"/>
      <c r="AQ89" s="39"/>
      <c r="AR89" s="39">
        <f t="shared" si="75"/>
        <v>0</v>
      </c>
      <c r="AS89" s="39"/>
      <c r="AT89" s="39"/>
      <c r="AU89" s="39"/>
      <c r="AV89" s="39"/>
      <c r="AW89" s="39"/>
      <c r="AX89" s="39"/>
      <c r="AY89" s="39"/>
      <c r="AZ89" s="39"/>
      <c r="BA89" s="39">
        <f t="shared" si="76"/>
        <v>0</v>
      </c>
      <c r="BB89" s="35"/>
      <c r="BC89" s="486"/>
      <c r="BD89" s="486"/>
      <c r="BE89" s="35"/>
      <c r="BF89" s="486"/>
    </row>
    <row r="90" spans="1:58" ht="12.95" customHeight="1">
      <c r="A90" s="42"/>
      <c r="B90" s="554"/>
      <c r="C90" s="555"/>
      <c r="D90" s="554"/>
      <c r="E90" s="44"/>
      <c r="F90" s="44"/>
      <c r="G90" s="556"/>
      <c r="H90" s="557"/>
      <c r="I90" s="47"/>
      <c r="J90" s="86"/>
      <c r="K90" s="86"/>
      <c r="L90" s="558"/>
      <c r="M90" s="558"/>
      <c r="N90" s="48"/>
      <c r="O90" s="49"/>
      <c r="P90" s="50"/>
      <c r="Q90" s="49"/>
      <c r="R90" s="559"/>
      <c r="S90" s="559"/>
      <c r="T90" s="39"/>
      <c r="U90" s="39"/>
      <c r="V90" s="39"/>
      <c r="W90" s="39"/>
      <c r="X90" s="370"/>
      <c r="Y90" s="213"/>
      <c r="Z90" s="39"/>
      <c r="AA90" s="39"/>
      <c r="AB90" s="39"/>
      <c r="AC90" s="39"/>
      <c r="AD90" s="39"/>
      <c r="AE90" s="230"/>
      <c r="AF90" s="35"/>
      <c r="AG90" s="35"/>
      <c r="AH90" s="35"/>
      <c r="AJ90" s="39"/>
      <c r="AK90" s="39"/>
      <c r="AL90" s="39"/>
      <c r="AM90" s="39"/>
      <c r="AN90" s="39"/>
      <c r="AO90" s="39"/>
      <c r="AP90" s="39"/>
      <c r="AQ90" s="39"/>
      <c r="AR90" s="39"/>
      <c r="AS90" s="39"/>
      <c r="AT90" s="39"/>
      <c r="AU90" s="39"/>
      <c r="AV90" s="39"/>
      <c r="AW90" s="39"/>
      <c r="AX90" s="39"/>
      <c r="AY90" s="39"/>
      <c r="AZ90" s="39"/>
      <c r="BA90" s="39"/>
      <c r="BB90" s="35"/>
      <c r="BC90" s="486"/>
      <c r="BD90" s="486"/>
      <c r="BE90" s="35"/>
      <c r="BF90" s="486"/>
    </row>
    <row r="91" spans="1:58" ht="12" customHeight="1">
      <c r="A91" s="42">
        <v>45949</v>
      </c>
      <c r="B91" s="43" t="s">
        <v>574</v>
      </c>
      <c r="C91" s="402">
        <f>(M91*E91*O91*Q91)/100000000</f>
        <v>51.672145099950001</v>
      </c>
      <c r="D91" s="43" t="s">
        <v>462</v>
      </c>
      <c r="E91" s="44">
        <v>18</v>
      </c>
      <c r="F91" s="44">
        <v>1</v>
      </c>
      <c r="G91" s="415">
        <v>1035</v>
      </c>
      <c r="H91" s="557">
        <v>0.25</v>
      </c>
      <c r="I91" s="47">
        <v>0.88</v>
      </c>
      <c r="J91" s="86">
        <f>E91*G91*(1-H91)*1440/1000000*2.74</f>
        <v>55.129896000000002</v>
      </c>
      <c r="K91" s="86">
        <f>(IF(G91&lt;L91,L91,G91)*(1-IF(H91&lt;N91,H91,N91))*E91*O91*Q91)/100000000</f>
        <v>52.552170940879357</v>
      </c>
      <c r="L91" s="37">
        <v>1017.6681423611111</v>
      </c>
      <c r="M91" s="37">
        <v>775.6903177083334</v>
      </c>
      <c r="N91" s="48">
        <f>1-(M91/L91)</f>
        <v>0.23777675116306618</v>
      </c>
      <c r="O91" s="49">
        <f>+'Trim Rwd'!H49</f>
        <v>257</v>
      </c>
      <c r="P91" s="50">
        <f>O91*(Q91-R91-S91)</f>
        <v>360571</v>
      </c>
      <c r="Q91" s="49">
        <v>1440</v>
      </c>
      <c r="R91" s="371">
        <v>0</v>
      </c>
      <c r="S91" s="371">
        <v>37</v>
      </c>
      <c r="T91" s="39">
        <f>E91*M91*O91*Q91/100000000</f>
        <v>51.672145099950001</v>
      </c>
      <c r="U91" s="39">
        <f>E91*M91*O91*(Q91-R91-S91)/100000000</f>
        <v>50.344458038354063</v>
      </c>
      <c r="V91" s="39">
        <f>E91*G91*(1-N91)*O91/100*(R91+S91)/1000000</f>
        <v>1.3502988366753723</v>
      </c>
      <c r="W91" s="39">
        <f>+'19'!K13/1000</f>
        <v>45.658000000000001</v>
      </c>
      <c r="X91" s="370">
        <f>SUM(W91:W94)/SUM(K91:K94)</f>
        <v>0.86881282319173403</v>
      </c>
      <c r="Y91" s="39">
        <f>+SUM(RBP!AG42:AG43)</f>
        <v>0</v>
      </c>
      <c r="Z91" s="39">
        <f>+'17'!D42/1000</f>
        <v>0</v>
      </c>
      <c r="AA91" s="51">
        <f>SUM(U91:U94)-SUM(W91:W94)-SUM(Z91:Z94)-SUM(Y91:Y94)</f>
        <v>4.6864580383540613</v>
      </c>
      <c r="AB91" s="51">
        <f>(SUM(K91:K94)-SUM(W91:W94)-SUM(Y91:Y94)-SUM(Z91:Z94)-SUM(AC91:AC94)-SUM(V91:V94))-AA91</f>
        <v>-2.2611775079433905E-2</v>
      </c>
      <c r="AC91" s="39">
        <f>K91-T91</f>
        <v>0.88002584092935621</v>
      </c>
      <c r="AD91" s="39">
        <f>+AM91+BA91</f>
        <v>6</v>
      </c>
      <c r="AE91" s="230" t="s">
        <v>400</v>
      </c>
      <c r="AF91" s="39">
        <v>6</v>
      </c>
      <c r="AG91" s="39"/>
      <c r="AH91" s="39"/>
      <c r="AI91" s="485"/>
      <c r="AJ91" s="39"/>
      <c r="AK91" s="39"/>
      <c r="AL91" s="39"/>
      <c r="AM91" s="39">
        <f>SUM(AF91:AL91)+AT91+AV91+AX91</f>
        <v>6</v>
      </c>
      <c r="AN91" s="39"/>
      <c r="AO91" s="39"/>
      <c r="AP91" s="39"/>
      <c r="AQ91" s="39"/>
      <c r="AR91" s="39">
        <f>SUM(AN91:AQ91)</f>
        <v>0</v>
      </c>
      <c r="AS91" s="39"/>
      <c r="AT91" s="39"/>
      <c r="AU91" s="39"/>
      <c r="AV91" s="39"/>
      <c r="AW91" s="39"/>
      <c r="AX91" s="39"/>
      <c r="AY91" s="39"/>
      <c r="AZ91" s="39"/>
      <c r="BA91" s="39">
        <f>+AR91+AS91+AU91+AW91+AY91+AZ91</f>
        <v>0</v>
      </c>
      <c r="BB91" s="35">
        <v>3</v>
      </c>
      <c r="BC91" s="53"/>
      <c r="BD91" s="53"/>
      <c r="BE91" s="35"/>
      <c r="BF91" s="53">
        <v>1</v>
      </c>
    </row>
    <row r="92" spans="1:58" ht="12.95" customHeight="1">
      <c r="A92" s="42"/>
      <c r="B92" s="43"/>
      <c r="C92" s="402"/>
      <c r="D92" s="43"/>
      <c r="E92" s="44"/>
      <c r="F92" s="44"/>
      <c r="G92" s="415"/>
      <c r="H92" s="557"/>
      <c r="I92" s="47"/>
      <c r="J92" s="86"/>
      <c r="K92" s="86"/>
      <c r="L92" s="37"/>
      <c r="M92" s="37"/>
      <c r="N92" s="48"/>
      <c r="O92" s="49"/>
      <c r="P92" s="50"/>
      <c r="Q92" s="49"/>
      <c r="R92" s="371"/>
      <c r="S92" s="371"/>
      <c r="T92" s="39"/>
      <c r="U92" s="39"/>
      <c r="V92" s="39"/>
      <c r="W92" s="39"/>
      <c r="X92" s="40"/>
      <c r="Y92" s="213"/>
      <c r="Z92" s="39"/>
      <c r="AA92" s="39"/>
      <c r="AB92" s="39"/>
      <c r="AC92" s="39"/>
      <c r="AD92" s="39">
        <f t="shared" ref="AD92:AD93" si="77">+AM92+BA92</f>
        <v>8</v>
      </c>
      <c r="AE92" s="230" t="s">
        <v>540</v>
      </c>
      <c r="AF92" s="39"/>
      <c r="AG92" s="39">
        <v>8</v>
      </c>
      <c r="AH92" s="39"/>
      <c r="AI92" s="485"/>
      <c r="AJ92" s="39"/>
      <c r="AK92" s="39"/>
      <c r="AL92" s="39"/>
      <c r="AM92" s="39">
        <f t="shared" ref="AM92:AM93" si="78">SUM(AF92:AL92)+AT92+AV92+AX92</f>
        <v>8</v>
      </c>
      <c r="AN92" s="87"/>
      <c r="AO92" s="39"/>
      <c r="AP92" s="39"/>
      <c r="AQ92" s="39"/>
      <c r="AR92" s="39">
        <f t="shared" ref="AR92:AR93" si="79">SUM(AN92:AQ92)</f>
        <v>0</v>
      </c>
      <c r="AS92" s="39"/>
      <c r="AT92" s="39"/>
      <c r="AU92" s="39"/>
      <c r="AV92" s="39"/>
      <c r="AW92" s="39"/>
      <c r="AX92" s="39"/>
      <c r="AY92" s="39"/>
      <c r="AZ92" s="39"/>
      <c r="BA92" s="39">
        <f t="shared" ref="BA92:BA93" si="80">+AR92+AS92+AU92+AW92+AY92+AZ92</f>
        <v>0</v>
      </c>
      <c r="BB92" s="52"/>
      <c r="BC92" s="53">
        <v>5</v>
      </c>
      <c r="BD92" s="53"/>
      <c r="BE92" s="52"/>
      <c r="BF92" s="53"/>
    </row>
    <row r="93" spans="1:58" ht="12.95" customHeight="1">
      <c r="A93" s="42"/>
      <c r="B93" s="43"/>
      <c r="C93" s="402"/>
      <c r="D93" s="43"/>
      <c r="E93" s="44"/>
      <c r="F93" s="44"/>
      <c r="G93" s="45"/>
      <c r="H93" s="46"/>
      <c r="I93" s="47"/>
      <c r="J93" s="86"/>
      <c r="K93" s="86"/>
      <c r="L93" s="37"/>
      <c r="M93" s="37"/>
      <c r="N93" s="48"/>
      <c r="O93" s="49"/>
      <c r="P93" s="50"/>
      <c r="Q93" s="49"/>
      <c r="R93" s="371"/>
      <c r="S93" s="371"/>
      <c r="T93" s="39"/>
      <c r="U93" s="39"/>
      <c r="V93" s="39"/>
      <c r="W93" s="39"/>
      <c r="X93" s="40"/>
      <c r="Y93" s="213"/>
      <c r="Z93" s="39"/>
      <c r="AA93" s="39"/>
      <c r="AB93" s="39"/>
      <c r="AC93" s="39"/>
      <c r="AD93" s="39">
        <f t="shared" si="77"/>
        <v>23</v>
      </c>
      <c r="AE93" s="230" t="s">
        <v>610</v>
      </c>
      <c r="AF93" s="35"/>
      <c r="AG93" s="35"/>
      <c r="AH93" s="35">
        <v>23</v>
      </c>
      <c r="AJ93" s="39"/>
      <c r="AK93" s="39"/>
      <c r="AL93" s="39"/>
      <c r="AM93" s="39">
        <f t="shared" si="78"/>
        <v>23</v>
      </c>
      <c r="AN93" s="39"/>
      <c r="AO93" s="39"/>
      <c r="AP93" s="39"/>
      <c r="AQ93" s="39"/>
      <c r="AR93" s="39">
        <f t="shared" si="79"/>
        <v>0</v>
      </c>
      <c r="AS93" s="39"/>
      <c r="AT93" s="39"/>
      <c r="AU93" s="39"/>
      <c r="AV93" s="39"/>
      <c r="AW93" s="39"/>
      <c r="AX93" s="39"/>
      <c r="AY93" s="39"/>
      <c r="AZ93" s="39"/>
      <c r="BA93" s="39">
        <f t="shared" si="80"/>
        <v>0</v>
      </c>
      <c r="BB93" s="35"/>
      <c r="BC93" s="486"/>
      <c r="BD93" s="486"/>
      <c r="BE93" s="35"/>
      <c r="BF93" s="486"/>
    </row>
    <row r="94" spans="1:58" ht="12.95" customHeight="1">
      <c r="A94" s="42"/>
      <c r="B94" s="554"/>
      <c r="C94" s="555"/>
      <c r="D94" s="554"/>
      <c r="E94" s="44"/>
      <c r="F94" s="44"/>
      <c r="G94" s="556"/>
      <c r="H94" s="557"/>
      <c r="I94" s="47"/>
      <c r="J94" s="86"/>
      <c r="K94" s="86"/>
      <c r="L94" s="558"/>
      <c r="M94" s="558"/>
      <c r="N94" s="48"/>
      <c r="O94" s="49"/>
      <c r="P94" s="50"/>
      <c r="Q94" s="49"/>
      <c r="R94" s="559"/>
      <c r="S94" s="559"/>
      <c r="T94" s="39"/>
      <c r="U94" s="39"/>
      <c r="V94" s="39"/>
      <c r="W94" s="39"/>
      <c r="X94" s="370"/>
      <c r="Y94" s="213"/>
      <c r="Z94" s="39"/>
      <c r="AA94" s="39"/>
      <c r="AB94" s="39"/>
      <c r="AC94" s="39"/>
      <c r="AD94" s="39"/>
      <c r="AE94" s="230"/>
      <c r="AF94" s="35"/>
      <c r="AG94" s="35"/>
      <c r="AH94" s="35"/>
      <c r="AJ94" s="39"/>
      <c r="AK94" s="39"/>
      <c r="AL94" s="39"/>
      <c r="AM94" s="39"/>
      <c r="AN94" s="39"/>
      <c r="AO94" s="39"/>
      <c r="AP94" s="39"/>
      <c r="AQ94" s="39"/>
      <c r="AR94" s="39"/>
      <c r="AS94" s="39"/>
      <c r="AT94" s="39"/>
      <c r="AU94" s="39"/>
      <c r="AV94" s="39"/>
      <c r="AW94" s="39"/>
      <c r="AX94" s="39"/>
      <c r="AY94" s="39"/>
      <c r="AZ94" s="39"/>
      <c r="BA94" s="39"/>
      <c r="BB94" s="35"/>
      <c r="BC94" s="486"/>
      <c r="BD94" s="486"/>
      <c r="BE94" s="35"/>
      <c r="BF94" s="486"/>
    </row>
    <row r="95" spans="1:58" ht="12" customHeight="1">
      <c r="A95" s="42">
        <v>45950</v>
      </c>
      <c r="B95" s="43" t="s">
        <v>574</v>
      </c>
      <c r="C95" s="402">
        <f>(M95*E95*O95*Q95)/100000000</f>
        <v>51.301969919999998</v>
      </c>
      <c r="D95" s="43" t="s">
        <v>462</v>
      </c>
      <c r="E95" s="44">
        <v>18</v>
      </c>
      <c r="F95" s="44">
        <v>1</v>
      </c>
      <c r="G95" s="415">
        <v>1035</v>
      </c>
      <c r="H95" s="557">
        <v>0.25</v>
      </c>
      <c r="I95" s="47">
        <v>0.88</v>
      </c>
      <c r="J95" s="86">
        <f>E95*G95*(1-H95)*1440/1000000*2.74</f>
        <v>55.129896000000002</v>
      </c>
      <c r="K95" s="86">
        <f>(IF(G95&lt;L95,L95,G95)*(1-IF(H95&lt;N95,H95,N95))*E95*O95*Q95)/100000000</f>
        <v>52.398887039999998</v>
      </c>
      <c r="L95" s="37">
        <v>1013.3333333333334</v>
      </c>
      <c r="M95" s="37">
        <v>770.13333333333333</v>
      </c>
      <c r="N95" s="48">
        <f>1-(M95/L95)</f>
        <v>0.24</v>
      </c>
      <c r="O95" s="49">
        <f>+'Trim Rwd'!H51</f>
        <v>257</v>
      </c>
      <c r="P95" s="50">
        <f>O95*(Q95-R95-S95)</f>
        <v>363912</v>
      </c>
      <c r="Q95" s="49">
        <v>1440</v>
      </c>
      <c r="R95" s="371">
        <v>0</v>
      </c>
      <c r="S95" s="371">
        <v>24</v>
      </c>
      <c r="T95" s="39">
        <f>E95*M95*O95*Q95/100000000</f>
        <v>51.301969919999998</v>
      </c>
      <c r="U95" s="39">
        <f>E95*M95*O95*(Q95-R95-S95)/100000000</f>
        <v>50.446937087999999</v>
      </c>
      <c r="V95" s="39">
        <f>E95*G95*(1-N95)*O95/100*(R95+S95)/1000000</f>
        <v>0.87331478399999984</v>
      </c>
      <c r="W95" s="39">
        <f>+'20'!K13/1000</f>
        <v>48.939</v>
      </c>
      <c r="X95" s="370">
        <f>SUM(W95:W98)/SUM(K95:K98)</f>
        <v>0.93397021892165755</v>
      </c>
      <c r="Y95" s="39">
        <f>+SUM(RBP!AG46:AG47)</f>
        <v>0</v>
      </c>
      <c r="Z95" s="39">
        <f>+'17'!D46/1000</f>
        <v>0</v>
      </c>
      <c r="AA95" s="51">
        <f>SUM(U95:U98)-SUM(W95:W98)-SUM(Z95:Z98)-SUM(Y95:Y98)</f>
        <v>1.5079370879999985</v>
      </c>
      <c r="AB95" s="51">
        <f>(SUM(K95:K98)-SUM(W95:W98)-SUM(Y95:Y98)-SUM(Z95:Z98)-SUM(AC95:AC98)-SUM(V95:V98))-AA95</f>
        <v>-1.8281952000000601E-2</v>
      </c>
      <c r="AC95" s="39">
        <f>K95-T95</f>
        <v>1.0969171200000005</v>
      </c>
      <c r="AD95" s="39">
        <f>+AM95+BA95</f>
        <v>0</v>
      </c>
      <c r="AE95" s="230" t="s">
        <v>418</v>
      </c>
      <c r="AF95" s="39">
        <v>0</v>
      </c>
      <c r="AG95" s="39"/>
      <c r="AH95" s="39"/>
      <c r="AI95" s="485"/>
      <c r="AJ95" s="39"/>
      <c r="AK95" s="39"/>
      <c r="AL95" s="39"/>
      <c r="AM95" s="39">
        <f>SUM(AF95:AL95)+AT95+AV95+AX95</f>
        <v>0</v>
      </c>
      <c r="AN95" s="39"/>
      <c r="AO95" s="39"/>
      <c r="AP95" s="39"/>
      <c r="AQ95" s="39"/>
      <c r="AR95" s="39">
        <f>SUM(AN95:AQ95)</f>
        <v>0</v>
      </c>
      <c r="AS95" s="39"/>
      <c r="AT95" s="39"/>
      <c r="AU95" s="39"/>
      <c r="AV95" s="39"/>
      <c r="AW95" s="39"/>
      <c r="AX95" s="39"/>
      <c r="AY95" s="39"/>
      <c r="AZ95" s="39"/>
      <c r="BA95" s="39">
        <f>+AR95+AS95+AU95+AW95+AY95+AZ95</f>
        <v>0</v>
      </c>
      <c r="BB95" s="35">
        <v>0</v>
      </c>
      <c r="BC95" s="53"/>
      <c r="BD95" s="53"/>
      <c r="BE95" s="35"/>
      <c r="BF95" s="53"/>
    </row>
    <row r="96" spans="1:58" ht="12.95" customHeight="1">
      <c r="A96" s="42"/>
      <c r="B96" s="43"/>
      <c r="C96" s="402"/>
      <c r="D96" s="43"/>
      <c r="E96" s="44"/>
      <c r="F96" s="44"/>
      <c r="G96" s="415"/>
      <c r="H96" s="557"/>
      <c r="I96" s="47"/>
      <c r="J96" s="86"/>
      <c r="K96" s="86"/>
      <c r="L96" s="37"/>
      <c r="M96" s="37"/>
      <c r="N96" s="48"/>
      <c r="O96" s="49"/>
      <c r="P96" s="50"/>
      <c r="Q96" s="49"/>
      <c r="R96" s="371"/>
      <c r="S96" s="371"/>
      <c r="T96" s="39"/>
      <c r="U96" s="39"/>
      <c r="V96" s="39"/>
      <c r="W96" s="39"/>
      <c r="X96" s="40"/>
      <c r="Y96" s="213"/>
      <c r="Z96" s="39"/>
      <c r="AA96" s="39"/>
      <c r="AB96" s="39"/>
      <c r="AC96" s="39"/>
      <c r="AD96" s="39">
        <f t="shared" ref="AD96:AD97" si="81">+AM96+BA96</f>
        <v>6</v>
      </c>
      <c r="AE96" s="230" t="s">
        <v>482</v>
      </c>
      <c r="AF96" s="39"/>
      <c r="AG96" s="39">
        <v>6</v>
      </c>
      <c r="AH96" s="39"/>
      <c r="AI96" s="485"/>
      <c r="AJ96" s="39"/>
      <c r="AK96" s="39"/>
      <c r="AL96" s="39"/>
      <c r="AM96" s="39">
        <f t="shared" ref="AM96:AM97" si="82">SUM(AF96:AL96)+AT96+AV96+AX96</f>
        <v>6</v>
      </c>
      <c r="AN96" s="87"/>
      <c r="AO96" s="39"/>
      <c r="AP96" s="39"/>
      <c r="AQ96" s="39"/>
      <c r="AR96" s="39">
        <f t="shared" ref="AR96:AR97" si="83">SUM(AN96:AQ96)</f>
        <v>0</v>
      </c>
      <c r="AS96" s="39"/>
      <c r="AT96" s="39"/>
      <c r="AU96" s="39"/>
      <c r="AV96" s="39"/>
      <c r="AW96" s="39"/>
      <c r="AX96" s="39"/>
      <c r="AY96" s="39"/>
      <c r="AZ96" s="39"/>
      <c r="BA96" s="39">
        <f t="shared" ref="BA96:BA97" si="84">+AR96+AS96+AU96+AW96+AY96+AZ96</f>
        <v>0</v>
      </c>
      <c r="BB96" s="52"/>
      <c r="BC96" s="53">
        <v>6</v>
      </c>
      <c r="BD96" s="53"/>
      <c r="BE96" s="52"/>
      <c r="BF96" s="53"/>
    </row>
    <row r="97" spans="1:58" ht="12.95" customHeight="1">
      <c r="A97" s="42"/>
      <c r="B97" s="43"/>
      <c r="C97" s="402"/>
      <c r="D97" s="43"/>
      <c r="E97" s="44"/>
      <c r="F97" s="44"/>
      <c r="G97" s="45"/>
      <c r="H97" s="46"/>
      <c r="I97" s="47"/>
      <c r="J97" s="86"/>
      <c r="K97" s="86"/>
      <c r="L97" s="37"/>
      <c r="M97" s="37"/>
      <c r="N97" s="48"/>
      <c r="O97" s="49"/>
      <c r="P97" s="50"/>
      <c r="Q97" s="49"/>
      <c r="R97" s="371"/>
      <c r="S97" s="371"/>
      <c r="T97" s="39"/>
      <c r="U97" s="39"/>
      <c r="V97" s="39"/>
      <c r="W97" s="39"/>
      <c r="X97" s="40"/>
      <c r="Y97" s="213"/>
      <c r="Z97" s="39"/>
      <c r="AA97" s="39"/>
      <c r="AB97" s="39"/>
      <c r="AC97" s="39"/>
      <c r="AD97" s="39">
        <f t="shared" si="81"/>
        <v>18</v>
      </c>
      <c r="AE97" s="230" t="s">
        <v>610</v>
      </c>
      <c r="AF97" s="35"/>
      <c r="AG97" s="35"/>
      <c r="AH97" s="35">
        <v>18</v>
      </c>
      <c r="AJ97" s="39"/>
      <c r="AK97" s="39"/>
      <c r="AL97" s="39"/>
      <c r="AM97" s="39">
        <f t="shared" si="82"/>
        <v>18</v>
      </c>
      <c r="AN97" s="39"/>
      <c r="AO97" s="39"/>
      <c r="AP97" s="39"/>
      <c r="AQ97" s="39"/>
      <c r="AR97" s="39">
        <f t="shared" si="83"/>
        <v>0</v>
      </c>
      <c r="AS97" s="39"/>
      <c r="AT97" s="39"/>
      <c r="AU97" s="39"/>
      <c r="AV97" s="39"/>
      <c r="AW97" s="39"/>
      <c r="AX97" s="39"/>
      <c r="AY97" s="39"/>
      <c r="AZ97" s="39"/>
      <c r="BA97" s="39">
        <f t="shared" si="84"/>
        <v>0</v>
      </c>
      <c r="BB97" s="35"/>
      <c r="BC97" s="486"/>
      <c r="BD97" s="486"/>
      <c r="BE97" s="35"/>
      <c r="BF97" s="486"/>
    </row>
    <row r="98" spans="1:58" ht="12.95" customHeight="1">
      <c r="A98" s="42"/>
      <c r="B98" s="554"/>
      <c r="C98" s="555"/>
      <c r="D98" s="554"/>
      <c r="E98" s="44"/>
      <c r="F98" s="44"/>
      <c r="G98" s="556"/>
      <c r="H98" s="557"/>
      <c r="I98" s="47"/>
      <c r="J98" s="86"/>
      <c r="K98" s="86"/>
      <c r="L98" s="558"/>
      <c r="M98" s="558"/>
      <c r="N98" s="48"/>
      <c r="O98" s="49"/>
      <c r="P98" s="50"/>
      <c r="Q98" s="49"/>
      <c r="R98" s="559"/>
      <c r="S98" s="559"/>
      <c r="T98" s="39"/>
      <c r="U98" s="39"/>
      <c r="V98" s="39"/>
      <c r="W98" s="39"/>
      <c r="X98" s="370"/>
      <c r="Y98" s="213"/>
      <c r="Z98" s="39"/>
      <c r="AA98" s="39"/>
      <c r="AB98" s="39"/>
      <c r="AC98" s="39"/>
      <c r="AD98" s="39"/>
      <c r="AE98" s="230"/>
      <c r="AF98" s="35"/>
      <c r="AG98" s="35"/>
      <c r="AH98" s="35"/>
      <c r="AJ98" s="39"/>
      <c r="AK98" s="39"/>
      <c r="AL98" s="39"/>
      <c r="AM98" s="39"/>
      <c r="AN98" s="39"/>
      <c r="AO98" s="39"/>
      <c r="AP98" s="39"/>
      <c r="AQ98" s="39"/>
      <c r="AR98" s="39"/>
      <c r="AS98" s="39"/>
      <c r="AT98" s="39"/>
      <c r="AU98" s="39"/>
      <c r="AV98" s="39"/>
      <c r="AW98" s="39"/>
      <c r="AX98" s="39"/>
      <c r="AY98" s="39"/>
      <c r="AZ98" s="39"/>
      <c r="BA98" s="39"/>
      <c r="BB98" s="35"/>
      <c r="BC98" s="486"/>
      <c r="BD98" s="486"/>
      <c r="BE98" s="35"/>
      <c r="BF98" s="486"/>
    </row>
    <row r="99" spans="1:58" ht="12" customHeight="1">
      <c r="A99" s="42">
        <v>45951</v>
      </c>
      <c r="B99" s="43" t="s">
        <v>574</v>
      </c>
      <c r="C99" s="402">
        <f>(M99*E99*O99*Q99)/100000000</f>
        <v>10.04101056</v>
      </c>
      <c r="D99" s="43" t="s">
        <v>462</v>
      </c>
      <c r="E99" s="44">
        <v>18</v>
      </c>
      <c r="F99" s="44">
        <v>1</v>
      </c>
      <c r="G99" s="415">
        <v>1035</v>
      </c>
      <c r="H99" s="557">
        <v>0.25</v>
      </c>
      <c r="I99" s="47">
        <v>0.88</v>
      </c>
      <c r="J99" s="86">
        <f>E99*G99*(1-H99)*1440/1000000*2.74</f>
        <v>55.129896000000002</v>
      </c>
      <c r="K99" s="86">
        <f>(IF(G99&lt;L99,L99,G99)*(1-IF(H99&lt;N99,H99,N99))*E99*O99*Q99)/100000000</f>
        <v>10.188672479999999</v>
      </c>
      <c r="L99" s="37">
        <v>1020</v>
      </c>
      <c r="M99" s="37">
        <v>775.2</v>
      </c>
      <c r="N99" s="48">
        <f>1-(M99/L99)</f>
        <v>0.24</v>
      </c>
      <c r="O99" s="49">
        <f>+'Trim Rwd'!H53</f>
        <v>257</v>
      </c>
      <c r="P99" s="50">
        <f>O99*(Q99-R99-S99)</f>
        <v>44975</v>
      </c>
      <c r="Q99" s="49">
        <f>190+90</f>
        <v>280</v>
      </c>
      <c r="R99" s="371">
        <v>90</v>
      </c>
      <c r="S99" s="371">
        <v>15</v>
      </c>
      <c r="T99" s="39">
        <f>E99*M99*O99*Q99/100000000</f>
        <v>10.04101056</v>
      </c>
      <c r="U99" s="39">
        <f>E99*M99*O99*(Q99-R99-S99)/100000000</f>
        <v>6.2756315999999996</v>
      </c>
      <c r="V99" s="39">
        <f>E99*G99*(1-N99)*O99/100*(R99+S99)/1000000</f>
        <v>3.8207521799999991</v>
      </c>
      <c r="W99" s="39">
        <f>+'21'!K13/1000</f>
        <v>12.037000000000001</v>
      </c>
      <c r="X99" s="370">
        <f>SUM(W99:W102)/SUM(K99:K102)</f>
        <v>0.815387169305125</v>
      </c>
      <c r="Y99" s="39">
        <f>+SUM(RBP!AG50:AG51)</f>
        <v>0</v>
      </c>
      <c r="Z99" s="39">
        <f>+'17'!D50/1000</f>
        <v>0</v>
      </c>
      <c r="AA99" s="51">
        <f>SUM(U99:U102)-SUM(W99:W102)-SUM(Z99:Z102)-SUM(Y99:Y102)</f>
        <v>2.4444024896000016</v>
      </c>
      <c r="AB99" s="51">
        <f>(SUM(K99:K102)-SUM(W99:W102)-SUM(Y99:Y102)-SUM(Z99:Z102)-SUM(AC99:AC102)-SUM(V99:V102))-AA99</f>
        <v>-8.7174355634644485E-2</v>
      </c>
      <c r="AC99" s="39">
        <f>K99-T99</f>
        <v>0.14766191999999911</v>
      </c>
      <c r="AD99" s="39">
        <f>+AM99+BA99</f>
        <v>20</v>
      </c>
      <c r="AE99" s="230" t="s">
        <v>636</v>
      </c>
      <c r="AF99" s="39">
        <v>20</v>
      </c>
      <c r="AG99" s="39"/>
      <c r="AH99" s="39"/>
      <c r="AI99" s="485"/>
      <c r="AJ99" s="39"/>
      <c r="AK99" s="39"/>
      <c r="AL99" s="39"/>
      <c r="AM99" s="39">
        <f>SUM(AF99:AL99)+AT99+AV99+AX99</f>
        <v>20</v>
      </c>
      <c r="AN99" s="39"/>
      <c r="AO99" s="39"/>
      <c r="AP99" s="39"/>
      <c r="AQ99" s="39"/>
      <c r="AR99" s="39">
        <f>SUM(AN99:AQ99)</f>
        <v>0</v>
      </c>
      <c r="AS99" s="39"/>
      <c r="AT99" s="39"/>
      <c r="AU99" s="39"/>
      <c r="AV99" s="39"/>
      <c r="AW99" s="39"/>
      <c r="AX99" s="39"/>
      <c r="AY99" s="39"/>
      <c r="AZ99" s="39"/>
      <c r="BA99" s="39">
        <f>+AR99+AS99+AU99+AW99+AY99+AZ99</f>
        <v>0</v>
      </c>
      <c r="BB99" s="35">
        <v>10</v>
      </c>
      <c r="BC99" s="53"/>
      <c r="BD99" s="53"/>
      <c r="BE99" s="35"/>
      <c r="BF99" s="53"/>
    </row>
    <row r="100" spans="1:58" ht="12.95" customHeight="1">
      <c r="A100" s="42"/>
      <c r="B100" s="43" t="s">
        <v>639</v>
      </c>
      <c r="C100" s="402">
        <f t="shared" ref="C100:C101" si="85">(M100*E100*O100*Q100)/100000000</f>
        <v>6.1818119999999999</v>
      </c>
      <c r="D100" s="43" t="s">
        <v>462</v>
      </c>
      <c r="E100" s="44">
        <v>15</v>
      </c>
      <c r="F100" s="44">
        <v>1</v>
      </c>
      <c r="G100" s="415">
        <v>1195</v>
      </c>
      <c r="H100" s="557">
        <f>+N100</f>
        <v>0.21999999999999997</v>
      </c>
      <c r="I100" s="47">
        <v>0.88</v>
      </c>
      <c r="J100" s="86">
        <f t="shared" ref="J100:J101" si="86">E100*G100*(1-H100)*1440/1000000*2.74</f>
        <v>55.165406400000002</v>
      </c>
      <c r="K100" s="86">
        <f t="shared" ref="K100:K101" si="87">(IF(G100&lt;L100,L100,G100)*(1-IF(H100&lt;N100,H100,N100))*E100*O100*Q100)/100000000</f>
        <v>6.1818119999999999</v>
      </c>
      <c r="L100" s="37">
        <v>1200</v>
      </c>
      <c r="M100" s="37">
        <v>936</v>
      </c>
      <c r="N100" s="48">
        <f t="shared" ref="N100:N101" si="88">1-(M100/L100)</f>
        <v>0.21999999999999997</v>
      </c>
      <c r="O100" s="49">
        <f>+'Trim Rwd'!H54</f>
        <v>259</v>
      </c>
      <c r="P100" s="50">
        <f t="shared" ref="P100:P101" si="89">O100*(Q100-R100-S100)</f>
        <v>41958</v>
      </c>
      <c r="Q100" s="49">
        <v>170</v>
      </c>
      <c r="R100" s="371">
        <v>0</v>
      </c>
      <c r="S100" s="371">
        <v>8</v>
      </c>
      <c r="T100" s="39">
        <f t="shared" ref="T100:T101" si="90">E100*M100*O100*Q100/100000000</f>
        <v>6.1818119999999999</v>
      </c>
      <c r="U100" s="39">
        <f t="shared" ref="U100:U101" si="91">E100*M100*O100*(Q100-R100-S100)/100000000</f>
        <v>5.8909032000000003</v>
      </c>
      <c r="V100" s="39">
        <f t="shared" ref="V100:V101" si="92">E100*G100*(1-N100)*O100/100*(R100+S100)/1000000</f>
        <v>0.28969667999999998</v>
      </c>
      <c r="W100" s="39">
        <f>+'21'!K14/1000</f>
        <v>5.4960000000000004</v>
      </c>
      <c r="X100" s="40"/>
      <c r="Y100" s="213"/>
      <c r="Z100" s="39"/>
      <c r="AA100" s="39"/>
      <c r="AB100" s="39"/>
      <c r="AC100" s="39">
        <f>K100-T100</f>
        <v>0</v>
      </c>
      <c r="AD100" s="39">
        <f t="shared" ref="AD100:AD102" si="93">+AM100+BA100</f>
        <v>13</v>
      </c>
      <c r="AE100" s="230" t="s">
        <v>640</v>
      </c>
      <c r="AF100" s="39"/>
      <c r="AG100" s="39">
        <v>13</v>
      </c>
      <c r="AH100" s="39"/>
      <c r="AI100" s="485"/>
      <c r="AJ100" s="39"/>
      <c r="AK100" s="39"/>
      <c r="AL100" s="39"/>
      <c r="AM100" s="39">
        <f t="shared" ref="AM100:AM101" si="94">SUM(AF100:AL100)+AT100+AV100+AX100</f>
        <v>13</v>
      </c>
      <c r="AN100" s="87"/>
      <c r="AO100" s="39"/>
      <c r="AP100" s="39"/>
      <c r="AQ100" s="39"/>
      <c r="AR100" s="39">
        <f t="shared" ref="AR100:AR101" si="95">SUM(AN100:AQ100)</f>
        <v>0</v>
      </c>
      <c r="AS100" s="39"/>
      <c r="AT100" s="39"/>
      <c r="AU100" s="39"/>
      <c r="AV100" s="39"/>
      <c r="AW100" s="39"/>
      <c r="AX100" s="39"/>
      <c r="AY100" s="39"/>
      <c r="AZ100" s="39"/>
      <c r="BA100" s="39">
        <f t="shared" ref="BA100:BA102" si="96">+AR100+AS100+AU100+AW100+AY100+AZ100</f>
        <v>0</v>
      </c>
      <c r="BB100" s="52"/>
      <c r="BC100" s="53">
        <v>11</v>
      </c>
      <c r="BD100" s="53"/>
      <c r="BE100" s="52"/>
      <c r="BF100" s="53"/>
    </row>
    <row r="101" spans="1:58" ht="12.95" customHeight="1">
      <c r="A101" s="42"/>
      <c r="B101" s="43" t="s">
        <v>460</v>
      </c>
      <c r="C101" s="402">
        <f t="shared" si="85"/>
        <v>29.861558496000001</v>
      </c>
      <c r="D101" s="43" t="s">
        <v>462</v>
      </c>
      <c r="E101" s="44">
        <v>12</v>
      </c>
      <c r="F101" s="44">
        <v>1</v>
      </c>
      <c r="G101" s="415">
        <v>1350</v>
      </c>
      <c r="H101" s="557">
        <f>+N101</f>
        <v>0.27589806030343766</v>
      </c>
      <c r="I101" s="47">
        <v>0.88</v>
      </c>
      <c r="J101" s="86">
        <f t="shared" si="86"/>
        <v>46.283669134921468</v>
      </c>
      <c r="K101" s="86">
        <f t="shared" si="87"/>
        <v>30.65870783937315</v>
      </c>
      <c r="L101" s="37">
        <v>1314.8989898989898</v>
      </c>
      <c r="M101" s="37">
        <v>952.12090909090909</v>
      </c>
      <c r="N101" s="48">
        <f t="shared" si="88"/>
        <v>0.27589806030343766</v>
      </c>
      <c r="O101" s="49">
        <f>+'Trim Rwd'!H55</f>
        <v>264</v>
      </c>
      <c r="P101" s="50">
        <f t="shared" si="89"/>
        <v>250536</v>
      </c>
      <c r="Q101" s="49">
        <v>990</v>
      </c>
      <c r="R101" s="371">
        <v>0</v>
      </c>
      <c r="S101" s="371">
        <f>64-S99-S100</f>
        <v>41</v>
      </c>
      <c r="T101" s="39">
        <f t="shared" si="90"/>
        <v>29.861558496000001</v>
      </c>
      <c r="U101" s="39">
        <f t="shared" si="91"/>
        <v>28.624867689600002</v>
      </c>
      <c r="V101" s="39">
        <f t="shared" si="92"/>
        <v>1.2697040620346458</v>
      </c>
      <c r="W101" s="39">
        <f>+'21'!K15/1000</f>
        <v>20.814</v>
      </c>
      <c r="X101" s="40"/>
      <c r="Y101" s="213"/>
      <c r="Z101" s="39"/>
      <c r="AA101" s="39"/>
      <c r="AB101" s="39"/>
      <c r="AC101" s="39">
        <f>K101-T101</f>
        <v>0.79714934337314958</v>
      </c>
      <c r="AD101" s="39">
        <f t="shared" si="93"/>
        <v>31</v>
      </c>
      <c r="AE101" s="230" t="s">
        <v>641</v>
      </c>
      <c r="AF101" s="35"/>
      <c r="AG101" s="35"/>
      <c r="AH101" s="35">
        <v>31</v>
      </c>
      <c r="AJ101" s="39"/>
      <c r="AK101" s="39"/>
      <c r="AL101" s="39"/>
      <c r="AM101" s="39">
        <f t="shared" si="94"/>
        <v>31</v>
      </c>
      <c r="AN101" s="39"/>
      <c r="AO101" s="39"/>
      <c r="AP101" s="39"/>
      <c r="AQ101" s="39"/>
      <c r="AR101" s="39">
        <f t="shared" si="95"/>
        <v>0</v>
      </c>
      <c r="AS101" s="39"/>
      <c r="AT101" s="39"/>
      <c r="AU101" s="39"/>
      <c r="AV101" s="39"/>
      <c r="AW101" s="39"/>
      <c r="AX101" s="39"/>
      <c r="AY101" s="39"/>
      <c r="AZ101" s="39"/>
      <c r="BA101" s="39">
        <f t="shared" si="96"/>
        <v>0</v>
      </c>
      <c r="BB101" s="35"/>
      <c r="BC101" s="486"/>
      <c r="BD101" s="486"/>
      <c r="BE101" s="35"/>
      <c r="BF101" s="486"/>
    </row>
    <row r="102" spans="1:58" ht="12.95" customHeight="1">
      <c r="A102" s="42"/>
      <c r="B102" s="43"/>
      <c r="C102" s="402"/>
      <c r="D102" s="43"/>
      <c r="E102" s="44"/>
      <c r="F102" s="44"/>
      <c r="G102" s="415"/>
      <c r="H102" s="557"/>
      <c r="I102" s="47"/>
      <c r="J102" s="86"/>
      <c r="K102" s="86"/>
      <c r="L102" s="37"/>
      <c r="M102" s="37"/>
      <c r="N102" s="48"/>
      <c r="O102" s="49"/>
      <c r="P102" s="50"/>
      <c r="Q102" s="49"/>
      <c r="R102" s="371"/>
      <c r="S102" s="371"/>
      <c r="T102" s="39"/>
      <c r="U102" s="39"/>
      <c r="V102" s="39"/>
      <c r="W102" s="39"/>
      <c r="X102" s="40"/>
      <c r="Y102" s="213"/>
      <c r="Z102" s="39"/>
      <c r="AA102" s="39"/>
      <c r="AB102" s="39"/>
      <c r="AC102" s="39"/>
      <c r="AD102" s="39">
        <f t="shared" si="93"/>
        <v>90</v>
      </c>
      <c r="AE102" s="230" t="s">
        <v>642</v>
      </c>
      <c r="AF102" s="35"/>
      <c r="AG102" s="35"/>
      <c r="AH102" s="35"/>
      <c r="AJ102" s="39"/>
      <c r="AK102" s="39"/>
      <c r="AL102" s="39"/>
      <c r="AM102" s="39">
        <f t="shared" ref="AM102" si="97">SUM(AF102:AL102)+AT102+AV102+AX102</f>
        <v>0</v>
      </c>
      <c r="AN102" s="39">
        <v>90</v>
      </c>
      <c r="AO102" s="39"/>
      <c r="AP102" s="39"/>
      <c r="AQ102" s="39"/>
      <c r="AR102" s="39">
        <f t="shared" ref="AR102" si="98">SUM(AN102:AQ102)</f>
        <v>90</v>
      </c>
      <c r="AS102" s="39"/>
      <c r="AT102" s="39"/>
      <c r="AU102" s="39"/>
      <c r="AV102" s="39"/>
      <c r="AW102" s="39"/>
      <c r="AX102" s="39"/>
      <c r="AY102" s="39"/>
      <c r="AZ102" s="39"/>
      <c r="BA102" s="39">
        <f t="shared" si="96"/>
        <v>90</v>
      </c>
      <c r="BB102" s="35"/>
      <c r="BC102" s="486"/>
      <c r="BD102" s="486"/>
      <c r="BE102" s="35"/>
      <c r="BF102" s="486">
        <v>2</v>
      </c>
    </row>
    <row r="103" spans="1:58" ht="12.75" customHeight="1">
      <c r="A103" s="42"/>
      <c r="B103" s="554"/>
      <c r="C103" s="555"/>
      <c r="D103" s="554"/>
      <c r="E103" s="44"/>
      <c r="F103" s="44"/>
      <c r="G103" s="556"/>
      <c r="H103" s="557"/>
      <c r="I103" s="47"/>
      <c r="J103" s="86"/>
      <c r="K103" s="86"/>
      <c r="L103" s="558"/>
      <c r="M103" s="558"/>
      <c r="N103" s="48"/>
      <c r="O103" s="49"/>
      <c r="P103" s="50"/>
      <c r="Q103" s="49"/>
      <c r="R103" s="559"/>
      <c r="S103" s="559"/>
      <c r="T103" s="39"/>
      <c r="U103" s="39"/>
      <c r="V103" s="39"/>
      <c r="W103" s="39"/>
      <c r="X103" s="370"/>
      <c r="Y103" s="213"/>
      <c r="Z103" s="39"/>
      <c r="AA103" s="39"/>
      <c r="AB103" s="39"/>
      <c r="AC103" s="39"/>
      <c r="AD103" s="39"/>
      <c r="AE103" s="230"/>
      <c r="AF103" s="35"/>
      <c r="AG103" s="35"/>
      <c r="AH103" s="35"/>
      <c r="AJ103" s="39"/>
      <c r="AK103" s="39"/>
      <c r="AL103" s="39"/>
      <c r="AM103" s="39"/>
      <c r="AN103" s="39"/>
      <c r="AO103" s="39"/>
      <c r="AP103" s="39"/>
      <c r="AQ103" s="39"/>
      <c r="AR103" s="39"/>
      <c r="AS103" s="39"/>
      <c r="AT103" s="39"/>
      <c r="AU103" s="39"/>
      <c r="AV103" s="39"/>
      <c r="AW103" s="39"/>
      <c r="AX103" s="39"/>
      <c r="AY103" s="39"/>
      <c r="AZ103" s="39"/>
      <c r="BA103" s="39"/>
      <c r="BB103" s="35"/>
      <c r="BC103" s="486"/>
      <c r="BD103" s="53"/>
      <c r="BE103" s="53"/>
      <c r="BF103" s="53"/>
    </row>
    <row r="104" spans="1:58" ht="12" customHeight="1">
      <c r="A104" s="42">
        <v>45952</v>
      </c>
      <c r="B104" s="43" t="s">
        <v>460</v>
      </c>
      <c r="C104" s="402">
        <f t="shared" ref="C104:C106" si="99">(M104*E104*O104*Q104)/100000000</f>
        <v>23.376380399999999</v>
      </c>
      <c r="D104" s="43" t="s">
        <v>462</v>
      </c>
      <c r="E104" s="44">
        <v>12</v>
      </c>
      <c r="F104" s="44">
        <v>1</v>
      </c>
      <c r="G104" s="415">
        <v>1350</v>
      </c>
      <c r="H104" s="557">
        <f t="shared" ref="H104:H106" si="100">+N104</f>
        <v>0.25863905325443781</v>
      </c>
      <c r="I104" s="47">
        <v>0.88</v>
      </c>
      <c r="J104" s="86">
        <f t="shared" ref="J104:J106" si="101">E104*G104*(1-H104)*1440/1000000*2.74</f>
        <v>47.386842773964503</v>
      </c>
      <c r="K104" s="86">
        <f t="shared" ref="K104:K106" si="102">(IF(G104&lt;L104,L104,G104)*(1-IF(H104&lt;N104,H104,N104))*E104*O104*Q104)/100000000</f>
        <v>23.653023955029582</v>
      </c>
      <c r="L104" s="37">
        <v>1334.2105263157894</v>
      </c>
      <c r="M104" s="37">
        <v>989.13157894736844</v>
      </c>
      <c r="N104" s="48">
        <f t="shared" ref="N104:N106" si="103">1-(M104/L104)</f>
        <v>0.25863905325443781</v>
      </c>
      <c r="O104" s="49">
        <f>+'Trim Rwd'!H57</f>
        <v>259.13636363636363</v>
      </c>
      <c r="P104" s="50">
        <f t="shared" ref="P104:P106" si="104">O104*(Q104-R104-S104)</f>
        <v>192797.45454545453</v>
      </c>
      <c r="Q104" s="49">
        <v>760</v>
      </c>
      <c r="R104" s="371">
        <v>0</v>
      </c>
      <c r="S104" s="371">
        <v>16</v>
      </c>
      <c r="T104" s="39">
        <f t="shared" ref="T104:T106" si="105">E104*M104*O104*Q104/100000000</f>
        <v>23.376380399999999</v>
      </c>
      <c r="U104" s="39">
        <f t="shared" ref="U104:U106" si="106">E104*M104*O104*(Q104-R104-S104)/100000000</f>
        <v>22.884246075789477</v>
      </c>
      <c r="V104" s="39">
        <f t="shared" ref="V104:V106" si="107">E104*G104*(1-N104)*O104/100*(R104+S104)/1000000</f>
        <v>0.4979583990532544</v>
      </c>
      <c r="W104" s="39">
        <f>+'22'!K15/1000</f>
        <v>16.571999999999999</v>
      </c>
      <c r="X104" s="370">
        <f>SUM(W104:W107)/SUM(K104:K107)</f>
        <v>0.83047657000280273</v>
      </c>
      <c r="Y104" s="39">
        <f>+SUM(RBP!AG55:AG56)</f>
        <v>0</v>
      </c>
      <c r="Z104" s="39">
        <f>+'17'!D55/1000</f>
        <v>0</v>
      </c>
      <c r="AA104" s="51">
        <f>SUM(U104:U107)-SUM(W104:W107)-SUM(Z104:Z107)-SUM(Y104:Y107)</f>
        <v>6.460512864312399</v>
      </c>
      <c r="AB104" s="51">
        <f>(SUM(K104:K107)-SUM(W104:W107)-SUM(Y104:Y107)-SUM(Z104:Z107)-SUM(AC104:AC107)-SUM(V104:V107))-AA104</f>
        <v>-5.8240748427316191E-3</v>
      </c>
      <c r="AC104" s="39">
        <f>K104-T104</f>
        <v>0.27664355502958315</v>
      </c>
      <c r="AD104" s="39">
        <f>+AM104+BA104</f>
        <v>0</v>
      </c>
      <c r="AE104" s="230" t="s">
        <v>418</v>
      </c>
      <c r="AF104" s="39">
        <v>0</v>
      </c>
      <c r="AG104" s="39"/>
      <c r="AH104" s="39"/>
      <c r="AI104" s="485"/>
      <c r="AJ104" s="39"/>
      <c r="AK104" s="39"/>
      <c r="AL104" s="39"/>
      <c r="AM104" s="39">
        <f>SUM(AF104:AL104)+AT104+AV104+AX104</f>
        <v>0</v>
      </c>
      <c r="AN104" s="39"/>
      <c r="AO104" s="39"/>
      <c r="AP104" s="39"/>
      <c r="AQ104" s="39"/>
      <c r="AR104" s="39">
        <f>SUM(AN104:AQ104)</f>
        <v>0</v>
      </c>
      <c r="AS104" s="39"/>
      <c r="AT104" s="39"/>
      <c r="AU104" s="39"/>
      <c r="AV104" s="39"/>
      <c r="AW104" s="39"/>
      <c r="AX104" s="39"/>
      <c r="AY104" s="39"/>
      <c r="AZ104" s="39"/>
      <c r="BA104" s="39">
        <f>+AR104+AS104+AU104+AW104+AY104+AZ104</f>
        <v>0</v>
      </c>
      <c r="BB104" s="35">
        <v>0</v>
      </c>
      <c r="BC104" s="53"/>
      <c r="BD104" s="53"/>
      <c r="BE104" s="35"/>
      <c r="BF104" s="53"/>
    </row>
    <row r="105" spans="1:58" ht="12.95" customHeight="1">
      <c r="A105" s="42"/>
      <c r="B105" s="43" t="s">
        <v>639</v>
      </c>
      <c r="C105" s="402">
        <f t="shared" si="99"/>
        <v>2.8036335600000002</v>
      </c>
      <c r="D105" s="43" t="s">
        <v>462</v>
      </c>
      <c r="E105" s="44">
        <v>12</v>
      </c>
      <c r="F105" s="44">
        <v>1</v>
      </c>
      <c r="G105" s="415">
        <v>1350</v>
      </c>
      <c r="H105" s="557">
        <f t="shared" si="100"/>
        <v>0.26</v>
      </c>
      <c r="I105" s="47">
        <v>0.88</v>
      </c>
      <c r="J105" s="86">
        <f t="shared" si="101"/>
        <v>47.299852800000011</v>
      </c>
      <c r="K105" s="86">
        <f t="shared" si="102"/>
        <v>2.8036335600000002</v>
      </c>
      <c r="L105" s="37">
        <v>1350</v>
      </c>
      <c r="M105" s="37">
        <v>999</v>
      </c>
      <c r="N105" s="48">
        <f t="shared" si="103"/>
        <v>0.26</v>
      </c>
      <c r="O105" s="49">
        <f>+'Trim Rwd'!H59</f>
        <v>257</v>
      </c>
      <c r="P105" s="50">
        <f t="shared" si="104"/>
        <v>22102</v>
      </c>
      <c r="Q105" s="49">
        <v>91</v>
      </c>
      <c r="R105" s="371">
        <v>0</v>
      </c>
      <c r="S105" s="371">
        <v>5</v>
      </c>
      <c r="T105" s="39">
        <f t="shared" si="105"/>
        <v>2.8036335600000002</v>
      </c>
      <c r="U105" s="39">
        <f t="shared" si="106"/>
        <v>2.6495877600000002</v>
      </c>
      <c r="V105" s="39">
        <f t="shared" si="107"/>
        <v>0.15404579999999998</v>
      </c>
      <c r="W105" s="39">
        <f>+'21'!K19/1000</f>
        <v>0</v>
      </c>
      <c r="X105" s="40"/>
      <c r="Y105" s="213"/>
      <c r="Z105" s="39"/>
      <c r="AA105" s="39"/>
      <c r="AB105" s="39"/>
      <c r="AC105" s="39">
        <f>K105-T105</f>
        <v>0</v>
      </c>
      <c r="AD105" s="39">
        <f t="shared" ref="AD105:AD106" si="108">+AM105+BA105</f>
        <v>10</v>
      </c>
      <c r="AE105" s="230" t="s">
        <v>485</v>
      </c>
      <c r="AF105" s="39"/>
      <c r="AG105" s="39">
        <v>10</v>
      </c>
      <c r="AH105" s="39"/>
      <c r="AI105" s="485"/>
      <c r="AJ105" s="39"/>
      <c r="AK105" s="39"/>
      <c r="AL105" s="39"/>
      <c r="AM105" s="39">
        <f t="shared" ref="AM105:AM106" si="109">SUM(AF105:AL105)+AT105+AV105+AX105</f>
        <v>10</v>
      </c>
      <c r="AN105" s="87"/>
      <c r="AO105" s="39"/>
      <c r="AP105" s="39"/>
      <c r="AQ105" s="39"/>
      <c r="AR105" s="39">
        <f t="shared" ref="AR105:AR106" si="110">SUM(AN105:AQ105)</f>
        <v>0</v>
      </c>
      <c r="AS105" s="39"/>
      <c r="AT105" s="39"/>
      <c r="AU105" s="39"/>
      <c r="AV105" s="39"/>
      <c r="AW105" s="39"/>
      <c r="AX105" s="39"/>
      <c r="AY105" s="39"/>
      <c r="AZ105" s="39"/>
      <c r="BA105" s="39">
        <f t="shared" ref="BA105:BA106" si="111">+AR105+AS105+AU105+AW105+AY105+AZ105</f>
        <v>0</v>
      </c>
      <c r="BB105" s="52"/>
      <c r="BC105" s="53">
        <v>7</v>
      </c>
      <c r="BD105" s="53"/>
      <c r="BE105" s="52"/>
      <c r="BF105" s="53"/>
    </row>
    <row r="106" spans="1:58" ht="12.95" customHeight="1">
      <c r="A106" s="42"/>
      <c r="B106" s="43" t="s">
        <v>460</v>
      </c>
      <c r="C106" s="402">
        <f t="shared" si="99"/>
        <v>19.213505099999999</v>
      </c>
      <c r="D106" s="43" t="s">
        <v>462</v>
      </c>
      <c r="E106" s="44">
        <v>12.5</v>
      </c>
      <c r="F106" s="44">
        <v>1</v>
      </c>
      <c r="G106" s="415">
        <v>1350</v>
      </c>
      <c r="H106" s="557">
        <f t="shared" si="100"/>
        <v>0.25388794567062822</v>
      </c>
      <c r="I106" s="47">
        <v>0.88</v>
      </c>
      <c r="J106" s="86">
        <f t="shared" si="101"/>
        <v>49.677632801358236</v>
      </c>
      <c r="K106" s="86">
        <f t="shared" si="102"/>
        <v>19.213505099999999</v>
      </c>
      <c r="L106" s="37">
        <v>1350</v>
      </c>
      <c r="M106" s="37">
        <v>1007.251273344652</v>
      </c>
      <c r="N106" s="48">
        <f t="shared" si="103"/>
        <v>0.25388794567062822</v>
      </c>
      <c r="O106" s="49">
        <f>+'Trim Rwd'!H60</f>
        <v>259.08571428571429</v>
      </c>
      <c r="P106" s="50">
        <f t="shared" si="104"/>
        <v>149751.54285714286</v>
      </c>
      <c r="Q106" s="49">
        <v>589</v>
      </c>
      <c r="R106" s="371">
        <v>0</v>
      </c>
      <c r="S106" s="371">
        <f>32-S104-S105</f>
        <v>11</v>
      </c>
      <c r="T106" s="39">
        <f t="shared" si="105"/>
        <v>19.213505099999999</v>
      </c>
      <c r="U106" s="39">
        <f t="shared" si="106"/>
        <v>18.85467902852292</v>
      </c>
      <c r="V106" s="39">
        <f t="shared" si="107"/>
        <v>0.35882607147707979</v>
      </c>
      <c r="W106" s="39">
        <f>+'22'!K12/1000</f>
        <v>21.356000000000002</v>
      </c>
      <c r="X106" s="40"/>
      <c r="Y106" s="213"/>
      <c r="Z106" s="39"/>
      <c r="AA106" s="39"/>
      <c r="AB106" s="39"/>
      <c r="AC106" s="39">
        <f>K106-T106</f>
        <v>0</v>
      </c>
      <c r="AD106" s="39">
        <f t="shared" si="108"/>
        <v>22</v>
      </c>
      <c r="AE106" s="230" t="s">
        <v>661</v>
      </c>
      <c r="AF106" s="35"/>
      <c r="AG106" s="35"/>
      <c r="AH106" s="35">
        <v>22</v>
      </c>
      <c r="AJ106" s="39"/>
      <c r="AK106" s="39"/>
      <c r="AL106" s="39"/>
      <c r="AM106" s="39">
        <f t="shared" si="109"/>
        <v>22</v>
      </c>
      <c r="AN106" s="39"/>
      <c r="AO106" s="39"/>
      <c r="AP106" s="39"/>
      <c r="AQ106" s="39"/>
      <c r="AR106" s="39">
        <f t="shared" si="110"/>
        <v>0</v>
      </c>
      <c r="AS106" s="39"/>
      <c r="AT106" s="39"/>
      <c r="AU106" s="39"/>
      <c r="AV106" s="39"/>
      <c r="AW106" s="39"/>
      <c r="AX106" s="39"/>
      <c r="AY106" s="39"/>
      <c r="AZ106" s="39"/>
      <c r="BA106" s="39">
        <f t="shared" si="111"/>
        <v>0</v>
      </c>
      <c r="BB106" s="35"/>
      <c r="BC106" s="486"/>
      <c r="BD106" s="486"/>
      <c r="BE106" s="35"/>
      <c r="BF106" s="486"/>
    </row>
    <row r="107" spans="1:58" ht="12.95" customHeight="1">
      <c r="A107" s="42"/>
      <c r="B107" s="43"/>
      <c r="C107" s="402"/>
      <c r="D107" s="43"/>
      <c r="E107" s="44"/>
      <c r="F107" s="44"/>
      <c r="G107" s="415"/>
      <c r="H107" s="557"/>
      <c r="I107" s="47"/>
      <c r="J107" s="86"/>
      <c r="K107" s="86"/>
      <c r="L107" s="37"/>
      <c r="M107" s="37"/>
      <c r="N107" s="48"/>
      <c r="O107" s="49"/>
      <c r="P107" s="50"/>
      <c r="Q107" s="49"/>
      <c r="R107" s="371"/>
      <c r="S107" s="371"/>
      <c r="T107" s="39"/>
      <c r="U107" s="39"/>
      <c r="V107" s="39"/>
      <c r="W107" s="39"/>
      <c r="X107" s="370"/>
      <c r="Y107" s="213"/>
      <c r="Z107" s="39"/>
      <c r="AA107" s="39"/>
      <c r="AB107" s="39"/>
      <c r="AC107" s="39"/>
      <c r="AD107" s="39"/>
      <c r="AE107" s="230"/>
      <c r="AF107" s="35"/>
      <c r="AG107" s="35"/>
      <c r="AH107" s="35"/>
      <c r="AJ107" s="39"/>
      <c r="AK107" s="39"/>
      <c r="AL107" s="39"/>
      <c r="AM107" s="39"/>
      <c r="AN107" s="39"/>
      <c r="AO107" s="39"/>
      <c r="AP107" s="39"/>
      <c r="AQ107" s="39"/>
      <c r="AR107" s="39"/>
      <c r="AS107" s="39"/>
      <c r="AT107" s="39"/>
      <c r="AU107" s="39"/>
      <c r="AV107" s="39"/>
      <c r="AW107" s="39"/>
      <c r="AX107" s="39"/>
      <c r="AY107" s="39"/>
      <c r="AZ107" s="39"/>
      <c r="BA107" s="39"/>
      <c r="BB107" s="35"/>
      <c r="BC107" s="486"/>
      <c r="BD107" s="53"/>
      <c r="BE107" s="53"/>
      <c r="BF107" s="53"/>
    </row>
    <row r="108" spans="1:58" ht="12" customHeight="1">
      <c r="A108" s="42">
        <v>45953</v>
      </c>
      <c r="B108" s="43" t="s">
        <v>460</v>
      </c>
      <c r="C108" s="402">
        <f t="shared" ref="C108:C110" si="112">(M108*E108*O108*Q108)/100000000</f>
        <v>1.4807812499999999</v>
      </c>
      <c r="D108" s="43" t="s">
        <v>462</v>
      </c>
      <c r="E108" s="44">
        <v>12.5</v>
      </c>
      <c r="F108" s="44">
        <v>1</v>
      </c>
      <c r="G108" s="415">
        <v>1350</v>
      </c>
      <c r="H108" s="557">
        <f t="shared" ref="H108:H110" si="113">+N108</f>
        <v>0.25</v>
      </c>
      <c r="I108" s="47">
        <v>0.88</v>
      </c>
      <c r="J108" s="86">
        <f t="shared" ref="J108:J110" si="114">E108*G108*(1-H108)*1440/1000000*2.74</f>
        <v>49.936500000000009</v>
      </c>
      <c r="K108" s="86">
        <f t="shared" ref="K108:K110" si="115">(IF(G108&lt;L108,L108,G108)*(1-IF(H108&lt;N108,H108,N108))*E108*O108*Q108)/100000000</f>
        <v>1.4807812499999999</v>
      </c>
      <c r="L108" s="37">
        <v>1350</v>
      </c>
      <c r="M108" s="37">
        <v>1012.5</v>
      </c>
      <c r="N108" s="48">
        <f t="shared" ref="N108:N110" si="116">1-(M108/L108)</f>
        <v>0.25</v>
      </c>
      <c r="O108" s="49">
        <f>+'Trim Rwd'!H64</f>
        <v>260</v>
      </c>
      <c r="P108" s="50">
        <f t="shared" ref="P108:P110" si="117">O108*(Q108-R108-S108)</f>
        <v>11180</v>
      </c>
      <c r="Q108" s="49">
        <v>45</v>
      </c>
      <c r="R108" s="371">
        <v>0</v>
      </c>
      <c r="S108" s="371">
        <v>2</v>
      </c>
      <c r="T108" s="39">
        <f t="shared" ref="T108:T110" si="118">E108*M108*O108*Q108/100000000</f>
        <v>1.4807812499999999</v>
      </c>
      <c r="U108" s="39">
        <f t="shared" ref="U108:U110" si="119">E108*M108*O108*(Q108-R108-S108)/100000000</f>
        <v>1.4149687500000001</v>
      </c>
      <c r="V108" s="39">
        <f t="shared" ref="V108:V110" si="120">E108*G108*(1-N108)*O108/100*(R108+S108)/1000000</f>
        <v>6.5812499999999996E-2</v>
      </c>
      <c r="W108" s="39">
        <f>+'23'!K12/1000</f>
        <v>7.0919999999999996</v>
      </c>
      <c r="X108" s="370">
        <f>SUM(W108:W111)/SUM(K108:K111)</f>
        <v>0.83073164472014116</v>
      </c>
      <c r="Y108" s="39">
        <f>+SUM(RBP!AG59:AG60)</f>
        <v>0</v>
      </c>
      <c r="Z108" s="39">
        <f>+'17'!D59/1000</f>
        <v>0</v>
      </c>
      <c r="AA108" s="51">
        <f>SUM(U108:U111)-SUM(W108:W111)-SUM(Z108:Z111)-SUM(Y108:Y111)</f>
        <v>7.399736272299303</v>
      </c>
      <c r="AB108" s="51">
        <f>(SUM(K108:K111)-SUM(W108:W111)-SUM(Y108:Y111)-SUM(Z108:Z111)-SUM(AC108:AC111)-SUM(V108:V111))-AA108</f>
        <v>-2.9939007668966511E-3</v>
      </c>
      <c r="AC108" s="39">
        <f>K108-T108</f>
        <v>0</v>
      </c>
      <c r="AD108" s="39">
        <f>+AM108+BA108</f>
        <v>0</v>
      </c>
      <c r="AE108" s="230" t="s">
        <v>418</v>
      </c>
      <c r="AF108" s="39">
        <v>0</v>
      </c>
      <c r="AG108" s="39"/>
      <c r="AH108" s="39"/>
      <c r="AI108" s="485"/>
      <c r="AJ108" s="39"/>
      <c r="AK108" s="39"/>
      <c r="AL108" s="39"/>
      <c r="AM108" s="39">
        <f>SUM(AF108:AL108)+AT108+AV108+AX108</f>
        <v>0</v>
      </c>
      <c r="AN108" s="39"/>
      <c r="AO108" s="39"/>
      <c r="AP108" s="39"/>
      <c r="AQ108" s="39"/>
      <c r="AR108" s="39">
        <f>SUM(AN108:AQ108)</f>
        <v>0</v>
      </c>
      <c r="AS108" s="39"/>
      <c r="AT108" s="39"/>
      <c r="AU108" s="39"/>
      <c r="AV108" s="39"/>
      <c r="AW108" s="39"/>
      <c r="AX108" s="39"/>
      <c r="AY108" s="39"/>
      <c r="AZ108" s="39"/>
      <c r="BA108" s="39">
        <f>+AR108+AS108+AU108+AW108+AY108+AZ108</f>
        <v>0</v>
      </c>
      <c r="BB108" s="35">
        <v>0</v>
      </c>
      <c r="BC108" s="53"/>
      <c r="BD108" s="53">
        <v>1</v>
      </c>
      <c r="BE108" s="35"/>
      <c r="BF108" s="53"/>
    </row>
    <row r="109" spans="1:58" ht="12.95" customHeight="1">
      <c r="A109" s="42"/>
      <c r="B109" s="43" t="s">
        <v>460</v>
      </c>
      <c r="C109" s="402">
        <f t="shared" si="112"/>
        <v>13.209885</v>
      </c>
      <c r="D109" s="43" t="s">
        <v>462</v>
      </c>
      <c r="E109" s="44">
        <v>13</v>
      </c>
      <c r="F109" s="44">
        <v>1</v>
      </c>
      <c r="G109" s="415">
        <v>1350</v>
      </c>
      <c r="H109" s="557">
        <f t="shared" si="113"/>
        <v>0.25</v>
      </c>
      <c r="I109" s="47">
        <v>0.88</v>
      </c>
      <c r="J109" s="86">
        <f t="shared" si="114"/>
        <v>51.933960000000006</v>
      </c>
      <c r="K109" s="86">
        <f t="shared" si="115"/>
        <v>13.209885</v>
      </c>
      <c r="L109" s="37">
        <v>1350</v>
      </c>
      <c r="M109" s="37">
        <v>1012.5</v>
      </c>
      <c r="N109" s="48">
        <f t="shared" si="116"/>
        <v>0.25</v>
      </c>
      <c r="O109" s="49">
        <f>+'Trim Rwd'!H63</f>
        <v>260</v>
      </c>
      <c r="P109" s="50">
        <f t="shared" si="117"/>
        <v>98800</v>
      </c>
      <c r="Q109" s="49">
        <v>386</v>
      </c>
      <c r="R109" s="371">
        <v>0</v>
      </c>
      <c r="S109" s="371">
        <v>6</v>
      </c>
      <c r="T109" s="39">
        <f t="shared" si="118"/>
        <v>13.209885</v>
      </c>
      <c r="U109" s="39">
        <f t="shared" si="119"/>
        <v>13.00455</v>
      </c>
      <c r="V109" s="39">
        <f t="shared" si="120"/>
        <v>0.20533499999999999</v>
      </c>
      <c r="W109" s="39">
        <f>+'23'!K16/1000</f>
        <v>11.528</v>
      </c>
      <c r="X109" s="40"/>
      <c r="Y109" s="213"/>
      <c r="Z109" s="39"/>
      <c r="AA109" s="39"/>
      <c r="AB109" s="39"/>
      <c r="AC109" s="39">
        <f>K109-T109</f>
        <v>0</v>
      </c>
      <c r="AD109" s="39">
        <f t="shared" ref="AD109:AD110" si="121">+AM109+BA109</f>
        <v>2</v>
      </c>
      <c r="AE109" s="230" t="s">
        <v>529</v>
      </c>
      <c r="AF109" s="39"/>
      <c r="AG109" s="39">
        <v>2</v>
      </c>
      <c r="AH109" s="39"/>
      <c r="AI109" s="485"/>
      <c r="AJ109" s="39"/>
      <c r="AK109" s="39"/>
      <c r="AL109" s="39"/>
      <c r="AM109" s="39">
        <f t="shared" ref="AM109:AM110" si="122">SUM(AF109:AL109)+AT109+AV109+AX109</f>
        <v>2</v>
      </c>
      <c r="AN109" s="87"/>
      <c r="AO109" s="39"/>
      <c r="AP109" s="39"/>
      <c r="AQ109" s="39"/>
      <c r="AR109" s="39">
        <f t="shared" ref="AR109:AR110" si="123">SUM(AN109:AQ109)</f>
        <v>0</v>
      </c>
      <c r="AS109" s="39"/>
      <c r="AT109" s="39"/>
      <c r="AU109" s="39"/>
      <c r="AV109" s="39"/>
      <c r="AW109" s="39"/>
      <c r="AX109" s="39"/>
      <c r="AY109" s="39"/>
      <c r="AZ109" s="39"/>
      <c r="BA109" s="39">
        <f t="shared" ref="BA109:BA110" si="124">+AR109+AS109+AU109+AW109+AY109+AZ109</f>
        <v>0</v>
      </c>
      <c r="BB109" s="52"/>
      <c r="BC109" s="53">
        <v>2</v>
      </c>
      <c r="BD109" s="53"/>
      <c r="BE109" s="52"/>
      <c r="BF109" s="53"/>
    </row>
    <row r="110" spans="1:58" ht="12.95" customHeight="1">
      <c r="A110" s="42"/>
      <c r="B110" s="43" t="s">
        <v>460</v>
      </c>
      <c r="C110" s="402">
        <f t="shared" si="112"/>
        <v>35.871839999999992</v>
      </c>
      <c r="D110" s="43" t="s">
        <v>462</v>
      </c>
      <c r="E110" s="44">
        <v>14.5</v>
      </c>
      <c r="F110" s="44">
        <v>1</v>
      </c>
      <c r="G110" s="415">
        <v>1270</v>
      </c>
      <c r="H110" s="557">
        <f t="shared" si="113"/>
        <v>0.24056974459724956</v>
      </c>
      <c r="I110" s="47">
        <v>0.88</v>
      </c>
      <c r="J110" s="86">
        <f t="shared" si="114"/>
        <v>55.178853609430263</v>
      </c>
      <c r="K110" s="86">
        <f t="shared" si="115"/>
        <v>36.12357715614931</v>
      </c>
      <c r="L110" s="37">
        <v>1261.1496531219029</v>
      </c>
      <c r="M110" s="37">
        <v>957.75520317145686</v>
      </c>
      <c r="N110" s="48">
        <f t="shared" si="116"/>
        <v>0.24056974459724956</v>
      </c>
      <c r="O110" s="49">
        <f>+'Trim Rwd'!H65</f>
        <v>256</v>
      </c>
      <c r="P110" s="50">
        <f t="shared" si="117"/>
        <v>255232</v>
      </c>
      <c r="Q110" s="49">
        <v>1009</v>
      </c>
      <c r="R110" s="371">
        <v>0</v>
      </c>
      <c r="S110" s="371">
        <f>20-S108-S109</f>
        <v>12</v>
      </c>
      <c r="T110" s="39">
        <f t="shared" si="118"/>
        <v>35.871839999999992</v>
      </c>
      <c r="U110" s="39">
        <f t="shared" si="119"/>
        <v>35.445217522299302</v>
      </c>
      <c r="V110" s="39">
        <f t="shared" si="120"/>
        <v>0.42961637846758349</v>
      </c>
      <c r="W110" s="39">
        <f>+'23'!K9/1000</f>
        <v>23.593</v>
      </c>
      <c r="X110" s="40"/>
      <c r="Y110" s="213"/>
      <c r="Z110" s="39">
        <f>+'23'!D17/1000</f>
        <v>0.252</v>
      </c>
      <c r="AA110" s="39"/>
      <c r="AB110" s="39"/>
      <c r="AC110" s="39">
        <f>K110-T110</f>
        <v>0.2517371561493178</v>
      </c>
      <c r="AD110" s="39">
        <f t="shared" si="121"/>
        <v>18</v>
      </c>
      <c r="AE110" s="230" t="s">
        <v>675</v>
      </c>
      <c r="AF110" s="35"/>
      <c r="AG110" s="35"/>
      <c r="AH110" s="35">
        <v>18</v>
      </c>
      <c r="AJ110" s="39"/>
      <c r="AK110" s="39"/>
      <c r="AL110" s="39"/>
      <c r="AM110" s="39">
        <f t="shared" si="122"/>
        <v>18</v>
      </c>
      <c r="AN110" s="39"/>
      <c r="AO110" s="39"/>
      <c r="AP110" s="39"/>
      <c r="AQ110" s="39"/>
      <c r="AR110" s="39">
        <f t="shared" si="123"/>
        <v>0</v>
      </c>
      <c r="AS110" s="39"/>
      <c r="AT110" s="39"/>
      <c r="AU110" s="39"/>
      <c r="AV110" s="39"/>
      <c r="AW110" s="39"/>
      <c r="AX110" s="39"/>
      <c r="AY110" s="39"/>
      <c r="AZ110" s="39"/>
      <c r="BA110" s="39">
        <f t="shared" si="124"/>
        <v>0</v>
      </c>
      <c r="BB110" s="35"/>
      <c r="BC110" s="486"/>
      <c r="BD110" s="486"/>
      <c r="BE110" s="35"/>
      <c r="BF110" s="486"/>
    </row>
    <row r="111" spans="1:58" ht="12.95" customHeight="1">
      <c r="A111" s="42"/>
      <c r="B111" s="43"/>
      <c r="C111" s="402"/>
      <c r="D111" s="43"/>
      <c r="E111" s="44"/>
      <c r="F111" s="44"/>
      <c r="G111" s="415"/>
      <c r="H111" s="557"/>
      <c r="I111" s="47"/>
      <c r="J111" s="86"/>
      <c r="K111" s="86"/>
      <c r="L111" s="37"/>
      <c r="M111" s="37"/>
      <c r="N111" s="48"/>
      <c r="O111" s="49"/>
      <c r="P111" s="50"/>
      <c r="Q111" s="49"/>
      <c r="R111" s="371"/>
      <c r="S111" s="371"/>
      <c r="T111" s="39"/>
      <c r="U111" s="39"/>
      <c r="V111" s="39"/>
      <c r="W111" s="39"/>
      <c r="X111" s="370"/>
      <c r="Y111" s="213"/>
      <c r="Z111" s="39"/>
      <c r="AA111" s="39"/>
      <c r="AB111" s="39"/>
      <c r="AC111" s="39"/>
      <c r="AD111" s="39"/>
      <c r="AE111" s="230"/>
      <c r="AF111" s="35"/>
      <c r="AG111" s="35"/>
      <c r="AH111" s="35"/>
      <c r="AJ111" s="39"/>
      <c r="AK111" s="39"/>
      <c r="AL111" s="39"/>
      <c r="AM111" s="39"/>
      <c r="AN111" s="39"/>
      <c r="AO111" s="39"/>
      <c r="AP111" s="39"/>
      <c r="AQ111" s="39"/>
      <c r="AR111" s="39"/>
      <c r="AS111" s="39"/>
      <c r="AT111" s="39"/>
      <c r="AU111" s="39"/>
      <c r="AV111" s="39"/>
      <c r="AW111" s="39"/>
      <c r="AX111" s="39"/>
      <c r="AY111" s="39"/>
      <c r="AZ111" s="39"/>
      <c r="BA111" s="39"/>
      <c r="BB111" s="35"/>
      <c r="BC111" s="486"/>
      <c r="BD111" s="53"/>
      <c r="BE111" s="53"/>
      <c r="BF111" s="53"/>
    </row>
    <row r="112" spans="1:58" ht="12" customHeight="1">
      <c r="A112" s="42">
        <v>45954</v>
      </c>
      <c r="B112" s="43" t="s">
        <v>460</v>
      </c>
      <c r="C112" s="402">
        <f t="shared" ref="C112:C114" si="125">(M112*E112*O112*Q112)/100000000</f>
        <v>5.5021120000000003</v>
      </c>
      <c r="D112" s="43" t="s">
        <v>462</v>
      </c>
      <c r="E112" s="44">
        <v>14.5</v>
      </c>
      <c r="F112" s="44">
        <v>1</v>
      </c>
      <c r="G112" s="415">
        <v>1270</v>
      </c>
      <c r="H112" s="557">
        <f t="shared" ref="H112:H114" si="126">+N112</f>
        <v>0.22999999999999998</v>
      </c>
      <c r="I112" s="47">
        <v>0.88</v>
      </c>
      <c r="J112" s="86">
        <f t="shared" ref="J112:J114" si="127">E112*G112*(1-H112)*1440/1000000*2.74</f>
        <v>55.946832479999998</v>
      </c>
      <c r="K112" s="86">
        <f t="shared" ref="K112:K114" si="128">(IF(G112&lt;L112,L112,G112)*(1-IF(H112&lt;N112,H112,N112))*E112*O112*Q112)/100000000</f>
        <v>6.3524383999999996</v>
      </c>
      <c r="L112" s="37">
        <v>1100</v>
      </c>
      <c r="M112" s="37">
        <v>847</v>
      </c>
      <c r="N112" s="48">
        <f t="shared" ref="N112:N114" si="129">1-(M112/L112)</f>
        <v>0.22999999999999998</v>
      </c>
      <c r="O112" s="49">
        <f>+'Trim Rwd'!H68</f>
        <v>256</v>
      </c>
      <c r="P112" s="50">
        <f t="shared" ref="P112:P114" si="130">O112*(Q112-R112-S112)</f>
        <v>42240</v>
      </c>
      <c r="Q112" s="49">
        <v>175</v>
      </c>
      <c r="R112" s="371">
        <v>0</v>
      </c>
      <c r="S112" s="371">
        <v>10</v>
      </c>
      <c r="T112" s="39">
        <f t="shared" ref="T112:T114" si="131">E112*M112*O112*Q112/100000000</f>
        <v>5.5021120000000003</v>
      </c>
      <c r="U112" s="39">
        <f t="shared" ref="U112:U114" si="132">E112*M112*O112*(Q112-R112-S112)/100000000</f>
        <v>5.1877056000000001</v>
      </c>
      <c r="V112" s="39">
        <f t="shared" ref="V112:V114" si="133">E112*G112*(1-N112)*O112/100*(R112+S112)/1000000</f>
        <v>0.36299647999999995</v>
      </c>
      <c r="W112" s="39">
        <f>+'24'!K9/1000</f>
        <v>10.913</v>
      </c>
      <c r="X112" s="370">
        <f>SUM(W112:W115)/SUM(K112:K115)</f>
        <v>0.83318679818975483</v>
      </c>
      <c r="Y112" s="39">
        <f>+SUM(RBP!AG63:AG64)</f>
        <v>0</v>
      </c>
      <c r="Z112" s="39">
        <f>+'17'!D63/1000</f>
        <v>0</v>
      </c>
      <c r="AA112" s="51">
        <f>SUM(U112:U115)-SUM(W112:W115)-SUM(Z112:Z115)-SUM(Y112:Y115)</f>
        <v>4.9307478499999959</v>
      </c>
      <c r="AB112" s="51">
        <f>(SUM(K112:K115)-SUM(W112:W115)-SUM(Y112:Y115)-SUM(Z112:Z115)-SUM(AC112:AC115)-SUM(V112:V115))-AA112</f>
        <v>-4.8590079999994984E-2</v>
      </c>
      <c r="AC112" s="39">
        <f>K112-T112</f>
        <v>0.85032639999999926</v>
      </c>
      <c r="AD112" s="39">
        <f>+AM112+BA112</f>
        <v>9</v>
      </c>
      <c r="AE112" s="230" t="s">
        <v>400</v>
      </c>
      <c r="AF112" s="39">
        <v>9</v>
      </c>
      <c r="AG112" s="39"/>
      <c r="AH112" s="39"/>
      <c r="AI112" s="485"/>
      <c r="AJ112" s="39"/>
      <c r="AK112" s="39"/>
      <c r="AL112" s="39"/>
      <c r="AM112" s="39">
        <f>SUM(AF112:AL112)+AT112+AV112+AX112</f>
        <v>9</v>
      </c>
      <c r="AN112" s="39"/>
      <c r="AO112" s="39"/>
      <c r="AP112" s="39"/>
      <c r="AQ112" s="39"/>
      <c r="AR112" s="39">
        <f>SUM(AN112:AQ112)</f>
        <v>0</v>
      </c>
      <c r="AS112" s="39"/>
      <c r="AT112" s="39"/>
      <c r="AU112" s="39"/>
      <c r="AV112" s="39"/>
      <c r="AW112" s="39"/>
      <c r="AX112" s="39"/>
      <c r="AY112" s="39"/>
      <c r="AZ112" s="39"/>
      <c r="BA112" s="39">
        <f>+AR112+AS112+AU112+AW112+AY112+AZ112</f>
        <v>0</v>
      </c>
      <c r="BB112" s="35">
        <v>3</v>
      </c>
      <c r="BC112" s="53"/>
      <c r="BD112" s="53"/>
      <c r="BE112" s="35"/>
      <c r="BF112" s="53"/>
    </row>
    <row r="113" spans="1:58" ht="12.95" customHeight="1">
      <c r="A113" s="42"/>
      <c r="B113" s="43" t="s">
        <v>639</v>
      </c>
      <c r="C113" s="402">
        <f t="shared" si="125"/>
        <v>32.965380000000003</v>
      </c>
      <c r="D113" s="43" t="s">
        <v>462</v>
      </c>
      <c r="E113" s="44">
        <v>12</v>
      </c>
      <c r="F113" s="44">
        <v>1</v>
      </c>
      <c r="G113" s="415">
        <v>1350</v>
      </c>
      <c r="H113" s="557">
        <f t="shared" si="126"/>
        <v>0.25461538461538469</v>
      </c>
      <c r="I113" s="47">
        <v>0.88</v>
      </c>
      <c r="J113" s="86">
        <f t="shared" si="127"/>
        <v>47.644030523076921</v>
      </c>
      <c r="K113" s="86">
        <f t="shared" si="128"/>
        <v>32.965380000000003</v>
      </c>
      <c r="L113" s="37">
        <v>1350</v>
      </c>
      <c r="M113" s="37">
        <v>1006.2692307692307</v>
      </c>
      <c r="N113" s="48">
        <f t="shared" si="129"/>
        <v>0.25461538461538469</v>
      </c>
      <c r="O113" s="49">
        <f>+'Trim Rwd'!H69</f>
        <v>262.5</v>
      </c>
      <c r="P113" s="50">
        <f t="shared" si="130"/>
        <v>262762.5</v>
      </c>
      <c r="Q113" s="49">
        <v>1040</v>
      </c>
      <c r="R113" s="371">
        <v>0</v>
      </c>
      <c r="S113" s="371">
        <v>39</v>
      </c>
      <c r="T113" s="39">
        <f t="shared" si="131"/>
        <v>32.965380000000003</v>
      </c>
      <c r="U113" s="39">
        <f t="shared" si="132"/>
        <v>31.72917825</v>
      </c>
      <c r="V113" s="39">
        <f t="shared" si="133"/>
        <v>1.2362017499999998</v>
      </c>
      <c r="W113" s="39">
        <f>+'24'!K17/1000</f>
        <v>22.321999999999999</v>
      </c>
      <c r="X113" s="40"/>
      <c r="Y113" s="213"/>
      <c r="Z113" s="39"/>
      <c r="AA113" s="39"/>
      <c r="AB113" s="39"/>
      <c r="AC113" s="39">
        <f>K113-T113</f>
        <v>0</v>
      </c>
      <c r="AD113" s="39">
        <f t="shared" ref="AD113:AD115" si="134">+AM113+BA113</f>
        <v>2</v>
      </c>
      <c r="AE113" s="230" t="s">
        <v>571</v>
      </c>
      <c r="AF113" s="39"/>
      <c r="AG113" s="39">
        <v>2</v>
      </c>
      <c r="AH113" s="39"/>
      <c r="AI113" s="485"/>
      <c r="AJ113" s="39"/>
      <c r="AK113" s="39"/>
      <c r="AL113" s="39"/>
      <c r="AM113" s="39">
        <f t="shared" ref="AM113:AM114" si="135">SUM(AF113:AL113)+AT113+AV113+AX113</f>
        <v>2</v>
      </c>
      <c r="AN113" s="87"/>
      <c r="AO113" s="39"/>
      <c r="AP113" s="39"/>
      <c r="AQ113" s="39"/>
      <c r="AR113" s="39">
        <f t="shared" ref="AR113:AR115" si="136">SUM(AN113:AQ113)</f>
        <v>0</v>
      </c>
      <c r="AS113" s="39"/>
      <c r="AT113" s="39"/>
      <c r="AU113" s="39"/>
      <c r="AV113" s="39"/>
      <c r="AW113" s="39"/>
      <c r="AX113" s="39"/>
      <c r="AY113" s="39"/>
      <c r="AZ113" s="39"/>
      <c r="BA113" s="39">
        <f t="shared" ref="BA113:BA115" si="137">+AR113+AS113+AU113+AW113+AY113+AZ113</f>
        <v>0</v>
      </c>
      <c r="BB113" s="52"/>
      <c r="BC113" s="53">
        <v>1</v>
      </c>
      <c r="BD113" s="53"/>
      <c r="BE113" s="52"/>
      <c r="BF113" s="53"/>
    </row>
    <row r="114" spans="1:58" ht="12.95" customHeight="1">
      <c r="A114" s="42"/>
      <c r="B114" s="43" t="s">
        <v>639</v>
      </c>
      <c r="C114" s="402">
        <f t="shared" si="125"/>
        <v>6.5738640000000004</v>
      </c>
      <c r="D114" s="43" t="s">
        <v>462</v>
      </c>
      <c r="E114" s="44">
        <v>16</v>
      </c>
      <c r="F114" s="44">
        <v>1</v>
      </c>
      <c r="G114" s="415">
        <v>1165</v>
      </c>
      <c r="H114" s="557">
        <f t="shared" si="126"/>
        <v>0.25222222222222224</v>
      </c>
      <c r="I114" s="47">
        <v>0.88</v>
      </c>
      <c r="J114" s="86">
        <f t="shared" si="127"/>
        <v>54.996052480000003</v>
      </c>
      <c r="K114" s="86">
        <f t="shared" si="128"/>
        <v>6.9623195999999989</v>
      </c>
      <c r="L114" s="37">
        <v>1100</v>
      </c>
      <c r="M114" s="37">
        <v>822.55555555555554</v>
      </c>
      <c r="N114" s="48">
        <f t="shared" si="129"/>
        <v>0.25222222222222224</v>
      </c>
      <c r="O114" s="49">
        <f>+'Trim Rwd'!H70</f>
        <v>270</v>
      </c>
      <c r="P114" s="50">
        <f t="shared" si="130"/>
        <v>49950</v>
      </c>
      <c r="Q114" s="49">
        <f>225-40</f>
        <v>185</v>
      </c>
      <c r="R114" s="371">
        <v>0</v>
      </c>
      <c r="S114" s="371">
        <f>40-40</f>
        <v>0</v>
      </c>
      <c r="T114" s="39">
        <f t="shared" si="131"/>
        <v>6.5738640000000004</v>
      </c>
      <c r="U114" s="39">
        <f t="shared" si="132"/>
        <v>6.5738640000000004</v>
      </c>
      <c r="V114" s="39">
        <f t="shared" si="133"/>
        <v>0</v>
      </c>
      <c r="W114" s="39">
        <f>+'24'!K18/1000</f>
        <v>5.3250000000000002</v>
      </c>
      <c r="X114" s="40"/>
      <c r="Y114" s="213"/>
      <c r="Z114" s="39">
        <f>+'23'!D21/1000</f>
        <v>0</v>
      </c>
      <c r="AA114" s="39"/>
      <c r="AB114" s="39"/>
      <c r="AC114" s="39">
        <f>K114-T114</f>
        <v>0.38845559999999857</v>
      </c>
      <c r="AD114" s="39">
        <f t="shared" si="134"/>
        <v>38</v>
      </c>
      <c r="AE114" s="230" t="s">
        <v>675</v>
      </c>
      <c r="AF114" s="35"/>
      <c r="AG114" s="35"/>
      <c r="AH114" s="35">
        <v>38</v>
      </c>
      <c r="AJ114" s="39"/>
      <c r="AK114" s="39"/>
      <c r="AL114" s="39"/>
      <c r="AM114" s="39">
        <f t="shared" si="135"/>
        <v>38</v>
      </c>
      <c r="AN114" s="39"/>
      <c r="AO114" s="39"/>
      <c r="AP114" s="39"/>
      <c r="AQ114" s="39"/>
      <c r="AR114" s="39">
        <f t="shared" si="136"/>
        <v>0</v>
      </c>
      <c r="AS114" s="39"/>
      <c r="AT114" s="39"/>
      <c r="AU114" s="39"/>
      <c r="AV114" s="39"/>
      <c r="AW114" s="39"/>
      <c r="AX114" s="39"/>
      <c r="AY114" s="39"/>
      <c r="AZ114" s="39"/>
      <c r="BA114" s="39">
        <f t="shared" si="137"/>
        <v>0</v>
      </c>
      <c r="BB114" s="35"/>
      <c r="BC114" s="486"/>
      <c r="BD114" s="486"/>
      <c r="BE114" s="35"/>
      <c r="BF114" s="486"/>
    </row>
    <row r="115" spans="1:58" ht="12.95" customHeight="1">
      <c r="A115" s="42"/>
      <c r="B115" s="43"/>
      <c r="C115" s="402"/>
      <c r="D115" s="43"/>
      <c r="E115" s="44"/>
      <c r="F115" s="44"/>
      <c r="G115" s="415"/>
      <c r="H115" s="557"/>
      <c r="I115" s="47"/>
      <c r="J115" s="86"/>
      <c r="K115" s="86"/>
      <c r="L115" s="37"/>
      <c r="M115" s="37"/>
      <c r="N115" s="48"/>
      <c r="O115" s="49"/>
      <c r="P115" s="50"/>
      <c r="Q115" s="49"/>
      <c r="R115" s="371"/>
      <c r="S115" s="371"/>
      <c r="T115" s="39"/>
      <c r="U115" s="39"/>
      <c r="V115" s="39"/>
      <c r="W115" s="39"/>
      <c r="X115" s="40"/>
      <c r="Y115" s="213"/>
      <c r="Z115" s="39"/>
      <c r="AA115" s="39"/>
      <c r="AB115" s="39"/>
      <c r="AC115" s="39"/>
      <c r="AD115" s="39">
        <f t="shared" si="134"/>
        <v>0</v>
      </c>
      <c r="AE115" s="230" t="s">
        <v>691</v>
      </c>
      <c r="AF115" s="35"/>
      <c r="AG115" s="35"/>
      <c r="AH115" s="35"/>
      <c r="AJ115" s="39"/>
      <c r="AK115" s="39"/>
      <c r="AL115" s="39"/>
      <c r="AM115" s="39">
        <f t="shared" ref="AM115" si="138">SUM(AF115:AL115)+AT115+AV115+AX115</f>
        <v>0</v>
      </c>
      <c r="AN115" s="39"/>
      <c r="AO115" s="39"/>
      <c r="AP115" s="39"/>
      <c r="AQ115" s="39"/>
      <c r="AR115" s="39">
        <f t="shared" si="136"/>
        <v>0</v>
      </c>
      <c r="AS115" s="39"/>
      <c r="AT115" s="39">
        <f>40-40</f>
        <v>0</v>
      </c>
      <c r="AU115" s="39"/>
      <c r="AV115" s="39"/>
      <c r="AW115" s="39"/>
      <c r="AX115" s="39"/>
      <c r="AY115" s="39"/>
      <c r="AZ115" s="39"/>
      <c r="BA115" s="39">
        <f t="shared" si="137"/>
        <v>0</v>
      </c>
      <c r="BB115" s="35"/>
      <c r="BC115" s="486"/>
      <c r="BD115" s="486"/>
      <c r="BE115" s="35"/>
      <c r="BF115" s="486"/>
    </row>
    <row r="116" spans="1:58" ht="12.95" customHeight="1">
      <c r="A116" s="42"/>
      <c r="B116" s="43"/>
      <c r="C116" s="402"/>
      <c r="D116" s="43"/>
      <c r="E116" s="44"/>
      <c r="F116" s="44"/>
      <c r="G116" s="415"/>
      <c r="H116" s="557"/>
      <c r="I116" s="47"/>
      <c r="J116" s="86"/>
      <c r="K116" s="86"/>
      <c r="L116" s="37"/>
      <c r="M116" s="37"/>
      <c r="N116" s="48"/>
      <c r="O116" s="49"/>
      <c r="P116" s="50"/>
      <c r="Q116" s="49"/>
      <c r="R116" s="371"/>
      <c r="S116" s="371"/>
      <c r="T116" s="39"/>
      <c r="U116" s="39"/>
      <c r="V116" s="39"/>
      <c r="W116" s="39"/>
      <c r="X116" s="370"/>
      <c r="Y116" s="39"/>
      <c r="Z116" s="39"/>
      <c r="AA116" s="51"/>
      <c r="AB116" s="51"/>
      <c r="AC116" s="39"/>
      <c r="AD116" s="39"/>
      <c r="AE116" s="230"/>
      <c r="AF116" s="39"/>
      <c r="AG116" s="39"/>
      <c r="AH116" s="39"/>
      <c r="AI116" s="485"/>
      <c r="AJ116" s="39"/>
      <c r="AK116" s="39"/>
      <c r="AL116" s="39"/>
      <c r="AM116" s="39"/>
      <c r="AN116" s="39"/>
      <c r="AO116" s="39"/>
      <c r="AP116" s="39"/>
      <c r="AQ116" s="39"/>
      <c r="AR116" s="39"/>
      <c r="AS116" s="39"/>
      <c r="AT116" s="39"/>
      <c r="AU116" s="39"/>
      <c r="AV116" s="39"/>
      <c r="AW116" s="39"/>
      <c r="AX116" s="39"/>
      <c r="AY116" s="39"/>
      <c r="AZ116" s="39"/>
      <c r="BA116" s="39"/>
      <c r="BB116" s="35"/>
      <c r="BC116" s="53"/>
      <c r="BD116" s="53"/>
      <c r="BE116" s="53"/>
      <c r="BF116" s="53"/>
    </row>
    <row r="117" spans="1:58" ht="12" customHeight="1">
      <c r="A117" s="42">
        <v>45955</v>
      </c>
      <c r="B117" s="43" t="s">
        <v>639</v>
      </c>
      <c r="C117" s="402">
        <f t="shared" ref="C117:C118" si="139">(M117*E117*O117*Q117)/100000000</f>
        <v>6.0598124999999996</v>
      </c>
      <c r="D117" s="43" t="s">
        <v>462</v>
      </c>
      <c r="E117" s="44">
        <v>12</v>
      </c>
      <c r="F117" s="44">
        <v>1</v>
      </c>
      <c r="G117" s="415">
        <v>1350</v>
      </c>
      <c r="H117" s="557">
        <f t="shared" ref="H117:H118" si="140">+N117</f>
        <v>0.25</v>
      </c>
      <c r="I117" s="47">
        <v>0.88</v>
      </c>
      <c r="J117" s="86">
        <f t="shared" ref="J117:J118" si="141">E117*G117*(1-H117)*1440/1000000*2.74</f>
        <v>47.939039999999999</v>
      </c>
      <c r="K117" s="86">
        <f t="shared" ref="K117:K118" si="142">(IF(G117&lt;L117,L117,G117)*(1-IF(H117&lt;N117,H117,N117))*E117*O117*Q117)/100000000</f>
        <v>6.0598124999999996</v>
      </c>
      <c r="L117" s="37">
        <v>1350</v>
      </c>
      <c r="M117" s="37">
        <v>1012.5</v>
      </c>
      <c r="N117" s="48">
        <f t="shared" ref="N117:N118" si="143">1-(M117/L117)</f>
        <v>0.25</v>
      </c>
      <c r="O117" s="49">
        <f>+'Trim Rwd'!H73</f>
        <v>262.5</v>
      </c>
      <c r="P117" s="50">
        <f t="shared" ref="P117:P118" si="144">O117*(Q117-R117-S117)</f>
        <v>44625</v>
      </c>
      <c r="Q117" s="49">
        <v>190</v>
      </c>
      <c r="R117" s="371">
        <v>0</v>
      </c>
      <c r="S117" s="371">
        <v>20</v>
      </c>
      <c r="T117" s="39">
        <f t="shared" ref="T117:T118" si="145">E117*M117*O117*Q117/100000000</f>
        <v>6.0598124999999996</v>
      </c>
      <c r="U117" s="39">
        <f t="shared" ref="U117:U118" si="146">E117*M117*O117*(Q117-R117-S117)/100000000</f>
        <v>5.4219375000000003</v>
      </c>
      <c r="V117" s="39">
        <f t="shared" ref="V117:V118" si="147">E117*G117*(1-N117)*O117/100*(R117+S117)/1000000</f>
        <v>0.63787499999999997</v>
      </c>
      <c r="W117" s="39">
        <f>+'25'!K17/1000</f>
        <v>9.5559999999999992</v>
      </c>
      <c r="X117" s="370">
        <f>SUM(W117:W120)/SUM(K117:K120)</f>
        <v>0.464274698274312</v>
      </c>
      <c r="Y117" s="39">
        <f>+SUM(RBP!AG68:AG69)</f>
        <v>0</v>
      </c>
      <c r="Z117" s="39">
        <f>+'17'!D68/1000</f>
        <v>0</v>
      </c>
      <c r="AA117" s="51">
        <f>SUM(U117:U120)-SUM(W117:W120)-SUM(Z117:Z120)-SUM(Y117:Y120)</f>
        <v>13.976760248742401</v>
      </c>
      <c r="AB117" s="51">
        <f>(SUM(K117:K120)-SUM(W117:W120)-SUM(Y117:Y120)-SUM(Z117:Z120)-SUM(AC117:AC120)-SUM(V117:V120))-AA117</f>
        <v>-0.72193683557010857</v>
      </c>
      <c r="AC117" s="39">
        <f>K117-T117</f>
        <v>0</v>
      </c>
      <c r="AD117" s="39">
        <f>+AM117+BA117</f>
        <v>132</v>
      </c>
      <c r="AE117" s="230" t="s">
        <v>720</v>
      </c>
      <c r="AF117" s="39">
        <v>132</v>
      </c>
      <c r="AG117" s="39"/>
      <c r="AH117" s="39"/>
      <c r="AI117" s="485"/>
      <c r="AJ117" s="39"/>
      <c r="AK117" s="39"/>
      <c r="AL117" s="39"/>
      <c r="AM117" s="39">
        <f>SUM(AF117:AL117)+AT117+AV117+AX117</f>
        <v>132</v>
      </c>
      <c r="AN117" s="39"/>
      <c r="AO117" s="39"/>
      <c r="AP117" s="39"/>
      <c r="AQ117" s="39"/>
      <c r="AR117" s="39">
        <f>SUM(AN117:AQ117)</f>
        <v>0</v>
      </c>
      <c r="AS117" s="39"/>
      <c r="AT117" s="39"/>
      <c r="AU117" s="39"/>
      <c r="AV117" s="39"/>
      <c r="AW117" s="39"/>
      <c r="AX117" s="39"/>
      <c r="AY117" s="39"/>
      <c r="AZ117" s="39"/>
      <c r="BA117" s="39">
        <f>+AR117+AS117+AU117+AW117+AY117+AZ117</f>
        <v>0</v>
      </c>
      <c r="BB117" s="35">
        <v>28</v>
      </c>
      <c r="BC117" s="53"/>
      <c r="BD117" s="53"/>
      <c r="BE117" s="35"/>
      <c r="BF117" s="53">
        <v>2</v>
      </c>
    </row>
    <row r="118" spans="1:58" ht="12.95" customHeight="1">
      <c r="A118" s="42"/>
      <c r="B118" s="43" t="s">
        <v>460</v>
      </c>
      <c r="C118" s="402">
        <f t="shared" si="139"/>
        <v>38.700819436499998</v>
      </c>
      <c r="D118" s="43" t="s">
        <v>462</v>
      </c>
      <c r="E118" s="44">
        <v>13</v>
      </c>
      <c r="F118" s="44">
        <v>1</v>
      </c>
      <c r="G118" s="415">
        <v>1350</v>
      </c>
      <c r="H118" s="557">
        <f t="shared" si="140"/>
        <v>0.22212824471139125</v>
      </c>
      <c r="I118" s="47">
        <v>0.88</v>
      </c>
      <c r="J118" s="86">
        <f t="shared" si="141"/>
        <v>53.863947499051207</v>
      </c>
      <c r="K118" s="86">
        <f t="shared" si="142"/>
        <v>43.770600585166484</v>
      </c>
      <c r="L118" s="37">
        <v>1193.6346666666666</v>
      </c>
      <c r="M118" s="37">
        <v>928.49469333333332</v>
      </c>
      <c r="N118" s="48">
        <f t="shared" si="143"/>
        <v>0.22212824471139125</v>
      </c>
      <c r="O118" s="49">
        <f>+'Trim Rwd'!H72</f>
        <v>256.5</v>
      </c>
      <c r="P118" s="50">
        <f t="shared" si="144"/>
        <v>274968</v>
      </c>
      <c r="Q118" s="49">
        <v>1250</v>
      </c>
      <c r="R118" s="371">
        <v>0</v>
      </c>
      <c r="S118" s="371">
        <v>178</v>
      </c>
      <c r="T118" s="39">
        <f t="shared" si="145"/>
        <v>38.700819436499998</v>
      </c>
      <c r="U118" s="39">
        <f t="shared" si="146"/>
        <v>33.189822748742401</v>
      </c>
      <c r="V118" s="39">
        <f t="shared" si="147"/>
        <v>6.2329335233277074</v>
      </c>
      <c r="W118" s="39">
        <f>+'25'!K16/1000</f>
        <v>13.579000000000001</v>
      </c>
      <c r="X118" s="40"/>
      <c r="Y118" s="213"/>
      <c r="Z118" s="39">
        <f>+'25'!D17/1000</f>
        <v>1.5</v>
      </c>
      <c r="AA118" s="39"/>
      <c r="AB118" s="39"/>
      <c r="AC118" s="39">
        <f>K118-T118</f>
        <v>5.0697811486664861</v>
      </c>
      <c r="AD118" s="39">
        <f t="shared" ref="AD118:AD120" si="148">+AM118+BA118</f>
        <v>4</v>
      </c>
      <c r="AE118" s="230" t="s">
        <v>529</v>
      </c>
      <c r="AF118" s="39"/>
      <c r="AG118" s="39">
        <v>4</v>
      </c>
      <c r="AH118" s="39"/>
      <c r="AI118" s="485"/>
      <c r="AJ118" s="39"/>
      <c r="AK118" s="39"/>
      <c r="AL118" s="39"/>
      <c r="AM118" s="39">
        <f t="shared" ref="AM118:AM119" si="149">SUM(AF118:AL118)+AT118+AV118+AX118</f>
        <v>4</v>
      </c>
      <c r="AN118" s="87"/>
      <c r="AO118" s="39"/>
      <c r="AP118" s="39"/>
      <c r="AQ118" s="39"/>
      <c r="AR118" s="39">
        <f t="shared" ref="AR118:AR120" si="150">SUM(AN118:AQ118)</f>
        <v>0</v>
      </c>
      <c r="AS118" s="39"/>
      <c r="AT118" s="39"/>
      <c r="AU118" s="39"/>
      <c r="AV118" s="39"/>
      <c r="AW118" s="39"/>
      <c r="AX118" s="39"/>
      <c r="AY118" s="39"/>
      <c r="AZ118" s="39"/>
      <c r="BA118" s="39">
        <f t="shared" ref="BA118:BA120" si="151">+AR118+AS118+AU118+AW118+AY118+AZ118</f>
        <v>0</v>
      </c>
      <c r="BB118" s="52"/>
      <c r="BC118" s="53">
        <v>2</v>
      </c>
      <c r="BD118" s="53"/>
      <c r="BE118" s="52"/>
      <c r="BF118" s="53"/>
    </row>
    <row r="119" spans="1:58" ht="12.95" customHeight="1">
      <c r="A119" s="42"/>
      <c r="B119" s="43"/>
      <c r="C119" s="402"/>
      <c r="D119" s="43"/>
      <c r="E119" s="44"/>
      <c r="F119" s="44"/>
      <c r="G119" s="45"/>
      <c r="H119" s="46"/>
      <c r="I119" s="47"/>
      <c r="J119" s="86"/>
      <c r="K119" s="86"/>
      <c r="L119" s="37"/>
      <c r="M119" s="37"/>
      <c r="N119" s="48"/>
      <c r="O119" s="49"/>
      <c r="P119" s="50"/>
      <c r="Q119" s="49"/>
      <c r="R119" s="371"/>
      <c r="S119" s="371"/>
      <c r="T119" s="39"/>
      <c r="U119" s="39"/>
      <c r="V119" s="39"/>
      <c r="W119" s="39"/>
      <c r="X119" s="40"/>
      <c r="Y119" s="213"/>
      <c r="Z119" s="39"/>
      <c r="AA119" s="39"/>
      <c r="AB119" s="39"/>
      <c r="AC119" s="39"/>
      <c r="AD119" s="39">
        <f t="shared" si="148"/>
        <v>52</v>
      </c>
      <c r="AE119" s="230" t="s">
        <v>514</v>
      </c>
      <c r="AF119" s="35"/>
      <c r="AG119" s="35"/>
      <c r="AH119" s="35">
        <v>52</v>
      </c>
      <c r="AJ119" s="39"/>
      <c r="AK119" s="39"/>
      <c r="AL119" s="39"/>
      <c r="AM119" s="39">
        <f t="shared" si="149"/>
        <v>52</v>
      </c>
      <c r="AN119" s="39"/>
      <c r="AO119" s="39"/>
      <c r="AP119" s="39"/>
      <c r="AQ119" s="39"/>
      <c r="AR119" s="39">
        <f t="shared" si="150"/>
        <v>0</v>
      </c>
      <c r="AS119" s="39"/>
      <c r="AT119" s="39"/>
      <c r="AU119" s="39"/>
      <c r="AV119" s="39"/>
      <c r="AW119" s="39"/>
      <c r="AX119" s="39"/>
      <c r="AY119" s="39"/>
      <c r="AZ119" s="39"/>
      <c r="BA119" s="39">
        <f t="shared" si="151"/>
        <v>0</v>
      </c>
      <c r="BB119" s="35"/>
      <c r="BC119" s="486"/>
      <c r="BD119" s="486"/>
      <c r="BE119" s="35"/>
      <c r="BF119" s="486"/>
    </row>
    <row r="120" spans="1:58" ht="12.95" customHeight="1">
      <c r="A120" s="42"/>
      <c r="B120" s="43"/>
      <c r="C120" s="402"/>
      <c r="D120" s="43"/>
      <c r="E120" s="44"/>
      <c r="F120" s="44"/>
      <c r="G120" s="45"/>
      <c r="H120" s="46"/>
      <c r="I120" s="47"/>
      <c r="J120" s="86"/>
      <c r="K120" s="86"/>
      <c r="L120" s="37"/>
      <c r="M120" s="37"/>
      <c r="N120" s="48"/>
      <c r="O120" s="49"/>
      <c r="P120" s="50"/>
      <c r="Q120" s="49"/>
      <c r="R120" s="371"/>
      <c r="S120" s="371"/>
      <c r="T120" s="39"/>
      <c r="U120" s="39"/>
      <c r="V120" s="39"/>
      <c r="W120" s="39"/>
      <c r="X120" s="40"/>
      <c r="Y120" s="213"/>
      <c r="Z120" s="39"/>
      <c r="AA120" s="39"/>
      <c r="AB120" s="39"/>
      <c r="AC120" s="39"/>
      <c r="AD120" s="39">
        <f t="shared" si="148"/>
        <v>10</v>
      </c>
      <c r="AE120" s="230" t="s">
        <v>721</v>
      </c>
      <c r="AF120" s="35"/>
      <c r="AG120" s="35"/>
      <c r="AH120" s="35"/>
      <c r="AJ120" s="39"/>
      <c r="AK120" s="39">
        <v>10</v>
      </c>
      <c r="AL120" s="39"/>
      <c r="AM120" s="39">
        <f t="shared" ref="AM120" si="152">SUM(AF120:AL120)+AT120+AV120+AX120</f>
        <v>10</v>
      </c>
      <c r="AN120" s="39"/>
      <c r="AO120" s="39"/>
      <c r="AP120" s="39"/>
      <c r="AQ120" s="39"/>
      <c r="AR120" s="39">
        <f t="shared" si="150"/>
        <v>0</v>
      </c>
      <c r="AS120" s="39"/>
      <c r="AT120" s="39"/>
      <c r="AU120" s="39"/>
      <c r="AV120" s="39"/>
      <c r="AW120" s="39"/>
      <c r="AX120" s="39"/>
      <c r="AY120" s="39"/>
      <c r="AZ120" s="39"/>
      <c r="BA120" s="39">
        <f t="shared" si="151"/>
        <v>0</v>
      </c>
      <c r="BB120" s="35"/>
      <c r="BC120" s="486"/>
      <c r="BD120" s="486"/>
      <c r="BE120" s="35"/>
      <c r="BF120" s="486"/>
    </row>
    <row r="121" spans="1:58" ht="12.95" customHeight="1">
      <c r="A121" s="42"/>
      <c r="B121" s="554"/>
      <c r="C121" s="555"/>
      <c r="D121" s="554"/>
      <c r="E121" s="44"/>
      <c r="F121" s="44"/>
      <c r="G121" s="556"/>
      <c r="H121" s="557"/>
      <c r="I121" s="47"/>
      <c r="J121" s="86"/>
      <c r="K121" s="86"/>
      <c r="L121" s="558"/>
      <c r="M121" s="558"/>
      <c r="N121" s="48"/>
      <c r="O121" s="49"/>
      <c r="P121" s="50"/>
      <c r="Q121" s="49"/>
      <c r="R121" s="559"/>
      <c r="S121" s="559"/>
      <c r="T121" s="39"/>
      <c r="U121" s="39"/>
      <c r="V121" s="39"/>
      <c r="W121" s="39"/>
      <c r="X121" s="370"/>
      <c r="Y121" s="213"/>
      <c r="Z121" s="39"/>
      <c r="AA121" s="39"/>
      <c r="AB121" s="39"/>
      <c r="AC121" s="39"/>
      <c r="AD121" s="39"/>
      <c r="AE121" s="230"/>
      <c r="AF121" s="39"/>
      <c r="AG121" s="39"/>
      <c r="AH121" s="39"/>
      <c r="AI121" s="485"/>
      <c r="AJ121" s="39"/>
      <c r="AK121" s="39"/>
      <c r="AL121" s="39"/>
      <c r="AM121" s="39"/>
      <c r="AN121" s="87"/>
      <c r="AO121" s="39"/>
      <c r="AP121" s="39"/>
      <c r="AQ121" s="39"/>
      <c r="AR121" s="39"/>
      <c r="AS121" s="39"/>
      <c r="AT121" s="39"/>
      <c r="AU121" s="39"/>
      <c r="AV121" s="39"/>
      <c r="AW121" s="39"/>
      <c r="AX121" s="39"/>
      <c r="AY121" s="39"/>
      <c r="AZ121" s="39"/>
      <c r="BA121" s="39"/>
      <c r="BB121" s="52"/>
      <c r="BC121" s="53"/>
      <c r="BD121" s="53"/>
      <c r="BE121" s="53"/>
      <c r="BF121" s="53"/>
    </row>
    <row r="122" spans="1:58" ht="12" customHeight="1">
      <c r="A122" s="42">
        <v>45956</v>
      </c>
      <c r="B122" s="43" t="s">
        <v>460</v>
      </c>
      <c r="C122" s="402">
        <f t="shared" ref="C122" si="153">(M122*E122*O122*Q122)/100000000</f>
        <v>28.841566016249999</v>
      </c>
      <c r="D122" s="43" t="s">
        <v>462</v>
      </c>
      <c r="E122" s="44">
        <v>13</v>
      </c>
      <c r="F122" s="44">
        <v>1</v>
      </c>
      <c r="G122" s="606">
        <f>+L122</f>
        <v>799.0625</v>
      </c>
      <c r="H122" s="607">
        <f t="shared" ref="H122" si="154">+N122</f>
        <v>0.24829943944726895</v>
      </c>
      <c r="I122" s="47">
        <v>0.88</v>
      </c>
      <c r="J122" s="86">
        <f t="shared" ref="J122" si="155">E122*G122*(1-H122)*1440/1000000*2.74</f>
        <v>30.809314185000002</v>
      </c>
      <c r="K122" s="86">
        <f t="shared" ref="K122" si="156">(IF(G122&lt;L122,L122,G122)*(1-IF(H122&lt;N122,H122,N122))*E122*O122*Q122)/100000000</f>
        <v>28.841566016249999</v>
      </c>
      <c r="L122" s="37">
        <v>799.0625</v>
      </c>
      <c r="M122" s="37">
        <v>600.65572916666667</v>
      </c>
      <c r="N122" s="48">
        <f t="shared" ref="N122" si="157">1-(M122/L122)</f>
        <v>0.24829943944726895</v>
      </c>
      <c r="O122" s="49">
        <f>+'Trim Rwd'!H75</f>
        <v>256.5</v>
      </c>
      <c r="P122" s="50">
        <f t="shared" ref="P122" si="158">O122*(Q122-R122-S122)</f>
        <v>349353</v>
      </c>
      <c r="Q122" s="49">
        <v>1440</v>
      </c>
      <c r="R122" s="371">
        <v>0</v>
      </c>
      <c r="S122" s="371">
        <v>78</v>
      </c>
      <c r="T122" s="39">
        <f t="shared" ref="T122" si="159">E122*M122*O122*Q122/100000000</f>
        <v>28.841566016249999</v>
      </c>
      <c r="U122" s="39">
        <f t="shared" ref="U122" si="160">E122*M122*O122*(Q122-R122-S122)/100000000</f>
        <v>27.279314523703121</v>
      </c>
      <c r="V122" s="39">
        <f t="shared" ref="V122" si="161">E122*G122*(1-N122)*O122/100*(R122+S122)/1000000</f>
        <v>1.5622514925468749</v>
      </c>
      <c r="W122" s="39">
        <f>+'26'!K16/1000</f>
        <v>24.103000000000002</v>
      </c>
      <c r="X122" s="370">
        <f>SUM(W122:W125)/SUM(K122:K125)</f>
        <v>0.83570358095048725</v>
      </c>
      <c r="Y122" s="39">
        <f>+SUM(RBP!AG73:AG74)</f>
        <v>0</v>
      </c>
      <c r="Z122" s="39">
        <f>+'17'!D73/1000</f>
        <v>0</v>
      </c>
      <c r="AA122" s="51">
        <f>SUM(U122:U125)-SUM(W122:W125)-SUM(Z122:Z125)-SUM(Y122:Y125)</f>
        <v>3.1763145237031196</v>
      </c>
      <c r="AB122" s="51">
        <f>(SUM(K122:K125)-SUM(W122:W125)-SUM(Y122:Y125)-SUM(Z122:Z125)-SUM(AC122:AC125)-SUM(V122:V125))-AA122</f>
        <v>0</v>
      </c>
      <c r="AC122" s="39">
        <f>K122-T122</f>
        <v>0</v>
      </c>
      <c r="AD122" s="39">
        <f>+AM122+BA122</f>
        <v>29</v>
      </c>
      <c r="AE122" s="230" t="s">
        <v>722</v>
      </c>
      <c r="AF122" s="39">
        <v>29</v>
      </c>
      <c r="AG122" s="39"/>
      <c r="AH122" s="39"/>
      <c r="AI122" s="485"/>
      <c r="AJ122" s="39"/>
      <c r="AK122" s="39"/>
      <c r="AL122" s="39"/>
      <c r="AM122" s="39">
        <f>SUM(AF122:AL122)+AT122+AV122+AX122</f>
        <v>29</v>
      </c>
      <c r="AN122" s="39"/>
      <c r="AO122" s="39"/>
      <c r="AP122" s="39"/>
      <c r="AQ122" s="39"/>
      <c r="AR122" s="39">
        <f>SUM(AN122:AQ122)</f>
        <v>0</v>
      </c>
      <c r="AS122" s="39"/>
      <c r="AT122" s="39"/>
      <c r="AU122" s="39"/>
      <c r="AV122" s="39"/>
      <c r="AW122" s="39"/>
      <c r="AX122" s="39"/>
      <c r="AY122" s="39"/>
      <c r="AZ122" s="39"/>
      <c r="BA122" s="39">
        <f>+AR122+AS122+AU122+AW122+AY122+AZ122</f>
        <v>0</v>
      </c>
      <c r="BB122" s="35">
        <v>8</v>
      </c>
      <c r="BC122" s="53"/>
      <c r="BD122" s="53"/>
      <c r="BE122" s="35"/>
      <c r="BF122" s="53">
        <v>3</v>
      </c>
    </row>
    <row r="123" spans="1:58" ht="12.95" customHeight="1">
      <c r="A123" s="42"/>
      <c r="B123" s="43"/>
      <c r="C123" s="402"/>
      <c r="D123" s="43"/>
      <c r="E123" s="44"/>
      <c r="F123" s="44"/>
      <c r="G123" s="415"/>
      <c r="H123" s="557"/>
      <c r="I123" s="47"/>
      <c r="J123" s="86"/>
      <c r="K123" s="86"/>
      <c r="L123" s="37"/>
      <c r="M123" s="37"/>
      <c r="N123" s="48"/>
      <c r="O123" s="49"/>
      <c r="P123" s="50"/>
      <c r="Q123" s="49"/>
      <c r="R123" s="371"/>
      <c r="S123" s="371"/>
      <c r="T123" s="39"/>
      <c r="U123" s="39"/>
      <c r="V123" s="39"/>
      <c r="W123" s="39"/>
      <c r="X123" s="40"/>
      <c r="Y123" s="213"/>
      <c r="Z123" s="39"/>
      <c r="AA123" s="39"/>
      <c r="AB123" s="39"/>
      <c r="AC123" s="39"/>
      <c r="AD123" s="39">
        <f t="shared" ref="AD123:AD124" si="162">+AM123+BA123</f>
        <v>12</v>
      </c>
      <c r="AE123" s="230" t="s">
        <v>464</v>
      </c>
      <c r="AF123" s="39"/>
      <c r="AG123" s="39">
        <v>12</v>
      </c>
      <c r="AH123" s="39"/>
      <c r="AI123" s="485"/>
      <c r="AJ123" s="39"/>
      <c r="AK123" s="39"/>
      <c r="AL123" s="39"/>
      <c r="AM123" s="39">
        <f t="shared" ref="AM123:AM124" si="163">SUM(AF123:AL123)+AT123+AV123+AX123</f>
        <v>12</v>
      </c>
      <c r="AN123" s="87"/>
      <c r="AO123" s="39"/>
      <c r="AP123" s="39"/>
      <c r="AQ123" s="39"/>
      <c r="AR123" s="39">
        <f t="shared" ref="AR123:AR124" si="164">SUM(AN123:AQ123)</f>
        <v>0</v>
      </c>
      <c r="AS123" s="39"/>
      <c r="AT123" s="39"/>
      <c r="AU123" s="39"/>
      <c r="AV123" s="39"/>
      <c r="AW123" s="39"/>
      <c r="AX123" s="39"/>
      <c r="AY123" s="39"/>
      <c r="AZ123" s="39"/>
      <c r="BA123" s="39">
        <f t="shared" ref="BA123:BA124" si="165">+AR123+AS123+AU123+AW123+AY123+AZ123</f>
        <v>0</v>
      </c>
      <c r="BB123" s="52"/>
      <c r="BC123" s="53">
        <v>9</v>
      </c>
      <c r="BD123" s="53"/>
      <c r="BE123" s="52"/>
      <c r="BF123" s="53"/>
    </row>
    <row r="124" spans="1:58" ht="12.95" customHeight="1">
      <c r="A124" s="42"/>
      <c r="B124" s="43"/>
      <c r="C124" s="402"/>
      <c r="D124" s="43"/>
      <c r="E124" s="44"/>
      <c r="F124" s="44"/>
      <c r="G124" s="45"/>
      <c r="H124" s="46"/>
      <c r="I124" s="47"/>
      <c r="J124" s="86"/>
      <c r="K124" s="86"/>
      <c r="L124" s="37"/>
      <c r="M124" s="37"/>
      <c r="N124" s="48"/>
      <c r="O124" s="49"/>
      <c r="P124" s="50"/>
      <c r="Q124" s="49"/>
      <c r="R124" s="371"/>
      <c r="S124" s="371"/>
      <c r="T124" s="39"/>
      <c r="U124" s="39"/>
      <c r="V124" s="39"/>
      <c r="W124" s="39"/>
      <c r="X124" s="40"/>
      <c r="Y124" s="213"/>
      <c r="Z124" s="39"/>
      <c r="AA124" s="39"/>
      <c r="AB124" s="39"/>
      <c r="AC124" s="39"/>
      <c r="AD124" s="39">
        <f t="shared" si="162"/>
        <v>37</v>
      </c>
      <c r="AE124" s="230" t="s">
        <v>592</v>
      </c>
      <c r="AF124" s="35"/>
      <c r="AG124" s="35"/>
      <c r="AH124" s="35">
        <v>37</v>
      </c>
      <c r="AJ124" s="39"/>
      <c r="AK124" s="39"/>
      <c r="AL124" s="39"/>
      <c r="AM124" s="39">
        <f t="shared" si="163"/>
        <v>37</v>
      </c>
      <c r="AN124" s="39"/>
      <c r="AO124" s="39"/>
      <c r="AP124" s="39"/>
      <c r="AQ124" s="39"/>
      <c r="AR124" s="39">
        <f t="shared" si="164"/>
        <v>0</v>
      </c>
      <c r="AS124" s="39"/>
      <c r="AT124" s="39"/>
      <c r="AU124" s="39"/>
      <c r="AV124" s="39"/>
      <c r="AW124" s="39"/>
      <c r="AX124" s="39"/>
      <c r="AY124" s="39"/>
      <c r="AZ124" s="39"/>
      <c r="BA124" s="39">
        <f t="shared" si="165"/>
        <v>0</v>
      </c>
      <c r="BB124" s="35"/>
      <c r="BC124" s="486"/>
      <c r="BD124" s="486"/>
      <c r="BE124" s="35"/>
      <c r="BF124" s="486"/>
    </row>
    <row r="125" spans="1:58" ht="12.95" customHeight="1">
      <c r="A125" s="42"/>
      <c r="B125" s="43"/>
      <c r="C125" s="402"/>
      <c r="D125" s="43"/>
      <c r="E125" s="44"/>
      <c r="F125" s="44"/>
      <c r="G125" s="45"/>
      <c r="H125" s="46"/>
      <c r="I125" s="47"/>
      <c r="J125" s="86"/>
      <c r="K125" s="86"/>
      <c r="L125" s="37"/>
      <c r="M125" s="37"/>
      <c r="N125" s="48"/>
      <c r="O125" s="49"/>
      <c r="P125" s="50"/>
      <c r="Q125" s="49"/>
      <c r="R125" s="371"/>
      <c r="S125" s="371"/>
      <c r="T125" s="39"/>
      <c r="U125" s="39"/>
      <c r="V125" s="39"/>
      <c r="W125" s="39"/>
      <c r="X125" s="40"/>
      <c r="Y125" s="213"/>
      <c r="Z125" s="39"/>
      <c r="AA125" s="39"/>
      <c r="AB125" s="39"/>
      <c r="AC125" s="39"/>
      <c r="AD125" s="39"/>
      <c r="AE125" s="230"/>
      <c r="AF125" s="35"/>
      <c r="AG125" s="35"/>
      <c r="AH125" s="35"/>
      <c r="AJ125" s="39"/>
      <c r="AK125" s="39"/>
      <c r="AL125" s="39"/>
      <c r="AM125" s="39"/>
      <c r="AN125" s="39"/>
      <c r="AO125" s="39"/>
      <c r="AP125" s="39"/>
      <c r="AQ125" s="39"/>
      <c r="AR125" s="39"/>
      <c r="AS125" s="39"/>
      <c r="AT125" s="39"/>
      <c r="AU125" s="39"/>
      <c r="AV125" s="39"/>
      <c r="AW125" s="39"/>
      <c r="AX125" s="39"/>
      <c r="AY125" s="39"/>
      <c r="AZ125" s="39"/>
      <c r="BA125" s="39"/>
      <c r="BB125" s="35"/>
      <c r="BC125" s="486"/>
      <c r="BD125" s="486"/>
      <c r="BE125" s="35"/>
      <c r="BF125" s="486"/>
    </row>
    <row r="126" spans="1:58" ht="12" customHeight="1">
      <c r="A126" s="42">
        <v>45957</v>
      </c>
      <c r="B126" s="43" t="s">
        <v>460</v>
      </c>
      <c r="C126" s="402">
        <f t="shared" ref="C126" si="166">(M126*E126*O126*Q126)/100000000</f>
        <v>47.656435475249999</v>
      </c>
      <c r="D126" s="43" t="s">
        <v>462</v>
      </c>
      <c r="E126" s="44">
        <v>13</v>
      </c>
      <c r="F126" s="44">
        <v>1</v>
      </c>
      <c r="G126" s="415">
        <v>1350</v>
      </c>
      <c r="H126" s="557">
        <f t="shared" ref="H126" si="167">+N126</f>
        <v>0.23000000000000009</v>
      </c>
      <c r="I126" s="47">
        <v>0.88</v>
      </c>
      <c r="J126" s="86">
        <f t="shared" ref="J126" si="168">E126*G126*(1-H126)*1440/1000000*2.74</f>
        <v>53.318865599999995</v>
      </c>
      <c r="K126" s="86">
        <f t="shared" ref="K126" si="169">(IF(G126&lt;L126,L126,G126)*(1-IF(H126&lt;N126,H126,N126))*E126*O126*Q126)/100000000</f>
        <v>49.077592199999991</v>
      </c>
      <c r="L126" s="37">
        <v>1310.9075854700855</v>
      </c>
      <c r="M126" s="37">
        <v>1009.3988408119657</v>
      </c>
      <c r="N126" s="48">
        <f t="shared" ref="N126" si="170">1-(M126/L126)</f>
        <v>0.23000000000000009</v>
      </c>
      <c r="O126" s="49">
        <f>+'Trim Rwd'!H77</f>
        <v>252.20454545454547</v>
      </c>
      <c r="P126" s="50">
        <f t="shared" ref="P126" si="171">O126*(Q126-R126-S126)</f>
        <v>265066.97727272729</v>
      </c>
      <c r="Q126" s="49">
        <v>1440</v>
      </c>
      <c r="R126" s="371">
        <f>150+135</f>
        <v>285</v>
      </c>
      <c r="S126" s="371">
        <v>104</v>
      </c>
      <c r="T126" s="39">
        <f t="shared" ref="T126" si="172">E126*M126*O126*Q126/100000000</f>
        <v>47.656435475249999</v>
      </c>
      <c r="U126" s="39">
        <f t="shared" ref="U126" si="173">E126*M126*O126*(Q126-R126-S126)/100000000</f>
        <v>34.782578947560935</v>
      </c>
      <c r="V126" s="39">
        <f t="shared" ref="V126" si="174">E126*G126*(1-N126)*O126/100*(R126+S126)/1000000</f>
        <v>13.257766226249998</v>
      </c>
      <c r="W126" s="39">
        <f>+'27'!K19/1000</f>
        <v>27.523</v>
      </c>
      <c r="X126" s="370">
        <f>SUM(W126:W129)/SUM(K126:K129)</f>
        <v>0.56080583350215796</v>
      </c>
      <c r="Y126" s="39">
        <f>+SUM(RBP!AG77:AG78)</f>
        <v>0</v>
      </c>
      <c r="Z126" s="39">
        <f>+'27'!D7/1000</f>
        <v>1.3</v>
      </c>
      <c r="AA126" s="51">
        <f>SUM(U126:U129)-SUM(W126:W129)-SUM(Z126:Z129)-SUM(Y126:Y129)</f>
        <v>5.959578947560936</v>
      </c>
      <c r="AB126" s="51">
        <f>(SUM(K126:K129)-SUM(W126:W129)-SUM(Y126:Y129)-SUM(Z126:Z129)-SUM(AC126:AC129)-SUM(V126:V129))-AA126</f>
        <v>-0.38390969856093538</v>
      </c>
      <c r="AC126" s="39">
        <f>K126-T126</f>
        <v>1.4211567247499914</v>
      </c>
      <c r="AD126" s="39">
        <f>+AM126+BA126</f>
        <v>25</v>
      </c>
      <c r="AE126" s="230" t="s">
        <v>506</v>
      </c>
      <c r="AF126" s="39">
        <v>25</v>
      </c>
      <c r="AG126" s="39"/>
      <c r="AH126" s="39"/>
      <c r="AI126" s="485"/>
      <c r="AJ126" s="39"/>
      <c r="AK126" s="39"/>
      <c r="AL126" s="39"/>
      <c r="AM126" s="39">
        <f>SUM(AF126:AL126)+AT126+AV126+AX126</f>
        <v>25</v>
      </c>
      <c r="AN126" s="39"/>
      <c r="AO126" s="39"/>
      <c r="AP126" s="39"/>
      <c r="AQ126" s="39"/>
      <c r="AR126" s="39">
        <f>SUM(AN126:AQ126)</f>
        <v>0</v>
      </c>
      <c r="AS126" s="39"/>
      <c r="AT126" s="39"/>
      <c r="AU126" s="39"/>
      <c r="AV126" s="39"/>
      <c r="AW126" s="39"/>
      <c r="AX126" s="39"/>
      <c r="AY126" s="39"/>
      <c r="AZ126" s="39"/>
      <c r="BA126" s="39">
        <f>+AR126+AS126+AU126+AW126+AY126+AZ126</f>
        <v>0</v>
      </c>
      <c r="BB126" s="35">
        <v>5</v>
      </c>
      <c r="BC126" s="53"/>
      <c r="BD126" s="53"/>
      <c r="BE126" s="35"/>
      <c r="BF126" s="53"/>
    </row>
    <row r="127" spans="1:58" ht="12.95" customHeight="1">
      <c r="A127" s="42"/>
      <c r="B127" s="43"/>
      <c r="C127" s="402"/>
      <c r="D127" s="43"/>
      <c r="E127" s="44"/>
      <c r="F127" s="44"/>
      <c r="G127" s="415"/>
      <c r="H127" s="557"/>
      <c r="I127" s="47"/>
      <c r="J127" s="86"/>
      <c r="K127" s="86"/>
      <c r="L127" s="37"/>
      <c r="M127" s="37"/>
      <c r="N127" s="48"/>
      <c r="O127" s="49"/>
      <c r="P127" s="50"/>
      <c r="Q127" s="49"/>
      <c r="R127" s="371"/>
      <c r="S127" s="371"/>
      <c r="T127" s="39"/>
      <c r="U127" s="39"/>
      <c r="V127" s="39"/>
      <c r="W127" s="39"/>
      <c r="X127" s="40"/>
      <c r="Y127" s="213"/>
      <c r="Z127" s="39"/>
      <c r="AA127" s="39"/>
      <c r="AB127" s="39"/>
      <c r="AC127" s="39"/>
      <c r="AD127" s="39">
        <f t="shared" ref="AD127:AD130" si="175">+AM127+BA127</f>
        <v>18</v>
      </c>
      <c r="AE127" s="230" t="s">
        <v>482</v>
      </c>
      <c r="AF127" s="39"/>
      <c r="AG127" s="39">
        <v>18</v>
      </c>
      <c r="AH127" s="39"/>
      <c r="AI127" s="39"/>
      <c r="AJ127" s="39"/>
      <c r="AK127" s="39"/>
      <c r="AL127" s="39"/>
      <c r="AM127" s="39">
        <f t="shared" ref="AM127:AM128" si="176">SUM(AF127:AL127)+AT127+AV127+AX127</f>
        <v>18</v>
      </c>
      <c r="AN127" s="87"/>
      <c r="AO127" s="39"/>
      <c r="AP127" s="39"/>
      <c r="AQ127" s="39"/>
      <c r="AR127" s="39">
        <f t="shared" ref="AR127:AR128" si="177">SUM(AN127:AQ127)</f>
        <v>0</v>
      </c>
      <c r="AS127" s="39"/>
      <c r="AT127" s="39"/>
      <c r="AU127" s="39"/>
      <c r="AV127" s="39"/>
      <c r="AW127" s="39"/>
      <c r="AX127" s="39"/>
      <c r="AY127" s="39"/>
      <c r="AZ127" s="39"/>
      <c r="BA127" s="39">
        <f t="shared" ref="BA127:BA130" si="178">+AR127+AS127+AU127+AW127+AY127+AZ127</f>
        <v>0</v>
      </c>
      <c r="BB127" s="52"/>
      <c r="BC127" s="53">
        <v>6</v>
      </c>
      <c r="BD127" s="53"/>
      <c r="BE127" s="52"/>
      <c r="BF127" s="53"/>
    </row>
    <row r="128" spans="1:58" ht="12.95" customHeight="1">
      <c r="A128" s="42"/>
      <c r="B128" s="43"/>
      <c r="C128" s="402"/>
      <c r="D128" s="43"/>
      <c r="E128" s="44"/>
      <c r="F128" s="44"/>
      <c r="G128" s="45"/>
      <c r="H128" s="46"/>
      <c r="I128" s="47"/>
      <c r="J128" s="86"/>
      <c r="K128" s="86"/>
      <c r="L128" s="37"/>
      <c r="M128" s="37"/>
      <c r="N128" s="48"/>
      <c r="O128" s="49"/>
      <c r="P128" s="50"/>
      <c r="Q128" s="49"/>
      <c r="R128" s="371"/>
      <c r="S128" s="371"/>
      <c r="T128" s="39"/>
      <c r="U128" s="39"/>
      <c r="V128" s="39"/>
      <c r="W128" s="39"/>
      <c r="X128" s="40"/>
      <c r="Y128" s="213"/>
      <c r="Z128" s="39"/>
      <c r="AA128" s="39"/>
      <c r="AB128" s="39"/>
      <c r="AC128" s="39"/>
      <c r="AD128" s="39">
        <f t="shared" si="175"/>
        <v>61</v>
      </c>
      <c r="AE128" s="230" t="s">
        <v>738</v>
      </c>
      <c r="AF128" s="35"/>
      <c r="AG128" s="35"/>
      <c r="AH128" s="35">
        <v>61</v>
      </c>
      <c r="AI128" s="35"/>
      <c r="AJ128" s="39"/>
      <c r="AK128" s="39"/>
      <c r="AL128" s="39"/>
      <c r="AM128" s="39">
        <f t="shared" si="176"/>
        <v>61</v>
      </c>
      <c r="AN128" s="39"/>
      <c r="AO128" s="39"/>
      <c r="AP128" s="39"/>
      <c r="AQ128" s="39"/>
      <c r="AR128" s="39">
        <f t="shared" si="177"/>
        <v>0</v>
      </c>
      <c r="AS128" s="39"/>
      <c r="AT128" s="39"/>
      <c r="AU128" s="39"/>
      <c r="AV128" s="39"/>
      <c r="AW128" s="39"/>
      <c r="AX128" s="39"/>
      <c r="AY128" s="39"/>
      <c r="AZ128" s="39"/>
      <c r="BA128" s="39">
        <f t="shared" si="178"/>
        <v>0</v>
      </c>
      <c r="BB128" s="35"/>
      <c r="BC128" s="486"/>
      <c r="BD128" s="486"/>
      <c r="BE128" s="35"/>
      <c r="BF128" s="486"/>
    </row>
    <row r="129" spans="1:58" ht="12.95" customHeight="1">
      <c r="A129" s="42"/>
      <c r="B129" s="43"/>
      <c r="C129" s="402"/>
      <c r="D129" s="43"/>
      <c r="E129" s="44"/>
      <c r="F129" s="44"/>
      <c r="G129" s="45"/>
      <c r="H129" s="46"/>
      <c r="I129" s="47"/>
      <c r="J129" s="86"/>
      <c r="K129" s="86"/>
      <c r="L129" s="37"/>
      <c r="M129" s="37"/>
      <c r="N129" s="48"/>
      <c r="O129" s="49"/>
      <c r="P129" s="50"/>
      <c r="Q129" s="49"/>
      <c r="R129" s="371"/>
      <c r="S129" s="371"/>
      <c r="T129" s="39"/>
      <c r="U129" s="39"/>
      <c r="V129" s="39"/>
      <c r="W129" s="39"/>
      <c r="X129" s="40"/>
      <c r="Y129" s="213"/>
      <c r="Z129" s="39"/>
      <c r="AA129" s="39"/>
      <c r="AB129" s="39"/>
      <c r="AC129" s="39"/>
      <c r="AD129" s="39">
        <f t="shared" si="175"/>
        <v>150</v>
      </c>
      <c r="AE129" s="230" t="s">
        <v>739</v>
      </c>
      <c r="AF129" s="35"/>
      <c r="AG129" s="35"/>
      <c r="AH129" s="35"/>
      <c r="AI129" s="35"/>
      <c r="AJ129" s="39"/>
      <c r="AK129" s="39"/>
      <c r="AL129" s="39"/>
      <c r="AM129" s="39">
        <f t="shared" ref="AM129:AM130" si="179">SUM(AF129:AL129)+AT129+AV129+AX129</f>
        <v>0</v>
      </c>
      <c r="AN129" s="39">
        <v>150</v>
      </c>
      <c r="AO129" s="39"/>
      <c r="AP129" s="39"/>
      <c r="AQ129" s="39"/>
      <c r="AR129" s="39">
        <f t="shared" ref="AR129:AR130" si="180">SUM(AN129:AQ129)</f>
        <v>150</v>
      </c>
      <c r="AS129" s="39"/>
      <c r="AT129" s="39"/>
      <c r="AU129" s="39"/>
      <c r="AV129" s="39"/>
      <c r="AW129" s="39"/>
      <c r="AX129" s="39"/>
      <c r="AY129" s="39"/>
      <c r="AZ129" s="39"/>
      <c r="BA129" s="39">
        <f t="shared" si="178"/>
        <v>150</v>
      </c>
      <c r="BB129" s="35"/>
      <c r="BC129" s="486"/>
      <c r="BD129" s="486"/>
      <c r="BE129" s="35"/>
      <c r="BF129" s="486">
        <v>3</v>
      </c>
    </row>
    <row r="130" spans="1:58" ht="12.95" customHeight="1">
      <c r="A130" s="42"/>
      <c r="B130" s="43"/>
      <c r="C130" s="402"/>
      <c r="D130" s="43"/>
      <c r="E130" s="44"/>
      <c r="F130" s="44"/>
      <c r="G130" s="45"/>
      <c r="H130" s="46"/>
      <c r="I130" s="47"/>
      <c r="J130" s="86"/>
      <c r="K130" s="86"/>
      <c r="L130" s="37"/>
      <c r="M130" s="37"/>
      <c r="N130" s="48"/>
      <c r="O130" s="49"/>
      <c r="P130" s="50"/>
      <c r="Q130" s="49"/>
      <c r="R130" s="371"/>
      <c r="S130" s="371"/>
      <c r="T130" s="39"/>
      <c r="U130" s="39"/>
      <c r="V130" s="39"/>
      <c r="W130" s="39"/>
      <c r="X130" s="40"/>
      <c r="Y130" s="213"/>
      <c r="Z130" s="39"/>
      <c r="AA130" s="39"/>
      <c r="AB130" s="39"/>
      <c r="AC130" s="39"/>
      <c r="AD130" s="39">
        <f t="shared" si="175"/>
        <v>135</v>
      </c>
      <c r="AE130" s="230" t="s">
        <v>740</v>
      </c>
      <c r="AF130" s="35"/>
      <c r="AG130" s="35"/>
      <c r="AH130" s="35"/>
      <c r="AI130" s="35"/>
      <c r="AJ130" s="39"/>
      <c r="AK130" s="39"/>
      <c r="AL130" s="39"/>
      <c r="AM130" s="39">
        <f t="shared" si="179"/>
        <v>0</v>
      </c>
      <c r="AN130" s="39"/>
      <c r="AO130" s="39">
        <v>135</v>
      </c>
      <c r="AP130" s="39"/>
      <c r="AQ130" s="39"/>
      <c r="AR130" s="39">
        <f t="shared" si="180"/>
        <v>135</v>
      </c>
      <c r="AS130" s="39"/>
      <c r="AT130" s="39"/>
      <c r="AU130" s="39"/>
      <c r="AV130" s="39"/>
      <c r="AW130" s="39"/>
      <c r="AX130" s="39"/>
      <c r="AY130" s="39"/>
      <c r="AZ130" s="39"/>
      <c r="BA130" s="39">
        <f t="shared" si="178"/>
        <v>135</v>
      </c>
      <c r="BB130" s="35"/>
      <c r="BC130" s="486"/>
      <c r="BD130" s="486"/>
      <c r="BE130" s="35"/>
      <c r="BF130" s="486"/>
    </row>
    <row r="131" spans="1:58" ht="12.95" customHeight="1">
      <c r="A131" s="42"/>
      <c r="B131" s="43"/>
      <c r="C131" s="402"/>
      <c r="D131" s="43"/>
      <c r="E131" s="44"/>
      <c r="F131" s="44"/>
      <c r="G131" s="45"/>
      <c r="H131" s="557"/>
      <c r="I131" s="47"/>
      <c r="J131" s="86"/>
      <c r="K131" s="86"/>
      <c r="L131" s="37"/>
      <c r="M131" s="37"/>
      <c r="N131" s="48"/>
      <c r="O131" s="49"/>
      <c r="P131" s="50"/>
      <c r="Q131" s="49"/>
      <c r="R131" s="371"/>
      <c r="S131" s="371"/>
      <c r="T131" s="39"/>
      <c r="U131" s="39"/>
      <c r="V131" s="39"/>
      <c r="W131" s="39"/>
      <c r="X131" s="40"/>
      <c r="Y131" s="213"/>
      <c r="Z131" s="39"/>
      <c r="AA131" s="39"/>
      <c r="AB131" s="39"/>
      <c r="AC131" s="39"/>
      <c r="AD131" s="39"/>
      <c r="AE131" s="22"/>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5"/>
      <c r="BC131" s="53"/>
      <c r="BD131" s="53"/>
      <c r="BE131" s="53"/>
      <c r="BF131" s="53"/>
    </row>
    <row r="132" spans="1:58" ht="12" customHeight="1">
      <c r="A132" s="42">
        <v>45958</v>
      </c>
      <c r="B132" s="43" t="s">
        <v>460</v>
      </c>
      <c r="C132" s="402">
        <f t="shared" ref="C132" si="181">(M132*E132*O132*Q132)/100000000</f>
        <v>47.443063960975607</v>
      </c>
      <c r="D132" s="43" t="s">
        <v>462</v>
      </c>
      <c r="E132" s="44">
        <v>13</v>
      </c>
      <c r="F132" s="44">
        <v>1</v>
      </c>
      <c r="G132" s="415">
        <v>1350</v>
      </c>
      <c r="H132" s="557">
        <f t="shared" ref="H132" si="182">+N132</f>
        <v>0.23000000000000009</v>
      </c>
      <c r="I132" s="47">
        <v>0.88</v>
      </c>
      <c r="J132" s="86">
        <f t="shared" ref="J132" si="183">E132*G132*(1-H132)*1440/1000000*2.74</f>
        <v>53.318865599999995</v>
      </c>
      <c r="K132" s="86">
        <f t="shared" ref="K132" si="184">(IF(G132&lt;L132,L132,G132)*(1-IF(H132&lt;N132,H132,N132))*E132*O132*Q132)/100000000</f>
        <v>49.016430878048766</v>
      </c>
      <c r="L132" s="37">
        <v>1306.6666666666667</v>
      </c>
      <c r="M132" s="37">
        <v>1006.1333333333333</v>
      </c>
      <c r="N132" s="48">
        <f t="shared" ref="N132" si="185">1-(M132/L132)</f>
        <v>0.23000000000000009</v>
      </c>
      <c r="O132" s="49">
        <f>+'Trim Rwd'!H80</f>
        <v>251.89024390243901</v>
      </c>
      <c r="P132" s="50">
        <f t="shared" ref="P132" si="186">O132*(Q132-R132-S132)</f>
        <v>349371.76829268289</v>
      </c>
      <c r="Q132" s="49">
        <v>1440</v>
      </c>
      <c r="R132" s="371">
        <v>0</v>
      </c>
      <c r="S132" s="371">
        <v>53</v>
      </c>
      <c r="T132" s="39">
        <f t="shared" ref="T132" si="187">E132*M132*O132*Q132/100000000</f>
        <v>47.443063960975607</v>
      </c>
      <c r="U132" s="39">
        <f t="shared" ref="U132" si="188">E132*M132*O132*(Q132-R132-S132)/100000000</f>
        <v>45.696895634634139</v>
      </c>
      <c r="V132" s="39">
        <f t="shared" ref="V132" si="189">E132*G132*(1-N132)*O132/100*(R132+S132)/1000000</f>
        <v>1.8040769698170729</v>
      </c>
      <c r="W132" s="39">
        <f>+'28'!K19/1000</f>
        <v>50.752000000000002</v>
      </c>
      <c r="X132" s="370">
        <f>SUM(W132:W135)/SUM(K132:K135)</f>
        <v>1.0354079048772293</v>
      </c>
      <c r="Y132" s="39">
        <f>+SUM(RBP!AG83:AG84)</f>
        <v>0</v>
      </c>
      <c r="Z132" s="39">
        <f>+'28'!D25/1000</f>
        <v>0.6</v>
      </c>
      <c r="AA132" s="51">
        <f>SUM(U132:U135)-SUM(W132:W135)-SUM(Z132:Z135)-SUM(Y132:Y135)</f>
        <v>-5.6551043653658635</v>
      </c>
      <c r="AB132" s="51">
        <f>(SUM(K132:K135)-SUM(W132:W135)-SUM(Y132:Y135)-SUM(Z132:Z135)-SUM(AC132:AC135)-SUM(V132:V135))-AA132</f>
        <v>-5.7908643475604649E-2</v>
      </c>
      <c r="AC132" s="39">
        <f>K132-T132</f>
        <v>1.5733669170731588</v>
      </c>
      <c r="AD132" s="39">
        <f>+AM132+BA132</f>
        <v>0</v>
      </c>
      <c r="AE132" s="230" t="s">
        <v>418</v>
      </c>
      <c r="AF132" s="39">
        <v>0</v>
      </c>
      <c r="AG132" s="39"/>
      <c r="AH132" s="39"/>
      <c r="AI132" s="485"/>
      <c r="AJ132" s="39"/>
      <c r="AK132" s="39"/>
      <c r="AL132" s="39"/>
      <c r="AM132" s="39">
        <f>SUM(AF132:AL132)+AT132+AV132+AX132</f>
        <v>0</v>
      </c>
      <c r="AN132" s="39"/>
      <c r="AO132" s="39"/>
      <c r="AP132" s="39"/>
      <c r="AQ132" s="39"/>
      <c r="AR132" s="39">
        <f>SUM(AN132:AQ132)</f>
        <v>0</v>
      </c>
      <c r="AS132" s="39"/>
      <c r="AT132" s="39"/>
      <c r="AU132" s="39"/>
      <c r="AV132" s="39"/>
      <c r="AW132" s="39"/>
      <c r="AX132" s="39"/>
      <c r="AY132" s="39"/>
      <c r="AZ132" s="39"/>
      <c r="BA132" s="39">
        <f>+AR132+AS132+AU132+AW132+AY132+AZ132</f>
        <v>0</v>
      </c>
      <c r="BB132" s="35">
        <v>0</v>
      </c>
      <c r="BC132" s="53"/>
      <c r="BD132" s="53"/>
      <c r="BE132" s="35"/>
      <c r="BF132" s="53"/>
    </row>
    <row r="133" spans="1:58" ht="12.95" customHeight="1">
      <c r="A133" s="42"/>
      <c r="B133" s="43"/>
      <c r="C133" s="402"/>
      <c r="D133" s="43"/>
      <c r="E133" s="44"/>
      <c r="F133" s="44"/>
      <c r="G133" s="415"/>
      <c r="H133" s="557"/>
      <c r="I133" s="47"/>
      <c r="J133" s="86"/>
      <c r="K133" s="86"/>
      <c r="L133" s="37"/>
      <c r="M133" s="37"/>
      <c r="N133" s="48"/>
      <c r="O133" s="49"/>
      <c r="P133" s="50"/>
      <c r="Q133" s="49"/>
      <c r="R133" s="371"/>
      <c r="S133" s="371"/>
      <c r="T133" s="39"/>
      <c r="U133" s="39"/>
      <c r="V133" s="39"/>
      <c r="W133" s="39"/>
      <c r="X133" s="40"/>
      <c r="Y133" s="213"/>
      <c r="Z133" s="39"/>
      <c r="AA133" s="39"/>
      <c r="AB133" s="39"/>
      <c r="AC133" s="39"/>
      <c r="AD133" s="39">
        <f t="shared" ref="AD133:AD134" si="190">+AM133+BA133</f>
        <v>19</v>
      </c>
      <c r="AE133" s="230" t="s">
        <v>512</v>
      </c>
      <c r="AF133" s="39"/>
      <c r="AG133" s="39">
        <v>19</v>
      </c>
      <c r="AH133" s="39"/>
      <c r="AI133" s="39"/>
      <c r="AJ133" s="39"/>
      <c r="AK133" s="39"/>
      <c r="AL133" s="39"/>
      <c r="AM133" s="39">
        <f t="shared" ref="AM133:AM134" si="191">SUM(AF133:AL133)+AT133+AV133+AX133</f>
        <v>19</v>
      </c>
      <c r="AN133" s="87"/>
      <c r="AO133" s="39"/>
      <c r="AP133" s="39"/>
      <c r="AQ133" s="39"/>
      <c r="AR133" s="39">
        <f t="shared" ref="AR133:AR134" si="192">SUM(AN133:AQ133)</f>
        <v>0</v>
      </c>
      <c r="AS133" s="39"/>
      <c r="AT133" s="39"/>
      <c r="AU133" s="39"/>
      <c r="AV133" s="39"/>
      <c r="AW133" s="39"/>
      <c r="AX133" s="39"/>
      <c r="AY133" s="39"/>
      <c r="AZ133" s="39"/>
      <c r="BA133" s="39">
        <f t="shared" ref="BA133:BA134" si="193">+AR133+AS133+AU133+AW133+AY133+AZ133</f>
        <v>0</v>
      </c>
      <c r="BB133" s="52"/>
      <c r="BC133" s="53">
        <v>12</v>
      </c>
      <c r="BD133" s="53"/>
      <c r="BE133" s="52"/>
      <c r="BF133" s="53"/>
    </row>
    <row r="134" spans="1:58" ht="12.95" customHeight="1">
      <c r="A134" s="42"/>
      <c r="B134" s="43"/>
      <c r="C134" s="402"/>
      <c r="D134" s="43"/>
      <c r="E134" s="44"/>
      <c r="F134" s="44"/>
      <c r="G134" s="45"/>
      <c r="H134" s="46"/>
      <c r="I134" s="47"/>
      <c r="J134" s="86"/>
      <c r="K134" s="86"/>
      <c r="L134" s="37"/>
      <c r="M134" s="37"/>
      <c r="N134" s="48"/>
      <c r="O134" s="49"/>
      <c r="P134" s="50"/>
      <c r="Q134" s="49"/>
      <c r="R134" s="371"/>
      <c r="S134" s="371"/>
      <c r="T134" s="39"/>
      <c r="U134" s="39"/>
      <c r="V134" s="39"/>
      <c r="W134" s="39"/>
      <c r="X134" s="40"/>
      <c r="Y134" s="213"/>
      <c r="Z134" s="39"/>
      <c r="AA134" s="39"/>
      <c r="AB134" s="39"/>
      <c r="AC134" s="39"/>
      <c r="AD134" s="39">
        <f t="shared" si="190"/>
        <v>34</v>
      </c>
      <c r="AE134" s="230" t="s">
        <v>754</v>
      </c>
      <c r="AF134" s="35"/>
      <c r="AG134" s="35"/>
      <c r="AH134" s="35">
        <v>34</v>
      </c>
      <c r="AI134" s="35"/>
      <c r="AJ134" s="39"/>
      <c r="AK134" s="39"/>
      <c r="AL134" s="39"/>
      <c r="AM134" s="39">
        <f t="shared" si="191"/>
        <v>34</v>
      </c>
      <c r="AN134" s="39"/>
      <c r="AO134" s="39"/>
      <c r="AP134" s="39"/>
      <c r="AQ134" s="39"/>
      <c r="AR134" s="39">
        <f t="shared" si="192"/>
        <v>0</v>
      </c>
      <c r="AS134" s="39"/>
      <c r="AT134" s="39"/>
      <c r="AU134" s="39"/>
      <c r="AV134" s="39"/>
      <c r="AW134" s="39"/>
      <c r="AX134" s="39"/>
      <c r="AY134" s="39"/>
      <c r="AZ134" s="39"/>
      <c r="BA134" s="39">
        <f t="shared" si="193"/>
        <v>0</v>
      </c>
      <c r="BB134" s="35"/>
      <c r="BC134" s="486"/>
      <c r="BD134" s="486"/>
      <c r="BE134" s="35"/>
      <c r="BF134" s="486"/>
    </row>
    <row r="135" spans="1:58" ht="12.95" customHeight="1">
      <c r="A135" s="42"/>
      <c r="B135" s="554"/>
      <c r="C135" s="555"/>
      <c r="D135" s="554"/>
      <c r="E135" s="44"/>
      <c r="F135" s="44"/>
      <c r="G135" s="556"/>
      <c r="H135" s="557"/>
      <c r="I135" s="47"/>
      <c r="J135" s="86"/>
      <c r="K135" s="86"/>
      <c r="L135" s="558"/>
      <c r="M135" s="558"/>
      <c r="N135" s="48"/>
      <c r="O135" s="49"/>
      <c r="P135" s="50"/>
      <c r="Q135" s="49"/>
      <c r="R135" s="559"/>
      <c r="S135" s="559"/>
      <c r="T135" s="39"/>
      <c r="U135" s="39"/>
      <c r="V135" s="39"/>
      <c r="W135" s="39"/>
      <c r="X135" s="40"/>
      <c r="Y135" s="213"/>
      <c r="Z135" s="39"/>
      <c r="AA135" s="51"/>
      <c r="AB135" s="51"/>
      <c r="AC135" s="39"/>
      <c r="AD135" s="39"/>
      <c r="AE135" s="22"/>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5"/>
      <c r="BC135" s="53"/>
      <c r="BD135" s="53"/>
      <c r="BE135" s="53"/>
      <c r="BF135" s="53"/>
    </row>
    <row r="136" spans="1:58" ht="12" customHeight="1">
      <c r="A136" s="42">
        <v>45959</v>
      </c>
      <c r="B136" s="43" t="s">
        <v>460</v>
      </c>
      <c r="C136" s="402">
        <f t="shared" ref="C136:C137" si="194">(M136*E136*O136*Q136)/100000000</f>
        <v>36.467687024999996</v>
      </c>
      <c r="D136" s="43" t="s">
        <v>462</v>
      </c>
      <c r="E136" s="44">
        <v>13</v>
      </c>
      <c r="F136" s="44">
        <v>1</v>
      </c>
      <c r="G136" s="415">
        <v>1350</v>
      </c>
      <c r="H136" s="557">
        <f t="shared" ref="H136:H137" si="195">+N136</f>
        <v>0.23000000000000009</v>
      </c>
      <c r="I136" s="47">
        <v>0.88</v>
      </c>
      <c r="J136" s="86">
        <f t="shared" ref="J136:J137" si="196">E136*G136*(1-H136)*1440/1000000*2.74</f>
        <v>53.318865599999995</v>
      </c>
      <c r="K136" s="86">
        <f t="shared" ref="K136:K137" si="197">(IF(G136&lt;L136,L136,G136)*(1-IF(H136&lt;N136,H136,N136))*E136*O136*Q136)/100000000</f>
        <v>37.380017193749993</v>
      </c>
      <c r="L136" s="37">
        <v>1317.0506912442397</v>
      </c>
      <c r="M136" s="37">
        <v>1014.1290322580645</v>
      </c>
      <c r="N136" s="48">
        <f t="shared" ref="N136:N137" si="198">1-(M136/L136)</f>
        <v>0.23000000000000009</v>
      </c>
      <c r="O136" s="49">
        <f>+'Trim Rwd'!H83</f>
        <v>254.94230769230768</v>
      </c>
      <c r="P136" s="50">
        <f t="shared" ref="P136:P137" si="199">O136*(Q136-R136-S136)</f>
        <v>267434.48076923075</v>
      </c>
      <c r="Q136" s="49">
        <v>1085</v>
      </c>
      <c r="R136" s="371">
        <v>0</v>
      </c>
      <c r="S136" s="371">
        <v>36</v>
      </c>
      <c r="T136" s="39">
        <f t="shared" ref="T136:T137" si="200">E136*M136*O136*Q136/100000000</f>
        <v>36.467687024999996</v>
      </c>
      <c r="U136" s="39">
        <f t="shared" ref="U136:U137" si="201">E136*M136*O136*(Q136-R136-S136)/100000000</f>
        <v>35.257699252741936</v>
      </c>
      <c r="V136" s="39">
        <f t="shared" ref="V136:V137" si="202">E136*G136*(1-N136)*O136/100*(R136+S136)/1000000</f>
        <v>1.2402586349999998</v>
      </c>
      <c r="W136" s="39">
        <f>+'29'!K19/1000</f>
        <v>36.869</v>
      </c>
      <c r="X136" s="370">
        <f>SUM(W136:W139)/SUM(K136:K139)</f>
        <v>0.82954698594074572</v>
      </c>
      <c r="Y136" s="39">
        <f>+SUM(RBP!AG87:AG88)</f>
        <v>0</v>
      </c>
      <c r="Z136" s="39">
        <f>+'28'!D29/1000</f>
        <v>0</v>
      </c>
      <c r="AA136" s="51">
        <f>SUM(U136:U139)-SUM(W136:W139)-SUM(Z136:Z139)-SUM(Y136:Y139)</f>
        <v>5.8259366977419376</v>
      </c>
      <c r="AB136" s="51">
        <f>(SUM(K136:K139)-SUM(W136:W139)-SUM(Y136:Y139)-SUM(Z136:Z139)-SUM(AC136:AC139)-SUM(V136:V139))-AA136</f>
        <v>-3.5416002741942343E-2</v>
      </c>
      <c r="AC136" s="39">
        <f>K136-T136</f>
        <v>0.91233016874999606</v>
      </c>
      <c r="AD136" s="39">
        <f>+AM136+BA136</f>
        <v>0</v>
      </c>
      <c r="AE136" s="230" t="s">
        <v>418</v>
      </c>
      <c r="AF136" s="39">
        <v>0</v>
      </c>
      <c r="AG136" s="39"/>
      <c r="AH136" s="39"/>
      <c r="AI136" s="485"/>
      <c r="AJ136" s="39"/>
      <c r="AK136" s="39"/>
      <c r="AL136" s="39"/>
      <c r="AM136" s="39">
        <f>SUM(AF136:AL136)+AT136+AV136+AX136</f>
        <v>0</v>
      </c>
      <c r="AN136" s="39"/>
      <c r="AO136" s="39"/>
      <c r="AP136" s="39"/>
      <c r="AQ136" s="39"/>
      <c r="AR136" s="39">
        <f>SUM(AN136:AQ136)</f>
        <v>0</v>
      </c>
      <c r="AS136" s="39"/>
      <c r="AT136" s="39"/>
      <c r="AU136" s="39"/>
      <c r="AV136" s="39"/>
      <c r="AW136" s="39"/>
      <c r="AX136" s="39"/>
      <c r="AY136" s="39"/>
      <c r="AZ136" s="39"/>
      <c r="BA136" s="39">
        <f>+AR136+AS136+AU136+AW136+AY136+AZ136</f>
        <v>0</v>
      </c>
      <c r="BB136" s="35">
        <v>0</v>
      </c>
      <c r="BC136" s="53"/>
      <c r="BD136" s="53">
        <v>1</v>
      </c>
      <c r="BE136" s="35"/>
      <c r="BF136" s="53"/>
    </row>
    <row r="137" spans="1:58" ht="12.95" customHeight="1">
      <c r="A137" s="42"/>
      <c r="B137" s="43" t="s">
        <v>639</v>
      </c>
      <c r="C137" s="402">
        <f t="shared" si="194"/>
        <v>12.146389254999997</v>
      </c>
      <c r="D137" s="43" t="s">
        <v>462</v>
      </c>
      <c r="E137" s="44">
        <v>13</v>
      </c>
      <c r="F137" s="44">
        <v>1</v>
      </c>
      <c r="G137" s="415">
        <v>1350</v>
      </c>
      <c r="H137" s="557">
        <f t="shared" si="195"/>
        <v>0.23000000000000009</v>
      </c>
      <c r="I137" s="47">
        <v>0.88</v>
      </c>
      <c r="J137" s="86">
        <f t="shared" si="196"/>
        <v>53.318865599999995</v>
      </c>
      <c r="K137" s="86">
        <f t="shared" si="197"/>
        <v>12.329041724999998</v>
      </c>
      <c r="L137" s="37">
        <v>1330</v>
      </c>
      <c r="M137" s="37">
        <v>1024.0999999999999</v>
      </c>
      <c r="N137" s="48">
        <f t="shared" si="198"/>
        <v>0.23000000000000009</v>
      </c>
      <c r="O137" s="49">
        <f>+'Trim Rwd'!H85</f>
        <v>257</v>
      </c>
      <c r="P137" s="50">
        <f t="shared" si="199"/>
        <v>88665</v>
      </c>
      <c r="Q137" s="49">
        <v>355</v>
      </c>
      <c r="R137" s="371">
        <v>0</v>
      </c>
      <c r="S137" s="371">
        <v>10</v>
      </c>
      <c r="T137" s="39">
        <f t="shared" si="200"/>
        <v>12.146389254999997</v>
      </c>
      <c r="U137" s="39">
        <f t="shared" si="201"/>
        <v>11.804237444999998</v>
      </c>
      <c r="V137" s="39">
        <f t="shared" si="202"/>
        <v>0.34729694999999994</v>
      </c>
      <c r="W137" s="39">
        <f>+'29'!K20/1000</f>
        <v>4.367</v>
      </c>
      <c r="X137" s="40"/>
      <c r="Y137" s="213"/>
      <c r="Z137" s="39"/>
      <c r="AA137" s="39"/>
      <c r="AB137" s="39"/>
      <c r="AC137" s="39">
        <f>K137-T137</f>
        <v>0.18265247000000073</v>
      </c>
      <c r="AD137" s="39">
        <f t="shared" ref="AD137:AD139" si="203">+AM137+BA137</f>
        <v>11</v>
      </c>
      <c r="AE137" s="230" t="s">
        <v>640</v>
      </c>
      <c r="AF137" s="39"/>
      <c r="AG137" s="39">
        <v>11</v>
      </c>
      <c r="AH137" s="39"/>
      <c r="AI137" s="39"/>
      <c r="AJ137" s="39"/>
      <c r="AK137" s="39"/>
      <c r="AL137" s="39"/>
      <c r="AM137" s="39">
        <f t="shared" ref="AM137:AM138" si="204">SUM(AF137:AL137)+AT137+AV137+AX137</f>
        <v>11</v>
      </c>
      <c r="AN137" s="87"/>
      <c r="AO137" s="39"/>
      <c r="AP137" s="39"/>
      <c r="AQ137" s="39"/>
      <c r="AR137" s="39">
        <f t="shared" ref="AR137:AR139" si="205">SUM(AN137:AQ137)</f>
        <v>0</v>
      </c>
      <c r="AS137" s="39"/>
      <c r="AT137" s="39"/>
      <c r="AU137" s="39"/>
      <c r="AV137" s="39"/>
      <c r="AW137" s="39"/>
      <c r="AX137" s="39"/>
      <c r="AY137" s="39"/>
      <c r="AZ137" s="39"/>
      <c r="BA137" s="39">
        <f t="shared" ref="BA137:BA139" si="206">+AR137+AS137+AU137+AW137+AY137+AZ137</f>
        <v>0</v>
      </c>
      <c r="BB137" s="52"/>
      <c r="BC137" s="53">
        <v>11</v>
      </c>
      <c r="BD137" s="53"/>
      <c r="BE137" s="52"/>
      <c r="BF137" s="53"/>
    </row>
    <row r="138" spans="1:58" ht="12.95" customHeight="1">
      <c r="A138" s="42"/>
      <c r="B138" s="43"/>
      <c r="C138" s="402"/>
      <c r="D138" s="43"/>
      <c r="E138" s="44"/>
      <c r="F138" s="44"/>
      <c r="G138" s="45"/>
      <c r="H138" s="46"/>
      <c r="I138" s="47"/>
      <c r="J138" s="86"/>
      <c r="K138" s="86"/>
      <c r="L138" s="37"/>
      <c r="M138" s="37"/>
      <c r="N138" s="48"/>
      <c r="O138" s="49"/>
      <c r="P138" s="50"/>
      <c r="Q138" s="49"/>
      <c r="R138" s="371"/>
      <c r="S138" s="371"/>
      <c r="T138" s="39"/>
      <c r="U138" s="39"/>
      <c r="V138" s="39"/>
      <c r="W138" s="39"/>
      <c r="X138" s="40"/>
      <c r="Y138" s="213"/>
      <c r="Z138" s="39"/>
      <c r="AA138" s="39"/>
      <c r="AB138" s="39"/>
      <c r="AC138" s="39"/>
      <c r="AD138" s="39">
        <f t="shared" si="203"/>
        <v>21</v>
      </c>
      <c r="AE138" s="230" t="s">
        <v>767</v>
      </c>
      <c r="AF138" s="35"/>
      <c r="AG138" s="35"/>
      <c r="AH138" s="35">
        <v>21</v>
      </c>
      <c r="AI138" s="35"/>
      <c r="AJ138" s="39"/>
      <c r="AK138" s="39"/>
      <c r="AL138" s="39"/>
      <c r="AM138" s="39">
        <f t="shared" si="204"/>
        <v>21</v>
      </c>
      <c r="AN138" s="39"/>
      <c r="AO138" s="39"/>
      <c r="AP138" s="39"/>
      <c r="AQ138" s="39"/>
      <c r="AR138" s="39">
        <f t="shared" si="205"/>
        <v>0</v>
      </c>
      <c r="AS138" s="39"/>
      <c r="AT138" s="39"/>
      <c r="AU138" s="39"/>
      <c r="AV138" s="39"/>
      <c r="AW138" s="39"/>
      <c r="AX138" s="39"/>
      <c r="AY138" s="39"/>
      <c r="AZ138" s="39"/>
      <c r="BA138" s="39">
        <f t="shared" si="206"/>
        <v>0</v>
      </c>
      <c r="BB138" s="35"/>
      <c r="BC138" s="486"/>
      <c r="BD138" s="486"/>
      <c r="BE138" s="35"/>
      <c r="BF138" s="486"/>
    </row>
    <row r="139" spans="1:58" ht="12.95" customHeight="1">
      <c r="A139" s="42"/>
      <c r="B139" s="43"/>
      <c r="C139" s="402"/>
      <c r="D139" s="43"/>
      <c r="E139" s="44"/>
      <c r="F139" s="44"/>
      <c r="G139" s="45"/>
      <c r="H139" s="46"/>
      <c r="I139" s="47"/>
      <c r="J139" s="86"/>
      <c r="K139" s="86"/>
      <c r="L139" s="37"/>
      <c r="M139" s="37"/>
      <c r="N139" s="48"/>
      <c r="O139" s="49"/>
      <c r="P139" s="50"/>
      <c r="Q139" s="49"/>
      <c r="R139" s="371"/>
      <c r="S139" s="371"/>
      <c r="T139" s="39"/>
      <c r="U139" s="39"/>
      <c r="V139" s="39"/>
      <c r="W139" s="39"/>
      <c r="X139" s="40"/>
      <c r="Y139" s="213"/>
      <c r="Z139" s="39"/>
      <c r="AA139" s="39"/>
      <c r="AB139" s="39"/>
      <c r="AC139" s="39"/>
      <c r="AD139" s="39">
        <f t="shared" si="203"/>
        <v>14</v>
      </c>
      <c r="AE139" s="230" t="s">
        <v>768</v>
      </c>
      <c r="AF139" s="35"/>
      <c r="AG139" s="35"/>
      <c r="AH139" s="35"/>
      <c r="AI139" s="35"/>
      <c r="AJ139" s="39"/>
      <c r="AK139" s="39"/>
      <c r="AL139" s="39"/>
      <c r="AM139" s="39">
        <f t="shared" ref="AM139" si="207">SUM(AF139:AL139)+AT139+AV139+AX139</f>
        <v>14</v>
      </c>
      <c r="AN139" s="39"/>
      <c r="AO139" s="39"/>
      <c r="AP139" s="39"/>
      <c r="AQ139" s="39"/>
      <c r="AR139" s="39">
        <f t="shared" si="205"/>
        <v>0</v>
      </c>
      <c r="AS139" s="39"/>
      <c r="AT139" s="39"/>
      <c r="AU139" s="39"/>
      <c r="AV139" s="39">
        <v>14</v>
      </c>
      <c r="AW139" s="39"/>
      <c r="AX139" s="39"/>
      <c r="AY139" s="39"/>
      <c r="AZ139" s="39"/>
      <c r="BA139" s="39">
        <f t="shared" si="206"/>
        <v>0</v>
      </c>
      <c r="BB139" s="35"/>
      <c r="BC139" s="486"/>
      <c r="BD139" s="486"/>
      <c r="BE139" s="35"/>
      <c r="BF139" s="486"/>
    </row>
    <row r="140" spans="1:58" ht="12.95" customHeight="1">
      <c r="A140" s="42"/>
      <c r="B140" s="43"/>
      <c r="C140" s="402"/>
      <c r="D140" s="43"/>
      <c r="E140" s="44"/>
      <c r="F140" s="44"/>
      <c r="G140" s="415"/>
      <c r="H140" s="557"/>
      <c r="I140" s="47"/>
      <c r="J140" s="86"/>
      <c r="K140" s="86"/>
      <c r="L140" s="37"/>
      <c r="M140" s="37"/>
      <c r="N140" s="48"/>
      <c r="O140" s="49"/>
      <c r="P140" s="50"/>
      <c r="Q140" s="49"/>
      <c r="R140" s="371"/>
      <c r="S140" s="371"/>
      <c r="T140" s="39"/>
      <c r="U140" s="39"/>
      <c r="V140" s="39"/>
      <c r="W140" s="39"/>
      <c r="X140" s="370"/>
      <c r="Y140" s="39"/>
      <c r="Z140" s="39"/>
      <c r="AA140" s="51"/>
      <c r="AB140" s="51"/>
      <c r="AC140" s="39"/>
      <c r="AD140" s="39"/>
      <c r="AE140" s="230"/>
      <c r="AF140" s="39"/>
      <c r="AG140" s="39"/>
      <c r="AH140" s="39"/>
      <c r="AI140" s="485"/>
      <c r="AJ140" s="39"/>
      <c r="AK140" s="39"/>
      <c r="AL140" s="39"/>
      <c r="AM140" s="39"/>
      <c r="AN140" s="39"/>
      <c r="AO140" s="39"/>
      <c r="AP140" s="39"/>
      <c r="AQ140" s="39"/>
      <c r="AR140" s="39"/>
      <c r="AS140" s="39"/>
      <c r="AT140" s="39"/>
      <c r="AU140" s="39"/>
      <c r="AV140" s="39"/>
      <c r="AW140" s="39"/>
      <c r="AX140" s="39"/>
      <c r="AY140" s="39"/>
      <c r="AZ140" s="39"/>
      <c r="BA140" s="39"/>
      <c r="BB140" s="35"/>
      <c r="BC140" s="53"/>
      <c r="BD140" s="53"/>
      <c r="BE140" s="53"/>
      <c r="BF140" s="53"/>
    </row>
    <row r="141" spans="1:58" ht="12" customHeight="1">
      <c r="A141" s="42">
        <v>45960</v>
      </c>
      <c r="B141" s="43" t="s">
        <v>639</v>
      </c>
      <c r="C141" s="402">
        <f t="shared" ref="C141:C145" si="208">(M141*E141*O141*Q141)/100000000</f>
        <v>2.0329149750000002</v>
      </c>
      <c r="D141" s="43" t="s">
        <v>462</v>
      </c>
      <c r="E141" s="44">
        <v>13</v>
      </c>
      <c r="F141" s="44">
        <v>1</v>
      </c>
      <c r="G141" s="415">
        <v>1350</v>
      </c>
      <c r="H141" s="557">
        <f t="shared" ref="H141:H145" si="209">+N141</f>
        <v>0.25</v>
      </c>
      <c r="I141" s="47">
        <v>0.88</v>
      </c>
      <c r="J141" s="86">
        <f t="shared" ref="J141:J145" si="210">E141*G141*(1-H141)*1440/1000000*2.74</f>
        <v>51.933960000000006</v>
      </c>
      <c r="K141" s="86">
        <f t="shared" ref="K141:K145" si="211">(IF(G141&lt;L141,L141,G141)*(1-IF(H141&lt;N141,H141,N141))*E141*O141*Q141)/100000000</f>
        <v>2.0634851250000001</v>
      </c>
      <c r="L141" s="37">
        <v>1330</v>
      </c>
      <c r="M141" s="37">
        <v>997.5</v>
      </c>
      <c r="N141" s="48">
        <f t="shared" ref="N141:N145" si="212">1-(M141/L141)</f>
        <v>0.25</v>
      </c>
      <c r="O141" s="49">
        <f>+'Trim Rwd'!H88</f>
        <v>257</v>
      </c>
      <c r="P141" s="50">
        <f t="shared" ref="P141:P145" si="213">O141*(Q141-R141-S141)</f>
        <v>15677</v>
      </c>
      <c r="Q141" s="49">
        <f>81-20</f>
        <v>61</v>
      </c>
      <c r="R141" s="371">
        <v>0</v>
      </c>
      <c r="S141" s="371">
        <f>20-20</f>
        <v>0</v>
      </c>
      <c r="T141" s="39">
        <f t="shared" ref="T141:T145" si="214">E141*M141*O141*Q141/100000000</f>
        <v>2.0329149750000002</v>
      </c>
      <c r="U141" s="39">
        <f t="shared" ref="U141:U145" si="215">E141*M141*O141*(Q141-R141-S141)/100000000</f>
        <v>2.0329149750000002</v>
      </c>
      <c r="V141" s="39">
        <f t="shared" ref="V141:V145" si="216">E141*G141*(1-N141)*O141/100*(R141+S141)/1000000</f>
        <v>0</v>
      </c>
      <c r="W141" s="39">
        <f>+'30'!K20/1000</f>
        <v>8.1660000000000004</v>
      </c>
      <c r="X141" s="370">
        <f>SUM(W141:W145)/SUM(K141:K145)</f>
        <v>0.74544484712513037</v>
      </c>
      <c r="Y141" s="39">
        <f>+SUM(RBP!AG92:AG93)</f>
        <v>0</v>
      </c>
      <c r="Z141" s="39">
        <v>0</v>
      </c>
      <c r="AA141" s="51">
        <f>SUM(U141:U145)-SUM(W141:W145)-SUM(Z141:Z145)-SUM(Y141:Y145)</f>
        <v>11.184815686706514</v>
      </c>
      <c r="AB141" s="51">
        <f>(SUM(K141:K145)-SUM(W141:W145)-SUM(Y141:Y145)-SUM(Z141:Z145)-SUM(AC141:AC145)-SUM(V141:V145))-AA141</f>
        <v>9.5366032239468268E-2</v>
      </c>
      <c r="AC141" s="39">
        <f>K141-T141</f>
        <v>3.0570149999999963E-2</v>
      </c>
      <c r="AD141" s="39">
        <f>+AM141+BA141</f>
        <v>24</v>
      </c>
      <c r="AE141" s="230" t="s">
        <v>782</v>
      </c>
      <c r="AF141" s="39">
        <v>24</v>
      </c>
      <c r="AG141" s="39"/>
      <c r="AH141" s="39"/>
      <c r="AI141" s="485"/>
      <c r="AJ141" s="39"/>
      <c r="AK141" s="39"/>
      <c r="AL141" s="39"/>
      <c r="AM141" s="39">
        <f>SUM(AF141:AL141)+AT141+AV141+AX141</f>
        <v>24</v>
      </c>
      <c r="AN141" s="39"/>
      <c r="AO141" s="39"/>
      <c r="AP141" s="39"/>
      <c r="AQ141" s="39"/>
      <c r="AR141" s="39">
        <f>SUM(AN141:AQ141)</f>
        <v>0</v>
      </c>
      <c r="AS141" s="39"/>
      <c r="AT141" s="39"/>
      <c r="AU141" s="39"/>
      <c r="AV141" s="39"/>
      <c r="AW141" s="39"/>
      <c r="AX141" s="39"/>
      <c r="AY141" s="39"/>
      <c r="AZ141" s="39"/>
      <c r="BA141" s="39">
        <f>+AR141+AS141+AU141+AW141+AY141+AZ141</f>
        <v>0</v>
      </c>
      <c r="BB141" s="35">
        <v>6</v>
      </c>
      <c r="BC141" s="53"/>
      <c r="BD141" s="53"/>
      <c r="BE141" s="35"/>
      <c r="BF141" s="53"/>
    </row>
    <row r="142" spans="1:58" ht="12.95" customHeight="1">
      <c r="A142" s="42"/>
      <c r="B142" s="43" t="s">
        <v>639</v>
      </c>
      <c r="C142" s="402">
        <f t="shared" si="208"/>
        <v>14.144193</v>
      </c>
      <c r="D142" s="43" t="s">
        <v>462</v>
      </c>
      <c r="E142" s="44">
        <v>12</v>
      </c>
      <c r="F142" s="44">
        <v>1</v>
      </c>
      <c r="G142" s="415">
        <v>1350</v>
      </c>
      <c r="H142" s="557">
        <f t="shared" si="209"/>
        <v>0.23897156028609201</v>
      </c>
      <c r="I142" s="47">
        <v>0.88</v>
      </c>
      <c r="J142" s="86">
        <f t="shared" si="210"/>
        <v>48.643963750110167</v>
      </c>
      <c r="K142" s="86">
        <f t="shared" si="211"/>
        <v>14.239603135486934</v>
      </c>
      <c r="L142" s="37">
        <v>1340.9545454545455</v>
      </c>
      <c r="M142" s="37">
        <v>1020.5045454545455</v>
      </c>
      <c r="N142" s="48">
        <f t="shared" si="212"/>
        <v>0.23897156028609201</v>
      </c>
      <c r="O142" s="49">
        <f>+'Trim Rwd'!H89</f>
        <v>262.5</v>
      </c>
      <c r="P142" s="50">
        <f t="shared" si="213"/>
        <v>110775</v>
      </c>
      <c r="Q142" s="49">
        <v>440</v>
      </c>
      <c r="R142" s="371">
        <v>0</v>
      </c>
      <c r="S142" s="371">
        <v>18</v>
      </c>
      <c r="T142" s="39">
        <f t="shared" si="214"/>
        <v>14.144193</v>
      </c>
      <c r="U142" s="39">
        <f t="shared" si="215"/>
        <v>13.565566922727273</v>
      </c>
      <c r="V142" s="39">
        <f t="shared" si="216"/>
        <v>0.5825292191790109</v>
      </c>
      <c r="W142" s="39">
        <f>+'30'!K17/1000</f>
        <v>11.923</v>
      </c>
      <c r="X142" s="40"/>
      <c r="Y142" s="213"/>
      <c r="Z142" s="39"/>
      <c r="AA142" s="39"/>
      <c r="AB142" s="39"/>
      <c r="AC142" s="39">
        <f>K142-T142</f>
        <v>9.5410135486934777E-2</v>
      </c>
      <c r="AD142" s="39">
        <f t="shared" ref="AD142:AD144" si="217">+AM142+BA142</f>
        <v>8</v>
      </c>
      <c r="AE142" s="230" t="s">
        <v>482</v>
      </c>
      <c r="AF142" s="39"/>
      <c r="AG142" s="39">
        <v>8</v>
      </c>
      <c r="AH142" s="39"/>
      <c r="AI142" s="39"/>
      <c r="AJ142" s="39"/>
      <c r="AK142" s="39"/>
      <c r="AL142" s="39"/>
      <c r="AM142" s="39">
        <f t="shared" ref="AM142:AM143" si="218">SUM(AF142:AL142)+AT142+AV142+AX142</f>
        <v>8</v>
      </c>
      <c r="AN142" s="87"/>
      <c r="AO142" s="39"/>
      <c r="AP142" s="39"/>
      <c r="AQ142" s="39"/>
      <c r="AR142" s="39">
        <f t="shared" ref="AR142:AR144" si="219">SUM(AN142:AQ142)</f>
        <v>0</v>
      </c>
      <c r="AS142" s="39"/>
      <c r="AT142" s="39"/>
      <c r="AU142" s="39"/>
      <c r="AV142" s="39"/>
      <c r="AW142" s="39"/>
      <c r="AX142" s="39"/>
      <c r="AY142" s="39"/>
      <c r="AZ142" s="39"/>
      <c r="BA142" s="39">
        <f t="shared" ref="BA142:BA144" si="220">+AR142+AS142+AU142+AW142+AY142+AZ142</f>
        <v>0</v>
      </c>
      <c r="BB142" s="52"/>
      <c r="BC142" s="53">
        <v>6</v>
      </c>
      <c r="BD142" s="53"/>
      <c r="BE142" s="52"/>
      <c r="BF142" s="53"/>
    </row>
    <row r="143" spans="1:58" ht="12.95" customHeight="1">
      <c r="A143" s="42"/>
      <c r="B143" s="43" t="s">
        <v>639</v>
      </c>
      <c r="C143" s="402">
        <f t="shared" si="208"/>
        <v>8.6183999999999994</v>
      </c>
      <c r="D143" s="43" t="s">
        <v>462</v>
      </c>
      <c r="E143" s="44">
        <v>16</v>
      </c>
      <c r="F143" s="44">
        <v>1</v>
      </c>
      <c r="G143" s="415">
        <v>1165</v>
      </c>
      <c r="H143" s="557">
        <f t="shared" si="209"/>
        <v>0.25</v>
      </c>
      <c r="I143" s="47">
        <v>0.88</v>
      </c>
      <c r="J143" s="86">
        <f t="shared" si="210"/>
        <v>55.159488000000003</v>
      </c>
      <c r="K143" s="86">
        <f t="shared" si="211"/>
        <v>8.6183999999999994</v>
      </c>
      <c r="L143" s="37">
        <v>1330</v>
      </c>
      <c r="M143" s="37">
        <v>997.5</v>
      </c>
      <c r="N143" s="48">
        <f t="shared" si="212"/>
        <v>0.25</v>
      </c>
      <c r="O143" s="49">
        <f>+'Trim Rwd'!H87</f>
        <v>270</v>
      </c>
      <c r="P143" s="50">
        <f t="shared" si="213"/>
        <v>51300</v>
      </c>
      <c r="Q143" s="49">
        <v>200</v>
      </c>
      <c r="R143" s="371">
        <v>0</v>
      </c>
      <c r="S143" s="371">
        <v>10</v>
      </c>
      <c r="T143" s="39">
        <f t="shared" si="214"/>
        <v>8.6183999999999994</v>
      </c>
      <c r="U143" s="39">
        <f t="shared" si="215"/>
        <v>8.1874800000000008</v>
      </c>
      <c r="V143" s="39">
        <f t="shared" si="216"/>
        <v>0.37746000000000002</v>
      </c>
      <c r="W143" s="39">
        <f>+'30'!K18/1000</f>
        <v>5.5380000000000003</v>
      </c>
      <c r="X143" s="40"/>
      <c r="Y143" s="213"/>
      <c r="Z143" s="39"/>
      <c r="AA143" s="39"/>
      <c r="AB143" s="39"/>
      <c r="AC143" s="39">
        <f>K143-T143</f>
        <v>0</v>
      </c>
      <c r="AD143" s="39">
        <f t="shared" si="217"/>
        <v>21</v>
      </c>
      <c r="AE143" s="230" t="s">
        <v>754</v>
      </c>
      <c r="AF143" s="35"/>
      <c r="AG143" s="35"/>
      <c r="AH143" s="35">
        <v>21</v>
      </c>
      <c r="AI143" s="35"/>
      <c r="AJ143" s="39"/>
      <c r="AK143" s="39"/>
      <c r="AL143" s="39"/>
      <c r="AM143" s="39">
        <f t="shared" si="218"/>
        <v>21</v>
      </c>
      <c r="AN143" s="39"/>
      <c r="AO143" s="39"/>
      <c r="AP143" s="39"/>
      <c r="AQ143" s="39"/>
      <c r="AR143" s="39">
        <f t="shared" si="219"/>
        <v>0</v>
      </c>
      <c r="AS143" s="39"/>
      <c r="AT143" s="39"/>
      <c r="AU143" s="39"/>
      <c r="AV143" s="39"/>
      <c r="AW143" s="39"/>
      <c r="AX143" s="39"/>
      <c r="AY143" s="39"/>
      <c r="AZ143" s="39"/>
      <c r="BA143" s="39">
        <f t="shared" si="220"/>
        <v>0</v>
      </c>
      <c r="BB143" s="35"/>
      <c r="BC143" s="486"/>
      <c r="BD143" s="486"/>
      <c r="BE143" s="35"/>
      <c r="BF143" s="486"/>
    </row>
    <row r="144" spans="1:58" ht="12.95" customHeight="1">
      <c r="A144" s="42"/>
      <c r="B144" s="43" t="s">
        <v>460</v>
      </c>
      <c r="C144" s="402">
        <f t="shared" si="208"/>
        <v>10.879068200000001</v>
      </c>
      <c r="D144" s="43" t="s">
        <v>413</v>
      </c>
      <c r="E144" s="44">
        <v>14</v>
      </c>
      <c r="F144" s="44">
        <v>1</v>
      </c>
      <c r="G144" s="415">
        <v>1295</v>
      </c>
      <c r="H144" s="557">
        <f t="shared" si="209"/>
        <v>0.22999999999999998</v>
      </c>
      <c r="I144" s="47">
        <v>0.88</v>
      </c>
      <c r="J144" s="86">
        <f t="shared" si="210"/>
        <v>55.080970560000011</v>
      </c>
      <c r="K144" s="86">
        <f t="shared" si="211"/>
        <v>10.879068200000001</v>
      </c>
      <c r="L144" s="37">
        <v>1343.0795847750865</v>
      </c>
      <c r="M144" s="37">
        <v>1034.1712802768166</v>
      </c>
      <c r="N144" s="48">
        <f t="shared" si="212"/>
        <v>0.22999999999999998</v>
      </c>
      <c r="O144" s="49">
        <f>+'Trim Rwd'!H90</f>
        <v>260</v>
      </c>
      <c r="P144" s="50">
        <f t="shared" si="213"/>
        <v>72540</v>
      </c>
      <c r="Q144" s="49">
        <v>289</v>
      </c>
      <c r="R144" s="371">
        <v>0</v>
      </c>
      <c r="S144" s="371">
        <v>10</v>
      </c>
      <c r="T144" s="39">
        <f t="shared" si="214"/>
        <v>10.879068200000001</v>
      </c>
      <c r="U144" s="39">
        <f t="shared" si="215"/>
        <v>10.50262985397924</v>
      </c>
      <c r="V144" s="39">
        <f t="shared" si="216"/>
        <v>0.36296260000000002</v>
      </c>
      <c r="W144" s="39">
        <f>+'30'!K22/1000</f>
        <v>11.750999999999999</v>
      </c>
      <c r="X144" s="40"/>
      <c r="Y144" s="40"/>
      <c r="Z144" s="35"/>
      <c r="AA144" s="51"/>
      <c r="AB144" s="51"/>
      <c r="AC144" s="39">
        <f>K144-T144</f>
        <v>0</v>
      </c>
      <c r="AD144" s="39">
        <f t="shared" si="217"/>
        <v>0</v>
      </c>
      <c r="AE144" s="230" t="s">
        <v>781</v>
      </c>
      <c r="AF144" s="35"/>
      <c r="AG144" s="35"/>
      <c r="AH144" s="35"/>
      <c r="AI144" s="35"/>
      <c r="AJ144" s="39"/>
      <c r="AK144" s="39"/>
      <c r="AL144" s="39"/>
      <c r="AM144" s="39">
        <f t="shared" ref="AM144" si="221">SUM(AF144:AL144)+AT144+AV144+AX144</f>
        <v>0</v>
      </c>
      <c r="AN144" s="39"/>
      <c r="AO144" s="39"/>
      <c r="AP144" s="39"/>
      <c r="AQ144" s="39"/>
      <c r="AR144" s="39">
        <f t="shared" si="219"/>
        <v>0</v>
      </c>
      <c r="AS144" s="39"/>
      <c r="AT144" s="39">
        <f>20-20</f>
        <v>0</v>
      </c>
      <c r="AU144" s="39"/>
      <c r="AV144" s="39"/>
      <c r="AW144" s="39"/>
      <c r="AX144" s="39"/>
      <c r="AY144" s="39"/>
      <c r="AZ144" s="39"/>
      <c r="BA144" s="39">
        <f t="shared" si="220"/>
        <v>0</v>
      </c>
      <c r="BB144" s="35"/>
      <c r="BC144" s="486"/>
      <c r="BD144" s="486"/>
      <c r="BE144" s="35"/>
      <c r="BF144" s="486"/>
    </row>
    <row r="145" spans="1:58" ht="12.95" customHeight="1">
      <c r="A145" s="42"/>
      <c r="B145" s="43" t="s">
        <v>460</v>
      </c>
      <c r="C145" s="402">
        <f t="shared" si="208"/>
        <v>16.313292269999998</v>
      </c>
      <c r="D145" s="43" t="s">
        <v>413</v>
      </c>
      <c r="E145" s="44">
        <v>13.5</v>
      </c>
      <c r="F145" s="44">
        <v>1</v>
      </c>
      <c r="G145" s="415">
        <v>1245</v>
      </c>
      <c r="H145" s="557">
        <f t="shared" si="209"/>
        <v>0.17000000000000004</v>
      </c>
      <c r="I145" s="47">
        <v>0.88</v>
      </c>
      <c r="J145" s="86">
        <f t="shared" si="210"/>
        <v>55.042007759999997</v>
      </c>
      <c r="K145" s="86">
        <f t="shared" si="211"/>
        <v>16.313292269999998</v>
      </c>
      <c r="L145" s="37">
        <v>1320</v>
      </c>
      <c r="M145" s="37">
        <v>1095.5999999999999</v>
      </c>
      <c r="N145" s="48">
        <f t="shared" si="212"/>
        <v>0.17000000000000004</v>
      </c>
      <c r="O145" s="49">
        <f>+'Trim Rwd'!H91</f>
        <v>256.5</v>
      </c>
      <c r="P145" s="50">
        <f t="shared" si="213"/>
        <v>106447.5</v>
      </c>
      <c r="Q145" s="49">
        <v>430</v>
      </c>
      <c r="R145" s="371">
        <v>0</v>
      </c>
      <c r="S145" s="371">
        <v>15</v>
      </c>
      <c r="T145" s="39">
        <f t="shared" si="214"/>
        <v>16.313292269999998</v>
      </c>
      <c r="U145" s="39">
        <f t="shared" si="215"/>
        <v>15.744223934999997</v>
      </c>
      <c r="V145" s="39">
        <f t="shared" si="216"/>
        <v>0.53673490687500003</v>
      </c>
      <c r="W145" s="39">
        <f>+'30'!K21/1000</f>
        <v>1.47</v>
      </c>
      <c r="X145" s="370"/>
      <c r="Y145" s="39"/>
      <c r="Z145" s="39"/>
      <c r="AA145" s="51"/>
      <c r="AB145" s="51"/>
      <c r="AC145" s="39">
        <f>K145-T145</f>
        <v>0</v>
      </c>
      <c r="AD145" s="39"/>
      <c r="AE145" s="230"/>
      <c r="AF145" s="39"/>
      <c r="AG145" s="39"/>
      <c r="AH145" s="39"/>
      <c r="AI145" s="485"/>
      <c r="AJ145" s="39"/>
      <c r="AK145" s="39"/>
      <c r="AL145" s="39"/>
      <c r="AM145" s="39"/>
      <c r="AN145" s="39"/>
      <c r="AO145" s="39"/>
      <c r="AP145" s="39"/>
      <c r="AQ145" s="39"/>
      <c r="AR145" s="39"/>
      <c r="AS145" s="39"/>
      <c r="AT145" s="39"/>
      <c r="AU145" s="39"/>
      <c r="AV145" s="39"/>
      <c r="AW145" s="39"/>
      <c r="AX145" s="39"/>
      <c r="AY145" s="39"/>
      <c r="AZ145" s="39"/>
      <c r="BA145" s="39"/>
      <c r="BB145" s="35"/>
      <c r="BC145" s="53"/>
      <c r="BD145" s="53"/>
      <c r="BE145" s="53"/>
      <c r="BF145" s="53"/>
    </row>
    <row r="146" spans="1:58" ht="12.95" customHeight="1">
      <c r="A146" s="42"/>
      <c r="B146" s="554"/>
      <c r="C146" s="555"/>
      <c r="D146" s="554"/>
      <c r="E146" s="44"/>
      <c r="F146" s="44"/>
      <c r="G146" s="556"/>
      <c r="H146" s="557"/>
      <c r="I146" s="47"/>
      <c r="J146" s="86"/>
      <c r="K146" s="86"/>
      <c r="L146" s="558"/>
      <c r="M146" s="558"/>
      <c r="N146" s="48"/>
      <c r="O146" s="49"/>
      <c r="P146" s="50"/>
      <c r="Q146" s="49"/>
      <c r="R146" s="559"/>
      <c r="S146" s="559"/>
      <c r="T146" s="39"/>
      <c r="U146" s="39"/>
      <c r="V146" s="39"/>
      <c r="W146" s="39"/>
      <c r="X146" s="370"/>
      <c r="Y146" s="213"/>
      <c r="Z146" s="39"/>
      <c r="AA146" s="39"/>
      <c r="AB146" s="39"/>
      <c r="AC146" s="39"/>
      <c r="AD146" s="39"/>
      <c r="AE146" s="230"/>
      <c r="AF146" s="39"/>
      <c r="AG146" s="39"/>
      <c r="AH146" s="39"/>
      <c r="AI146" s="485"/>
      <c r="AJ146" s="39"/>
      <c r="AK146" s="39"/>
      <c r="AL146" s="39"/>
      <c r="AM146" s="39"/>
      <c r="AN146" s="87"/>
      <c r="AO146" s="39"/>
      <c r="AP146" s="39"/>
      <c r="AQ146" s="39"/>
      <c r="AR146" s="39"/>
      <c r="AS146" s="39"/>
      <c r="AT146" s="39"/>
      <c r="AU146" s="39"/>
      <c r="AV146" s="39"/>
      <c r="AW146" s="39"/>
      <c r="AX146" s="39"/>
      <c r="AY146" s="39"/>
      <c r="AZ146" s="39"/>
      <c r="BA146" s="39"/>
      <c r="BB146" s="52"/>
      <c r="BC146" s="53"/>
      <c r="BD146" s="53"/>
      <c r="BE146" s="53"/>
      <c r="BF146" s="53"/>
    </row>
    <row r="147" spans="1:58" ht="12" customHeight="1">
      <c r="A147" s="42">
        <v>45961</v>
      </c>
      <c r="B147" s="43" t="s">
        <v>460</v>
      </c>
      <c r="C147" s="402">
        <f t="shared" ref="C147" si="222">(M147*E147*O147*Q147)/100000000</f>
        <v>52.552178827200002</v>
      </c>
      <c r="D147" s="43" t="s">
        <v>413</v>
      </c>
      <c r="E147" s="44">
        <v>13.5</v>
      </c>
      <c r="F147" s="44">
        <v>1</v>
      </c>
      <c r="G147" s="415">
        <v>1265</v>
      </c>
      <c r="H147" s="557">
        <f t="shared" ref="H147" si="223">+N147</f>
        <v>0.18368377568935246</v>
      </c>
      <c r="I147" s="47">
        <v>0.88</v>
      </c>
      <c r="J147" s="86">
        <f t="shared" ref="J147" si="224">E147*G147*(1-H147)*1440/1000000*2.74</f>
        <v>55.004190449216161</v>
      </c>
      <c r="K147" s="86">
        <f t="shared" ref="K147" si="225">(IF(G147&lt;L147,L147,G147)*(1-IF(H147&lt;N147,H147,N147))*E147*O147*Q147)/100000000</f>
        <v>52.552178827200002</v>
      </c>
      <c r="L147" s="37">
        <v>1291.0666666666666</v>
      </c>
      <c r="M147" s="37">
        <v>1053.9186666666667</v>
      </c>
      <c r="N147" s="48">
        <f t="shared" ref="N147" si="226">1-(M147/L147)</f>
        <v>0.18368377568935246</v>
      </c>
      <c r="O147" s="49">
        <f>+'Trim Rwd'!H93</f>
        <v>256.5</v>
      </c>
      <c r="P147" s="50">
        <f t="shared" ref="P147" si="227">O147*(Q147-R147-S147)</f>
        <v>283176</v>
      </c>
      <c r="Q147" s="49">
        <v>1440</v>
      </c>
      <c r="R147" s="371">
        <v>315</v>
      </c>
      <c r="S147" s="371">
        <v>21</v>
      </c>
      <c r="T147" s="39">
        <f t="shared" ref="T147" si="228">E147*M147*O147*Q147/100000000</f>
        <v>52.552178827200002</v>
      </c>
      <c r="U147" s="39">
        <f t="shared" ref="U147" si="229">E147*M147*O147*(Q147-R147-S147)/100000000</f>
        <v>40.290003767519998</v>
      </c>
      <c r="V147" s="39">
        <f t="shared" ref="V147" si="230">E147*G147*(1-N147)*O147/100*(R147+S147)/1000000</f>
        <v>12.014601453961994</v>
      </c>
      <c r="W147" s="39">
        <f>+'31'!K21/1000</f>
        <v>39.340000000000003</v>
      </c>
      <c r="X147" s="370">
        <f>SUM(W147:W150)/SUM(K147:K150)</f>
        <v>0.74858932356270591</v>
      </c>
      <c r="Y147" s="39">
        <f>+SUM(RBP!AG3:AG4)</f>
        <v>9.0179999999999989</v>
      </c>
      <c r="Z147" s="39">
        <f>+'31'!D25/1000</f>
        <v>0.76</v>
      </c>
      <c r="AA147" s="51">
        <f>SUM(U147:U150)-SUM(W147:W150)-SUM(Z147:Z150)-SUM(Y147:Y150)</f>
        <v>-8.8279962324800039</v>
      </c>
      <c r="AB147" s="51">
        <f>(SUM(K147:K150)-SUM(W147:W150)-SUM(Y147:Y150)-SUM(Z147:Z150)-SUM(AC147:AC150)-SUM(V147:V150))-AA147</f>
        <v>0.24757360571801001</v>
      </c>
      <c r="AC147" s="39">
        <f>K147-T147</f>
        <v>0</v>
      </c>
      <c r="AD147" s="39">
        <f>+AM147+BA147</f>
        <v>0</v>
      </c>
      <c r="AE147" s="230" t="s">
        <v>418</v>
      </c>
      <c r="AF147" s="39">
        <v>0</v>
      </c>
      <c r="AG147" s="39"/>
      <c r="AH147" s="39"/>
      <c r="AI147" s="485"/>
      <c r="AJ147" s="39"/>
      <c r="AK147" s="39"/>
      <c r="AL147" s="39"/>
      <c r="AM147" s="39">
        <f>SUM(AF147:AL147)+AT147+AV147+AX147</f>
        <v>0</v>
      </c>
      <c r="AN147" s="39"/>
      <c r="AO147" s="39"/>
      <c r="AP147" s="39"/>
      <c r="AQ147" s="39"/>
      <c r="AR147" s="39">
        <f>SUM(AN147:AQ147)</f>
        <v>0</v>
      </c>
      <c r="AS147" s="39"/>
      <c r="AT147" s="39"/>
      <c r="AU147" s="39"/>
      <c r="AV147" s="39"/>
      <c r="AW147" s="39"/>
      <c r="AX147" s="39"/>
      <c r="AY147" s="39"/>
      <c r="AZ147" s="39"/>
      <c r="BA147" s="39">
        <f>+AR147+AS147+AU147+AW147+AY147+AZ147</f>
        <v>0</v>
      </c>
      <c r="BB147" s="35"/>
      <c r="BC147" s="53"/>
      <c r="BD147" s="53"/>
      <c r="BE147" s="35"/>
      <c r="BF147" s="53"/>
    </row>
    <row r="148" spans="1:58" ht="12.95" customHeight="1">
      <c r="A148" s="42"/>
      <c r="B148" s="43"/>
      <c r="C148" s="402"/>
      <c r="D148" s="43"/>
      <c r="E148" s="44"/>
      <c r="F148" s="44"/>
      <c r="G148" s="415"/>
      <c r="H148" s="557"/>
      <c r="I148" s="47"/>
      <c r="J148" s="86"/>
      <c r="K148" s="86"/>
      <c r="L148" s="37"/>
      <c r="M148" s="37"/>
      <c r="N148" s="48"/>
      <c r="O148" s="49"/>
      <c r="P148" s="50"/>
      <c r="Q148" s="49"/>
      <c r="R148" s="371"/>
      <c r="S148" s="371"/>
      <c r="T148" s="39"/>
      <c r="U148" s="39"/>
      <c r="V148" s="39"/>
      <c r="W148" s="39"/>
      <c r="X148" s="40"/>
      <c r="Y148" s="213"/>
      <c r="Z148" s="39"/>
      <c r="AA148" s="39"/>
      <c r="AB148" s="39"/>
      <c r="AC148" s="39"/>
      <c r="AD148" s="39">
        <f t="shared" ref="AD148:AD152" si="231">+AM148+BA148</f>
        <v>3</v>
      </c>
      <c r="AE148" s="230" t="s">
        <v>571</v>
      </c>
      <c r="AF148" s="39"/>
      <c r="AG148" s="39">
        <v>3</v>
      </c>
      <c r="AH148" s="39"/>
      <c r="AI148" s="39"/>
      <c r="AJ148" s="39"/>
      <c r="AK148" s="39"/>
      <c r="AL148" s="39"/>
      <c r="AM148" s="39">
        <f t="shared" ref="AM148:AM149" si="232">SUM(AF148:AL148)+AT148+AV148+AX148</f>
        <v>3</v>
      </c>
      <c r="AN148" s="87"/>
      <c r="AO148" s="39"/>
      <c r="AP148" s="39"/>
      <c r="AQ148" s="39"/>
      <c r="AR148" s="39">
        <f t="shared" ref="AR148:AR149" si="233">SUM(AN148:AQ148)</f>
        <v>0</v>
      </c>
      <c r="AS148" s="39"/>
      <c r="AT148" s="39"/>
      <c r="AU148" s="39"/>
      <c r="AV148" s="39"/>
      <c r="AW148" s="39"/>
      <c r="AX148" s="39"/>
      <c r="AY148" s="39"/>
      <c r="AZ148" s="39"/>
      <c r="BA148" s="39">
        <f t="shared" ref="BA148:BA152" si="234">+AR148+AS148+AU148+AW148+AY148+AZ148</f>
        <v>0</v>
      </c>
      <c r="BB148" s="52"/>
      <c r="BC148" s="53"/>
      <c r="BD148" s="53"/>
      <c r="BE148" s="52"/>
      <c r="BF148" s="53"/>
    </row>
    <row r="149" spans="1:58" ht="12.95" customHeight="1">
      <c r="A149" s="42"/>
      <c r="B149" s="43"/>
      <c r="C149" s="402"/>
      <c r="D149" s="43"/>
      <c r="E149" s="44"/>
      <c r="F149" s="44"/>
      <c r="G149" s="45"/>
      <c r="H149" s="46"/>
      <c r="I149" s="47"/>
      <c r="J149" s="86"/>
      <c r="K149" s="86"/>
      <c r="L149" s="37"/>
      <c r="M149" s="37"/>
      <c r="N149" s="48"/>
      <c r="O149" s="49"/>
      <c r="P149" s="50"/>
      <c r="Q149" s="49"/>
      <c r="R149" s="371"/>
      <c r="S149" s="371"/>
      <c r="T149" s="39"/>
      <c r="U149" s="39"/>
      <c r="V149" s="39"/>
      <c r="W149" s="39"/>
      <c r="X149" s="40"/>
      <c r="Y149" s="213"/>
      <c r="Z149" s="39"/>
      <c r="AA149" s="39"/>
      <c r="AB149" s="39"/>
      <c r="AC149" s="39"/>
      <c r="AD149" s="39">
        <f t="shared" si="231"/>
        <v>12</v>
      </c>
      <c r="AE149" s="230" t="s">
        <v>514</v>
      </c>
      <c r="AF149" s="35"/>
      <c r="AG149" s="35"/>
      <c r="AH149" s="35">
        <v>12</v>
      </c>
      <c r="AI149" s="35"/>
      <c r="AJ149" s="39"/>
      <c r="AK149" s="39"/>
      <c r="AL149" s="39"/>
      <c r="AM149" s="39">
        <f t="shared" si="232"/>
        <v>12</v>
      </c>
      <c r="AN149" s="39"/>
      <c r="AO149" s="39"/>
      <c r="AP149" s="39"/>
      <c r="AQ149" s="39"/>
      <c r="AR149" s="39">
        <f t="shared" si="233"/>
        <v>0</v>
      </c>
      <c r="AS149" s="39"/>
      <c r="AT149" s="39"/>
      <c r="AU149" s="39"/>
      <c r="AV149" s="39"/>
      <c r="AW149" s="39"/>
      <c r="AX149" s="39"/>
      <c r="AY149" s="39"/>
      <c r="AZ149" s="39"/>
      <c r="BA149" s="39">
        <f t="shared" si="234"/>
        <v>0</v>
      </c>
      <c r="BB149" s="35"/>
      <c r="BC149" s="486"/>
      <c r="BD149" s="53"/>
      <c r="BE149" s="35"/>
      <c r="BF149" s="486"/>
    </row>
    <row r="150" spans="1:58" ht="12.95" customHeight="1">
      <c r="A150" s="42"/>
      <c r="B150" s="43"/>
      <c r="C150" s="402"/>
      <c r="D150" s="43"/>
      <c r="E150" s="44"/>
      <c r="F150" s="44"/>
      <c r="G150" s="45"/>
      <c r="H150" s="46"/>
      <c r="I150" s="47"/>
      <c r="J150" s="86"/>
      <c r="K150" s="86"/>
      <c r="L150" s="37"/>
      <c r="M150" s="37"/>
      <c r="N150" s="48"/>
      <c r="O150" s="49"/>
      <c r="P150" s="50"/>
      <c r="Q150" s="49"/>
      <c r="R150" s="371"/>
      <c r="S150" s="371"/>
      <c r="T150" s="39"/>
      <c r="U150" s="39"/>
      <c r="V150" s="39"/>
      <c r="W150" s="39"/>
      <c r="X150" s="40"/>
      <c r="Y150" s="213"/>
      <c r="Z150" s="39"/>
      <c r="AA150" s="39"/>
      <c r="AB150" s="39"/>
      <c r="AC150" s="39"/>
      <c r="AD150" s="39">
        <f t="shared" si="231"/>
        <v>6</v>
      </c>
      <c r="AE150" s="230" t="s">
        <v>804</v>
      </c>
      <c r="AF150" s="35"/>
      <c r="AG150" s="35"/>
      <c r="AH150" s="35"/>
      <c r="AI150" s="35">
        <v>6</v>
      </c>
      <c r="AJ150" s="39"/>
      <c r="AK150" s="39"/>
      <c r="AL150" s="39"/>
      <c r="AM150" s="39">
        <f t="shared" ref="AM150:AM151" si="235">SUM(AF150:AL150)+AT150+AV150+AX150</f>
        <v>6</v>
      </c>
      <c r="AN150" s="39"/>
      <c r="AO150" s="39"/>
      <c r="AP150" s="39"/>
      <c r="AQ150" s="39"/>
      <c r="AR150" s="39">
        <f t="shared" ref="AR150:AR152" si="236">SUM(AN150:AQ150)</f>
        <v>0</v>
      </c>
      <c r="AS150" s="39"/>
      <c r="AT150" s="39"/>
      <c r="AU150" s="39"/>
      <c r="AV150" s="39"/>
      <c r="AW150" s="39"/>
      <c r="AX150" s="39"/>
      <c r="AY150" s="39"/>
      <c r="AZ150" s="39"/>
      <c r="BA150" s="39">
        <f t="shared" si="234"/>
        <v>0</v>
      </c>
      <c r="BB150" s="35"/>
      <c r="BC150" s="486"/>
      <c r="BD150" s="53"/>
      <c r="BE150" s="35"/>
      <c r="BF150" s="486"/>
    </row>
    <row r="151" spans="1:58" ht="12.95" customHeight="1">
      <c r="A151" s="42"/>
      <c r="B151" s="43"/>
      <c r="C151" s="402"/>
      <c r="D151" s="43"/>
      <c r="E151" s="44"/>
      <c r="F151" s="44"/>
      <c r="G151" s="45"/>
      <c r="H151" s="46"/>
      <c r="I151" s="47"/>
      <c r="J151" s="86"/>
      <c r="K151" s="86"/>
      <c r="L151" s="37"/>
      <c r="M151" s="37"/>
      <c r="N151" s="48"/>
      <c r="O151" s="49"/>
      <c r="P151" s="50"/>
      <c r="Q151" s="49"/>
      <c r="R151" s="371"/>
      <c r="S151" s="371"/>
      <c r="T151" s="39"/>
      <c r="U151" s="39"/>
      <c r="V151" s="39"/>
      <c r="W151" s="39"/>
      <c r="X151" s="40"/>
      <c r="Y151" s="213"/>
      <c r="Z151" s="39"/>
      <c r="AA151" s="39"/>
      <c r="AB151" s="39"/>
      <c r="AC151" s="39"/>
      <c r="AD151" s="39">
        <f t="shared" si="231"/>
        <v>285</v>
      </c>
      <c r="AE151" s="230" t="s">
        <v>805</v>
      </c>
      <c r="AF151" s="35"/>
      <c r="AG151" s="35"/>
      <c r="AH151" s="35"/>
      <c r="AI151" s="35"/>
      <c r="AJ151" s="39"/>
      <c r="AK151" s="39"/>
      <c r="AL151" s="39"/>
      <c r="AM151" s="39">
        <f t="shared" si="235"/>
        <v>0</v>
      </c>
      <c r="AN151" s="39">
        <f>315-30</f>
        <v>285</v>
      </c>
      <c r="AO151" s="39"/>
      <c r="AP151" s="39"/>
      <c r="AQ151" s="39"/>
      <c r="AR151" s="39">
        <f t="shared" si="236"/>
        <v>285</v>
      </c>
      <c r="AS151" s="39"/>
      <c r="AT151" s="39"/>
      <c r="AU151" s="39"/>
      <c r="AV151" s="39"/>
      <c r="AW151" s="39"/>
      <c r="AX151" s="39"/>
      <c r="AY151" s="39"/>
      <c r="AZ151" s="39"/>
      <c r="BA151" s="39">
        <f t="shared" si="234"/>
        <v>285</v>
      </c>
      <c r="BB151" s="35"/>
      <c r="BC151" s="486"/>
      <c r="BD151" s="53"/>
      <c r="BE151" s="35"/>
      <c r="BF151" s="486">
        <v>3</v>
      </c>
    </row>
    <row r="152" spans="1:58" ht="12.95" customHeight="1">
      <c r="A152" s="42"/>
      <c r="B152" s="572"/>
      <c r="C152" s="402"/>
      <c r="D152" s="43"/>
      <c r="E152" s="246"/>
      <c r="F152" s="44"/>
      <c r="G152" s="45"/>
      <c r="H152" s="46"/>
      <c r="I152" s="47"/>
      <c r="J152" s="86"/>
      <c r="K152" s="86"/>
      <c r="L152" s="37"/>
      <c r="M152" s="37"/>
      <c r="N152" s="48"/>
      <c r="O152" s="49"/>
      <c r="P152" s="50"/>
      <c r="Q152" s="319"/>
      <c r="R152" s="52"/>
      <c r="S152" s="52"/>
      <c r="T152" s="39"/>
      <c r="U152" s="39"/>
      <c r="V152" s="39"/>
      <c r="W152" s="35"/>
      <c r="X152" s="40"/>
      <c r="Y152" s="40"/>
      <c r="Z152" s="35"/>
      <c r="AA152" s="51"/>
      <c r="AB152" s="51"/>
      <c r="AC152" s="39"/>
      <c r="AD152" s="39">
        <f t="shared" si="231"/>
        <v>30</v>
      </c>
      <c r="AE152" s="22" t="s">
        <v>807</v>
      </c>
      <c r="AF152" s="39"/>
      <c r="AG152" s="39"/>
      <c r="AH152" s="39"/>
      <c r="AI152" s="39"/>
      <c r="AJ152" s="39"/>
      <c r="AK152" s="39"/>
      <c r="AL152" s="39"/>
      <c r="AM152" s="39"/>
      <c r="AN152" s="39"/>
      <c r="AO152" s="39"/>
      <c r="AP152" s="39">
        <v>30</v>
      </c>
      <c r="AQ152" s="39"/>
      <c r="AR152" s="39">
        <f t="shared" si="236"/>
        <v>30</v>
      </c>
      <c r="AS152" s="39"/>
      <c r="AT152" s="39"/>
      <c r="AU152" s="39"/>
      <c r="AV152" s="39"/>
      <c r="AW152" s="39"/>
      <c r="AX152" s="39"/>
      <c r="AY152" s="39"/>
      <c r="AZ152" s="39"/>
      <c r="BA152" s="39">
        <f t="shared" si="234"/>
        <v>30</v>
      </c>
      <c r="BB152" s="35"/>
      <c r="BC152" s="53"/>
      <c r="BD152" s="53"/>
      <c r="BE152" s="53"/>
      <c r="BF152" s="53"/>
    </row>
    <row r="153" spans="1:58" ht="12.95" customHeight="1">
      <c r="A153" s="42"/>
      <c r="B153" s="572"/>
      <c r="C153" s="402"/>
      <c r="D153" s="43"/>
      <c r="E153" s="246"/>
      <c r="F153" s="44"/>
      <c r="G153" s="45"/>
      <c r="H153" s="46"/>
      <c r="I153" s="47"/>
      <c r="J153" s="86"/>
      <c r="K153" s="86"/>
      <c r="L153" s="37"/>
      <c r="M153" s="37"/>
      <c r="N153" s="48"/>
      <c r="O153" s="49"/>
      <c r="P153" s="50"/>
      <c r="Q153" s="319"/>
      <c r="R153" s="52"/>
      <c r="S153" s="52"/>
      <c r="T153" s="39"/>
      <c r="U153" s="39"/>
      <c r="V153" s="39"/>
      <c r="W153" s="35"/>
      <c r="X153" s="40"/>
      <c r="Y153" s="40"/>
      <c r="Z153" s="35"/>
      <c r="AA153" s="51"/>
      <c r="AB153" s="51"/>
      <c r="AC153" s="39"/>
      <c r="AD153" s="39"/>
      <c r="AE153" s="22"/>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5"/>
      <c r="BC153" s="53"/>
      <c r="BD153" s="53"/>
      <c r="BE153" s="53"/>
      <c r="BF153" s="53"/>
    </row>
    <row r="154" spans="1:58" ht="12.95" customHeight="1">
      <c r="A154" s="42"/>
      <c r="B154" s="572"/>
      <c r="C154" s="402"/>
      <c r="D154" s="43"/>
      <c r="E154" s="246"/>
      <c r="F154" s="44"/>
      <c r="G154" s="45"/>
      <c r="H154" s="46"/>
      <c r="I154" s="47"/>
      <c r="J154" s="86"/>
      <c r="K154" s="86"/>
      <c r="L154" s="37"/>
      <c r="M154" s="37"/>
      <c r="N154" s="48"/>
      <c r="O154" s="49"/>
      <c r="P154" s="50"/>
      <c r="Q154" s="319"/>
      <c r="R154" s="52"/>
      <c r="S154" s="52"/>
      <c r="T154" s="39"/>
      <c r="U154" s="39"/>
      <c r="V154" s="39"/>
      <c r="W154" s="35"/>
      <c r="X154" s="40"/>
      <c r="Y154" s="40"/>
      <c r="Z154" s="35"/>
      <c r="AA154" s="51"/>
      <c r="AB154" s="51"/>
      <c r="AC154" s="39"/>
      <c r="AD154" s="39"/>
      <c r="AE154" s="22"/>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5"/>
      <c r="BC154" s="53"/>
      <c r="BD154" s="53"/>
      <c r="BE154" s="53"/>
      <c r="BF154" s="53"/>
    </row>
    <row r="155" spans="1:58" ht="12.95" customHeight="1">
      <c r="A155" s="42"/>
      <c r="B155" s="572"/>
      <c r="C155" s="402"/>
      <c r="D155" s="43"/>
      <c r="E155" s="246"/>
      <c r="F155" s="44"/>
      <c r="G155" s="45"/>
      <c r="H155" s="46"/>
      <c r="I155" s="47"/>
      <c r="J155" s="86"/>
      <c r="K155" s="86"/>
      <c r="L155" s="37"/>
      <c r="M155" s="37"/>
      <c r="N155" s="48"/>
      <c r="O155" s="49"/>
      <c r="P155" s="50"/>
      <c r="Q155" s="319"/>
      <c r="R155" s="52"/>
      <c r="S155" s="52"/>
      <c r="T155" s="39"/>
      <c r="U155" s="39"/>
      <c r="V155" s="39"/>
      <c r="W155" s="35"/>
      <c r="X155" s="40"/>
      <c r="Y155" s="40"/>
      <c r="Z155" s="35"/>
      <c r="AA155" s="51"/>
      <c r="AB155" s="51"/>
      <c r="AC155" s="39"/>
      <c r="AD155" s="39"/>
      <c r="AE155" s="22"/>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5"/>
      <c r="BC155" s="53"/>
      <c r="BD155" s="53"/>
      <c r="BE155" s="53"/>
      <c r="BF155" s="53"/>
    </row>
    <row r="156" spans="1:58" ht="12.95" customHeight="1">
      <c r="A156" s="42"/>
      <c r="B156" s="572"/>
      <c r="C156" s="402"/>
      <c r="D156" s="43"/>
      <c r="E156" s="246"/>
      <c r="F156" s="44"/>
      <c r="G156" s="45"/>
      <c r="H156" s="46"/>
      <c r="I156" s="47"/>
      <c r="J156" s="86"/>
      <c r="K156" s="86"/>
      <c r="L156" s="37"/>
      <c r="M156" s="37"/>
      <c r="N156" s="48"/>
      <c r="O156" s="49"/>
      <c r="P156" s="50"/>
      <c r="Q156" s="319"/>
      <c r="R156" s="52"/>
      <c r="S156" s="52"/>
      <c r="T156" s="39"/>
      <c r="U156" s="39"/>
      <c r="V156" s="39"/>
      <c r="W156" s="35"/>
      <c r="X156" s="40"/>
      <c r="Y156" s="40"/>
      <c r="Z156" s="35"/>
      <c r="AA156" s="51"/>
      <c r="AB156" s="51"/>
      <c r="AC156" s="39"/>
      <c r="AD156" s="39"/>
      <c r="AE156" s="22"/>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5"/>
      <c r="BC156" s="53"/>
      <c r="BD156" s="53"/>
      <c r="BE156" s="53"/>
      <c r="BF156" s="53"/>
    </row>
    <row r="157" spans="1:58" ht="12.95" customHeight="1">
      <c r="A157" s="42"/>
      <c r="B157" s="572"/>
      <c r="C157" s="402"/>
      <c r="D157" s="43"/>
      <c r="E157" s="246"/>
      <c r="F157" s="44"/>
      <c r="G157" s="45"/>
      <c r="H157" s="46"/>
      <c r="I157" s="47"/>
      <c r="J157" s="86"/>
      <c r="K157" s="86"/>
      <c r="L157" s="37"/>
      <c r="M157" s="37"/>
      <c r="N157" s="48"/>
      <c r="O157" s="49"/>
      <c r="P157" s="50"/>
      <c r="Q157" s="319"/>
      <c r="R157" s="52"/>
      <c r="S157" s="52"/>
      <c r="T157" s="39"/>
      <c r="U157" s="39"/>
      <c r="V157" s="39"/>
      <c r="W157" s="35"/>
      <c r="X157" s="40"/>
      <c r="Y157" s="40"/>
      <c r="Z157" s="35"/>
      <c r="AA157" s="51"/>
      <c r="AB157" s="51"/>
      <c r="AC157" s="39"/>
      <c r="AD157" s="39"/>
      <c r="AE157" s="22"/>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5"/>
      <c r="BC157" s="53"/>
      <c r="BD157" s="53"/>
      <c r="BE157" s="53"/>
      <c r="BF157" s="53"/>
    </row>
    <row r="158" spans="1:58" ht="12.95" customHeight="1">
      <c r="A158" s="42"/>
      <c r="B158" s="570"/>
      <c r="C158" s="402"/>
      <c r="D158" s="43"/>
      <c r="E158" s="246"/>
      <c r="F158" s="44"/>
      <c r="G158" s="45"/>
      <c r="H158" s="46"/>
      <c r="I158" s="47"/>
      <c r="J158" s="86"/>
      <c r="K158" s="86"/>
      <c r="L158" s="37"/>
      <c r="M158" s="37"/>
      <c r="N158" s="48"/>
      <c r="O158" s="49"/>
      <c r="P158" s="50"/>
      <c r="Q158" s="319"/>
      <c r="R158" s="52"/>
      <c r="S158" s="52"/>
      <c r="T158" s="39"/>
      <c r="U158" s="39"/>
      <c r="V158" s="39"/>
      <c r="W158" s="35"/>
      <c r="X158" s="40"/>
      <c r="Y158" s="40"/>
      <c r="Z158" s="35"/>
      <c r="AA158" s="51"/>
      <c r="AB158" s="51"/>
      <c r="AC158" s="39"/>
      <c r="AD158" s="39"/>
      <c r="AE158" s="22"/>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5"/>
      <c r="BC158" s="53"/>
      <c r="BD158" s="53"/>
      <c r="BE158" s="53"/>
      <c r="BF158" s="53"/>
    </row>
    <row r="159" spans="1:58" ht="12.95" customHeight="1">
      <c r="A159" s="42"/>
      <c r="B159" s="570"/>
      <c r="C159" s="402"/>
      <c r="D159" s="43"/>
      <c r="E159" s="246"/>
      <c r="F159" s="44"/>
      <c r="G159" s="45"/>
      <c r="H159" s="46"/>
      <c r="I159" s="47"/>
      <c r="J159" s="86"/>
      <c r="K159" s="86"/>
      <c r="L159" s="37"/>
      <c r="M159" s="37"/>
      <c r="N159" s="48"/>
      <c r="O159" s="49"/>
      <c r="P159" s="50"/>
      <c r="Q159" s="319"/>
      <c r="R159" s="52"/>
      <c r="S159" s="52"/>
      <c r="T159" s="39"/>
      <c r="U159" s="39"/>
      <c r="V159" s="39"/>
      <c r="W159" s="35"/>
      <c r="X159" s="40"/>
      <c r="Y159" s="40"/>
      <c r="Z159" s="35"/>
      <c r="AA159" s="51"/>
      <c r="AB159" s="51"/>
      <c r="AC159" s="39"/>
      <c r="AD159" s="39"/>
      <c r="AE159" s="22"/>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5"/>
      <c r="BC159" s="53"/>
      <c r="BD159" s="53"/>
      <c r="BE159" s="53"/>
      <c r="BF159" s="53"/>
    </row>
    <row r="160" spans="1:58" ht="12.95" customHeight="1">
      <c r="A160" s="42"/>
      <c r="B160" s="570"/>
      <c r="C160" s="402"/>
      <c r="D160" s="43"/>
      <c r="E160" s="246"/>
      <c r="F160" s="44"/>
      <c r="G160" s="45"/>
      <c r="H160" s="46"/>
      <c r="I160" s="47"/>
      <c r="J160" s="86"/>
      <c r="K160" s="86"/>
      <c r="L160" s="37"/>
      <c r="M160" s="37"/>
      <c r="N160" s="48"/>
      <c r="O160" s="49"/>
      <c r="P160" s="50"/>
      <c r="Q160" s="319"/>
      <c r="R160" s="52"/>
      <c r="S160" s="52"/>
      <c r="T160" s="39"/>
      <c r="U160" s="39"/>
      <c r="V160" s="39"/>
      <c r="W160" s="35"/>
      <c r="X160" s="40"/>
      <c r="Y160" s="40"/>
      <c r="Z160" s="35"/>
      <c r="AA160" s="51"/>
      <c r="AB160" s="51"/>
      <c r="AC160" s="39"/>
      <c r="AD160" s="39"/>
      <c r="AE160" s="22"/>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5"/>
      <c r="BC160" s="53"/>
      <c r="BD160" s="53"/>
      <c r="BE160" s="53"/>
      <c r="BF160" s="53"/>
    </row>
    <row r="161" spans="1:58" ht="12.95" customHeight="1">
      <c r="A161" s="42"/>
      <c r="B161" s="570"/>
      <c r="C161" s="402"/>
      <c r="D161" s="43"/>
      <c r="E161" s="246"/>
      <c r="F161" s="44"/>
      <c r="G161" s="45"/>
      <c r="H161" s="46"/>
      <c r="I161" s="47"/>
      <c r="J161" s="86"/>
      <c r="K161" s="86"/>
      <c r="L161" s="37"/>
      <c r="M161" s="37"/>
      <c r="N161" s="48"/>
      <c r="O161" s="49"/>
      <c r="P161" s="50"/>
      <c r="Q161" s="319"/>
      <c r="R161" s="52"/>
      <c r="S161" s="52"/>
      <c r="T161" s="39"/>
      <c r="U161" s="39"/>
      <c r="V161" s="39"/>
      <c r="W161" s="35"/>
      <c r="X161" s="40"/>
      <c r="Y161" s="40"/>
      <c r="Z161" s="35"/>
      <c r="AA161" s="51"/>
      <c r="AB161" s="51"/>
      <c r="AC161" s="39"/>
      <c r="AD161" s="39"/>
      <c r="AE161" s="22"/>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5"/>
      <c r="BC161" s="53"/>
      <c r="BD161" s="53"/>
      <c r="BE161" s="53"/>
      <c r="BF161" s="53"/>
    </row>
    <row r="162" spans="1:58" ht="12.95" customHeight="1">
      <c r="A162" s="42"/>
      <c r="B162" s="570"/>
      <c r="C162" s="402"/>
      <c r="D162" s="43"/>
      <c r="E162" s="246"/>
      <c r="F162" s="44"/>
      <c r="G162" s="45"/>
      <c r="H162" s="46"/>
      <c r="I162" s="47"/>
      <c r="J162" s="86"/>
      <c r="K162" s="86"/>
      <c r="L162" s="37"/>
      <c r="M162" s="37"/>
      <c r="N162" s="48"/>
      <c r="O162" s="49"/>
      <c r="P162" s="50"/>
      <c r="Q162" s="319"/>
      <c r="R162" s="52"/>
      <c r="S162" s="52"/>
      <c r="T162" s="39"/>
      <c r="U162" s="39"/>
      <c r="V162" s="39"/>
      <c r="W162" s="35"/>
      <c r="X162" s="40"/>
      <c r="Y162" s="40"/>
      <c r="Z162" s="35"/>
      <c r="AA162" s="51"/>
      <c r="AB162" s="51"/>
      <c r="AC162" s="39"/>
      <c r="AD162" s="39"/>
      <c r="AE162" s="22"/>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5"/>
      <c r="BC162" s="53"/>
      <c r="BD162" s="53"/>
      <c r="BE162" s="53"/>
      <c r="BF162" s="53"/>
    </row>
    <row r="163" spans="1:58" ht="12.95" customHeight="1">
      <c r="A163" s="42"/>
      <c r="B163" s="570"/>
      <c r="C163" s="402"/>
      <c r="D163" s="43"/>
      <c r="E163" s="246"/>
      <c r="F163" s="44"/>
      <c r="G163" s="45"/>
      <c r="H163" s="46"/>
      <c r="I163" s="47"/>
      <c r="J163" s="86"/>
      <c r="K163" s="86"/>
      <c r="L163" s="37"/>
      <c r="M163" s="37"/>
      <c r="N163" s="48"/>
      <c r="O163" s="49"/>
      <c r="P163" s="50"/>
      <c r="Q163" s="319"/>
      <c r="R163" s="52"/>
      <c r="S163" s="52"/>
      <c r="T163" s="39"/>
      <c r="U163" s="39"/>
      <c r="V163" s="39"/>
      <c r="W163" s="35"/>
      <c r="X163" s="40"/>
      <c r="Y163" s="40"/>
      <c r="Z163" s="35"/>
      <c r="AA163" s="51"/>
      <c r="AB163" s="51"/>
      <c r="AC163" s="39"/>
      <c r="AD163" s="39"/>
      <c r="AE163" s="22"/>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5"/>
      <c r="BC163" s="53"/>
      <c r="BD163" s="53"/>
      <c r="BE163" s="53"/>
      <c r="BF163" s="53"/>
    </row>
    <row r="164" spans="1:58" ht="12.95" customHeight="1">
      <c r="A164" s="42"/>
      <c r="B164" s="570"/>
      <c r="C164" s="402"/>
      <c r="D164" s="43"/>
      <c r="E164" s="246"/>
      <c r="F164" s="44"/>
      <c r="G164" s="45"/>
      <c r="H164" s="46"/>
      <c r="I164" s="47"/>
      <c r="J164" s="86"/>
      <c r="K164" s="86"/>
      <c r="L164" s="37"/>
      <c r="M164" s="37"/>
      <c r="N164" s="48"/>
      <c r="O164" s="49"/>
      <c r="P164" s="50"/>
      <c r="Q164" s="319"/>
      <c r="R164" s="52"/>
      <c r="S164" s="52"/>
      <c r="T164" s="39"/>
      <c r="U164" s="39"/>
      <c r="V164" s="39"/>
      <c r="W164" s="35"/>
      <c r="X164" s="40"/>
      <c r="Y164" s="40"/>
      <c r="Z164" s="35"/>
      <c r="AA164" s="51"/>
      <c r="AB164" s="51"/>
      <c r="AC164" s="39"/>
      <c r="AD164" s="39"/>
      <c r="AE164" s="22"/>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5"/>
      <c r="BC164" s="53"/>
      <c r="BD164" s="53"/>
      <c r="BE164" s="53"/>
      <c r="BF164" s="53"/>
    </row>
    <row r="165" spans="1:58" ht="12.95" customHeight="1">
      <c r="A165" s="42"/>
      <c r="B165" s="570"/>
      <c r="C165" s="402"/>
      <c r="D165" s="43"/>
      <c r="E165" s="246"/>
      <c r="F165" s="44"/>
      <c r="G165" s="45"/>
      <c r="H165" s="46"/>
      <c r="I165" s="47"/>
      <c r="J165" s="86"/>
      <c r="K165" s="86"/>
      <c r="L165" s="37"/>
      <c r="M165" s="37"/>
      <c r="N165" s="48"/>
      <c r="O165" s="49"/>
      <c r="P165" s="50"/>
      <c r="Q165" s="319"/>
      <c r="R165" s="52"/>
      <c r="S165" s="52"/>
      <c r="T165" s="39"/>
      <c r="U165" s="39"/>
      <c r="V165" s="39"/>
      <c r="W165" s="35"/>
      <c r="X165" s="40"/>
      <c r="Y165" s="40"/>
      <c r="Z165" s="35"/>
      <c r="AA165" s="51"/>
      <c r="AB165" s="51"/>
      <c r="AC165" s="39"/>
      <c r="AD165" s="39"/>
      <c r="AE165" s="22"/>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5"/>
      <c r="BC165" s="53"/>
      <c r="BD165" s="53"/>
      <c r="BE165" s="53"/>
      <c r="BF165" s="53"/>
    </row>
    <row r="166" spans="1:58" ht="12.95" customHeight="1">
      <c r="A166" s="42"/>
      <c r="B166" s="521"/>
      <c r="C166" s="402"/>
      <c r="D166" s="43"/>
      <c r="E166" s="246"/>
      <c r="F166" s="44"/>
      <c r="G166" s="45"/>
      <c r="H166" s="46"/>
      <c r="I166" s="47"/>
      <c r="J166" s="86"/>
      <c r="K166" s="86"/>
      <c r="L166" s="37"/>
      <c r="M166" s="37"/>
      <c r="N166" s="48"/>
      <c r="O166" s="49"/>
      <c r="P166" s="50"/>
      <c r="Q166" s="319"/>
      <c r="R166" s="52"/>
      <c r="S166" s="52"/>
      <c r="T166" s="39"/>
      <c r="U166" s="39"/>
      <c r="V166" s="39"/>
      <c r="W166" s="35"/>
      <c r="X166" s="40"/>
      <c r="Y166" s="40"/>
      <c r="Z166" s="35"/>
      <c r="AA166" s="51"/>
      <c r="AB166" s="51"/>
      <c r="AC166" s="39"/>
      <c r="AD166" s="39"/>
      <c r="AE166" s="22"/>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5"/>
      <c r="BC166" s="53"/>
      <c r="BD166" s="53"/>
      <c r="BE166" s="53"/>
      <c r="BF166" s="53"/>
    </row>
    <row r="167" spans="1:58" ht="12.95" customHeight="1">
      <c r="A167" s="42"/>
      <c r="B167" s="521"/>
      <c r="C167" s="402"/>
      <c r="D167" s="43"/>
      <c r="E167" s="246"/>
      <c r="F167" s="44"/>
      <c r="G167" s="45"/>
      <c r="H167" s="46"/>
      <c r="I167" s="47"/>
      <c r="J167" s="86"/>
      <c r="K167" s="86"/>
      <c r="L167" s="37"/>
      <c r="M167" s="37"/>
      <c r="N167" s="48"/>
      <c r="O167" s="49"/>
      <c r="P167" s="50"/>
      <c r="Q167" s="319"/>
      <c r="R167" s="52"/>
      <c r="S167" s="52"/>
      <c r="T167" s="39"/>
      <c r="U167" s="39"/>
      <c r="V167" s="39"/>
      <c r="W167" s="35"/>
      <c r="X167" s="40"/>
      <c r="Y167" s="40"/>
      <c r="Z167" s="35"/>
      <c r="AA167" s="51"/>
      <c r="AB167" s="51"/>
      <c r="AC167" s="39"/>
      <c r="AD167" s="39"/>
      <c r="AE167" s="22"/>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5"/>
      <c r="BC167" s="53"/>
      <c r="BD167" s="53"/>
      <c r="BE167" s="53"/>
      <c r="BF167" s="53"/>
    </row>
    <row r="168" spans="1:58" ht="12.95" customHeight="1">
      <c r="A168" s="42"/>
      <c r="B168" s="521"/>
      <c r="C168" s="402"/>
      <c r="D168" s="43"/>
      <c r="E168" s="246"/>
      <c r="F168" s="44"/>
      <c r="G168" s="45"/>
      <c r="H168" s="46"/>
      <c r="I168" s="47"/>
      <c r="J168" s="86"/>
      <c r="K168" s="86"/>
      <c r="L168" s="37"/>
      <c r="M168" s="37"/>
      <c r="N168" s="48"/>
      <c r="O168" s="49"/>
      <c r="P168" s="50"/>
      <c r="Q168" s="319"/>
      <c r="R168" s="52"/>
      <c r="S168" s="52"/>
      <c r="T168" s="39"/>
      <c r="U168" s="39"/>
      <c r="V168" s="39"/>
      <c r="W168" s="35"/>
      <c r="X168" s="40"/>
      <c r="Y168" s="40"/>
      <c r="Z168" s="35"/>
      <c r="AA168" s="51"/>
      <c r="AB168" s="51"/>
      <c r="AC168" s="39"/>
      <c r="AD168" s="39"/>
      <c r="AE168" s="22"/>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5"/>
      <c r="BC168" s="53"/>
      <c r="BD168" s="53"/>
      <c r="BE168" s="53"/>
      <c r="BF168" s="53"/>
    </row>
    <row r="169" spans="1:58" ht="12.95" customHeight="1">
      <c r="A169" s="42"/>
      <c r="B169" s="521"/>
      <c r="C169" s="402"/>
      <c r="D169" s="43"/>
      <c r="E169" s="246"/>
      <c r="F169" s="44"/>
      <c r="G169" s="45"/>
      <c r="H169" s="46"/>
      <c r="I169" s="47"/>
      <c r="J169" s="86"/>
      <c r="K169" s="86"/>
      <c r="L169" s="37"/>
      <c r="M169" s="37"/>
      <c r="N169" s="48"/>
      <c r="O169" s="49"/>
      <c r="P169" s="50"/>
      <c r="Q169" s="319"/>
      <c r="R169" s="52"/>
      <c r="S169" s="52"/>
      <c r="T169" s="39"/>
      <c r="U169" s="39"/>
      <c r="V169" s="39"/>
      <c r="W169" s="35"/>
      <c r="X169" s="40"/>
      <c r="Y169" s="40"/>
      <c r="Z169" s="35"/>
      <c r="AA169" s="51"/>
      <c r="AB169" s="51"/>
      <c r="AC169" s="39"/>
      <c r="AD169" s="39"/>
      <c r="AE169" s="22"/>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5"/>
      <c r="BC169" s="53"/>
      <c r="BD169" s="53"/>
      <c r="BE169" s="53"/>
      <c r="BF169" s="53"/>
    </row>
    <row r="170" spans="1:58" ht="12.95" customHeight="1">
      <c r="A170" s="42"/>
      <c r="B170" s="521"/>
      <c r="C170" s="402"/>
      <c r="D170" s="43"/>
      <c r="E170" s="246"/>
      <c r="F170" s="44"/>
      <c r="G170" s="45"/>
      <c r="H170" s="46"/>
      <c r="I170" s="47"/>
      <c r="J170" s="86"/>
      <c r="K170" s="86"/>
      <c r="L170" s="37"/>
      <c r="M170" s="37"/>
      <c r="N170" s="48"/>
      <c r="O170" s="49"/>
      <c r="P170" s="50"/>
      <c r="Q170" s="319"/>
      <c r="R170" s="52"/>
      <c r="S170" s="52"/>
      <c r="T170" s="39"/>
      <c r="U170" s="39"/>
      <c r="V170" s="39"/>
      <c r="W170" s="35"/>
      <c r="X170" s="40"/>
      <c r="Y170" s="40"/>
      <c r="Z170" s="35"/>
      <c r="AA170" s="51"/>
      <c r="AB170" s="51"/>
      <c r="AC170" s="39"/>
      <c r="AD170" s="39"/>
      <c r="AE170" s="22"/>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5"/>
      <c r="BC170" s="53"/>
      <c r="BD170" s="53"/>
      <c r="BE170" s="53"/>
      <c r="BF170" s="53"/>
    </row>
    <row r="171" spans="1:58" ht="12.95" customHeight="1">
      <c r="A171" s="42"/>
      <c r="B171" s="521"/>
      <c r="C171" s="402"/>
      <c r="D171" s="43"/>
      <c r="E171" s="44"/>
      <c r="F171" s="44"/>
      <c r="G171" s="45"/>
      <c r="H171" s="46"/>
      <c r="I171" s="47"/>
      <c r="J171" s="86"/>
      <c r="K171" s="86"/>
      <c r="L171" s="37"/>
      <c r="M171" s="37"/>
      <c r="N171" s="48"/>
      <c r="O171" s="49"/>
      <c r="P171" s="50"/>
      <c r="Q171" s="36"/>
      <c r="R171" s="371"/>
      <c r="S171" s="371"/>
      <c r="T171" s="39"/>
      <c r="U171" s="39"/>
      <c r="V171" s="39"/>
      <c r="W171" s="39"/>
      <c r="X171" s="40"/>
      <c r="Y171" s="40"/>
      <c r="Z171" s="39"/>
      <c r="AA171" s="51"/>
      <c r="AB171" s="51"/>
      <c r="AC171" s="39"/>
      <c r="AD171" s="39"/>
      <c r="AE171" s="22"/>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5"/>
      <c r="BC171" s="53"/>
      <c r="BD171" s="53"/>
      <c r="BE171" s="53"/>
      <c r="BF171" s="53"/>
    </row>
    <row r="172" spans="1:58" ht="12.95" customHeight="1">
      <c r="A172" s="42"/>
      <c r="B172" s="521"/>
      <c r="C172" s="402"/>
      <c r="D172" s="43"/>
      <c r="E172" s="246"/>
      <c r="F172" s="44"/>
      <c r="G172" s="45"/>
      <c r="H172" s="46"/>
      <c r="I172" s="47"/>
      <c r="J172" s="86"/>
      <c r="K172" s="86"/>
      <c r="L172" s="37"/>
      <c r="M172" s="37"/>
      <c r="N172" s="48"/>
      <c r="O172" s="49"/>
      <c r="P172" s="50"/>
      <c r="Q172" s="319"/>
      <c r="R172" s="52"/>
      <c r="S172" s="52"/>
      <c r="T172" s="39"/>
      <c r="U172" s="39"/>
      <c r="V172" s="39"/>
      <c r="W172" s="35"/>
      <c r="X172" s="40"/>
      <c r="Y172" s="40"/>
      <c r="Z172" s="35"/>
      <c r="AA172" s="51"/>
      <c r="AB172" s="51"/>
      <c r="AC172" s="39"/>
      <c r="AD172" s="39"/>
      <c r="AE172" s="22"/>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5"/>
      <c r="BC172" s="53"/>
      <c r="BD172" s="53"/>
      <c r="BE172" s="53"/>
      <c r="BF172" s="53"/>
    </row>
    <row r="173" spans="1:58" ht="12.95" customHeight="1">
      <c r="A173" s="42"/>
      <c r="B173" s="521"/>
      <c r="C173" s="402"/>
      <c r="D173" s="43"/>
      <c r="E173" s="246"/>
      <c r="F173" s="44"/>
      <c r="G173" s="45"/>
      <c r="H173" s="46"/>
      <c r="I173" s="47"/>
      <c r="J173" s="86"/>
      <c r="K173" s="86"/>
      <c r="L173" s="37"/>
      <c r="M173" s="37"/>
      <c r="N173" s="48"/>
      <c r="O173" s="49"/>
      <c r="P173" s="50"/>
      <c r="Q173" s="319"/>
      <c r="R173" s="52"/>
      <c r="S173" s="52"/>
      <c r="T173" s="39"/>
      <c r="U173" s="39"/>
      <c r="V173" s="39"/>
      <c r="W173" s="35"/>
      <c r="X173" s="40"/>
      <c r="Y173" s="40"/>
      <c r="Z173" s="35"/>
      <c r="AA173" s="51"/>
      <c r="AB173" s="51"/>
      <c r="AC173" s="39"/>
      <c r="AD173" s="39"/>
      <c r="AE173" s="22"/>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5"/>
      <c r="BC173" s="53"/>
      <c r="BD173" s="53"/>
      <c r="BE173" s="53"/>
      <c r="BF173" s="53"/>
    </row>
    <row r="174" spans="1:58" ht="12.95" customHeight="1">
      <c r="A174" s="42"/>
      <c r="B174" s="521"/>
      <c r="C174" s="402"/>
      <c r="D174" s="43"/>
      <c r="E174" s="246"/>
      <c r="F174" s="44"/>
      <c r="G174" s="45"/>
      <c r="H174" s="46"/>
      <c r="I174" s="47"/>
      <c r="J174" s="86"/>
      <c r="K174" s="86"/>
      <c r="L174" s="37"/>
      <c r="M174" s="37"/>
      <c r="N174" s="48"/>
      <c r="O174" s="49"/>
      <c r="P174" s="50"/>
      <c r="Q174" s="319"/>
      <c r="R174" s="52"/>
      <c r="S174" s="52"/>
      <c r="T174" s="39"/>
      <c r="U174" s="39"/>
      <c r="V174" s="39"/>
      <c r="W174" s="35"/>
      <c r="X174" s="40"/>
      <c r="Y174" s="40"/>
      <c r="Z174" s="35"/>
      <c r="AA174" s="51"/>
      <c r="AB174" s="51"/>
      <c r="AC174" s="39"/>
      <c r="AD174" s="39"/>
      <c r="AE174" s="22"/>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5"/>
      <c r="BC174" s="53"/>
      <c r="BD174" s="53"/>
      <c r="BE174" s="53"/>
      <c r="BF174" s="53"/>
    </row>
    <row r="175" spans="1:58" ht="12.95" customHeight="1">
      <c r="A175" s="42"/>
      <c r="B175" s="521"/>
      <c r="C175" s="402"/>
      <c r="D175" s="43"/>
      <c r="E175" s="44"/>
      <c r="F175" s="44"/>
      <c r="G175" s="45"/>
      <c r="H175" s="46"/>
      <c r="I175" s="47"/>
      <c r="J175" s="86"/>
      <c r="K175" s="86"/>
      <c r="L175" s="37"/>
      <c r="M175" s="37"/>
      <c r="N175" s="48"/>
      <c r="O175" s="49"/>
      <c r="P175" s="50"/>
      <c r="Q175" s="36"/>
      <c r="R175" s="371"/>
      <c r="S175" s="371"/>
      <c r="T175" s="39"/>
      <c r="U175" s="39"/>
      <c r="V175" s="39"/>
      <c r="W175" s="39"/>
      <c r="X175" s="40"/>
      <c r="Y175" s="40"/>
      <c r="Z175" s="39"/>
      <c r="AA175" s="51"/>
      <c r="AB175" s="51"/>
      <c r="AC175" s="39"/>
      <c r="AD175" s="39"/>
      <c r="AE175" s="22"/>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5"/>
      <c r="BC175" s="53"/>
      <c r="BD175" s="53"/>
      <c r="BE175" s="53"/>
      <c r="BF175" s="53"/>
    </row>
    <row r="176" spans="1:58" ht="12.95" customHeight="1">
      <c r="A176" s="42"/>
      <c r="B176" s="521"/>
      <c r="C176" s="402"/>
      <c r="D176" s="43"/>
      <c r="E176" s="44"/>
      <c r="F176" s="44"/>
      <c r="G176" s="45"/>
      <c r="H176" s="46"/>
      <c r="I176" s="47"/>
      <c r="J176" s="86"/>
      <c r="K176" s="86"/>
      <c r="L176" s="37"/>
      <c r="M176" s="37"/>
      <c r="N176" s="48"/>
      <c r="O176" s="49"/>
      <c r="P176" s="50"/>
      <c r="Q176" s="36"/>
      <c r="R176" s="371"/>
      <c r="S176" s="371"/>
      <c r="T176" s="39"/>
      <c r="U176" s="39"/>
      <c r="V176" s="39"/>
      <c r="W176" s="39"/>
      <c r="X176" s="40"/>
      <c r="Y176" s="40"/>
      <c r="Z176" s="39"/>
      <c r="AA176" s="51"/>
      <c r="AB176" s="51"/>
      <c r="AC176" s="39"/>
      <c r="AD176" s="39"/>
      <c r="AE176" s="22"/>
      <c r="AF176" s="39"/>
      <c r="AG176" s="39"/>
      <c r="AH176" s="39"/>
      <c r="AI176" s="39"/>
      <c r="AJ176" s="39"/>
      <c r="AK176" s="39"/>
      <c r="AL176" s="39"/>
      <c r="AM176" s="39">
        <f t="shared" ref="AM176:AM179" si="237">SUM(AF176:AL176)</f>
        <v>0</v>
      </c>
      <c r="AN176" s="39"/>
      <c r="AO176" s="39"/>
      <c r="AP176" s="39"/>
      <c r="AQ176" s="39"/>
      <c r="AR176" s="39">
        <f t="shared" ref="AR176:AR179" si="238">SUM(AN176:AQ176)</f>
        <v>0</v>
      </c>
      <c r="AS176" s="39"/>
      <c r="AT176" s="39"/>
      <c r="AU176" s="39"/>
      <c r="AV176" s="39"/>
      <c r="AW176" s="39"/>
      <c r="AX176" s="39"/>
      <c r="AY176" s="39"/>
      <c r="AZ176" s="39"/>
      <c r="BA176" s="39"/>
      <c r="BB176" s="35"/>
      <c r="BC176" s="53"/>
      <c r="BD176" s="53"/>
      <c r="BE176" s="53"/>
      <c r="BF176" s="53"/>
    </row>
    <row r="177" spans="1:97" ht="12.95" customHeight="1">
      <c r="A177" s="42"/>
      <c r="B177" s="43"/>
      <c r="C177" s="402"/>
      <c r="D177" s="43"/>
      <c r="E177" s="44"/>
      <c r="F177" s="44"/>
      <c r="G177" s="55"/>
      <c r="H177" s="56"/>
      <c r="I177" s="47"/>
      <c r="J177" s="86"/>
      <c r="K177" s="86"/>
      <c r="L177" s="37"/>
      <c r="M177" s="37"/>
      <c r="N177" s="48"/>
      <c r="O177" s="49"/>
      <c r="P177" s="50"/>
      <c r="Q177" s="319"/>
      <c r="R177" s="52"/>
      <c r="S177" s="52"/>
      <c r="T177" s="39"/>
      <c r="U177" s="39"/>
      <c r="V177" s="39"/>
      <c r="W177" s="35"/>
      <c r="X177" s="40"/>
      <c r="Y177" s="40"/>
      <c r="Z177" s="35"/>
      <c r="AA177" s="51"/>
      <c r="AB177" s="51"/>
      <c r="AC177" s="39"/>
      <c r="AD177" s="39"/>
      <c r="AE177" s="22"/>
      <c r="AF177" s="39"/>
      <c r="AG177" s="39"/>
      <c r="AH177" s="39"/>
      <c r="AI177" s="39"/>
      <c r="AJ177" s="39"/>
      <c r="AK177" s="39"/>
      <c r="AL177" s="39"/>
      <c r="AM177" s="39">
        <f t="shared" si="237"/>
        <v>0</v>
      </c>
      <c r="AN177" s="39"/>
      <c r="AO177" s="39"/>
      <c r="AP177" s="39"/>
      <c r="AQ177" s="39"/>
      <c r="AR177" s="39">
        <f t="shared" si="238"/>
        <v>0</v>
      </c>
      <c r="AS177" s="39"/>
      <c r="AT177" s="39"/>
      <c r="AU177" s="39"/>
      <c r="AV177" s="39"/>
      <c r="AW177" s="39"/>
      <c r="AX177" s="39"/>
      <c r="AY177" s="39"/>
      <c r="AZ177" s="39"/>
      <c r="BA177" s="39"/>
      <c r="BB177" s="35"/>
      <c r="BC177" s="53"/>
      <c r="BD177" s="53"/>
      <c r="BE177" s="53"/>
      <c r="BF177" s="53"/>
    </row>
    <row r="178" spans="1:97" ht="12.95" customHeight="1">
      <c r="A178" s="42"/>
      <c r="B178" s="43"/>
      <c r="C178" s="402"/>
      <c r="D178" s="43"/>
      <c r="E178" s="44"/>
      <c r="F178" s="44"/>
      <c r="G178" s="55"/>
      <c r="H178" s="56"/>
      <c r="I178" s="47"/>
      <c r="J178" s="86"/>
      <c r="K178" s="86"/>
      <c r="L178" s="37"/>
      <c r="M178" s="37"/>
      <c r="N178" s="48"/>
      <c r="O178" s="49"/>
      <c r="P178" s="50"/>
      <c r="Q178" s="319"/>
      <c r="R178" s="52"/>
      <c r="S178" s="52"/>
      <c r="T178" s="39"/>
      <c r="U178" s="39"/>
      <c r="V178" s="39"/>
      <c r="W178" s="35"/>
      <c r="X178" s="40"/>
      <c r="Y178" s="40"/>
      <c r="Z178" s="35"/>
      <c r="AA178" s="51">
        <f>U178-W178-Z178</f>
        <v>0</v>
      </c>
      <c r="AB178" s="51"/>
      <c r="AC178" s="39">
        <f>K178-T178</f>
        <v>0</v>
      </c>
      <c r="AD178" s="39"/>
      <c r="AE178" s="487"/>
      <c r="AF178" s="39"/>
      <c r="AG178" s="39"/>
      <c r="AH178" s="39"/>
      <c r="AI178" s="39"/>
      <c r="AJ178" s="39"/>
      <c r="AK178" s="39"/>
      <c r="AL178" s="39"/>
      <c r="AM178" s="39">
        <f t="shared" si="237"/>
        <v>0</v>
      </c>
      <c r="AN178" s="39"/>
      <c r="AO178" s="39"/>
      <c r="AP178" s="39"/>
      <c r="AQ178" s="39"/>
      <c r="AR178" s="39">
        <f t="shared" si="238"/>
        <v>0</v>
      </c>
      <c r="AS178" s="39"/>
      <c r="AT178" s="39"/>
      <c r="AU178" s="39"/>
      <c r="AV178" s="39"/>
      <c r="AW178" s="39"/>
      <c r="AX178" s="39"/>
      <c r="AY178" s="39"/>
      <c r="AZ178" s="39"/>
      <c r="BA178" s="39"/>
      <c r="BB178" s="35"/>
      <c r="BC178" s="53"/>
      <c r="BD178" s="53"/>
      <c r="BE178" s="53"/>
      <c r="BF178" s="53"/>
    </row>
    <row r="179" spans="1:97" ht="12.95" customHeight="1">
      <c r="R179" s="372"/>
      <c r="S179" s="372"/>
      <c r="AA179" s="247">
        <f>U179-W179-Z179</f>
        <v>0</v>
      </c>
      <c r="AB179" s="247"/>
      <c r="AC179" s="248">
        <f>K179-T179</f>
        <v>0</v>
      </c>
      <c r="AD179" s="39"/>
      <c r="AF179" s="54"/>
      <c r="AG179" s="54"/>
      <c r="AH179" s="54"/>
      <c r="AI179" s="54"/>
      <c r="AJ179" s="54"/>
      <c r="AK179" s="54"/>
      <c r="AL179" s="54"/>
      <c r="AM179" s="39">
        <f t="shared" si="237"/>
        <v>0</v>
      </c>
      <c r="AN179" s="54"/>
      <c r="AO179" s="54"/>
      <c r="AP179" s="54"/>
      <c r="AQ179" s="54"/>
      <c r="AR179" s="39">
        <f t="shared" si="238"/>
        <v>0</v>
      </c>
      <c r="AS179" s="54"/>
      <c r="AT179" s="54"/>
      <c r="AU179" s="54"/>
      <c r="AV179" s="54"/>
      <c r="AW179" s="54"/>
      <c r="AX179" s="54"/>
      <c r="AY179" s="54"/>
      <c r="AZ179" s="54"/>
      <c r="BA179" s="39"/>
      <c r="BB179" s="67"/>
      <c r="BC179" s="67"/>
      <c r="BD179" s="53"/>
      <c r="BE179" s="53"/>
      <c r="BF179" s="53"/>
    </row>
    <row r="180" spans="1:97" ht="12.95" customHeight="1">
      <c r="A180" s="60"/>
      <c r="B180" s="61"/>
      <c r="C180" s="403">
        <f>SUM(C6:C178)</f>
        <v>1098.8955484957041</v>
      </c>
      <c r="D180" s="61"/>
      <c r="E180" s="62"/>
      <c r="F180" s="62"/>
      <c r="G180" s="63"/>
      <c r="H180" s="63"/>
      <c r="I180" s="64">
        <v>0.85</v>
      </c>
      <c r="J180" s="86"/>
      <c r="K180" s="88">
        <f>SUM(K6:K178)</f>
        <v>1133.7088892408951</v>
      </c>
      <c r="L180" s="66"/>
      <c r="M180" s="66"/>
      <c r="N180" s="67"/>
      <c r="O180" s="68">
        <f>P180/(Q180-R180-S180)</f>
        <v>257.48234766858883</v>
      </c>
      <c r="P180" s="65">
        <f>SUM(P6:P178)</f>
        <v>7798625.3461862179</v>
      </c>
      <c r="Q180" s="321">
        <f>SUM(Q6:Q179)</f>
        <v>32735</v>
      </c>
      <c r="R180" s="65">
        <f t="shared" ref="R180:W180" si="239">SUM(R6:R178)</f>
        <v>1130</v>
      </c>
      <c r="S180" s="65">
        <f t="shared" si="239"/>
        <v>1317</v>
      </c>
      <c r="T180" s="65">
        <f t="shared" si="239"/>
        <v>1098.8955484957041</v>
      </c>
      <c r="U180" s="65">
        <f t="shared" si="239"/>
        <v>1017.4473989821663</v>
      </c>
      <c r="V180" s="346">
        <f t="shared" si="239"/>
        <v>85.138184042251396</v>
      </c>
      <c r="W180" s="418">
        <f t="shared" si="239"/>
        <v>904.63800000000003</v>
      </c>
      <c r="X180" s="488">
        <f>W180/K180</f>
        <v>0.79794558249051428</v>
      </c>
      <c r="Y180" s="347">
        <f>SUM(Y6:Y178)</f>
        <v>9.0179999999999989</v>
      </c>
      <c r="Z180" s="418">
        <f>SUM(Z6:Z178)</f>
        <v>6.2119999999999997</v>
      </c>
      <c r="AA180" s="65">
        <f>SUM(AA6:AA178)</f>
        <v>97.579398982166154</v>
      </c>
      <c r="AB180" s="65">
        <f>SUM(AB6:AB178)</f>
        <v>-3.6900345287130483</v>
      </c>
      <c r="AC180" s="65">
        <f>SUM(AC6:AC178)</f>
        <v>34.813340745191113</v>
      </c>
      <c r="AD180" s="39">
        <f>SUM(AD6:AD179)</f>
        <v>2447</v>
      </c>
      <c r="AE180" s="69"/>
      <c r="AF180" s="65">
        <f t="shared" ref="AF180:BA180" si="240">SUM(AF6:AF179)</f>
        <v>255</v>
      </c>
      <c r="AG180" s="65">
        <f t="shared" si="240"/>
        <v>303</v>
      </c>
      <c r="AH180" s="65">
        <f t="shared" si="240"/>
        <v>729</v>
      </c>
      <c r="AI180" s="65">
        <f t="shared" si="240"/>
        <v>6</v>
      </c>
      <c r="AJ180" s="65">
        <f t="shared" si="240"/>
        <v>0</v>
      </c>
      <c r="AK180" s="65">
        <f t="shared" si="240"/>
        <v>10</v>
      </c>
      <c r="AL180" s="65">
        <f t="shared" si="240"/>
        <v>0</v>
      </c>
      <c r="AM180" s="65">
        <f t="shared" si="240"/>
        <v>1317</v>
      </c>
      <c r="AN180" s="54">
        <f t="shared" si="240"/>
        <v>888</v>
      </c>
      <c r="AO180" s="54">
        <f t="shared" si="240"/>
        <v>152</v>
      </c>
      <c r="AP180" s="54">
        <f t="shared" si="240"/>
        <v>90</v>
      </c>
      <c r="AQ180" s="54">
        <f t="shared" si="240"/>
        <v>0</v>
      </c>
      <c r="AR180" s="65">
        <f t="shared" si="240"/>
        <v>1130</v>
      </c>
      <c r="AS180" s="65">
        <f t="shared" si="240"/>
        <v>0</v>
      </c>
      <c r="AT180" s="65">
        <f t="shared" si="240"/>
        <v>0</v>
      </c>
      <c r="AU180" s="65">
        <f t="shared" si="240"/>
        <v>0</v>
      </c>
      <c r="AV180" s="65">
        <f t="shared" si="240"/>
        <v>14</v>
      </c>
      <c r="AW180" s="65">
        <f t="shared" si="240"/>
        <v>0</v>
      </c>
      <c r="AX180" s="65">
        <f t="shared" si="240"/>
        <v>0</v>
      </c>
      <c r="AY180" s="65">
        <f t="shared" si="240"/>
        <v>0</v>
      </c>
      <c r="AZ180" s="65">
        <f t="shared" si="240"/>
        <v>0</v>
      </c>
      <c r="BA180" s="65">
        <f t="shared" si="240"/>
        <v>1130</v>
      </c>
      <c r="BB180" s="54">
        <f>SUM(BB6:BB179)</f>
        <v>68</v>
      </c>
      <c r="BC180" s="54">
        <f>SUM(BC6:BC179)</f>
        <v>173</v>
      </c>
      <c r="BD180" s="54">
        <f>SUM(BD6:BD179)</f>
        <v>2</v>
      </c>
      <c r="BE180" s="54">
        <f>SUM(BE6:BE179)</f>
        <v>0</v>
      </c>
      <c r="BF180" s="54">
        <f>SUM(BF6:BF179)</f>
        <v>19</v>
      </c>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c r="CE180" s="29"/>
      <c r="CF180" s="29"/>
      <c r="CG180" s="29"/>
      <c r="CH180" s="29"/>
      <c r="CI180" s="29"/>
      <c r="CJ180" s="29"/>
      <c r="CK180" s="29"/>
      <c r="CL180" s="29"/>
      <c r="CM180" s="29"/>
      <c r="CN180" s="29"/>
      <c r="CO180" s="29"/>
      <c r="CP180" s="29"/>
      <c r="CQ180" s="29"/>
      <c r="CR180" s="29"/>
      <c r="CS180" s="29"/>
    </row>
    <row r="181" spans="1:97" ht="12.95" customHeight="1">
      <c r="A181" s="60"/>
      <c r="B181" s="61"/>
      <c r="C181" s="61"/>
      <c r="D181" s="61"/>
      <c r="E181" s="62"/>
      <c r="F181" s="62"/>
      <c r="G181" s="63"/>
      <c r="H181" s="63"/>
      <c r="I181" s="63"/>
      <c r="J181" s="89"/>
      <c r="K181" s="89"/>
      <c r="L181" s="66"/>
      <c r="M181" s="66"/>
      <c r="N181" s="67"/>
      <c r="O181" s="703"/>
      <c r="P181" s="704"/>
      <c r="Q181" s="63">
        <f>31*1440-Q180</f>
        <v>11905</v>
      </c>
      <c r="R181" s="70">
        <f>R180/Q180</f>
        <v>3.4519627310218418E-2</v>
      </c>
      <c r="S181" s="70">
        <f>S180/Q180</f>
        <v>4.0232167404918286E-2</v>
      </c>
      <c r="T181" s="332"/>
      <c r="U181" s="332"/>
      <c r="V181" s="334">
        <f>V180/K180</f>
        <v>7.5097041974556564E-2</v>
      </c>
      <c r="W181" s="351" t="s">
        <v>178</v>
      </c>
      <c r="X181" s="489">
        <v>0.85</v>
      </c>
      <c r="Y181" s="348">
        <f>Y180/K180</f>
        <v>7.9544229436519995E-3</v>
      </c>
      <c r="Z181" s="71">
        <f>Z180/K180</f>
        <v>5.4793607591446239E-3</v>
      </c>
      <c r="AA181" s="71">
        <f>AA180/K180</f>
        <v>8.6070948113940463E-2</v>
      </c>
      <c r="AB181" s="71">
        <f>AB180/K180</f>
        <v>-3.2548342557178049E-3</v>
      </c>
      <c r="AC181" s="490">
        <f>AC180/K180</f>
        <v>3.070747797391031E-2</v>
      </c>
      <c r="AD181" s="335"/>
      <c r="AE181" s="41"/>
      <c r="AF181" s="71">
        <f>AF180/$AD$180*$V$181</f>
        <v>7.8258053549292699E-3</v>
      </c>
      <c r="AG181" s="71">
        <f>AG180/$AD$180*$V$181</f>
        <v>9.2988981276218383E-3</v>
      </c>
      <c r="AH181" s="71">
        <f>AH180/$AD$180*$V$181</f>
        <v>2.2372596485268383E-2</v>
      </c>
      <c r="AI181" s="71">
        <f>AI180/$AD$180*$V$181</f>
        <v>1.8413659658657105E-4</v>
      </c>
      <c r="AJ181" s="71">
        <f t="shared" ref="AJ181:BA181" si="241">AJ180/$AD$180*$V$181</f>
        <v>0</v>
      </c>
      <c r="AK181" s="71">
        <f t="shared" si="241"/>
        <v>3.0689432764428512E-4</v>
      </c>
      <c r="AL181" s="71">
        <f t="shared" si="241"/>
        <v>0</v>
      </c>
      <c r="AM181" s="71">
        <f t="shared" si="241"/>
        <v>4.041798295075235E-2</v>
      </c>
      <c r="AN181" s="71">
        <f t="shared" si="241"/>
        <v>2.7252216294812517E-2</v>
      </c>
      <c r="AO181" s="71">
        <f t="shared" si="241"/>
        <v>4.6647937801931336E-3</v>
      </c>
      <c r="AP181" s="71">
        <f t="shared" si="241"/>
        <v>2.7620489487985658E-3</v>
      </c>
      <c r="AQ181" s="71">
        <f t="shared" si="241"/>
        <v>0</v>
      </c>
      <c r="AR181" s="71">
        <f t="shared" si="241"/>
        <v>3.4679059023804214E-2</v>
      </c>
      <c r="AS181" s="71">
        <f t="shared" si="241"/>
        <v>0</v>
      </c>
      <c r="AT181" s="71">
        <f t="shared" si="241"/>
        <v>0</v>
      </c>
      <c r="AU181" s="71">
        <f t="shared" si="241"/>
        <v>0</v>
      </c>
      <c r="AV181" s="71">
        <f t="shared" si="241"/>
        <v>4.2965205870199914E-4</v>
      </c>
      <c r="AW181" s="71">
        <f t="shared" si="241"/>
        <v>0</v>
      </c>
      <c r="AX181" s="71">
        <f t="shared" si="241"/>
        <v>0</v>
      </c>
      <c r="AY181" s="71">
        <f t="shared" si="241"/>
        <v>0</v>
      </c>
      <c r="AZ181" s="71">
        <f t="shared" si="241"/>
        <v>0</v>
      </c>
      <c r="BA181" s="71">
        <f t="shared" si="241"/>
        <v>3.4679059023804214E-2</v>
      </c>
      <c r="BB181" s="36" t="s">
        <v>177</v>
      </c>
      <c r="BC181" s="36" t="s">
        <v>177</v>
      </c>
      <c r="BD181" s="36" t="s">
        <v>410</v>
      </c>
      <c r="BE181" s="36" t="s">
        <v>410</v>
      </c>
      <c r="BF181" s="36" t="s">
        <v>410</v>
      </c>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c r="CE181" s="29"/>
      <c r="CF181" s="29"/>
      <c r="CG181" s="29"/>
      <c r="CH181" s="29"/>
      <c r="CI181" s="29"/>
      <c r="CJ181" s="29"/>
      <c r="CK181" s="29"/>
      <c r="CL181" s="29"/>
      <c r="CM181" s="29"/>
      <c r="CN181" s="29"/>
      <c r="CO181" s="29"/>
      <c r="CP181" s="29"/>
      <c r="CQ181" s="29"/>
      <c r="CR181" s="29"/>
      <c r="CS181" s="29"/>
    </row>
    <row r="182" spans="1:97" ht="12.95" customHeight="1">
      <c r="A182" s="60"/>
      <c r="B182" s="61"/>
      <c r="C182" s="61"/>
      <c r="D182" s="61"/>
      <c r="E182" s="62"/>
      <c r="F182" s="62"/>
      <c r="G182" s="36"/>
      <c r="H182" s="36"/>
      <c r="I182" s="36"/>
      <c r="J182" s="86"/>
      <c r="K182" s="86"/>
      <c r="L182" s="37"/>
      <c r="M182" s="37"/>
      <c r="N182" s="35"/>
      <c r="O182" s="38"/>
      <c r="P182" s="30"/>
      <c r="Q182" s="36"/>
      <c r="R182" s="39">
        <f>R180-(BA180)</f>
        <v>0</v>
      </c>
      <c r="S182" s="39">
        <f>S180-SUM(AF180:AL180)-AT180-AV180-AX180</f>
        <v>0</v>
      </c>
      <c r="T182" s="35"/>
      <c r="U182" s="35"/>
      <c r="V182" s="35"/>
      <c r="W182" s="349"/>
      <c r="X182" s="350"/>
      <c r="Y182" s="72">
        <f>+Y180-(SUM(RBP!AG3:AG4))</f>
        <v>0</v>
      </c>
      <c r="Z182" s="39"/>
      <c r="AA182" s="35"/>
      <c r="AB182" s="35"/>
      <c r="AC182" s="35"/>
      <c r="AD182" s="35"/>
      <c r="AE182" s="41"/>
      <c r="AF182" s="322"/>
      <c r="AG182" s="322"/>
      <c r="AH182" s="322"/>
      <c r="AI182" s="322"/>
      <c r="AJ182" s="81"/>
      <c r="AK182" s="81"/>
      <c r="AL182" s="81"/>
      <c r="AM182" s="81"/>
      <c r="AN182" s="81"/>
      <c r="AO182" s="81"/>
      <c r="AP182" s="81"/>
      <c r="AQ182" s="81"/>
      <c r="AR182" s="81"/>
      <c r="AS182" s="81"/>
      <c r="AT182" s="81"/>
      <c r="AU182" s="81"/>
      <c r="AV182" s="81"/>
      <c r="AW182" s="81"/>
      <c r="AX182" s="81"/>
      <c r="AY182" s="81"/>
      <c r="AZ182" s="81"/>
      <c r="BA182" s="81"/>
      <c r="BB182" s="491">
        <f>BB180/($Q$180/1440)/2</f>
        <v>1.4956468611577822</v>
      </c>
      <c r="BC182" s="491">
        <f>BC180/($Q$180/1440)/2</f>
        <v>3.8051015732396518</v>
      </c>
      <c r="BD182" s="491">
        <f>BD180/($Q$180/1440)</f>
        <v>8.7979227126928364E-2</v>
      </c>
      <c r="BE182" s="491">
        <f>BE180/($Q$180/1440)</f>
        <v>0</v>
      </c>
      <c r="BF182" s="491">
        <f>BF180/($Q$180/1440)</f>
        <v>0.83580265770581941</v>
      </c>
    </row>
    <row r="183" spans="1:97" ht="12.95" customHeight="1">
      <c r="A183" s="73"/>
      <c r="B183" s="74"/>
      <c r="C183" s="74"/>
      <c r="D183" s="74"/>
      <c r="E183" s="75"/>
      <c r="F183" s="75"/>
      <c r="G183" s="76"/>
      <c r="H183" s="76"/>
      <c r="I183" s="76"/>
      <c r="J183" s="90"/>
      <c r="K183" s="90"/>
      <c r="O183" s="77"/>
      <c r="P183" s="78"/>
      <c r="Q183" s="76"/>
      <c r="R183" s="57"/>
      <c r="S183" s="57"/>
      <c r="U183" s="79"/>
      <c r="V183" s="79"/>
      <c r="W183" s="80" t="s">
        <v>130</v>
      </c>
      <c r="X183" s="492">
        <f>W180/U180</f>
        <v>0.88912507998446066</v>
      </c>
      <c r="Y183" s="492"/>
      <c r="Z183" s="57"/>
      <c r="AD183" s="87"/>
      <c r="AE183" s="82"/>
      <c r="AF183" s="83"/>
      <c r="AG183" s="83"/>
      <c r="AH183" s="83"/>
      <c r="AI183" s="83"/>
      <c r="AJ183" s="83"/>
      <c r="AK183" s="83"/>
      <c r="AL183" s="83"/>
      <c r="AM183" s="83"/>
      <c r="AN183" s="81"/>
      <c r="AO183" s="81"/>
      <c r="AP183" s="81"/>
      <c r="AQ183" s="81"/>
      <c r="AR183" s="81"/>
      <c r="AS183" s="83"/>
      <c r="AT183" s="83"/>
      <c r="AU183" s="83"/>
      <c r="AV183" s="83"/>
      <c r="AW183" s="83"/>
      <c r="AX183" s="83"/>
      <c r="AY183" s="83"/>
      <c r="AZ183" s="83"/>
      <c r="BA183" s="81"/>
      <c r="BB183" s="29"/>
      <c r="BC183" s="81"/>
      <c r="BD183" s="81"/>
      <c r="BE183" s="29"/>
      <c r="BF183" s="81"/>
    </row>
    <row r="184" spans="1:97" ht="12.95" customHeight="1">
      <c r="A184" s="73"/>
      <c r="B184" s="74"/>
      <c r="C184" s="74"/>
      <c r="D184" s="74"/>
      <c r="E184" s="75"/>
      <c r="F184" s="75"/>
      <c r="G184" s="76"/>
      <c r="H184" s="76"/>
      <c r="I184" s="76"/>
      <c r="J184" s="90"/>
      <c r="K184" s="90"/>
      <c r="O184" s="77"/>
      <c r="P184" s="78"/>
      <c r="Q184" s="76"/>
      <c r="R184" s="57"/>
      <c r="S184" s="57"/>
      <c r="U184" s="79"/>
      <c r="V184" s="79"/>
      <c r="W184" s="80"/>
      <c r="X184" s="81"/>
      <c r="Y184" s="81"/>
      <c r="Z184" s="57"/>
      <c r="AA184" s="93"/>
      <c r="AB184" s="93"/>
      <c r="AD184" s="87"/>
      <c r="AE184" s="82"/>
      <c r="AF184" s="83"/>
      <c r="AG184" s="83"/>
      <c r="AH184" s="83"/>
      <c r="AI184" s="83"/>
      <c r="AJ184" s="83"/>
      <c r="AK184" s="83"/>
      <c r="AL184" s="83"/>
      <c r="AM184" s="83"/>
      <c r="AN184" s="83"/>
      <c r="AO184" s="81"/>
      <c r="AP184" s="81"/>
      <c r="AQ184" s="81"/>
      <c r="AR184" s="83"/>
      <c r="AS184" s="81"/>
      <c r="AT184" s="81"/>
      <c r="AU184" s="81"/>
      <c r="AV184" s="81"/>
      <c r="AW184" s="81"/>
      <c r="AX184" s="81"/>
      <c r="AY184" s="81"/>
      <c r="AZ184" s="81"/>
      <c r="BA184" s="81"/>
      <c r="BB184" s="29"/>
      <c r="BC184" s="81"/>
      <c r="BD184" s="81"/>
      <c r="BE184" s="29"/>
      <c r="BF184" s="81"/>
    </row>
    <row r="185" spans="1:97" ht="12.95" customHeight="1">
      <c r="A185" s="73"/>
      <c r="B185" s="74"/>
      <c r="C185" s="74"/>
      <c r="D185" s="74"/>
      <c r="E185" s="75"/>
      <c r="F185" s="75"/>
      <c r="G185" s="76"/>
      <c r="H185" s="76"/>
      <c r="I185" s="76"/>
      <c r="J185" s="90"/>
      <c r="K185" s="90"/>
      <c r="O185" s="77"/>
      <c r="P185" s="78"/>
      <c r="Q185" s="76"/>
      <c r="R185" s="333"/>
      <c r="S185" s="57"/>
      <c r="U185" s="79"/>
      <c r="V185" s="79"/>
      <c r="W185" s="80" t="s">
        <v>153</v>
      </c>
      <c r="X185" s="322">
        <f>+W180+Y180</f>
        <v>913.65600000000006</v>
      </c>
      <c r="Y185" s="81"/>
      <c r="Z185" s="57"/>
      <c r="AD185" s="87"/>
      <c r="AE185" s="82"/>
      <c r="AF185" s="87"/>
      <c r="AG185" s="87"/>
      <c r="AH185" s="87"/>
      <c r="AI185" s="87"/>
      <c r="AJ185" s="81"/>
      <c r="AK185" s="81"/>
      <c r="AL185" s="81"/>
      <c r="AM185" s="83"/>
      <c r="AN185" s="81"/>
      <c r="AO185" s="81"/>
      <c r="AP185" s="81"/>
      <c r="AQ185" s="81"/>
      <c r="AR185" s="83"/>
      <c r="AS185" s="81"/>
      <c r="AT185" s="81"/>
      <c r="AU185" s="81"/>
      <c r="AV185" s="81"/>
      <c r="AW185" s="81"/>
      <c r="AX185" s="81"/>
      <c r="AY185" s="81"/>
      <c r="AZ185" s="81"/>
      <c r="BA185" s="81"/>
      <c r="BB185" s="29"/>
      <c r="BC185" s="81"/>
      <c r="BD185" s="81"/>
      <c r="BE185" s="29"/>
      <c r="BF185" s="81"/>
    </row>
    <row r="186" spans="1:97" ht="12.95" customHeight="1">
      <c r="A186" s="73"/>
      <c r="C186" s="74" t="s">
        <v>304</v>
      </c>
      <c r="D186" s="74"/>
      <c r="E186" s="75"/>
      <c r="F186" s="75"/>
      <c r="G186" s="76"/>
      <c r="H186" s="76"/>
      <c r="I186" s="76"/>
      <c r="J186" s="90"/>
      <c r="K186" s="90"/>
      <c r="O186" s="77"/>
      <c r="P186" s="78"/>
      <c r="Q186" s="76"/>
      <c r="R186" s="333"/>
      <c r="S186" s="57"/>
      <c r="U186" s="79"/>
      <c r="V186" s="344"/>
      <c r="W186" s="345"/>
      <c r="X186" s="338"/>
      <c r="Y186" s="345"/>
      <c r="Z186" s="338"/>
      <c r="AD186" s="331"/>
      <c r="AE186" s="82"/>
      <c r="AF186" s="331"/>
      <c r="AG186" s="331"/>
      <c r="AH186" s="331"/>
      <c r="AI186" s="331"/>
      <c r="AJ186" s="81"/>
      <c r="AK186" s="81"/>
      <c r="AL186" s="81"/>
      <c r="AM186" s="81"/>
      <c r="AN186" s="81"/>
      <c r="AO186" s="81"/>
      <c r="AP186" s="81"/>
      <c r="AQ186" s="81"/>
      <c r="AR186" s="81"/>
      <c r="AS186" s="81"/>
      <c r="AT186" s="81"/>
      <c r="AU186" s="81"/>
      <c r="AV186" s="81"/>
      <c r="AW186" s="81"/>
      <c r="AX186" s="81"/>
      <c r="AY186" s="81"/>
      <c r="AZ186" s="81"/>
      <c r="BA186" s="81"/>
      <c r="BB186" s="29"/>
      <c r="BC186" s="81"/>
      <c r="BD186" s="81"/>
      <c r="BE186" s="29"/>
      <c r="BF186" s="81"/>
    </row>
    <row r="187" spans="1:97" ht="12.95" customHeight="1">
      <c r="A187" s="73"/>
      <c r="B187" s="74"/>
      <c r="C187" s="74" t="s">
        <v>305</v>
      </c>
      <c r="D187" s="74"/>
      <c r="E187" s="75"/>
      <c r="F187" s="75"/>
      <c r="G187" s="76"/>
      <c r="H187" s="76"/>
      <c r="I187" s="76"/>
      <c r="J187" s="90"/>
      <c r="K187" s="90"/>
      <c r="O187" s="77"/>
      <c r="P187" s="78"/>
      <c r="Q187" s="76"/>
      <c r="R187" s="333"/>
      <c r="S187" s="57"/>
      <c r="V187" s="336"/>
      <c r="W187" s="337" t="s">
        <v>309</v>
      </c>
      <c r="X187" s="336"/>
      <c r="Y187" s="336"/>
      <c r="Z187" s="338"/>
      <c r="AE187" s="82"/>
      <c r="AF187" s="57"/>
      <c r="AG187" s="57"/>
      <c r="AH187" s="57"/>
      <c r="AI187" s="57"/>
      <c r="AJ187" s="57"/>
      <c r="AK187" s="57"/>
      <c r="AL187" s="57"/>
      <c r="AM187" s="57"/>
      <c r="AN187" s="57"/>
      <c r="AO187" s="57"/>
      <c r="AP187" s="57"/>
      <c r="AQ187" s="57"/>
      <c r="AS187" s="57"/>
      <c r="AT187" s="57"/>
      <c r="AU187" s="57"/>
      <c r="AV187" s="57">
        <f>+Efficiency1!AT180+Efficiency1!AU180</f>
        <v>11905</v>
      </c>
      <c r="AW187" s="57"/>
      <c r="AX187" s="57"/>
      <c r="AY187" s="57"/>
      <c r="AZ187" s="57"/>
      <c r="BA187" s="57"/>
      <c r="BB187" s="29"/>
      <c r="BE187" s="29"/>
    </row>
    <row r="188" spans="1:97" ht="12.95" customHeight="1">
      <c r="A188" s="73"/>
      <c r="B188" s="74"/>
      <c r="C188" s="74"/>
      <c r="D188" s="74"/>
      <c r="E188" s="75"/>
      <c r="F188" s="75"/>
      <c r="G188" s="76"/>
      <c r="H188" s="76"/>
      <c r="I188" s="76"/>
      <c r="J188" s="90"/>
      <c r="K188" s="90"/>
      <c r="O188" s="77"/>
      <c r="P188" s="78"/>
      <c r="Q188" s="76"/>
      <c r="R188" s="333"/>
      <c r="S188" s="57"/>
      <c r="V188" s="336"/>
      <c r="W188" s="339" t="s">
        <v>303</v>
      </c>
      <c r="X188" s="343">
        <f>Y181</f>
        <v>7.9544229436519995E-3</v>
      </c>
      <c r="Y188" s="340"/>
      <c r="Z188" s="338"/>
      <c r="AE188" s="82"/>
      <c r="AF188" s="57"/>
      <c r="AG188" s="57"/>
      <c r="AH188" s="57"/>
      <c r="AI188" s="57"/>
      <c r="AJ188" s="57"/>
      <c r="AK188" s="57"/>
      <c r="AL188" s="57"/>
      <c r="AM188" s="57"/>
      <c r="AN188" s="57"/>
      <c r="AO188" s="57"/>
      <c r="AP188" s="57"/>
      <c r="AQ188" s="57"/>
      <c r="AS188" s="57"/>
      <c r="AT188" s="57"/>
      <c r="AU188" s="57"/>
      <c r="AV188" s="57"/>
      <c r="AW188" s="57"/>
      <c r="AX188" s="57"/>
      <c r="AY188" s="57"/>
      <c r="AZ188" s="57"/>
      <c r="BA188" s="57"/>
      <c r="BB188" s="29"/>
      <c r="BE188" s="29"/>
    </row>
    <row r="189" spans="1:97" ht="12.95" customHeight="1">
      <c r="R189" s="93"/>
      <c r="V189" s="336"/>
      <c r="W189" s="339" t="s">
        <v>157</v>
      </c>
      <c r="X189" s="342">
        <f>Z181</f>
        <v>5.4793607591446239E-3</v>
      </c>
      <c r="Y189" s="341"/>
      <c r="Z189" s="336"/>
    </row>
    <row r="190" spans="1:97" ht="12.95" customHeight="1">
      <c r="R190" s="93"/>
      <c r="V190" s="336"/>
      <c r="W190" s="339" t="s">
        <v>158</v>
      </c>
      <c r="X190" s="342">
        <f>AC181</f>
        <v>3.070747797391031E-2</v>
      </c>
      <c r="Y190" s="342"/>
      <c r="Z190" s="336"/>
    </row>
    <row r="191" spans="1:97" ht="12.95" customHeight="1">
      <c r="R191" s="93"/>
      <c r="V191" s="336"/>
      <c r="W191" s="339" t="s">
        <v>159</v>
      </c>
      <c r="X191" s="342">
        <f>AA181</f>
        <v>8.6070948113940463E-2</v>
      </c>
      <c r="Y191" s="341"/>
      <c r="Z191" s="336"/>
    </row>
    <row r="192" spans="1:97">
      <c r="V192" s="336"/>
      <c r="W192" s="339" t="s">
        <v>175</v>
      </c>
      <c r="X192" s="342">
        <f>AB181</f>
        <v>-3.2548342557178049E-3</v>
      </c>
      <c r="Y192" s="341" t="s">
        <v>173</v>
      </c>
      <c r="Z192" s="336"/>
    </row>
    <row r="193" spans="1:97" s="29" customFormat="1" ht="12.95" customHeight="1">
      <c r="A193" s="31"/>
      <c r="B193" s="31"/>
      <c r="C193" s="31"/>
      <c r="D193" s="31"/>
      <c r="E193" s="31"/>
      <c r="F193" s="58"/>
      <c r="G193" s="31"/>
      <c r="H193" s="31"/>
      <c r="I193" s="31"/>
      <c r="J193" s="87"/>
      <c r="K193" s="87"/>
      <c r="L193" s="59"/>
      <c r="M193" s="59"/>
      <c r="N193" s="31"/>
      <c r="O193" s="31"/>
      <c r="P193" s="31"/>
      <c r="Q193" s="320"/>
      <c r="R193" s="31"/>
      <c r="S193" s="31"/>
      <c r="T193" s="31"/>
      <c r="U193" s="31"/>
      <c r="V193" s="336"/>
      <c r="W193" s="339" t="s">
        <v>225</v>
      </c>
      <c r="X193" s="342">
        <f>AF181</f>
        <v>7.8258053549292699E-3</v>
      </c>
      <c r="Y193" s="341"/>
      <c r="Z193" s="336"/>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row>
    <row r="194" spans="1:97" s="29" customFormat="1" ht="12.95" customHeight="1">
      <c r="A194" s="31"/>
      <c r="B194" s="31"/>
      <c r="C194" s="31"/>
      <c r="D194" s="31"/>
      <c r="E194" s="31"/>
      <c r="F194" s="58"/>
      <c r="G194" s="31"/>
      <c r="H194" s="31"/>
      <c r="I194" s="31"/>
      <c r="J194" s="87"/>
      <c r="K194" s="87"/>
      <c r="L194" s="59"/>
      <c r="M194" s="59"/>
      <c r="N194" s="31"/>
      <c r="O194" s="31"/>
      <c r="P194" s="31"/>
      <c r="Q194" s="320"/>
      <c r="R194" s="31"/>
      <c r="S194" s="31"/>
      <c r="T194" s="31"/>
      <c r="U194" s="31"/>
      <c r="V194" s="336"/>
      <c r="W194" s="339" t="s">
        <v>226</v>
      </c>
      <c r="X194" s="342">
        <f>+AG181</f>
        <v>9.2988981276218383E-3</v>
      </c>
      <c r="Y194" s="341"/>
      <c r="Z194" s="336"/>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row>
    <row r="195" spans="1:97" ht="12.95" customHeight="1">
      <c r="V195" s="336"/>
      <c r="W195" s="339" t="s">
        <v>227</v>
      </c>
      <c r="X195" s="342">
        <f>+AH181</f>
        <v>2.2372596485268383E-2</v>
      </c>
      <c r="Y195" s="341"/>
      <c r="Z195" s="336"/>
    </row>
    <row r="196" spans="1:97">
      <c r="V196" s="336"/>
      <c r="W196" s="339" t="s">
        <v>228</v>
      </c>
      <c r="X196" s="342">
        <f>+AI181</f>
        <v>1.8413659658657105E-4</v>
      </c>
      <c r="Y196" s="341"/>
      <c r="Z196" s="336"/>
    </row>
    <row r="197" spans="1:97">
      <c r="V197" s="336"/>
      <c r="W197" s="339" t="s">
        <v>166</v>
      </c>
      <c r="X197" s="342">
        <f>+AJ181</f>
        <v>0</v>
      </c>
      <c r="Y197" s="341"/>
      <c r="Z197" s="336"/>
    </row>
    <row r="198" spans="1:97">
      <c r="V198" s="336"/>
      <c r="W198" s="339" t="s">
        <v>168</v>
      </c>
      <c r="X198" s="342">
        <f>+AK181</f>
        <v>3.0689432764428512E-4</v>
      </c>
      <c r="Y198" s="341"/>
      <c r="Z198" s="336"/>
    </row>
    <row r="199" spans="1:97">
      <c r="V199" s="336"/>
      <c r="W199" s="339" t="s">
        <v>167</v>
      </c>
      <c r="X199" s="342">
        <f>+AL181</f>
        <v>0</v>
      </c>
      <c r="Y199" s="341"/>
      <c r="Z199" s="336"/>
    </row>
    <row r="200" spans="1:97">
      <c r="V200" s="336"/>
      <c r="W200" s="339" t="s">
        <v>160</v>
      </c>
      <c r="X200" s="342">
        <f>+AN181</f>
        <v>2.7252216294812517E-2</v>
      </c>
      <c r="Y200" s="341"/>
      <c r="Z200" s="336"/>
    </row>
    <row r="201" spans="1:97">
      <c r="V201" s="336"/>
      <c r="W201" s="339" t="s">
        <v>170</v>
      </c>
      <c r="X201" s="342">
        <f>+AO181</f>
        <v>4.6647937801931336E-3</v>
      </c>
      <c r="Y201" s="341"/>
      <c r="Z201" s="336"/>
    </row>
    <row r="202" spans="1:97">
      <c r="V202" s="336"/>
      <c r="W202" s="339" t="s">
        <v>161</v>
      </c>
      <c r="X202" s="342">
        <f>+AP181</f>
        <v>2.7620489487985658E-3</v>
      </c>
      <c r="Y202" s="341"/>
      <c r="Z202" s="336"/>
    </row>
    <row r="203" spans="1:97">
      <c r="V203" s="336"/>
      <c r="W203" s="339" t="s">
        <v>169</v>
      </c>
      <c r="X203" s="342">
        <f>+AQ181</f>
        <v>0</v>
      </c>
      <c r="Y203" s="341"/>
      <c r="Z203" s="336"/>
    </row>
    <row r="204" spans="1:97">
      <c r="V204" s="336"/>
      <c r="W204" s="339" t="s">
        <v>172</v>
      </c>
      <c r="X204" s="342">
        <f>+AS181</f>
        <v>0</v>
      </c>
      <c r="Y204" s="341"/>
      <c r="Z204" s="336"/>
    </row>
    <row r="205" spans="1:97">
      <c r="V205" s="336"/>
      <c r="W205" s="339" t="s">
        <v>306</v>
      </c>
      <c r="X205" s="342">
        <f>+AT181</f>
        <v>0</v>
      </c>
      <c r="Y205" s="341"/>
      <c r="Z205" s="336"/>
    </row>
    <row r="206" spans="1:97">
      <c r="V206" s="336"/>
      <c r="W206" s="339" t="s">
        <v>263</v>
      </c>
      <c r="X206" s="342">
        <f>+AU181</f>
        <v>0</v>
      </c>
      <c r="Y206" s="341"/>
      <c r="Z206" s="336"/>
    </row>
    <row r="207" spans="1:97">
      <c r="V207" s="336"/>
      <c r="W207" s="339" t="s">
        <v>310</v>
      </c>
      <c r="X207" s="342">
        <f>+AW181</f>
        <v>0</v>
      </c>
      <c r="Y207" s="341"/>
      <c r="Z207" s="336"/>
    </row>
    <row r="208" spans="1:97">
      <c r="V208" s="336"/>
      <c r="W208" s="339" t="s">
        <v>311</v>
      </c>
      <c r="X208" s="342">
        <f>+AV181</f>
        <v>4.2965205870199914E-4</v>
      </c>
      <c r="Y208" s="341"/>
      <c r="Z208" s="336"/>
    </row>
    <row r="209" spans="22:26" s="31" customFormat="1">
      <c r="V209" s="336"/>
      <c r="W209" s="336" t="s">
        <v>171</v>
      </c>
      <c r="X209" s="342">
        <f>+AX181+AY181</f>
        <v>0</v>
      </c>
      <c r="Y209" s="342"/>
      <c r="Z209" s="336"/>
    </row>
    <row r="210" spans="22:26" s="31" customFormat="1">
      <c r="V210" s="336"/>
      <c r="W210" s="336" t="s">
        <v>312</v>
      </c>
      <c r="X210" s="342">
        <f>+AZ181</f>
        <v>0</v>
      </c>
      <c r="Y210" s="336"/>
      <c r="Z210" s="336"/>
    </row>
    <row r="211" spans="22:26" s="31" customFormat="1">
      <c r="V211" s="336"/>
      <c r="W211" s="336"/>
      <c r="X211" s="506">
        <f>SUM(X188:X210)</f>
        <v>0.20205441750948611</v>
      </c>
      <c r="Y211" s="336"/>
      <c r="Z211" s="336"/>
    </row>
    <row r="213" spans="22:26" s="31" customFormat="1">
      <c r="X213" s="93">
        <f>+X211+X180</f>
        <v>1.0000000000000004</v>
      </c>
    </row>
    <row r="219" spans="22:26" s="31" customFormat="1" ht="12" customHeight="1"/>
    <row r="220" spans="22:26" s="31" customFormat="1" ht="12" customHeight="1"/>
    <row r="222" spans="22:26" s="31" customFormat="1" ht="12" customHeight="1"/>
    <row r="223" spans="22:26" s="31" customFormat="1" ht="12" customHeigh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81:P181"/>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58:C179 B158:B181 C181">
    <cfRule type="cellIs" dxfId="2629" priority="9999" stopIfTrue="1" operator="equal">
      <formula>"Towel"</formula>
    </cfRule>
    <cfRule type="cellIs" dxfId="2628" priority="10000" stopIfTrue="1" operator="equal">
      <formula>"Napkin Hs"</formula>
    </cfRule>
  </conditionalFormatting>
  <conditionalFormatting sqref="C158:C178">
    <cfRule type="cellIs" dxfId="2627" priority="9998" stopIfTrue="1" operator="equal">
      <formula>"Napkin Hs"</formula>
    </cfRule>
  </conditionalFormatting>
  <conditionalFormatting sqref="C158:C178">
    <cfRule type="cellIs" dxfId="2626" priority="9997" stopIfTrue="1" operator="equal">
      <formula>"Towel"</formula>
    </cfRule>
  </conditionalFormatting>
  <conditionalFormatting sqref="C158:C178">
    <cfRule type="cellIs" dxfId="2625" priority="9685" stopIfTrue="1" operator="equal">
      <formula>"Towel"</formula>
    </cfRule>
    <cfRule type="cellIs" dxfId="2624" priority="9686" stopIfTrue="1" operator="equal">
      <formula>"Napkin Hs"</formula>
    </cfRule>
  </conditionalFormatting>
  <conditionalFormatting sqref="B154:C157">
    <cfRule type="cellIs" dxfId="2623" priority="2909" stopIfTrue="1" operator="equal">
      <formula>"Towel"</formula>
    </cfRule>
    <cfRule type="cellIs" dxfId="2622" priority="2910" stopIfTrue="1" operator="equal">
      <formula>"Napkin Hs"</formula>
    </cfRule>
  </conditionalFormatting>
  <conditionalFormatting sqref="C154:C157">
    <cfRule type="cellIs" dxfId="2621" priority="2908" stopIfTrue="1" operator="equal">
      <formula>"Napkin Hs"</formula>
    </cfRule>
  </conditionalFormatting>
  <conditionalFormatting sqref="C154:C157">
    <cfRule type="cellIs" dxfId="2620" priority="2907" stopIfTrue="1" operator="equal">
      <formula>"Towel"</formula>
    </cfRule>
  </conditionalFormatting>
  <conditionalFormatting sqref="C154:C157">
    <cfRule type="cellIs" dxfId="2619" priority="2905" stopIfTrue="1" operator="equal">
      <formula>"Towel"</formula>
    </cfRule>
    <cfRule type="cellIs" dxfId="2618" priority="2906" stopIfTrue="1" operator="equal">
      <formula>"Napkin Hs"</formula>
    </cfRule>
  </conditionalFormatting>
  <conditionalFormatting sqref="B153:C153">
    <cfRule type="cellIs" dxfId="2617" priority="2701" stopIfTrue="1" operator="equal">
      <formula>"Towel"</formula>
    </cfRule>
    <cfRule type="cellIs" dxfId="2616" priority="2702" stopIfTrue="1" operator="equal">
      <formula>"Napkin Hs"</formula>
    </cfRule>
  </conditionalFormatting>
  <conditionalFormatting sqref="C153">
    <cfRule type="cellIs" dxfId="2615" priority="2700" stopIfTrue="1" operator="equal">
      <formula>"Napkin Hs"</formula>
    </cfRule>
  </conditionalFormatting>
  <conditionalFormatting sqref="C153">
    <cfRule type="cellIs" dxfId="2614" priority="2699" stopIfTrue="1" operator="equal">
      <formula>"Towel"</formula>
    </cfRule>
  </conditionalFormatting>
  <conditionalFormatting sqref="C153">
    <cfRule type="cellIs" dxfId="2613" priority="2697" stopIfTrue="1" operator="equal">
      <formula>"Towel"</formula>
    </cfRule>
    <cfRule type="cellIs" dxfId="2612" priority="2698" stopIfTrue="1" operator="equal">
      <formula>"Napkin Hs"</formula>
    </cfRule>
  </conditionalFormatting>
  <conditionalFormatting sqref="B149:C151">
    <cfRule type="cellIs" dxfId="2611" priority="2695" stopIfTrue="1" operator="equal">
      <formula>"Towel"</formula>
    </cfRule>
    <cfRule type="cellIs" dxfId="2610" priority="2696" stopIfTrue="1" operator="equal">
      <formula>"Napkin Hs"</formula>
    </cfRule>
  </conditionalFormatting>
  <conditionalFormatting sqref="C149:C151">
    <cfRule type="cellIs" dxfId="2609" priority="2694" stopIfTrue="1" operator="equal">
      <formula>"Napkin Hs"</formula>
    </cfRule>
  </conditionalFormatting>
  <conditionalFormatting sqref="C149:C151">
    <cfRule type="cellIs" dxfId="2608" priority="2691" stopIfTrue="1" operator="equal">
      <formula>"Towel"</formula>
    </cfRule>
    <cfRule type="cellIs" dxfId="2607" priority="2692" stopIfTrue="1" operator="equal">
      <formula>"Napkin Hs"</formula>
    </cfRule>
  </conditionalFormatting>
  <conditionalFormatting sqref="C149:C151">
    <cfRule type="cellIs" dxfId="2606" priority="2693" stopIfTrue="1" operator="equal">
      <formula>"Towel"</formula>
    </cfRule>
  </conditionalFormatting>
  <conditionalFormatting sqref="B152:C152">
    <cfRule type="cellIs" dxfId="2605" priority="2597" stopIfTrue="1" operator="equal">
      <formula>"Towel"</formula>
    </cfRule>
    <cfRule type="cellIs" dxfId="2604" priority="2598" stopIfTrue="1" operator="equal">
      <formula>"Napkin Hs"</formula>
    </cfRule>
  </conditionalFormatting>
  <conditionalFormatting sqref="C152">
    <cfRule type="cellIs" dxfId="2603" priority="2596" stopIfTrue="1" operator="equal">
      <formula>"Napkin Hs"</formula>
    </cfRule>
  </conditionalFormatting>
  <conditionalFormatting sqref="C152">
    <cfRule type="cellIs" dxfId="2602" priority="2595" stopIfTrue="1" operator="equal">
      <formula>"Towel"</formula>
    </cfRule>
  </conditionalFormatting>
  <conditionalFormatting sqref="C152">
    <cfRule type="cellIs" dxfId="2601" priority="2593" stopIfTrue="1" operator="equal">
      <formula>"Towel"</formula>
    </cfRule>
    <cfRule type="cellIs" dxfId="2600" priority="2594" stopIfTrue="1" operator="equal">
      <formula>"Napkin Hs"</formula>
    </cfRule>
  </conditionalFormatting>
  <conditionalFormatting sqref="B86:C86 B131:C131 B8:C9">
    <cfRule type="cellIs" dxfId="2599" priority="2591" stopIfTrue="1" operator="equal">
      <formula>"Towel"</formula>
    </cfRule>
    <cfRule type="cellIs" dxfId="2598" priority="2592" stopIfTrue="1" operator="equal">
      <formula>"Napkin Hs"</formula>
    </cfRule>
  </conditionalFormatting>
  <conditionalFormatting sqref="B40:C40">
    <cfRule type="cellIs" dxfId="2597" priority="2587" stopIfTrue="1" operator="equal">
      <formula>"Towel"</formula>
    </cfRule>
    <cfRule type="cellIs" dxfId="2596" priority="2588" stopIfTrue="1" operator="equal">
      <formula>"Napkin Hs"</formula>
    </cfRule>
  </conditionalFormatting>
  <conditionalFormatting sqref="B65:C65">
    <cfRule type="cellIs" dxfId="2595" priority="2581" stopIfTrue="1" operator="equal">
      <formula>"Towel"</formula>
    </cfRule>
    <cfRule type="cellIs" dxfId="2594" priority="2582" stopIfTrue="1" operator="equal">
      <formula>"Napkin Hs"</formula>
    </cfRule>
  </conditionalFormatting>
  <conditionalFormatting sqref="B69:C69">
    <cfRule type="cellIs" dxfId="2593" priority="2575" stopIfTrue="1" operator="equal">
      <formula>"Towel"</formula>
    </cfRule>
    <cfRule type="cellIs" dxfId="2592" priority="2576" stopIfTrue="1" operator="equal">
      <formula>"Napkin Hs"</formula>
    </cfRule>
  </conditionalFormatting>
  <conditionalFormatting sqref="B82:C82">
    <cfRule type="cellIs" dxfId="2591" priority="2569" stopIfTrue="1" operator="equal">
      <formula>"Towel"</formula>
    </cfRule>
    <cfRule type="cellIs" dxfId="2590" priority="2570" stopIfTrue="1" operator="equal">
      <formula>"Napkin Hs"</formula>
    </cfRule>
  </conditionalFormatting>
  <conditionalFormatting sqref="C86 C131 C8:C9">
    <cfRule type="cellIs" dxfId="2589" priority="2590" stopIfTrue="1" operator="equal">
      <formula>"Napkin Hs"</formula>
    </cfRule>
  </conditionalFormatting>
  <conditionalFormatting sqref="C8:C9">
    <cfRule type="cellIs" dxfId="2588" priority="2559" stopIfTrue="1" operator="equal">
      <formula>"Towel"</formula>
    </cfRule>
    <cfRule type="cellIs" dxfId="2587" priority="2560" stopIfTrue="1" operator="equal">
      <formula>"Napkin Hs"</formula>
    </cfRule>
  </conditionalFormatting>
  <conditionalFormatting sqref="C86 C131 C8:C9">
    <cfRule type="cellIs" dxfId="2586" priority="2589" stopIfTrue="1" operator="equal">
      <formula>"Towel"</formula>
    </cfRule>
  </conditionalFormatting>
  <conditionalFormatting sqref="C40">
    <cfRule type="cellIs" dxfId="2585" priority="2585" stopIfTrue="1" operator="equal">
      <formula>"Towel"</formula>
    </cfRule>
    <cfRule type="cellIs" dxfId="2584" priority="2586" stopIfTrue="1" operator="equal">
      <formula>"Napkin Hs"</formula>
    </cfRule>
  </conditionalFormatting>
  <conditionalFormatting sqref="C40">
    <cfRule type="cellIs" dxfId="2583" priority="2583" stopIfTrue="1" operator="equal">
      <formula>"Towel"</formula>
    </cfRule>
    <cfRule type="cellIs" dxfId="2582" priority="2584" stopIfTrue="1" operator="equal">
      <formula>"Napkin Hs"</formula>
    </cfRule>
  </conditionalFormatting>
  <conditionalFormatting sqref="C65">
    <cfRule type="cellIs" dxfId="2581" priority="2579" stopIfTrue="1" operator="equal">
      <formula>"Towel"</formula>
    </cfRule>
    <cfRule type="cellIs" dxfId="2580" priority="2580" stopIfTrue="1" operator="equal">
      <formula>"Napkin Hs"</formula>
    </cfRule>
  </conditionalFormatting>
  <conditionalFormatting sqref="C65">
    <cfRule type="cellIs" dxfId="2579" priority="2577" stopIfTrue="1" operator="equal">
      <formula>"Towel"</formula>
    </cfRule>
    <cfRule type="cellIs" dxfId="2578" priority="2578" stopIfTrue="1" operator="equal">
      <formula>"Napkin Hs"</formula>
    </cfRule>
  </conditionalFormatting>
  <conditionalFormatting sqref="C69">
    <cfRule type="cellIs" dxfId="2577" priority="2571" stopIfTrue="1" operator="equal">
      <formula>"Towel"</formula>
    </cfRule>
    <cfRule type="cellIs" dxfId="2576" priority="2572" stopIfTrue="1" operator="equal">
      <formula>"Napkin Hs"</formula>
    </cfRule>
  </conditionalFormatting>
  <conditionalFormatting sqref="C69">
    <cfRule type="cellIs" dxfId="2575" priority="2573" stopIfTrue="1" operator="equal">
      <formula>"Towel"</formula>
    </cfRule>
    <cfRule type="cellIs" dxfId="2574" priority="2574" stopIfTrue="1" operator="equal">
      <formula>"Napkin Hs"</formula>
    </cfRule>
  </conditionalFormatting>
  <conditionalFormatting sqref="C82">
    <cfRule type="cellIs" dxfId="2573" priority="2567" stopIfTrue="1" operator="equal">
      <formula>"Towel"</formula>
    </cfRule>
    <cfRule type="cellIs" dxfId="2572" priority="2568" stopIfTrue="1" operator="equal">
      <formula>"Napkin Hs"</formula>
    </cfRule>
  </conditionalFormatting>
  <conditionalFormatting sqref="C82">
    <cfRule type="cellIs" dxfId="2571" priority="2565" stopIfTrue="1" operator="equal">
      <formula>"Towel"</formula>
    </cfRule>
    <cfRule type="cellIs" dxfId="2570" priority="2566" stopIfTrue="1" operator="equal">
      <formula>"Napkin Hs"</formula>
    </cfRule>
  </conditionalFormatting>
  <conditionalFormatting sqref="C86">
    <cfRule type="cellIs" dxfId="2569" priority="2563" stopIfTrue="1" operator="equal">
      <formula>"Towel"</formula>
    </cfRule>
    <cfRule type="cellIs" dxfId="2568" priority="2564" stopIfTrue="1" operator="equal">
      <formula>"Napkin Hs"</formula>
    </cfRule>
  </conditionalFormatting>
  <conditionalFormatting sqref="C131">
    <cfRule type="cellIs" dxfId="2567" priority="2561" stopIfTrue="1" operator="equal">
      <formula>"Towel"</formula>
    </cfRule>
    <cfRule type="cellIs" dxfId="2566" priority="2562" stopIfTrue="1" operator="equal">
      <formula>"Napkin Hs"</formula>
    </cfRule>
  </conditionalFormatting>
  <conditionalFormatting sqref="C7">
    <cfRule type="cellIs" dxfId="2565" priority="2557" stopIfTrue="1" operator="equal">
      <formula>"Towel"</formula>
    </cfRule>
    <cfRule type="cellIs" dxfId="2564" priority="2558" stopIfTrue="1" operator="equal">
      <formula>"Napkin Hs"</formula>
    </cfRule>
  </conditionalFormatting>
  <conditionalFormatting sqref="C7">
    <cfRule type="cellIs" dxfId="2563" priority="2553" stopIfTrue="1" operator="equal">
      <formula>"Towel"</formula>
    </cfRule>
    <cfRule type="cellIs" dxfId="2562" priority="2554" stopIfTrue="1" operator="equal">
      <formula>"Napkin Hs"</formula>
    </cfRule>
  </conditionalFormatting>
  <conditionalFormatting sqref="B7">
    <cfRule type="cellIs" dxfId="2561" priority="2543" stopIfTrue="1" operator="equal">
      <formula>"Towel"</formula>
    </cfRule>
    <cfRule type="cellIs" dxfId="2560" priority="2544" stopIfTrue="1" operator="equal">
      <formula>"Napkin Hs"</formula>
    </cfRule>
  </conditionalFormatting>
  <conditionalFormatting sqref="B7">
    <cfRule type="cellIs" dxfId="2559" priority="2545" stopIfTrue="1" operator="equal">
      <formula>"Towel"</formula>
    </cfRule>
    <cfRule type="cellIs" dxfId="2558" priority="2546" stopIfTrue="1" operator="equal">
      <formula>"Napkin Hs"</formula>
    </cfRule>
  </conditionalFormatting>
  <conditionalFormatting sqref="C7">
    <cfRule type="cellIs" dxfId="2557" priority="2547" stopIfTrue="1" operator="equal">
      <formula>"Towel"</formula>
    </cfRule>
    <cfRule type="cellIs" dxfId="2556" priority="2548" stopIfTrue="1" operator="equal">
      <formula>"Napkin Hs"</formula>
    </cfRule>
  </conditionalFormatting>
  <conditionalFormatting sqref="C7">
    <cfRule type="cellIs" dxfId="2555" priority="2556" stopIfTrue="1" operator="equal">
      <formula>"Napkin Hs"</formula>
    </cfRule>
  </conditionalFormatting>
  <conditionalFormatting sqref="C7">
    <cfRule type="cellIs" dxfId="2554" priority="2555" stopIfTrue="1" operator="equal">
      <formula>"Towel"</formula>
    </cfRule>
  </conditionalFormatting>
  <conditionalFormatting sqref="C7">
    <cfRule type="cellIs" dxfId="2553" priority="2551" stopIfTrue="1" operator="equal">
      <formula>"Towel"</formula>
    </cfRule>
    <cfRule type="cellIs" dxfId="2552" priority="2552" stopIfTrue="1" operator="equal">
      <formula>"Napkin Hs"</formula>
    </cfRule>
  </conditionalFormatting>
  <conditionalFormatting sqref="C7">
    <cfRule type="cellIs" dxfId="2551" priority="2550" stopIfTrue="1" operator="equal">
      <formula>"Napkin Hs"</formula>
    </cfRule>
  </conditionalFormatting>
  <conditionalFormatting sqref="C7">
    <cfRule type="cellIs" dxfId="2550" priority="2549" stopIfTrue="1" operator="equal">
      <formula>"Towel"</formula>
    </cfRule>
  </conditionalFormatting>
  <conditionalFormatting sqref="B30:C30">
    <cfRule type="cellIs" dxfId="2549" priority="2541" stopIfTrue="1" operator="equal">
      <formula>"Towel"</formula>
    </cfRule>
    <cfRule type="cellIs" dxfId="2548" priority="2542" stopIfTrue="1" operator="equal">
      <formula>"Napkin Hs"</formula>
    </cfRule>
  </conditionalFormatting>
  <conditionalFormatting sqref="C30">
    <cfRule type="cellIs" dxfId="2547" priority="2540" stopIfTrue="1" operator="equal">
      <formula>"Napkin Hs"</formula>
    </cfRule>
  </conditionalFormatting>
  <conditionalFormatting sqref="C30">
    <cfRule type="cellIs" dxfId="2546" priority="2537" stopIfTrue="1" operator="equal">
      <formula>"Towel"</formula>
    </cfRule>
    <cfRule type="cellIs" dxfId="2545" priority="2538" stopIfTrue="1" operator="equal">
      <formula>"Napkin Hs"</formula>
    </cfRule>
  </conditionalFormatting>
  <conditionalFormatting sqref="C30">
    <cfRule type="cellIs" dxfId="2544" priority="2539" stopIfTrue="1" operator="equal">
      <formula>"Towel"</formula>
    </cfRule>
  </conditionalFormatting>
  <conditionalFormatting sqref="B35:C35">
    <cfRule type="cellIs" dxfId="2543" priority="2535" stopIfTrue="1" operator="equal">
      <formula>"Towel"</formula>
    </cfRule>
    <cfRule type="cellIs" dxfId="2542" priority="2536" stopIfTrue="1" operator="equal">
      <formula>"Napkin Hs"</formula>
    </cfRule>
  </conditionalFormatting>
  <conditionalFormatting sqref="C35">
    <cfRule type="cellIs" dxfId="2541" priority="2525" stopIfTrue="1" operator="equal">
      <formula>"Towel"</formula>
    </cfRule>
    <cfRule type="cellIs" dxfId="2540" priority="2526" stopIfTrue="1" operator="equal">
      <formula>"Napkin Hs"</formula>
    </cfRule>
  </conditionalFormatting>
  <conditionalFormatting sqref="C35">
    <cfRule type="cellIs" dxfId="2539" priority="2529" stopIfTrue="1" operator="equal">
      <formula>"Towel"</formula>
    </cfRule>
    <cfRule type="cellIs" dxfId="2538" priority="2530" stopIfTrue="1" operator="equal">
      <formula>"Napkin Hs"</formula>
    </cfRule>
  </conditionalFormatting>
  <conditionalFormatting sqref="C35">
    <cfRule type="cellIs" dxfId="2537" priority="2533" stopIfTrue="1" operator="equal">
      <formula>"Towel"</formula>
    </cfRule>
    <cfRule type="cellIs" dxfId="2536" priority="2534" stopIfTrue="1" operator="equal">
      <formula>"Napkin Hs"</formula>
    </cfRule>
  </conditionalFormatting>
  <conditionalFormatting sqref="B35">
    <cfRule type="cellIs" dxfId="2535" priority="2517" stopIfTrue="1" operator="equal">
      <formula>"Towel"</formula>
    </cfRule>
    <cfRule type="cellIs" dxfId="2534" priority="2518" stopIfTrue="1" operator="equal">
      <formula>"Napkin Hs"</formula>
    </cfRule>
  </conditionalFormatting>
  <conditionalFormatting sqref="C35">
    <cfRule type="cellIs" dxfId="2533" priority="2531" stopIfTrue="1" operator="equal">
      <formula>"Towel"</formula>
    </cfRule>
    <cfRule type="cellIs" dxfId="2532" priority="2532" stopIfTrue="1" operator="equal">
      <formula>"Napkin Hs"</formula>
    </cfRule>
  </conditionalFormatting>
  <conditionalFormatting sqref="B35">
    <cfRule type="cellIs" dxfId="2531" priority="2515" stopIfTrue="1" operator="equal">
      <formula>"Towel"</formula>
    </cfRule>
    <cfRule type="cellIs" dxfId="2530" priority="2516" stopIfTrue="1" operator="equal">
      <formula>"Napkin Hs"</formula>
    </cfRule>
  </conditionalFormatting>
  <conditionalFormatting sqref="C35">
    <cfRule type="cellIs" dxfId="2529" priority="2519" stopIfTrue="1" operator="equal">
      <formula>"Towel"</formula>
    </cfRule>
    <cfRule type="cellIs" dxfId="2528" priority="2520" stopIfTrue="1" operator="equal">
      <formula>"Napkin Hs"</formula>
    </cfRule>
  </conditionalFormatting>
  <conditionalFormatting sqref="C35">
    <cfRule type="cellIs" dxfId="2527" priority="2528" stopIfTrue="1" operator="equal">
      <formula>"Napkin Hs"</formula>
    </cfRule>
  </conditionalFormatting>
  <conditionalFormatting sqref="C35">
    <cfRule type="cellIs" dxfId="2526" priority="2527" stopIfTrue="1" operator="equal">
      <formula>"Towel"</formula>
    </cfRule>
  </conditionalFormatting>
  <conditionalFormatting sqref="C35">
    <cfRule type="cellIs" dxfId="2525" priority="2523" stopIfTrue="1" operator="equal">
      <formula>"Towel"</formula>
    </cfRule>
    <cfRule type="cellIs" dxfId="2524" priority="2524" stopIfTrue="1" operator="equal">
      <formula>"Napkin Hs"</formula>
    </cfRule>
  </conditionalFormatting>
  <conditionalFormatting sqref="C35">
    <cfRule type="cellIs" dxfId="2523" priority="2522" stopIfTrue="1" operator="equal">
      <formula>"Napkin Hs"</formula>
    </cfRule>
  </conditionalFormatting>
  <conditionalFormatting sqref="C35">
    <cfRule type="cellIs" dxfId="2522" priority="2521" stopIfTrue="1" operator="equal">
      <formula>"Towel"</formula>
    </cfRule>
  </conditionalFormatting>
  <conditionalFormatting sqref="B45">
    <cfRule type="cellIs" dxfId="2521" priority="2499" stopIfTrue="1" operator="equal">
      <formula>"Towel"</formula>
    </cfRule>
    <cfRule type="cellIs" dxfId="2520" priority="2500" stopIfTrue="1" operator="equal">
      <formula>"Napkin Hs"</formula>
    </cfRule>
  </conditionalFormatting>
  <conditionalFormatting sqref="C45">
    <cfRule type="cellIs" dxfId="2519" priority="2513" stopIfTrue="1" operator="equal">
      <formula>"Towel"</formula>
    </cfRule>
    <cfRule type="cellIs" dxfId="2518" priority="2514" stopIfTrue="1" operator="equal">
      <formula>"Napkin Hs"</formula>
    </cfRule>
  </conditionalFormatting>
  <conditionalFormatting sqref="C45">
    <cfRule type="cellIs" dxfId="2517" priority="2509" stopIfTrue="1" operator="equal">
      <formula>"Towel"</formula>
    </cfRule>
    <cfRule type="cellIs" dxfId="2516" priority="2510" stopIfTrue="1" operator="equal">
      <formula>"Napkin Hs"</formula>
    </cfRule>
  </conditionalFormatting>
  <conditionalFormatting sqref="B45">
    <cfRule type="cellIs" dxfId="2515" priority="2501" stopIfTrue="1" operator="equal">
      <formula>"Towel"</formula>
    </cfRule>
    <cfRule type="cellIs" dxfId="2514" priority="2502" stopIfTrue="1" operator="equal">
      <formula>"Napkin Hs"</formula>
    </cfRule>
  </conditionalFormatting>
  <conditionalFormatting sqref="C45">
    <cfRule type="cellIs" dxfId="2513" priority="2503" stopIfTrue="1" operator="equal">
      <formula>"Towel"</formula>
    </cfRule>
    <cfRule type="cellIs" dxfId="2512" priority="2504" stopIfTrue="1" operator="equal">
      <formula>"Napkin Hs"</formula>
    </cfRule>
  </conditionalFormatting>
  <conditionalFormatting sqref="C45">
    <cfRule type="cellIs" dxfId="2511" priority="2512" stopIfTrue="1" operator="equal">
      <formula>"Napkin Hs"</formula>
    </cfRule>
  </conditionalFormatting>
  <conditionalFormatting sqref="C45">
    <cfRule type="cellIs" dxfId="2510" priority="2511" stopIfTrue="1" operator="equal">
      <formula>"Towel"</formula>
    </cfRule>
  </conditionalFormatting>
  <conditionalFormatting sqref="C45">
    <cfRule type="cellIs" dxfId="2509" priority="2507" stopIfTrue="1" operator="equal">
      <formula>"Towel"</formula>
    </cfRule>
    <cfRule type="cellIs" dxfId="2508" priority="2508" stopIfTrue="1" operator="equal">
      <formula>"Napkin Hs"</formula>
    </cfRule>
  </conditionalFormatting>
  <conditionalFormatting sqref="C45">
    <cfRule type="cellIs" dxfId="2507" priority="2506" stopIfTrue="1" operator="equal">
      <formula>"Napkin Hs"</formula>
    </cfRule>
  </conditionalFormatting>
  <conditionalFormatting sqref="C45">
    <cfRule type="cellIs" dxfId="2506" priority="2505" stopIfTrue="1" operator="equal">
      <formula>"Towel"</formula>
    </cfRule>
  </conditionalFormatting>
  <conditionalFormatting sqref="B51">
    <cfRule type="cellIs" dxfId="2505" priority="2483" stopIfTrue="1" operator="equal">
      <formula>"Towel"</formula>
    </cfRule>
    <cfRule type="cellIs" dxfId="2504" priority="2484" stopIfTrue="1" operator="equal">
      <formula>"Napkin Hs"</formula>
    </cfRule>
  </conditionalFormatting>
  <conditionalFormatting sqref="C51">
    <cfRule type="cellIs" dxfId="2503" priority="2497" stopIfTrue="1" operator="equal">
      <formula>"Towel"</formula>
    </cfRule>
    <cfRule type="cellIs" dxfId="2502" priority="2498" stopIfTrue="1" operator="equal">
      <formula>"Napkin Hs"</formula>
    </cfRule>
  </conditionalFormatting>
  <conditionalFormatting sqref="C51">
    <cfRule type="cellIs" dxfId="2501" priority="2493" stopIfTrue="1" operator="equal">
      <formula>"Towel"</formula>
    </cfRule>
    <cfRule type="cellIs" dxfId="2500" priority="2494" stopIfTrue="1" operator="equal">
      <formula>"Napkin Hs"</formula>
    </cfRule>
  </conditionalFormatting>
  <conditionalFormatting sqref="B51">
    <cfRule type="cellIs" dxfId="2499" priority="2485" stopIfTrue="1" operator="equal">
      <formula>"Towel"</formula>
    </cfRule>
    <cfRule type="cellIs" dxfId="2498" priority="2486" stopIfTrue="1" operator="equal">
      <formula>"Napkin Hs"</formula>
    </cfRule>
  </conditionalFormatting>
  <conditionalFormatting sqref="C51">
    <cfRule type="cellIs" dxfId="2497" priority="2487" stopIfTrue="1" operator="equal">
      <formula>"Towel"</formula>
    </cfRule>
    <cfRule type="cellIs" dxfId="2496" priority="2488" stopIfTrue="1" operator="equal">
      <formula>"Napkin Hs"</formula>
    </cfRule>
  </conditionalFormatting>
  <conditionalFormatting sqref="C51">
    <cfRule type="cellIs" dxfId="2495" priority="2496" stopIfTrue="1" operator="equal">
      <formula>"Napkin Hs"</formula>
    </cfRule>
  </conditionalFormatting>
  <conditionalFormatting sqref="C51">
    <cfRule type="cellIs" dxfId="2494" priority="2495" stopIfTrue="1" operator="equal">
      <formula>"Towel"</formula>
    </cfRule>
  </conditionalFormatting>
  <conditionalFormatting sqref="C51">
    <cfRule type="cellIs" dxfId="2493" priority="2491" stopIfTrue="1" operator="equal">
      <formula>"Towel"</formula>
    </cfRule>
    <cfRule type="cellIs" dxfId="2492" priority="2492" stopIfTrue="1" operator="equal">
      <formula>"Napkin Hs"</formula>
    </cfRule>
  </conditionalFormatting>
  <conditionalFormatting sqref="C51">
    <cfRule type="cellIs" dxfId="2491" priority="2490" stopIfTrue="1" operator="equal">
      <formula>"Napkin Hs"</formula>
    </cfRule>
  </conditionalFormatting>
  <conditionalFormatting sqref="C51">
    <cfRule type="cellIs" dxfId="2490" priority="2489" stopIfTrue="1" operator="equal">
      <formula>"Towel"</formula>
    </cfRule>
  </conditionalFormatting>
  <conditionalFormatting sqref="B50">
    <cfRule type="cellIs" dxfId="2489" priority="2467" stopIfTrue="1" operator="equal">
      <formula>"Towel"</formula>
    </cfRule>
    <cfRule type="cellIs" dxfId="2488" priority="2468" stopIfTrue="1" operator="equal">
      <formula>"Napkin Hs"</formula>
    </cfRule>
  </conditionalFormatting>
  <conditionalFormatting sqref="C50">
    <cfRule type="cellIs" dxfId="2487" priority="2481" stopIfTrue="1" operator="equal">
      <formula>"Towel"</formula>
    </cfRule>
    <cfRule type="cellIs" dxfId="2486" priority="2482" stopIfTrue="1" operator="equal">
      <formula>"Napkin Hs"</formula>
    </cfRule>
  </conditionalFormatting>
  <conditionalFormatting sqref="C50">
    <cfRule type="cellIs" dxfId="2485" priority="2477" stopIfTrue="1" operator="equal">
      <formula>"Towel"</formula>
    </cfRule>
    <cfRule type="cellIs" dxfId="2484" priority="2478" stopIfTrue="1" operator="equal">
      <formula>"Napkin Hs"</formula>
    </cfRule>
  </conditionalFormatting>
  <conditionalFormatting sqref="B50">
    <cfRule type="cellIs" dxfId="2483" priority="2469" stopIfTrue="1" operator="equal">
      <formula>"Towel"</formula>
    </cfRule>
    <cfRule type="cellIs" dxfId="2482" priority="2470" stopIfTrue="1" operator="equal">
      <formula>"Napkin Hs"</formula>
    </cfRule>
  </conditionalFormatting>
  <conditionalFormatting sqref="C50">
    <cfRule type="cellIs" dxfId="2481" priority="2471" stopIfTrue="1" operator="equal">
      <formula>"Towel"</formula>
    </cfRule>
    <cfRule type="cellIs" dxfId="2480" priority="2472" stopIfTrue="1" operator="equal">
      <formula>"Napkin Hs"</formula>
    </cfRule>
  </conditionalFormatting>
  <conditionalFormatting sqref="C50">
    <cfRule type="cellIs" dxfId="2479" priority="2480" stopIfTrue="1" operator="equal">
      <formula>"Napkin Hs"</formula>
    </cfRule>
  </conditionalFormatting>
  <conditionalFormatting sqref="C50">
    <cfRule type="cellIs" dxfId="2478" priority="2479" stopIfTrue="1" operator="equal">
      <formula>"Towel"</formula>
    </cfRule>
  </conditionalFormatting>
  <conditionalFormatting sqref="C50">
    <cfRule type="cellIs" dxfId="2477" priority="2475" stopIfTrue="1" operator="equal">
      <formula>"Towel"</formula>
    </cfRule>
    <cfRule type="cellIs" dxfId="2476" priority="2476" stopIfTrue="1" operator="equal">
      <formula>"Napkin Hs"</formula>
    </cfRule>
  </conditionalFormatting>
  <conditionalFormatting sqref="C50">
    <cfRule type="cellIs" dxfId="2475" priority="2474" stopIfTrue="1" operator="equal">
      <formula>"Napkin Hs"</formula>
    </cfRule>
  </conditionalFormatting>
  <conditionalFormatting sqref="C50">
    <cfRule type="cellIs" dxfId="2474" priority="2473" stopIfTrue="1" operator="equal">
      <formula>"Towel"</formula>
    </cfRule>
  </conditionalFormatting>
  <conditionalFormatting sqref="B56">
    <cfRule type="cellIs" dxfId="2473" priority="2451" stopIfTrue="1" operator="equal">
      <formula>"Towel"</formula>
    </cfRule>
    <cfRule type="cellIs" dxfId="2472" priority="2452" stopIfTrue="1" operator="equal">
      <formula>"Napkin Hs"</formula>
    </cfRule>
  </conditionalFormatting>
  <conditionalFormatting sqref="C56">
    <cfRule type="cellIs" dxfId="2471" priority="2465" stopIfTrue="1" operator="equal">
      <formula>"Towel"</formula>
    </cfRule>
    <cfRule type="cellIs" dxfId="2470" priority="2466" stopIfTrue="1" operator="equal">
      <formula>"Napkin Hs"</formula>
    </cfRule>
  </conditionalFormatting>
  <conditionalFormatting sqref="C56">
    <cfRule type="cellIs" dxfId="2469" priority="2461" stopIfTrue="1" operator="equal">
      <formula>"Towel"</formula>
    </cfRule>
    <cfRule type="cellIs" dxfId="2468" priority="2462" stopIfTrue="1" operator="equal">
      <formula>"Napkin Hs"</formula>
    </cfRule>
  </conditionalFormatting>
  <conditionalFormatting sqref="B56">
    <cfRule type="cellIs" dxfId="2467" priority="2453" stopIfTrue="1" operator="equal">
      <formula>"Towel"</formula>
    </cfRule>
    <cfRule type="cellIs" dxfId="2466" priority="2454" stopIfTrue="1" operator="equal">
      <formula>"Napkin Hs"</formula>
    </cfRule>
  </conditionalFormatting>
  <conditionalFormatting sqref="C56">
    <cfRule type="cellIs" dxfId="2465" priority="2455" stopIfTrue="1" operator="equal">
      <formula>"Towel"</formula>
    </cfRule>
    <cfRule type="cellIs" dxfId="2464" priority="2456" stopIfTrue="1" operator="equal">
      <formula>"Napkin Hs"</formula>
    </cfRule>
  </conditionalFormatting>
  <conditionalFormatting sqref="C56">
    <cfRule type="cellIs" dxfId="2463" priority="2464" stopIfTrue="1" operator="equal">
      <formula>"Napkin Hs"</formula>
    </cfRule>
  </conditionalFormatting>
  <conditionalFormatting sqref="C56">
    <cfRule type="cellIs" dxfId="2462" priority="2463" stopIfTrue="1" operator="equal">
      <formula>"Towel"</formula>
    </cfRule>
  </conditionalFormatting>
  <conditionalFormatting sqref="C56">
    <cfRule type="cellIs" dxfId="2461" priority="2459" stopIfTrue="1" operator="equal">
      <formula>"Towel"</formula>
    </cfRule>
    <cfRule type="cellIs" dxfId="2460" priority="2460" stopIfTrue="1" operator="equal">
      <formula>"Napkin Hs"</formula>
    </cfRule>
  </conditionalFormatting>
  <conditionalFormatting sqref="C56">
    <cfRule type="cellIs" dxfId="2459" priority="2458" stopIfTrue="1" operator="equal">
      <formula>"Napkin Hs"</formula>
    </cfRule>
  </conditionalFormatting>
  <conditionalFormatting sqref="C56">
    <cfRule type="cellIs" dxfId="2458" priority="2457" stopIfTrue="1" operator="equal">
      <formula>"Towel"</formula>
    </cfRule>
  </conditionalFormatting>
  <conditionalFormatting sqref="C73">
    <cfRule type="cellIs" dxfId="2457" priority="2445" stopIfTrue="1" operator="equal">
      <formula>"Towel"</formula>
    </cfRule>
    <cfRule type="cellIs" dxfId="2456" priority="2446" stopIfTrue="1" operator="equal">
      <formula>"Napkin Hs"</formula>
    </cfRule>
  </conditionalFormatting>
  <conditionalFormatting sqref="B73:C73">
    <cfRule type="cellIs" dxfId="2455" priority="2449" stopIfTrue="1" operator="equal">
      <formula>"Towel"</formula>
    </cfRule>
    <cfRule type="cellIs" dxfId="2454" priority="2450" stopIfTrue="1" operator="equal">
      <formula>"Napkin Hs"</formula>
    </cfRule>
  </conditionalFormatting>
  <conditionalFormatting sqref="C73">
    <cfRule type="cellIs" dxfId="2453" priority="2448" stopIfTrue="1" operator="equal">
      <formula>"Napkin Hs"</formula>
    </cfRule>
  </conditionalFormatting>
  <conditionalFormatting sqref="C73">
    <cfRule type="cellIs" dxfId="2452" priority="2447" stopIfTrue="1" operator="equal">
      <formula>"Towel"</formula>
    </cfRule>
  </conditionalFormatting>
  <conditionalFormatting sqref="B90:C90">
    <cfRule type="cellIs" dxfId="2451" priority="2443" stopIfTrue="1" operator="equal">
      <formula>"Towel"</formula>
    </cfRule>
    <cfRule type="cellIs" dxfId="2450" priority="2444" stopIfTrue="1" operator="equal">
      <formula>"Napkin Hs"</formula>
    </cfRule>
  </conditionalFormatting>
  <conditionalFormatting sqref="C90">
    <cfRule type="cellIs" dxfId="2449" priority="2441" stopIfTrue="1" operator="equal">
      <formula>"Towel"</formula>
    </cfRule>
    <cfRule type="cellIs" dxfId="2448" priority="2442" stopIfTrue="1" operator="equal">
      <formula>"Napkin Hs"</formula>
    </cfRule>
  </conditionalFormatting>
  <conditionalFormatting sqref="C90">
    <cfRule type="cellIs" dxfId="2447" priority="2439" stopIfTrue="1" operator="equal">
      <formula>"Towel"</formula>
    </cfRule>
    <cfRule type="cellIs" dxfId="2446" priority="2440" stopIfTrue="1" operator="equal">
      <formula>"Napkin Hs"</formula>
    </cfRule>
  </conditionalFormatting>
  <conditionalFormatting sqref="C90">
    <cfRule type="cellIs" dxfId="2445" priority="2433" stopIfTrue="1" operator="equal">
      <formula>"Towel"</formula>
    </cfRule>
    <cfRule type="cellIs" dxfId="2444" priority="2434" stopIfTrue="1" operator="equal">
      <formula>"Napkin Hs"</formula>
    </cfRule>
  </conditionalFormatting>
  <conditionalFormatting sqref="B90">
    <cfRule type="cellIs" dxfId="2443" priority="2423" stopIfTrue="1" operator="equal">
      <formula>"Towel"</formula>
    </cfRule>
    <cfRule type="cellIs" dxfId="2442" priority="2424" stopIfTrue="1" operator="equal">
      <formula>"Napkin Hs"</formula>
    </cfRule>
  </conditionalFormatting>
  <conditionalFormatting sqref="C90">
    <cfRule type="cellIs" dxfId="2441" priority="2427" stopIfTrue="1" operator="equal">
      <formula>"Towel"</formula>
    </cfRule>
    <cfRule type="cellIs" dxfId="2440" priority="2428" stopIfTrue="1" operator="equal">
      <formula>"Napkin Hs"</formula>
    </cfRule>
  </conditionalFormatting>
  <conditionalFormatting sqref="C90">
    <cfRule type="cellIs" dxfId="2439" priority="2437" stopIfTrue="1" operator="equal">
      <formula>"Towel"</formula>
    </cfRule>
    <cfRule type="cellIs" dxfId="2438" priority="2438" stopIfTrue="1" operator="equal">
      <formula>"Napkin Hs"</formula>
    </cfRule>
  </conditionalFormatting>
  <conditionalFormatting sqref="B90">
    <cfRule type="cellIs" dxfId="2437" priority="2425" stopIfTrue="1" operator="equal">
      <formula>"Towel"</formula>
    </cfRule>
    <cfRule type="cellIs" dxfId="2436" priority="2426" stopIfTrue="1" operator="equal">
      <formula>"Napkin Hs"</formula>
    </cfRule>
  </conditionalFormatting>
  <conditionalFormatting sqref="C90">
    <cfRule type="cellIs" dxfId="2435" priority="2436" stopIfTrue="1" operator="equal">
      <formula>"Napkin Hs"</formula>
    </cfRule>
  </conditionalFormatting>
  <conditionalFormatting sqref="C90">
    <cfRule type="cellIs" dxfId="2434" priority="2435" stopIfTrue="1" operator="equal">
      <formula>"Towel"</formula>
    </cfRule>
  </conditionalFormatting>
  <conditionalFormatting sqref="C90">
    <cfRule type="cellIs" dxfId="2433" priority="2431" stopIfTrue="1" operator="equal">
      <formula>"Towel"</formula>
    </cfRule>
    <cfRule type="cellIs" dxfId="2432" priority="2432" stopIfTrue="1" operator="equal">
      <formula>"Napkin Hs"</formula>
    </cfRule>
  </conditionalFormatting>
  <conditionalFormatting sqref="C90">
    <cfRule type="cellIs" dxfId="2431" priority="2430" stopIfTrue="1" operator="equal">
      <formula>"Napkin Hs"</formula>
    </cfRule>
  </conditionalFormatting>
  <conditionalFormatting sqref="C90">
    <cfRule type="cellIs" dxfId="2430" priority="2429" stopIfTrue="1" operator="equal">
      <formula>"Towel"</formula>
    </cfRule>
  </conditionalFormatting>
  <conditionalFormatting sqref="C103">
    <cfRule type="cellIs" dxfId="2429" priority="2417" stopIfTrue="1" operator="equal">
      <formula>"Towel"</formula>
    </cfRule>
    <cfRule type="cellIs" dxfId="2428" priority="2418" stopIfTrue="1" operator="equal">
      <formula>"Napkin Hs"</formula>
    </cfRule>
  </conditionalFormatting>
  <conditionalFormatting sqref="C103">
    <cfRule type="cellIs" dxfId="2427" priority="2411" stopIfTrue="1" operator="equal">
      <formula>"Towel"</formula>
    </cfRule>
    <cfRule type="cellIs" dxfId="2426" priority="2412" stopIfTrue="1" operator="equal">
      <formula>"Napkin Hs"</formula>
    </cfRule>
  </conditionalFormatting>
  <conditionalFormatting sqref="B103:C103">
    <cfRule type="cellIs" dxfId="2425" priority="2421" stopIfTrue="1" operator="equal">
      <formula>"Towel"</formula>
    </cfRule>
    <cfRule type="cellIs" dxfId="2424" priority="2422" stopIfTrue="1" operator="equal">
      <formula>"Napkin Hs"</formula>
    </cfRule>
  </conditionalFormatting>
  <conditionalFormatting sqref="C103">
    <cfRule type="cellIs" dxfId="2423" priority="2409" stopIfTrue="1" operator="equal">
      <formula>"Towel"</formula>
    </cfRule>
    <cfRule type="cellIs" dxfId="2422" priority="2410" stopIfTrue="1" operator="equal">
      <formula>"Napkin Hs"</formula>
    </cfRule>
  </conditionalFormatting>
  <conditionalFormatting sqref="C103">
    <cfRule type="cellIs" dxfId="2421" priority="2415" stopIfTrue="1" operator="equal">
      <formula>"Towel"</formula>
    </cfRule>
    <cfRule type="cellIs" dxfId="2420" priority="2416" stopIfTrue="1" operator="equal">
      <formula>"Napkin Hs"</formula>
    </cfRule>
  </conditionalFormatting>
  <conditionalFormatting sqref="C103">
    <cfRule type="cellIs" dxfId="2419" priority="2414" stopIfTrue="1" operator="equal">
      <formula>"Napkin Hs"</formula>
    </cfRule>
  </conditionalFormatting>
  <conditionalFormatting sqref="C103">
    <cfRule type="cellIs" dxfId="2418" priority="2413" stopIfTrue="1" operator="equal">
      <formula>"Towel"</formula>
    </cfRule>
  </conditionalFormatting>
  <conditionalFormatting sqref="C103">
    <cfRule type="cellIs" dxfId="2417" priority="2419" stopIfTrue="1" operator="equal">
      <formula>"Towel"</formula>
    </cfRule>
    <cfRule type="cellIs" dxfId="2416" priority="2420" stopIfTrue="1" operator="equal">
      <formula>"Napkin Hs"</formula>
    </cfRule>
  </conditionalFormatting>
  <conditionalFormatting sqref="B103">
    <cfRule type="cellIs" dxfId="2415" priority="2401" stopIfTrue="1" operator="equal">
      <formula>"Towel"</formula>
    </cfRule>
    <cfRule type="cellIs" dxfId="2414" priority="2402" stopIfTrue="1" operator="equal">
      <formula>"Napkin Hs"</formula>
    </cfRule>
  </conditionalFormatting>
  <conditionalFormatting sqref="C103">
    <cfRule type="cellIs" dxfId="2413" priority="2405" stopIfTrue="1" operator="equal">
      <formula>"Towel"</formula>
    </cfRule>
    <cfRule type="cellIs" dxfId="2412" priority="2406" stopIfTrue="1" operator="equal">
      <formula>"Napkin Hs"</formula>
    </cfRule>
  </conditionalFormatting>
  <conditionalFormatting sqref="B103">
    <cfRule type="cellIs" dxfId="2411" priority="2403" stopIfTrue="1" operator="equal">
      <formula>"Towel"</formula>
    </cfRule>
    <cfRule type="cellIs" dxfId="2410" priority="2404" stopIfTrue="1" operator="equal">
      <formula>"Napkin Hs"</formula>
    </cfRule>
  </conditionalFormatting>
  <conditionalFormatting sqref="C103">
    <cfRule type="cellIs" dxfId="2409" priority="2408" stopIfTrue="1" operator="equal">
      <formula>"Napkin Hs"</formula>
    </cfRule>
  </conditionalFormatting>
  <conditionalFormatting sqref="C103">
    <cfRule type="cellIs" dxfId="2408" priority="2407" stopIfTrue="1" operator="equal">
      <formula>"Towel"</formula>
    </cfRule>
  </conditionalFormatting>
  <conditionalFormatting sqref="C107">
    <cfRule type="cellIs" dxfId="2407" priority="2395" stopIfTrue="1" operator="equal">
      <formula>"Towel"</formula>
    </cfRule>
    <cfRule type="cellIs" dxfId="2406" priority="2396" stopIfTrue="1" operator="equal">
      <formula>"Napkin Hs"</formula>
    </cfRule>
  </conditionalFormatting>
  <conditionalFormatting sqref="B107:C107">
    <cfRule type="cellIs" dxfId="2405" priority="2399" stopIfTrue="1" operator="equal">
      <formula>"Towel"</formula>
    </cfRule>
    <cfRule type="cellIs" dxfId="2404" priority="2400" stopIfTrue="1" operator="equal">
      <formula>"Napkin Hs"</formula>
    </cfRule>
  </conditionalFormatting>
  <conditionalFormatting sqref="C107">
    <cfRule type="cellIs" dxfId="2403" priority="2398" stopIfTrue="1" operator="equal">
      <formula>"Napkin Hs"</formula>
    </cfRule>
  </conditionalFormatting>
  <conditionalFormatting sqref="C107">
    <cfRule type="cellIs" dxfId="2402" priority="2397" stopIfTrue="1" operator="equal">
      <formula>"Towel"</formula>
    </cfRule>
  </conditionalFormatting>
  <conditionalFormatting sqref="C116">
    <cfRule type="cellIs" dxfId="2401" priority="2389" stopIfTrue="1" operator="equal">
      <formula>"Towel"</formula>
    </cfRule>
    <cfRule type="cellIs" dxfId="2400" priority="2390" stopIfTrue="1" operator="equal">
      <formula>"Napkin Hs"</formula>
    </cfRule>
  </conditionalFormatting>
  <conditionalFormatting sqref="B116:C116">
    <cfRule type="cellIs" dxfId="2399" priority="2393" stopIfTrue="1" operator="equal">
      <formula>"Towel"</formula>
    </cfRule>
    <cfRule type="cellIs" dxfId="2398" priority="2394" stopIfTrue="1" operator="equal">
      <formula>"Napkin Hs"</formula>
    </cfRule>
  </conditionalFormatting>
  <conditionalFormatting sqref="C116">
    <cfRule type="cellIs" dxfId="2397" priority="2392" stopIfTrue="1" operator="equal">
      <formula>"Napkin Hs"</formula>
    </cfRule>
  </conditionalFormatting>
  <conditionalFormatting sqref="C116">
    <cfRule type="cellIs" dxfId="2396" priority="2391" stopIfTrue="1" operator="equal">
      <formula>"Towel"</formula>
    </cfRule>
  </conditionalFormatting>
  <conditionalFormatting sqref="B121">
    <cfRule type="cellIs" dxfId="2395" priority="2369" stopIfTrue="1" operator="equal">
      <formula>"Towel"</formula>
    </cfRule>
    <cfRule type="cellIs" dxfId="2394" priority="2370" stopIfTrue="1" operator="equal">
      <formula>"Napkin Hs"</formula>
    </cfRule>
  </conditionalFormatting>
  <conditionalFormatting sqref="C121">
    <cfRule type="cellIs" dxfId="2393" priority="2377" stopIfTrue="1" operator="equal">
      <formula>"Towel"</formula>
    </cfRule>
    <cfRule type="cellIs" dxfId="2392" priority="2378" stopIfTrue="1" operator="equal">
      <formula>"Napkin Hs"</formula>
    </cfRule>
  </conditionalFormatting>
  <conditionalFormatting sqref="B121">
    <cfRule type="cellIs" dxfId="2391" priority="2367" stopIfTrue="1" operator="equal">
      <formula>"Towel"</formula>
    </cfRule>
    <cfRule type="cellIs" dxfId="2390" priority="2368" stopIfTrue="1" operator="equal">
      <formula>"Napkin Hs"</formula>
    </cfRule>
  </conditionalFormatting>
  <conditionalFormatting sqref="C121">
    <cfRule type="cellIs" dxfId="2389" priority="2371" stopIfTrue="1" operator="equal">
      <formula>"Towel"</formula>
    </cfRule>
    <cfRule type="cellIs" dxfId="2388" priority="2372" stopIfTrue="1" operator="equal">
      <formula>"Napkin Hs"</formula>
    </cfRule>
  </conditionalFormatting>
  <conditionalFormatting sqref="C121">
    <cfRule type="cellIs" dxfId="2387" priority="2381" stopIfTrue="1" operator="equal">
      <formula>"Towel"</formula>
    </cfRule>
    <cfRule type="cellIs" dxfId="2386" priority="2382" stopIfTrue="1" operator="equal">
      <formula>"Napkin Hs"</formula>
    </cfRule>
  </conditionalFormatting>
  <conditionalFormatting sqref="C121">
    <cfRule type="cellIs" dxfId="2385" priority="2380" stopIfTrue="1" operator="equal">
      <formula>"Napkin Hs"</formula>
    </cfRule>
  </conditionalFormatting>
  <conditionalFormatting sqref="C121">
    <cfRule type="cellIs" dxfId="2384" priority="2379" stopIfTrue="1" operator="equal">
      <formula>"Towel"</formula>
    </cfRule>
  </conditionalFormatting>
  <conditionalFormatting sqref="C121">
    <cfRule type="cellIs" dxfId="2383" priority="2375" stopIfTrue="1" operator="equal">
      <formula>"Towel"</formula>
    </cfRule>
    <cfRule type="cellIs" dxfId="2382" priority="2376" stopIfTrue="1" operator="equal">
      <formula>"Napkin Hs"</formula>
    </cfRule>
  </conditionalFormatting>
  <conditionalFormatting sqref="C121">
    <cfRule type="cellIs" dxfId="2381" priority="2374" stopIfTrue="1" operator="equal">
      <formula>"Napkin Hs"</formula>
    </cfRule>
  </conditionalFormatting>
  <conditionalFormatting sqref="C121">
    <cfRule type="cellIs" dxfId="2380" priority="2373" stopIfTrue="1" operator="equal">
      <formula>"Towel"</formula>
    </cfRule>
  </conditionalFormatting>
  <conditionalFormatting sqref="B121:C121">
    <cfRule type="cellIs" dxfId="2379" priority="2387" stopIfTrue="1" operator="equal">
      <formula>"Towel"</formula>
    </cfRule>
    <cfRule type="cellIs" dxfId="2378" priority="2388" stopIfTrue="1" operator="equal">
      <formula>"Napkin Hs"</formula>
    </cfRule>
  </conditionalFormatting>
  <conditionalFormatting sqref="C121">
    <cfRule type="cellIs" dxfId="2377" priority="2385" stopIfTrue="1" operator="equal">
      <formula>"Towel"</formula>
    </cfRule>
    <cfRule type="cellIs" dxfId="2376" priority="2386" stopIfTrue="1" operator="equal">
      <formula>"Napkin Hs"</formula>
    </cfRule>
  </conditionalFormatting>
  <conditionalFormatting sqref="C121">
    <cfRule type="cellIs" dxfId="2375" priority="2383" stopIfTrue="1" operator="equal">
      <formula>"Towel"</formula>
    </cfRule>
    <cfRule type="cellIs" dxfId="2374" priority="2384" stopIfTrue="1" operator="equal">
      <formula>"Napkin Hs"</formula>
    </cfRule>
  </conditionalFormatting>
  <conditionalFormatting sqref="C135">
    <cfRule type="cellIs" dxfId="2373" priority="2365" stopIfTrue="1" operator="equal">
      <formula>"Towel"</formula>
    </cfRule>
    <cfRule type="cellIs" dxfId="2372" priority="2366" stopIfTrue="1" operator="equal">
      <formula>"Napkin Hs"</formula>
    </cfRule>
  </conditionalFormatting>
  <conditionalFormatting sqref="B135:C135">
    <cfRule type="cellIs" dxfId="2371" priority="2363" stopIfTrue="1" operator="equal">
      <formula>"Towel"</formula>
    </cfRule>
    <cfRule type="cellIs" dxfId="2370" priority="2364" stopIfTrue="1" operator="equal">
      <formula>"Napkin Hs"</formula>
    </cfRule>
  </conditionalFormatting>
  <conditionalFormatting sqref="C135">
    <cfRule type="cellIs" dxfId="2369" priority="2361" stopIfTrue="1" operator="equal">
      <formula>"Towel"</formula>
    </cfRule>
    <cfRule type="cellIs" dxfId="2368" priority="2362" stopIfTrue="1" operator="equal">
      <formula>"Napkin Hs"</formula>
    </cfRule>
  </conditionalFormatting>
  <conditionalFormatting sqref="C140">
    <cfRule type="cellIs" dxfId="2367" priority="2355" stopIfTrue="1" operator="equal">
      <formula>"Towel"</formula>
    </cfRule>
    <cfRule type="cellIs" dxfId="2366" priority="2356" stopIfTrue="1" operator="equal">
      <formula>"Napkin Hs"</formula>
    </cfRule>
  </conditionalFormatting>
  <conditionalFormatting sqref="B140:C140">
    <cfRule type="cellIs" dxfId="2365" priority="2359" stopIfTrue="1" operator="equal">
      <formula>"Towel"</formula>
    </cfRule>
    <cfRule type="cellIs" dxfId="2364" priority="2360" stopIfTrue="1" operator="equal">
      <formula>"Napkin Hs"</formula>
    </cfRule>
  </conditionalFormatting>
  <conditionalFormatting sqref="C140">
    <cfRule type="cellIs" dxfId="2363" priority="2358" stopIfTrue="1" operator="equal">
      <formula>"Napkin Hs"</formula>
    </cfRule>
  </conditionalFormatting>
  <conditionalFormatting sqref="C140">
    <cfRule type="cellIs" dxfId="2362" priority="2357" stopIfTrue="1" operator="equal">
      <formula>"Towel"</formula>
    </cfRule>
  </conditionalFormatting>
  <conditionalFormatting sqref="B146">
    <cfRule type="cellIs" dxfId="2361" priority="2335" stopIfTrue="1" operator="equal">
      <formula>"Towel"</formula>
    </cfRule>
    <cfRule type="cellIs" dxfId="2360" priority="2336" stopIfTrue="1" operator="equal">
      <formula>"Napkin Hs"</formula>
    </cfRule>
  </conditionalFormatting>
  <conditionalFormatting sqref="C146">
    <cfRule type="cellIs" dxfId="2359" priority="2343" stopIfTrue="1" operator="equal">
      <formula>"Towel"</formula>
    </cfRule>
    <cfRule type="cellIs" dxfId="2358" priority="2344" stopIfTrue="1" operator="equal">
      <formula>"Napkin Hs"</formula>
    </cfRule>
  </conditionalFormatting>
  <conditionalFormatting sqref="B146">
    <cfRule type="cellIs" dxfId="2357" priority="2333" stopIfTrue="1" operator="equal">
      <formula>"Towel"</formula>
    </cfRule>
    <cfRule type="cellIs" dxfId="2356" priority="2334" stopIfTrue="1" operator="equal">
      <formula>"Napkin Hs"</formula>
    </cfRule>
  </conditionalFormatting>
  <conditionalFormatting sqref="C146">
    <cfRule type="cellIs" dxfId="2355" priority="2337" stopIfTrue="1" operator="equal">
      <formula>"Towel"</formula>
    </cfRule>
    <cfRule type="cellIs" dxfId="2354" priority="2338" stopIfTrue="1" operator="equal">
      <formula>"Napkin Hs"</formula>
    </cfRule>
  </conditionalFormatting>
  <conditionalFormatting sqref="C146">
    <cfRule type="cellIs" dxfId="2353" priority="2347" stopIfTrue="1" operator="equal">
      <formula>"Towel"</formula>
    </cfRule>
    <cfRule type="cellIs" dxfId="2352" priority="2348" stopIfTrue="1" operator="equal">
      <formula>"Napkin Hs"</formula>
    </cfRule>
  </conditionalFormatting>
  <conditionalFormatting sqref="C146">
    <cfRule type="cellIs" dxfId="2351" priority="2346" stopIfTrue="1" operator="equal">
      <formula>"Napkin Hs"</formula>
    </cfRule>
  </conditionalFormatting>
  <conditionalFormatting sqref="C146">
    <cfRule type="cellIs" dxfId="2350" priority="2345" stopIfTrue="1" operator="equal">
      <formula>"Towel"</formula>
    </cfRule>
  </conditionalFormatting>
  <conditionalFormatting sqref="C146">
    <cfRule type="cellIs" dxfId="2349" priority="2341" stopIfTrue="1" operator="equal">
      <formula>"Towel"</formula>
    </cfRule>
    <cfRule type="cellIs" dxfId="2348" priority="2342" stopIfTrue="1" operator="equal">
      <formula>"Napkin Hs"</formula>
    </cfRule>
  </conditionalFormatting>
  <conditionalFormatting sqref="C146">
    <cfRule type="cellIs" dxfId="2347" priority="2340" stopIfTrue="1" operator="equal">
      <formula>"Napkin Hs"</formula>
    </cfRule>
  </conditionalFormatting>
  <conditionalFormatting sqref="C146">
    <cfRule type="cellIs" dxfId="2346" priority="2339" stopIfTrue="1" operator="equal">
      <formula>"Towel"</formula>
    </cfRule>
  </conditionalFormatting>
  <conditionalFormatting sqref="B146:C146">
    <cfRule type="cellIs" dxfId="2345" priority="2353" stopIfTrue="1" operator="equal">
      <formula>"Towel"</formula>
    </cfRule>
    <cfRule type="cellIs" dxfId="2344" priority="2354" stopIfTrue="1" operator="equal">
      <formula>"Napkin Hs"</formula>
    </cfRule>
  </conditionalFormatting>
  <conditionalFormatting sqref="C146">
    <cfRule type="cellIs" dxfId="2343" priority="2351" stopIfTrue="1" operator="equal">
      <formula>"Towel"</formula>
    </cfRule>
    <cfRule type="cellIs" dxfId="2342" priority="2352" stopIfTrue="1" operator="equal">
      <formula>"Napkin Hs"</formula>
    </cfRule>
  </conditionalFormatting>
  <conditionalFormatting sqref="C146">
    <cfRule type="cellIs" dxfId="2341" priority="2349" stopIfTrue="1" operator="equal">
      <formula>"Towel"</formula>
    </cfRule>
    <cfRule type="cellIs" dxfId="2340" priority="2350" stopIfTrue="1" operator="equal">
      <formula>"Napkin Hs"</formula>
    </cfRule>
  </conditionalFormatting>
  <conditionalFormatting sqref="C10">
    <cfRule type="cellIs" dxfId="2339" priority="2332" stopIfTrue="1" operator="equal">
      <formula>"Napkin Hs"</formula>
    </cfRule>
  </conditionalFormatting>
  <conditionalFormatting sqref="C10">
    <cfRule type="cellIs" dxfId="2338" priority="2331" stopIfTrue="1" operator="equal">
      <formula>"Napkin Hs"</formula>
    </cfRule>
  </conditionalFormatting>
  <conditionalFormatting sqref="C15">
    <cfRule type="cellIs" dxfId="2337" priority="2330" stopIfTrue="1" operator="equal">
      <formula>"Napkin Hs"</formula>
    </cfRule>
  </conditionalFormatting>
  <conditionalFormatting sqref="C15">
    <cfRule type="cellIs" dxfId="2336" priority="2329" stopIfTrue="1" operator="equal">
      <formula>"Napkin Hs"</formula>
    </cfRule>
  </conditionalFormatting>
  <conditionalFormatting sqref="C25">
    <cfRule type="cellIs" dxfId="2335" priority="2328" stopIfTrue="1" operator="equal">
      <formula>"Napkin Hs"</formula>
    </cfRule>
  </conditionalFormatting>
  <conditionalFormatting sqref="C25">
    <cfRule type="cellIs" dxfId="2334" priority="2327" stopIfTrue="1" operator="equal">
      <formula>"Napkin Hs"</formula>
    </cfRule>
  </conditionalFormatting>
  <conditionalFormatting sqref="B6">
    <cfRule type="cellIs" dxfId="2333" priority="2311" stopIfTrue="1" operator="equal">
      <formula>"Towel"</formula>
    </cfRule>
    <cfRule type="cellIs" dxfId="2332" priority="2312" stopIfTrue="1" operator="equal">
      <formula>"Napkin Hs"</formula>
    </cfRule>
  </conditionalFormatting>
  <conditionalFormatting sqref="C6">
    <cfRule type="cellIs" dxfId="2331" priority="2325" stopIfTrue="1" operator="equal">
      <formula>"Towel"</formula>
    </cfRule>
    <cfRule type="cellIs" dxfId="2330" priority="2326" stopIfTrue="1" operator="equal">
      <formula>"Napkin Hs"</formula>
    </cfRule>
  </conditionalFormatting>
  <conditionalFormatting sqref="C6">
    <cfRule type="cellIs" dxfId="2329" priority="2321" stopIfTrue="1" operator="equal">
      <formula>"Towel"</formula>
    </cfRule>
    <cfRule type="cellIs" dxfId="2328" priority="2322" stopIfTrue="1" operator="equal">
      <formula>"Napkin Hs"</formula>
    </cfRule>
  </conditionalFormatting>
  <conditionalFormatting sqref="B6">
    <cfRule type="cellIs" dxfId="2327" priority="2313" stopIfTrue="1" operator="equal">
      <formula>"Towel"</formula>
    </cfRule>
    <cfRule type="cellIs" dxfId="2326" priority="2314" stopIfTrue="1" operator="equal">
      <formula>"Napkin Hs"</formula>
    </cfRule>
  </conditionalFormatting>
  <conditionalFormatting sqref="C6">
    <cfRule type="cellIs" dxfId="2325" priority="2315" stopIfTrue="1" operator="equal">
      <formula>"Towel"</formula>
    </cfRule>
    <cfRule type="cellIs" dxfId="2324" priority="2316" stopIfTrue="1" operator="equal">
      <formula>"Napkin Hs"</formula>
    </cfRule>
  </conditionalFormatting>
  <conditionalFormatting sqref="C6">
    <cfRule type="cellIs" dxfId="2323" priority="2324" stopIfTrue="1" operator="equal">
      <formula>"Napkin Hs"</formula>
    </cfRule>
  </conditionalFormatting>
  <conditionalFormatting sqref="C6">
    <cfRule type="cellIs" dxfId="2322" priority="2323" stopIfTrue="1" operator="equal">
      <formula>"Towel"</formula>
    </cfRule>
  </conditionalFormatting>
  <conditionalFormatting sqref="C6">
    <cfRule type="cellIs" dxfId="2321" priority="2319" stopIfTrue="1" operator="equal">
      <formula>"Towel"</formula>
    </cfRule>
    <cfRule type="cellIs" dxfId="2320" priority="2320" stopIfTrue="1" operator="equal">
      <formula>"Napkin Hs"</formula>
    </cfRule>
  </conditionalFormatting>
  <conditionalFormatting sqref="C6">
    <cfRule type="cellIs" dxfId="2319" priority="2318" stopIfTrue="1" operator="equal">
      <formula>"Napkin Hs"</formula>
    </cfRule>
  </conditionalFormatting>
  <conditionalFormatting sqref="C6">
    <cfRule type="cellIs" dxfId="2318" priority="2317" stopIfTrue="1" operator="equal">
      <formula>"Towel"</formula>
    </cfRule>
  </conditionalFormatting>
  <conditionalFormatting sqref="B6:C6">
    <cfRule type="cellIs" dxfId="2317" priority="2309" stopIfTrue="1" operator="equal">
      <formula>"Towel"</formula>
    </cfRule>
    <cfRule type="cellIs" dxfId="2316" priority="2310" stopIfTrue="1" operator="equal">
      <formula>"Napkin Hs"</formula>
    </cfRule>
  </conditionalFormatting>
  <conditionalFormatting sqref="C6">
    <cfRule type="cellIs" dxfId="2315" priority="2308" stopIfTrue="1" operator="equal">
      <formula>"Napkin Hs"</formula>
    </cfRule>
  </conditionalFormatting>
  <conditionalFormatting sqref="C6">
    <cfRule type="cellIs" dxfId="2314" priority="2307" stopIfTrue="1" operator="equal">
      <formula>"Towel"</formula>
    </cfRule>
  </conditionalFormatting>
  <conditionalFormatting sqref="C6">
    <cfRule type="cellIs" dxfId="2313" priority="2305" stopIfTrue="1" operator="equal">
      <formula>"Towel"</formula>
    </cfRule>
    <cfRule type="cellIs" dxfId="2312" priority="2306" stopIfTrue="1" operator="equal">
      <formula>"Napkin Hs"</formula>
    </cfRule>
  </conditionalFormatting>
  <conditionalFormatting sqref="B6:C6">
    <cfRule type="cellIs" dxfId="2311" priority="2303" stopIfTrue="1" operator="equal">
      <formula>"Towel"</formula>
    </cfRule>
    <cfRule type="cellIs" dxfId="2310" priority="2304" stopIfTrue="1" operator="equal">
      <formula>"Napkin Hs"</formula>
    </cfRule>
  </conditionalFormatting>
  <conditionalFormatting sqref="C6">
    <cfRule type="cellIs" dxfId="2309" priority="2301" stopIfTrue="1" operator="equal">
      <formula>"Towel"</formula>
    </cfRule>
    <cfRule type="cellIs" dxfId="2308" priority="2302" stopIfTrue="1" operator="equal">
      <formula>"Napkin Hs"</formula>
    </cfRule>
  </conditionalFormatting>
  <conditionalFormatting sqref="C6">
    <cfRule type="cellIs" dxfId="2307" priority="2299" stopIfTrue="1" operator="equal">
      <formula>"Towel"</formula>
    </cfRule>
    <cfRule type="cellIs" dxfId="2306" priority="2300" stopIfTrue="1" operator="equal">
      <formula>"Napkin Hs"</formula>
    </cfRule>
  </conditionalFormatting>
  <conditionalFormatting sqref="C6">
    <cfRule type="cellIs" dxfId="2305" priority="2293" stopIfTrue="1" operator="equal">
      <formula>"Towel"</formula>
    </cfRule>
    <cfRule type="cellIs" dxfId="2304" priority="2294" stopIfTrue="1" operator="equal">
      <formula>"Napkin Hs"</formula>
    </cfRule>
  </conditionalFormatting>
  <conditionalFormatting sqref="B6">
    <cfRule type="cellIs" dxfId="2303" priority="2283" stopIfTrue="1" operator="equal">
      <formula>"Towel"</formula>
    </cfRule>
    <cfRule type="cellIs" dxfId="2302" priority="2284" stopIfTrue="1" operator="equal">
      <formula>"Napkin Hs"</formula>
    </cfRule>
  </conditionalFormatting>
  <conditionalFormatting sqref="C6">
    <cfRule type="cellIs" dxfId="2301" priority="2287" stopIfTrue="1" operator="equal">
      <formula>"Towel"</formula>
    </cfRule>
    <cfRule type="cellIs" dxfId="2300" priority="2288" stopIfTrue="1" operator="equal">
      <formula>"Napkin Hs"</formula>
    </cfRule>
  </conditionalFormatting>
  <conditionalFormatting sqref="C6">
    <cfRule type="cellIs" dxfId="2299" priority="2297" stopIfTrue="1" operator="equal">
      <formula>"Towel"</formula>
    </cfRule>
    <cfRule type="cellIs" dxfId="2298" priority="2298" stopIfTrue="1" operator="equal">
      <formula>"Napkin Hs"</formula>
    </cfRule>
  </conditionalFormatting>
  <conditionalFormatting sqref="B6">
    <cfRule type="cellIs" dxfId="2297" priority="2285" stopIfTrue="1" operator="equal">
      <formula>"Towel"</formula>
    </cfRule>
    <cfRule type="cellIs" dxfId="2296" priority="2286" stopIfTrue="1" operator="equal">
      <formula>"Napkin Hs"</formula>
    </cfRule>
  </conditionalFormatting>
  <conditionalFormatting sqref="C6">
    <cfRule type="cellIs" dxfId="2295" priority="2296" stopIfTrue="1" operator="equal">
      <formula>"Napkin Hs"</formula>
    </cfRule>
  </conditionalFormatting>
  <conditionalFormatting sqref="C6">
    <cfRule type="cellIs" dxfId="2294" priority="2295" stopIfTrue="1" operator="equal">
      <formula>"Towel"</formula>
    </cfRule>
  </conditionalFormatting>
  <conditionalFormatting sqref="C6">
    <cfRule type="cellIs" dxfId="2293" priority="2291" stopIfTrue="1" operator="equal">
      <formula>"Towel"</formula>
    </cfRule>
    <cfRule type="cellIs" dxfId="2292" priority="2292" stopIfTrue="1" operator="equal">
      <formula>"Napkin Hs"</formula>
    </cfRule>
  </conditionalFormatting>
  <conditionalFormatting sqref="C6">
    <cfRule type="cellIs" dxfId="2291" priority="2290" stopIfTrue="1" operator="equal">
      <formula>"Napkin Hs"</formula>
    </cfRule>
  </conditionalFormatting>
  <conditionalFormatting sqref="C6">
    <cfRule type="cellIs" dxfId="2290" priority="2289" stopIfTrue="1" operator="equal">
      <formula>"Towel"</formula>
    </cfRule>
  </conditionalFormatting>
  <conditionalFormatting sqref="C6">
    <cfRule type="cellIs" dxfId="2289" priority="2282" stopIfTrue="1" operator="equal">
      <formula>"Napkin Hs"</formula>
    </cfRule>
  </conditionalFormatting>
  <conditionalFormatting sqref="C6">
    <cfRule type="cellIs" dxfId="2288" priority="2281" stopIfTrue="1" operator="equal">
      <formula>"Napkin Hs"</formula>
    </cfRule>
  </conditionalFormatting>
  <conditionalFormatting sqref="B13:C14">
    <cfRule type="cellIs" dxfId="2287" priority="2279" stopIfTrue="1" operator="equal">
      <formula>"Towel"</formula>
    </cfRule>
    <cfRule type="cellIs" dxfId="2286" priority="2280" stopIfTrue="1" operator="equal">
      <formula>"Napkin Hs"</formula>
    </cfRule>
  </conditionalFormatting>
  <conditionalFormatting sqref="C13:C14">
    <cfRule type="cellIs" dxfId="2285" priority="2278" stopIfTrue="1" operator="equal">
      <formula>"Napkin Hs"</formula>
    </cfRule>
  </conditionalFormatting>
  <conditionalFormatting sqref="C13:C14">
    <cfRule type="cellIs" dxfId="2284" priority="2275" stopIfTrue="1" operator="equal">
      <formula>"Towel"</formula>
    </cfRule>
    <cfRule type="cellIs" dxfId="2283" priority="2276" stopIfTrue="1" operator="equal">
      <formula>"Napkin Hs"</formula>
    </cfRule>
  </conditionalFormatting>
  <conditionalFormatting sqref="C13:C14">
    <cfRule type="cellIs" dxfId="2282" priority="2277" stopIfTrue="1" operator="equal">
      <formula>"Towel"</formula>
    </cfRule>
  </conditionalFormatting>
  <conditionalFormatting sqref="C12">
    <cfRule type="cellIs" dxfId="2281" priority="2273" stopIfTrue="1" operator="equal">
      <formula>"Towel"</formula>
    </cfRule>
    <cfRule type="cellIs" dxfId="2280" priority="2274" stopIfTrue="1" operator="equal">
      <formula>"Napkin Hs"</formula>
    </cfRule>
  </conditionalFormatting>
  <conditionalFormatting sqref="C12">
    <cfRule type="cellIs" dxfId="2279" priority="2269" stopIfTrue="1" operator="equal">
      <formula>"Towel"</formula>
    </cfRule>
    <cfRule type="cellIs" dxfId="2278" priority="2270" stopIfTrue="1" operator="equal">
      <formula>"Napkin Hs"</formula>
    </cfRule>
  </conditionalFormatting>
  <conditionalFormatting sqref="B12">
    <cfRule type="cellIs" dxfId="2277" priority="2259" stopIfTrue="1" operator="equal">
      <formula>"Towel"</formula>
    </cfRule>
    <cfRule type="cellIs" dxfId="2276" priority="2260" stopIfTrue="1" operator="equal">
      <formula>"Napkin Hs"</formula>
    </cfRule>
  </conditionalFormatting>
  <conditionalFormatting sqref="B12">
    <cfRule type="cellIs" dxfId="2275" priority="2261" stopIfTrue="1" operator="equal">
      <formula>"Towel"</formula>
    </cfRule>
    <cfRule type="cellIs" dxfId="2274" priority="2262" stopIfTrue="1" operator="equal">
      <formula>"Napkin Hs"</formula>
    </cfRule>
  </conditionalFormatting>
  <conditionalFormatting sqref="C12">
    <cfRule type="cellIs" dxfId="2273" priority="2263" stopIfTrue="1" operator="equal">
      <formula>"Towel"</formula>
    </cfRule>
    <cfRule type="cellIs" dxfId="2272" priority="2264" stopIfTrue="1" operator="equal">
      <formula>"Napkin Hs"</formula>
    </cfRule>
  </conditionalFormatting>
  <conditionalFormatting sqref="C12">
    <cfRule type="cellIs" dxfId="2271" priority="2272" stopIfTrue="1" operator="equal">
      <formula>"Napkin Hs"</formula>
    </cfRule>
  </conditionalFormatting>
  <conditionalFormatting sqref="C12">
    <cfRule type="cellIs" dxfId="2270" priority="2271" stopIfTrue="1" operator="equal">
      <formula>"Towel"</formula>
    </cfRule>
  </conditionalFormatting>
  <conditionalFormatting sqref="C12">
    <cfRule type="cellIs" dxfId="2269" priority="2267" stopIfTrue="1" operator="equal">
      <formula>"Towel"</formula>
    </cfRule>
    <cfRule type="cellIs" dxfId="2268" priority="2268" stopIfTrue="1" operator="equal">
      <formula>"Napkin Hs"</formula>
    </cfRule>
  </conditionalFormatting>
  <conditionalFormatting sqref="C12">
    <cfRule type="cellIs" dxfId="2267" priority="2266" stopIfTrue="1" operator="equal">
      <formula>"Napkin Hs"</formula>
    </cfRule>
  </conditionalFormatting>
  <conditionalFormatting sqref="C12">
    <cfRule type="cellIs" dxfId="2266" priority="2265" stopIfTrue="1" operator="equal">
      <formula>"Towel"</formula>
    </cfRule>
  </conditionalFormatting>
  <conditionalFormatting sqref="B11">
    <cfRule type="cellIs" dxfId="2265" priority="2243" stopIfTrue="1" operator="equal">
      <formula>"Towel"</formula>
    </cfRule>
    <cfRule type="cellIs" dxfId="2264" priority="2244" stopIfTrue="1" operator="equal">
      <formula>"Napkin Hs"</formula>
    </cfRule>
  </conditionalFormatting>
  <conditionalFormatting sqref="C11">
    <cfRule type="cellIs" dxfId="2263" priority="2257" stopIfTrue="1" operator="equal">
      <formula>"Towel"</formula>
    </cfRule>
    <cfRule type="cellIs" dxfId="2262" priority="2258" stopIfTrue="1" operator="equal">
      <formula>"Napkin Hs"</formula>
    </cfRule>
  </conditionalFormatting>
  <conditionalFormatting sqref="C11">
    <cfRule type="cellIs" dxfId="2261" priority="2253" stopIfTrue="1" operator="equal">
      <formula>"Towel"</formula>
    </cfRule>
    <cfRule type="cellIs" dxfId="2260" priority="2254" stopIfTrue="1" operator="equal">
      <formula>"Napkin Hs"</formula>
    </cfRule>
  </conditionalFormatting>
  <conditionalFormatting sqref="B11">
    <cfRule type="cellIs" dxfId="2259" priority="2245" stopIfTrue="1" operator="equal">
      <formula>"Towel"</formula>
    </cfRule>
    <cfRule type="cellIs" dxfId="2258" priority="2246" stopIfTrue="1" operator="equal">
      <formula>"Napkin Hs"</formula>
    </cfRule>
  </conditionalFormatting>
  <conditionalFormatting sqref="C11">
    <cfRule type="cellIs" dxfId="2257" priority="2247" stopIfTrue="1" operator="equal">
      <formula>"Towel"</formula>
    </cfRule>
    <cfRule type="cellIs" dxfId="2256" priority="2248" stopIfTrue="1" operator="equal">
      <formula>"Napkin Hs"</formula>
    </cfRule>
  </conditionalFormatting>
  <conditionalFormatting sqref="C11">
    <cfRule type="cellIs" dxfId="2255" priority="2256" stopIfTrue="1" operator="equal">
      <formula>"Napkin Hs"</formula>
    </cfRule>
  </conditionalFormatting>
  <conditionalFormatting sqref="C11">
    <cfRule type="cellIs" dxfId="2254" priority="2255" stopIfTrue="1" operator="equal">
      <formula>"Towel"</formula>
    </cfRule>
  </conditionalFormatting>
  <conditionalFormatting sqref="C11">
    <cfRule type="cellIs" dxfId="2253" priority="2251" stopIfTrue="1" operator="equal">
      <formula>"Towel"</formula>
    </cfRule>
    <cfRule type="cellIs" dxfId="2252" priority="2252" stopIfTrue="1" operator="equal">
      <formula>"Napkin Hs"</formula>
    </cfRule>
  </conditionalFormatting>
  <conditionalFormatting sqref="C11">
    <cfRule type="cellIs" dxfId="2251" priority="2250" stopIfTrue="1" operator="equal">
      <formula>"Napkin Hs"</formula>
    </cfRule>
  </conditionalFormatting>
  <conditionalFormatting sqref="C11">
    <cfRule type="cellIs" dxfId="2250" priority="2249" stopIfTrue="1" operator="equal">
      <formula>"Towel"</formula>
    </cfRule>
  </conditionalFormatting>
  <conditionalFormatting sqref="B11:C11">
    <cfRule type="cellIs" dxfId="2249" priority="2241" stopIfTrue="1" operator="equal">
      <formula>"Towel"</formula>
    </cfRule>
    <cfRule type="cellIs" dxfId="2248" priority="2242" stopIfTrue="1" operator="equal">
      <formula>"Napkin Hs"</formula>
    </cfRule>
  </conditionalFormatting>
  <conditionalFormatting sqref="C11">
    <cfRule type="cellIs" dxfId="2247" priority="2240" stopIfTrue="1" operator="equal">
      <formula>"Napkin Hs"</formula>
    </cfRule>
  </conditionalFormatting>
  <conditionalFormatting sqref="C11">
    <cfRule type="cellIs" dxfId="2246" priority="2239" stopIfTrue="1" operator="equal">
      <formula>"Towel"</formula>
    </cfRule>
  </conditionalFormatting>
  <conditionalFormatting sqref="C11">
    <cfRule type="cellIs" dxfId="2245" priority="2237" stopIfTrue="1" operator="equal">
      <formula>"Towel"</formula>
    </cfRule>
    <cfRule type="cellIs" dxfId="2244" priority="2238" stopIfTrue="1" operator="equal">
      <formula>"Napkin Hs"</formula>
    </cfRule>
  </conditionalFormatting>
  <conditionalFormatting sqref="B11:C11">
    <cfRule type="cellIs" dxfId="2243" priority="2235" stopIfTrue="1" operator="equal">
      <formula>"Towel"</formula>
    </cfRule>
    <cfRule type="cellIs" dxfId="2242" priority="2236" stopIfTrue="1" operator="equal">
      <formula>"Napkin Hs"</formula>
    </cfRule>
  </conditionalFormatting>
  <conditionalFormatting sqref="C11">
    <cfRule type="cellIs" dxfId="2241" priority="2233" stopIfTrue="1" operator="equal">
      <formula>"Towel"</formula>
    </cfRule>
    <cfRule type="cellIs" dxfId="2240" priority="2234" stopIfTrue="1" operator="equal">
      <formula>"Napkin Hs"</formula>
    </cfRule>
  </conditionalFormatting>
  <conditionalFormatting sqref="C11">
    <cfRule type="cellIs" dxfId="2239" priority="2231" stopIfTrue="1" operator="equal">
      <formula>"Towel"</formula>
    </cfRule>
    <cfRule type="cellIs" dxfId="2238" priority="2232" stopIfTrue="1" operator="equal">
      <formula>"Napkin Hs"</formula>
    </cfRule>
  </conditionalFormatting>
  <conditionalFormatting sqref="C11">
    <cfRule type="cellIs" dxfId="2237" priority="2225" stopIfTrue="1" operator="equal">
      <formula>"Towel"</formula>
    </cfRule>
    <cfRule type="cellIs" dxfId="2236" priority="2226" stopIfTrue="1" operator="equal">
      <formula>"Napkin Hs"</formula>
    </cfRule>
  </conditionalFormatting>
  <conditionalFormatting sqref="B11">
    <cfRule type="cellIs" dxfId="2235" priority="2215" stopIfTrue="1" operator="equal">
      <formula>"Towel"</formula>
    </cfRule>
    <cfRule type="cellIs" dxfId="2234" priority="2216" stopIfTrue="1" operator="equal">
      <formula>"Napkin Hs"</formula>
    </cfRule>
  </conditionalFormatting>
  <conditionalFormatting sqref="C11">
    <cfRule type="cellIs" dxfId="2233" priority="2219" stopIfTrue="1" operator="equal">
      <formula>"Towel"</formula>
    </cfRule>
    <cfRule type="cellIs" dxfId="2232" priority="2220" stopIfTrue="1" operator="equal">
      <formula>"Napkin Hs"</formula>
    </cfRule>
  </conditionalFormatting>
  <conditionalFormatting sqref="C11">
    <cfRule type="cellIs" dxfId="2231" priority="2229" stopIfTrue="1" operator="equal">
      <formula>"Towel"</formula>
    </cfRule>
    <cfRule type="cellIs" dxfId="2230" priority="2230" stopIfTrue="1" operator="equal">
      <formula>"Napkin Hs"</formula>
    </cfRule>
  </conditionalFormatting>
  <conditionalFormatting sqref="B11">
    <cfRule type="cellIs" dxfId="2229" priority="2217" stopIfTrue="1" operator="equal">
      <formula>"Towel"</formula>
    </cfRule>
    <cfRule type="cellIs" dxfId="2228" priority="2218" stopIfTrue="1" operator="equal">
      <formula>"Napkin Hs"</formula>
    </cfRule>
  </conditionalFormatting>
  <conditionalFormatting sqref="C11">
    <cfRule type="cellIs" dxfId="2227" priority="2228" stopIfTrue="1" operator="equal">
      <formula>"Napkin Hs"</formula>
    </cfRule>
  </conditionalFormatting>
  <conditionalFormatting sqref="C11">
    <cfRule type="cellIs" dxfId="2226" priority="2227" stopIfTrue="1" operator="equal">
      <formula>"Towel"</formula>
    </cfRule>
  </conditionalFormatting>
  <conditionalFormatting sqref="C11">
    <cfRule type="cellIs" dxfId="2225" priority="2223" stopIfTrue="1" operator="equal">
      <formula>"Towel"</formula>
    </cfRule>
    <cfRule type="cellIs" dxfId="2224" priority="2224" stopIfTrue="1" operator="equal">
      <formula>"Napkin Hs"</formula>
    </cfRule>
  </conditionalFormatting>
  <conditionalFormatting sqref="C11">
    <cfRule type="cellIs" dxfId="2223" priority="2222" stopIfTrue="1" operator="equal">
      <formula>"Napkin Hs"</formula>
    </cfRule>
  </conditionalFormatting>
  <conditionalFormatting sqref="C11">
    <cfRule type="cellIs" dxfId="2222" priority="2221" stopIfTrue="1" operator="equal">
      <formula>"Towel"</formula>
    </cfRule>
  </conditionalFormatting>
  <conditionalFormatting sqref="C11">
    <cfRule type="cellIs" dxfId="2221" priority="2214" stopIfTrue="1" operator="equal">
      <formula>"Napkin Hs"</formula>
    </cfRule>
  </conditionalFormatting>
  <conditionalFormatting sqref="C11">
    <cfRule type="cellIs" dxfId="2220" priority="2213" stopIfTrue="1" operator="equal">
      <formula>"Napkin Hs"</formula>
    </cfRule>
  </conditionalFormatting>
  <conditionalFormatting sqref="B18:C19">
    <cfRule type="cellIs" dxfId="2219" priority="2211" stopIfTrue="1" operator="equal">
      <formula>"Towel"</formula>
    </cfRule>
    <cfRule type="cellIs" dxfId="2218" priority="2212" stopIfTrue="1" operator="equal">
      <formula>"Napkin Hs"</formula>
    </cfRule>
  </conditionalFormatting>
  <conditionalFormatting sqref="C18:C19">
    <cfRule type="cellIs" dxfId="2217" priority="2210" stopIfTrue="1" operator="equal">
      <formula>"Napkin Hs"</formula>
    </cfRule>
  </conditionalFormatting>
  <conditionalFormatting sqref="C18:C19">
    <cfRule type="cellIs" dxfId="2216" priority="2207" stopIfTrue="1" operator="equal">
      <formula>"Towel"</formula>
    </cfRule>
    <cfRule type="cellIs" dxfId="2215" priority="2208" stopIfTrue="1" operator="equal">
      <formula>"Napkin Hs"</formula>
    </cfRule>
  </conditionalFormatting>
  <conditionalFormatting sqref="C18:C19">
    <cfRule type="cellIs" dxfId="2214" priority="2209" stopIfTrue="1" operator="equal">
      <formula>"Towel"</formula>
    </cfRule>
  </conditionalFormatting>
  <conditionalFormatting sqref="C17">
    <cfRule type="cellIs" dxfId="2213" priority="2205" stopIfTrue="1" operator="equal">
      <formula>"Towel"</formula>
    </cfRule>
    <cfRule type="cellIs" dxfId="2212" priority="2206" stopIfTrue="1" operator="equal">
      <formula>"Napkin Hs"</formula>
    </cfRule>
  </conditionalFormatting>
  <conditionalFormatting sqref="C17">
    <cfRule type="cellIs" dxfId="2211" priority="2201" stopIfTrue="1" operator="equal">
      <formula>"Towel"</formula>
    </cfRule>
    <cfRule type="cellIs" dxfId="2210" priority="2202" stopIfTrue="1" operator="equal">
      <formula>"Napkin Hs"</formula>
    </cfRule>
  </conditionalFormatting>
  <conditionalFormatting sqref="B17">
    <cfRule type="cellIs" dxfId="2209" priority="2191" stopIfTrue="1" operator="equal">
      <formula>"Towel"</formula>
    </cfRule>
    <cfRule type="cellIs" dxfId="2208" priority="2192" stopIfTrue="1" operator="equal">
      <formula>"Napkin Hs"</formula>
    </cfRule>
  </conditionalFormatting>
  <conditionalFormatting sqref="B17">
    <cfRule type="cellIs" dxfId="2207" priority="2193" stopIfTrue="1" operator="equal">
      <formula>"Towel"</formula>
    </cfRule>
    <cfRule type="cellIs" dxfId="2206" priority="2194" stopIfTrue="1" operator="equal">
      <formula>"Napkin Hs"</formula>
    </cfRule>
  </conditionalFormatting>
  <conditionalFormatting sqref="C17">
    <cfRule type="cellIs" dxfId="2205" priority="2195" stopIfTrue="1" operator="equal">
      <formula>"Towel"</formula>
    </cfRule>
    <cfRule type="cellIs" dxfId="2204" priority="2196" stopIfTrue="1" operator="equal">
      <formula>"Napkin Hs"</formula>
    </cfRule>
  </conditionalFormatting>
  <conditionalFormatting sqref="C17">
    <cfRule type="cellIs" dxfId="2203" priority="2204" stopIfTrue="1" operator="equal">
      <formula>"Napkin Hs"</formula>
    </cfRule>
  </conditionalFormatting>
  <conditionalFormatting sqref="C17">
    <cfRule type="cellIs" dxfId="2202" priority="2203" stopIfTrue="1" operator="equal">
      <formula>"Towel"</formula>
    </cfRule>
  </conditionalFormatting>
  <conditionalFormatting sqref="C17">
    <cfRule type="cellIs" dxfId="2201" priority="2199" stopIfTrue="1" operator="equal">
      <formula>"Towel"</formula>
    </cfRule>
    <cfRule type="cellIs" dxfId="2200" priority="2200" stopIfTrue="1" operator="equal">
      <formula>"Napkin Hs"</formula>
    </cfRule>
  </conditionalFormatting>
  <conditionalFormatting sqref="C17">
    <cfRule type="cellIs" dxfId="2199" priority="2198" stopIfTrue="1" operator="equal">
      <formula>"Napkin Hs"</formula>
    </cfRule>
  </conditionalFormatting>
  <conditionalFormatting sqref="C17">
    <cfRule type="cellIs" dxfId="2198" priority="2197" stopIfTrue="1" operator="equal">
      <formula>"Towel"</formula>
    </cfRule>
  </conditionalFormatting>
  <conditionalFormatting sqref="B16">
    <cfRule type="cellIs" dxfId="2197" priority="2175" stopIfTrue="1" operator="equal">
      <formula>"Towel"</formula>
    </cfRule>
    <cfRule type="cellIs" dxfId="2196" priority="2176" stopIfTrue="1" operator="equal">
      <formula>"Napkin Hs"</formula>
    </cfRule>
  </conditionalFormatting>
  <conditionalFormatting sqref="C16">
    <cfRule type="cellIs" dxfId="2195" priority="2189" stopIfTrue="1" operator="equal">
      <formula>"Towel"</formula>
    </cfRule>
    <cfRule type="cellIs" dxfId="2194" priority="2190" stopIfTrue="1" operator="equal">
      <formula>"Napkin Hs"</formula>
    </cfRule>
  </conditionalFormatting>
  <conditionalFormatting sqref="C16">
    <cfRule type="cellIs" dxfId="2193" priority="2185" stopIfTrue="1" operator="equal">
      <formula>"Towel"</formula>
    </cfRule>
    <cfRule type="cellIs" dxfId="2192" priority="2186" stopIfTrue="1" operator="equal">
      <formula>"Napkin Hs"</formula>
    </cfRule>
  </conditionalFormatting>
  <conditionalFormatting sqref="B16">
    <cfRule type="cellIs" dxfId="2191" priority="2177" stopIfTrue="1" operator="equal">
      <formula>"Towel"</formula>
    </cfRule>
    <cfRule type="cellIs" dxfId="2190" priority="2178" stopIfTrue="1" operator="equal">
      <formula>"Napkin Hs"</formula>
    </cfRule>
  </conditionalFormatting>
  <conditionalFormatting sqref="C16">
    <cfRule type="cellIs" dxfId="2189" priority="2179" stopIfTrue="1" operator="equal">
      <formula>"Towel"</formula>
    </cfRule>
    <cfRule type="cellIs" dxfId="2188" priority="2180" stopIfTrue="1" operator="equal">
      <formula>"Napkin Hs"</formula>
    </cfRule>
  </conditionalFormatting>
  <conditionalFormatting sqref="C16">
    <cfRule type="cellIs" dxfId="2187" priority="2188" stopIfTrue="1" operator="equal">
      <formula>"Napkin Hs"</formula>
    </cfRule>
  </conditionalFormatting>
  <conditionalFormatting sqref="C16">
    <cfRule type="cellIs" dxfId="2186" priority="2187" stopIfTrue="1" operator="equal">
      <formula>"Towel"</formula>
    </cfRule>
  </conditionalFormatting>
  <conditionalFormatting sqref="C16">
    <cfRule type="cellIs" dxfId="2185" priority="2183" stopIfTrue="1" operator="equal">
      <formula>"Towel"</formula>
    </cfRule>
    <cfRule type="cellIs" dxfId="2184" priority="2184" stopIfTrue="1" operator="equal">
      <formula>"Napkin Hs"</formula>
    </cfRule>
  </conditionalFormatting>
  <conditionalFormatting sqref="C16">
    <cfRule type="cellIs" dxfId="2183" priority="2182" stopIfTrue="1" operator="equal">
      <formula>"Napkin Hs"</formula>
    </cfRule>
  </conditionalFormatting>
  <conditionalFormatting sqref="C16">
    <cfRule type="cellIs" dxfId="2182" priority="2181" stopIfTrue="1" operator="equal">
      <formula>"Towel"</formula>
    </cfRule>
  </conditionalFormatting>
  <conditionalFormatting sqref="B16:C16">
    <cfRule type="cellIs" dxfId="2181" priority="2173" stopIfTrue="1" operator="equal">
      <formula>"Towel"</formula>
    </cfRule>
    <cfRule type="cellIs" dxfId="2180" priority="2174" stopIfTrue="1" operator="equal">
      <formula>"Napkin Hs"</formula>
    </cfRule>
  </conditionalFormatting>
  <conditionalFormatting sqref="C16">
    <cfRule type="cellIs" dxfId="2179" priority="2172" stopIfTrue="1" operator="equal">
      <formula>"Napkin Hs"</formula>
    </cfRule>
  </conditionalFormatting>
  <conditionalFormatting sqref="C16">
    <cfRule type="cellIs" dxfId="2178" priority="2171" stopIfTrue="1" operator="equal">
      <formula>"Towel"</formula>
    </cfRule>
  </conditionalFormatting>
  <conditionalFormatting sqref="C16">
    <cfRule type="cellIs" dxfId="2177" priority="2169" stopIfTrue="1" operator="equal">
      <formula>"Towel"</formula>
    </cfRule>
    <cfRule type="cellIs" dxfId="2176" priority="2170" stopIfTrue="1" operator="equal">
      <formula>"Napkin Hs"</formula>
    </cfRule>
  </conditionalFormatting>
  <conditionalFormatting sqref="B16:C16">
    <cfRule type="cellIs" dxfId="2175" priority="2167" stopIfTrue="1" operator="equal">
      <formula>"Towel"</formula>
    </cfRule>
    <cfRule type="cellIs" dxfId="2174" priority="2168" stopIfTrue="1" operator="equal">
      <formula>"Napkin Hs"</formula>
    </cfRule>
  </conditionalFormatting>
  <conditionalFormatting sqref="C16">
    <cfRule type="cellIs" dxfId="2173" priority="2165" stopIfTrue="1" operator="equal">
      <formula>"Towel"</formula>
    </cfRule>
    <cfRule type="cellIs" dxfId="2172" priority="2166" stopIfTrue="1" operator="equal">
      <formula>"Napkin Hs"</formula>
    </cfRule>
  </conditionalFormatting>
  <conditionalFormatting sqref="C16">
    <cfRule type="cellIs" dxfId="2171" priority="2163" stopIfTrue="1" operator="equal">
      <formula>"Towel"</formula>
    </cfRule>
    <cfRule type="cellIs" dxfId="2170" priority="2164" stopIfTrue="1" operator="equal">
      <formula>"Napkin Hs"</formula>
    </cfRule>
  </conditionalFormatting>
  <conditionalFormatting sqref="C16">
    <cfRule type="cellIs" dxfId="2169" priority="2157" stopIfTrue="1" operator="equal">
      <formula>"Towel"</formula>
    </cfRule>
    <cfRule type="cellIs" dxfId="2168" priority="2158" stopIfTrue="1" operator="equal">
      <formula>"Napkin Hs"</formula>
    </cfRule>
  </conditionalFormatting>
  <conditionalFormatting sqref="B16">
    <cfRule type="cellIs" dxfId="2167" priority="2147" stopIfTrue="1" operator="equal">
      <formula>"Towel"</formula>
    </cfRule>
    <cfRule type="cellIs" dxfId="2166" priority="2148" stopIfTrue="1" operator="equal">
      <formula>"Napkin Hs"</formula>
    </cfRule>
  </conditionalFormatting>
  <conditionalFormatting sqref="C16">
    <cfRule type="cellIs" dxfId="2165" priority="2151" stopIfTrue="1" operator="equal">
      <formula>"Towel"</formula>
    </cfRule>
    <cfRule type="cellIs" dxfId="2164" priority="2152" stopIfTrue="1" operator="equal">
      <formula>"Napkin Hs"</formula>
    </cfRule>
  </conditionalFormatting>
  <conditionalFormatting sqref="C16">
    <cfRule type="cellIs" dxfId="2163" priority="2161" stopIfTrue="1" operator="equal">
      <formula>"Towel"</formula>
    </cfRule>
    <cfRule type="cellIs" dxfId="2162" priority="2162" stopIfTrue="1" operator="equal">
      <formula>"Napkin Hs"</formula>
    </cfRule>
  </conditionalFormatting>
  <conditionalFormatting sqref="B16">
    <cfRule type="cellIs" dxfId="2161" priority="2149" stopIfTrue="1" operator="equal">
      <formula>"Towel"</formula>
    </cfRule>
    <cfRule type="cellIs" dxfId="2160" priority="2150" stopIfTrue="1" operator="equal">
      <formula>"Napkin Hs"</formula>
    </cfRule>
  </conditionalFormatting>
  <conditionalFormatting sqref="C16">
    <cfRule type="cellIs" dxfId="2159" priority="2160" stopIfTrue="1" operator="equal">
      <formula>"Napkin Hs"</formula>
    </cfRule>
  </conditionalFormatting>
  <conditionalFormatting sqref="C16">
    <cfRule type="cellIs" dxfId="2158" priority="2159" stopIfTrue="1" operator="equal">
      <formula>"Towel"</formula>
    </cfRule>
  </conditionalFormatting>
  <conditionalFormatting sqref="C16">
    <cfRule type="cellIs" dxfId="2157" priority="2155" stopIfTrue="1" operator="equal">
      <formula>"Towel"</formula>
    </cfRule>
    <cfRule type="cellIs" dxfId="2156" priority="2156" stopIfTrue="1" operator="equal">
      <formula>"Napkin Hs"</formula>
    </cfRule>
  </conditionalFormatting>
  <conditionalFormatting sqref="C16">
    <cfRule type="cellIs" dxfId="2155" priority="2154" stopIfTrue="1" operator="equal">
      <formula>"Napkin Hs"</formula>
    </cfRule>
  </conditionalFormatting>
  <conditionalFormatting sqref="C16">
    <cfRule type="cellIs" dxfId="2154" priority="2153" stopIfTrue="1" operator="equal">
      <formula>"Towel"</formula>
    </cfRule>
  </conditionalFormatting>
  <conditionalFormatting sqref="C16">
    <cfRule type="cellIs" dxfId="2153" priority="2146" stopIfTrue="1" operator="equal">
      <formula>"Napkin Hs"</formula>
    </cfRule>
  </conditionalFormatting>
  <conditionalFormatting sqref="C16">
    <cfRule type="cellIs" dxfId="2152" priority="2145" stopIfTrue="1" operator="equal">
      <formula>"Napkin Hs"</formula>
    </cfRule>
  </conditionalFormatting>
  <conditionalFormatting sqref="B23:C24">
    <cfRule type="cellIs" dxfId="2151" priority="2143" stopIfTrue="1" operator="equal">
      <formula>"Towel"</formula>
    </cfRule>
    <cfRule type="cellIs" dxfId="2150" priority="2144" stopIfTrue="1" operator="equal">
      <formula>"Napkin Hs"</formula>
    </cfRule>
  </conditionalFormatting>
  <conditionalFormatting sqref="C23:C24">
    <cfRule type="cellIs" dxfId="2149" priority="2142" stopIfTrue="1" operator="equal">
      <formula>"Napkin Hs"</formula>
    </cfRule>
  </conditionalFormatting>
  <conditionalFormatting sqref="C23:C24">
    <cfRule type="cellIs" dxfId="2148" priority="2139" stopIfTrue="1" operator="equal">
      <formula>"Towel"</formula>
    </cfRule>
    <cfRule type="cellIs" dxfId="2147" priority="2140" stopIfTrue="1" operator="equal">
      <formula>"Napkin Hs"</formula>
    </cfRule>
  </conditionalFormatting>
  <conditionalFormatting sqref="C23:C24">
    <cfRule type="cellIs" dxfId="2146" priority="2141" stopIfTrue="1" operator="equal">
      <formula>"Towel"</formula>
    </cfRule>
  </conditionalFormatting>
  <conditionalFormatting sqref="C22">
    <cfRule type="cellIs" dxfId="2145" priority="2137" stopIfTrue="1" operator="equal">
      <formula>"Towel"</formula>
    </cfRule>
    <cfRule type="cellIs" dxfId="2144" priority="2138" stopIfTrue="1" operator="equal">
      <formula>"Napkin Hs"</formula>
    </cfRule>
  </conditionalFormatting>
  <conditionalFormatting sqref="C22">
    <cfRule type="cellIs" dxfId="2143" priority="2133" stopIfTrue="1" operator="equal">
      <formula>"Towel"</formula>
    </cfRule>
    <cfRule type="cellIs" dxfId="2142" priority="2134" stopIfTrue="1" operator="equal">
      <formula>"Napkin Hs"</formula>
    </cfRule>
  </conditionalFormatting>
  <conditionalFormatting sqref="B22">
    <cfRule type="cellIs" dxfId="2141" priority="2123" stopIfTrue="1" operator="equal">
      <formula>"Towel"</formula>
    </cfRule>
    <cfRule type="cellIs" dxfId="2140" priority="2124" stopIfTrue="1" operator="equal">
      <formula>"Napkin Hs"</formula>
    </cfRule>
  </conditionalFormatting>
  <conditionalFormatting sqref="B22">
    <cfRule type="cellIs" dxfId="2139" priority="2125" stopIfTrue="1" operator="equal">
      <formula>"Towel"</formula>
    </cfRule>
    <cfRule type="cellIs" dxfId="2138" priority="2126" stopIfTrue="1" operator="equal">
      <formula>"Napkin Hs"</formula>
    </cfRule>
  </conditionalFormatting>
  <conditionalFormatting sqref="C22">
    <cfRule type="cellIs" dxfId="2137" priority="2127" stopIfTrue="1" operator="equal">
      <formula>"Towel"</formula>
    </cfRule>
    <cfRule type="cellIs" dxfId="2136" priority="2128" stopIfTrue="1" operator="equal">
      <formula>"Napkin Hs"</formula>
    </cfRule>
  </conditionalFormatting>
  <conditionalFormatting sqref="C22">
    <cfRule type="cellIs" dxfId="2135" priority="2136" stopIfTrue="1" operator="equal">
      <formula>"Napkin Hs"</formula>
    </cfRule>
  </conditionalFormatting>
  <conditionalFormatting sqref="C22">
    <cfRule type="cellIs" dxfId="2134" priority="2135" stopIfTrue="1" operator="equal">
      <formula>"Towel"</formula>
    </cfRule>
  </conditionalFormatting>
  <conditionalFormatting sqref="C22">
    <cfRule type="cellIs" dxfId="2133" priority="2131" stopIfTrue="1" operator="equal">
      <formula>"Towel"</formula>
    </cfRule>
    <cfRule type="cellIs" dxfId="2132" priority="2132" stopIfTrue="1" operator="equal">
      <formula>"Napkin Hs"</formula>
    </cfRule>
  </conditionalFormatting>
  <conditionalFormatting sqref="C22">
    <cfRule type="cellIs" dxfId="2131" priority="2130" stopIfTrue="1" operator="equal">
      <formula>"Napkin Hs"</formula>
    </cfRule>
  </conditionalFormatting>
  <conditionalFormatting sqref="C22">
    <cfRule type="cellIs" dxfId="2130" priority="2129" stopIfTrue="1" operator="equal">
      <formula>"Towel"</formula>
    </cfRule>
  </conditionalFormatting>
  <conditionalFormatting sqref="B21">
    <cfRule type="cellIs" dxfId="2129" priority="2107" stopIfTrue="1" operator="equal">
      <formula>"Towel"</formula>
    </cfRule>
    <cfRule type="cellIs" dxfId="2128" priority="2108" stopIfTrue="1" operator="equal">
      <formula>"Napkin Hs"</formula>
    </cfRule>
  </conditionalFormatting>
  <conditionalFormatting sqref="C21">
    <cfRule type="cellIs" dxfId="2127" priority="2121" stopIfTrue="1" operator="equal">
      <formula>"Towel"</formula>
    </cfRule>
    <cfRule type="cellIs" dxfId="2126" priority="2122" stopIfTrue="1" operator="equal">
      <formula>"Napkin Hs"</formula>
    </cfRule>
  </conditionalFormatting>
  <conditionalFormatting sqref="C21">
    <cfRule type="cellIs" dxfId="2125" priority="2117" stopIfTrue="1" operator="equal">
      <formula>"Towel"</formula>
    </cfRule>
    <cfRule type="cellIs" dxfId="2124" priority="2118" stopIfTrue="1" operator="equal">
      <formula>"Napkin Hs"</formula>
    </cfRule>
  </conditionalFormatting>
  <conditionalFormatting sqref="B21">
    <cfRule type="cellIs" dxfId="2123" priority="2109" stopIfTrue="1" operator="equal">
      <formula>"Towel"</formula>
    </cfRule>
    <cfRule type="cellIs" dxfId="2122" priority="2110" stopIfTrue="1" operator="equal">
      <formula>"Napkin Hs"</formula>
    </cfRule>
  </conditionalFormatting>
  <conditionalFormatting sqref="C21">
    <cfRule type="cellIs" dxfId="2121" priority="2111" stopIfTrue="1" operator="equal">
      <formula>"Towel"</formula>
    </cfRule>
    <cfRule type="cellIs" dxfId="2120" priority="2112" stopIfTrue="1" operator="equal">
      <formula>"Napkin Hs"</formula>
    </cfRule>
  </conditionalFormatting>
  <conditionalFormatting sqref="C21">
    <cfRule type="cellIs" dxfId="2119" priority="2120" stopIfTrue="1" operator="equal">
      <formula>"Napkin Hs"</formula>
    </cfRule>
  </conditionalFormatting>
  <conditionalFormatting sqref="C21">
    <cfRule type="cellIs" dxfId="2118" priority="2119" stopIfTrue="1" operator="equal">
      <formula>"Towel"</formula>
    </cfRule>
  </conditionalFormatting>
  <conditionalFormatting sqref="C21">
    <cfRule type="cellIs" dxfId="2117" priority="2115" stopIfTrue="1" operator="equal">
      <formula>"Towel"</formula>
    </cfRule>
    <cfRule type="cellIs" dxfId="2116" priority="2116" stopIfTrue="1" operator="equal">
      <formula>"Napkin Hs"</formula>
    </cfRule>
  </conditionalFormatting>
  <conditionalFormatting sqref="C21">
    <cfRule type="cellIs" dxfId="2115" priority="2114" stopIfTrue="1" operator="equal">
      <formula>"Napkin Hs"</formula>
    </cfRule>
  </conditionalFormatting>
  <conditionalFormatting sqref="C21">
    <cfRule type="cellIs" dxfId="2114" priority="2113" stopIfTrue="1" operator="equal">
      <formula>"Towel"</formula>
    </cfRule>
  </conditionalFormatting>
  <conditionalFormatting sqref="B21:C21">
    <cfRule type="cellIs" dxfId="2113" priority="2105" stopIfTrue="1" operator="equal">
      <formula>"Towel"</formula>
    </cfRule>
    <cfRule type="cellIs" dxfId="2112" priority="2106" stopIfTrue="1" operator="equal">
      <formula>"Napkin Hs"</formula>
    </cfRule>
  </conditionalFormatting>
  <conditionalFormatting sqref="C21">
    <cfRule type="cellIs" dxfId="2111" priority="2104" stopIfTrue="1" operator="equal">
      <formula>"Napkin Hs"</formula>
    </cfRule>
  </conditionalFormatting>
  <conditionalFormatting sqref="C21">
    <cfRule type="cellIs" dxfId="2110" priority="2103" stopIfTrue="1" operator="equal">
      <formula>"Towel"</formula>
    </cfRule>
  </conditionalFormatting>
  <conditionalFormatting sqref="C21">
    <cfRule type="cellIs" dxfId="2109" priority="2101" stopIfTrue="1" operator="equal">
      <formula>"Towel"</formula>
    </cfRule>
    <cfRule type="cellIs" dxfId="2108" priority="2102" stopIfTrue="1" operator="equal">
      <formula>"Napkin Hs"</formula>
    </cfRule>
  </conditionalFormatting>
  <conditionalFormatting sqref="B21:C21">
    <cfRule type="cellIs" dxfId="2107" priority="2099" stopIfTrue="1" operator="equal">
      <formula>"Towel"</formula>
    </cfRule>
    <cfRule type="cellIs" dxfId="2106" priority="2100" stopIfTrue="1" operator="equal">
      <formula>"Napkin Hs"</formula>
    </cfRule>
  </conditionalFormatting>
  <conditionalFormatting sqref="C21">
    <cfRule type="cellIs" dxfId="2105" priority="2097" stopIfTrue="1" operator="equal">
      <formula>"Towel"</formula>
    </cfRule>
    <cfRule type="cellIs" dxfId="2104" priority="2098" stopIfTrue="1" operator="equal">
      <formula>"Napkin Hs"</formula>
    </cfRule>
  </conditionalFormatting>
  <conditionalFormatting sqref="C21">
    <cfRule type="cellIs" dxfId="2103" priority="2095" stopIfTrue="1" operator="equal">
      <formula>"Towel"</formula>
    </cfRule>
    <cfRule type="cellIs" dxfId="2102" priority="2096" stopIfTrue="1" operator="equal">
      <formula>"Napkin Hs"</formula>
    </cfRule>
  </conditionalFormatting>
  <conditionalFormatting sqref="C21">
    <cfRule type="cellIs" dxfId="2101" priority="2089" stopIfTrue="1" operator="equal">
      <formula>"Towel"</formula>
    </cfRule>
    <cfRule type="cellIs" dxfId="2100" priority="2090" stopIfTrue="1" operator="equal">
      <formula>"Napkin Hs"</formula>
    </cfRule>
  </conditionalFormatting>
  <conditionalFormatting sqref="B21">
    <cfRule type="cellIs" dxfId="2099" priority="2079" stopIfTrue="1" operator="equal">
      <formula>"Towel"</formula>
    </cfRule>
    <cfRule type="cellIs" dxfId="2098" priority="2080" stopIfTrue="1" operator="equal">
      <formula>"Napkin Hs"</formula>
    </cfRule>
  </conditionalFormatting>
  <conditionalFormatting sqref="C21">
    <cfRule type="cellIs" dxfId="2097" priority="2083" stopIfTrue="1" operator="equal">
      <formula>"Towel"</formula>
    </cfRule>
    <cfRule type="cellIs" dxfId="2096" priority="2084" stopIfTrue="1" operator="equal">
      <formula>"Napkin Hs"</formula>
    </cfRule>
  </conditionalFormatting>
  <conditionalFormatting sqref="C21">
    <cfRule type="cellIs" dxfId="2095" priority="2093" stopIfTrue="1" operator="equal">
      <formula>"Towel"</formula>
    </cfRule>
    <cfRule type="cellIs" dxfId="2094" priority="2094" stopIfTrue="1" operator="equal">
      <formula>"Napkin Hs"</formula>
    </cfRule>
  </conditionalFormatting>
  <conditionalFormatting sqref="B21">
    <cfRule type="cellIs" dxfId="2093" priority="2081" stopIfTrue="1" operator="equal">
      <formula>"Towel"</formula>
    </cfRule>
    <cfRule type="cellIs" dxfId="2092" priority="2082" stopIfTrue="1" operator="equal">
      <formula>"Napkin Hs"</formula>
    </cfRule>
  </conditionalFormatting>
  <conditionalFormatting sqref="C21">
    <cfRule type="cellIs" dxfId="2091" priority="2092" stopIfTrue="1" operator="equal">
      <formula>"Napkin Hs"</formula>
    </cfRule>
  </conditionalFormatting>
  <conditionalFormatting sqref="C21">
    <cfRule type="cellIs" dxfId="2090" priority="2091" stopIfTrue="1" operator="equal">
      <formula>"Towel"</formula>
    </cfRule>
  </conditionalFormatting>
  <conditionalFormatting sqref="C21">
    <cfRule type="cellIs" dxfId="2089" priority="2087" stopIfTrue="1" operator="equal">
      <formula>"Towel"</formula>
    </cfRule>
    <cfRule type="cellIs" dxfId="2088" priority="2088" stopIfTrue="1" operator="equal">
      <formula>"Napkin Hs"</formula>
    </cfRule>
  </conditionalFormatting>
  <conditionalFormatting sqref="C21">
    <cfRule type="cellIs" dxfId="2087" priority="2086" stopIfTrue="1" operator="equal">
      <formula>"Napkin Hs"</formula>
    </cfRule>
  </conditionalFormatting>
  <conditionalFormatting sqref="C21">
    <cfRule type="cellIs" dxfId="2086" priority="2085" stopIfTrue="1" operator="equal">
      <formula>"Towel"</formula>
    </cfRule>
  </conditionalFormatting>
  <conditionalFormatting sqref="C21">
    <cfRule type="cellIs" dxfId="2085" priority="2078" stopIfTrue="1" operator="equal">
      <formula>"Napkin Hs"</formula>
    </cfRule>
  </conditionalFormatting>
  <conditionalFormatting sqref="C21">
    <cfRule type="cellIs" dxfId="2084" priority="2077" stopIfTrue="1" operator="equal">
      <formula>"Napkin Hs"</formula>
    </cfRule>
  </conditionalFormatting>
  <conditionalFormatting sqref="B28:C29">
    <cfRule type="cellIs" dxfId="2083" priority="2075" stopIfTrue="1" operator="equal">
      <formula>"Towel"</formula>
    </cfRule>
    <cfRule type="cellIs" dxfId="2082" priority="2076" stopIfTrue="1" operator="equal">
      <formula>"Napkin Hs"</formula>
    </cfRule>
  </conditionalFormatting>
  <conditionalFormatting sqref="C28:C29">
    <cfRule type="cellIs" dxfId="2081" priority="2074" stopIfTrue="1" operator="equal">
      <formula>"Napkin Hs"</formula>
    </cfRule>
  </conditionalFormatting>
  <conditionalFormatting sqref="C28:C29">
    <cfRule type="cellIs" dxfId="2080" priority="2071" stopIfTrue="1" operator="equal">
      <formula>"Towel"</formula>
    </cfRule>
    <cfRule type="cellIs" dxfId="2079" priority="2072" stopIfTrue="1" operator="equal">
      <formula>"Napkin Hs"</formula>
    </cfRule>
  </conditionalFormatting>
  <conditionalFormatting sqref="C28:C29">
    <cfRule type="cellIs" dxfId="2078" priority="2073" stopIfTrue="1" operator="equal">
      <formula>"Towel"</formula>
    </cfRule>
  </conditionalFormatting>
  <conditionalFormatting sqref="C27">
    <cfRule type="cellIs" dxfId="2077" priority="2069" stopIfTrue="1" operator="equal">
      <formula>"Towel"</formula>
    </cfRule>
    <cfRule type="cellIs" dxfId="2076" priority="2070" stopIfTrue="1" operator="equal">
      <formula>"Napkin Hs"</formula>
    </cfRule>
  </conditionalFormatting>
  <conditionalFormatting sqref="C27">
    <cfRule type="cellIs" dxfId="2075" priority="2065" stopIfTrue="1" operator="equal">
      <formula>"Towel"</formula>
    </cfRule>
    <cfRule type="cellIs" dxfId="2074" priority="2066" stopIfTrue="1" operator="equal">
      <formula>"Napkin Hs"</formula>
    </cfRule>
  </conditionalFormatting>
  <conditionalFormatting sqref="B27">
    <cfRule type="cellIs" dxfId="2073" priority="2055" stopIfTrue="1" operator="equal">
      <formula>"Towel"</formula>
    </cfRule>
    <cfRule type="cellIs" dxfId="2072" priority="2056" stopIfTrue="1" operator="equal">
      <formula>"Napkin Hs"</formula>
    </cfRule>
  </conditionalFormatting>
  <conditionalFormatting sqref="B27">
    <cfRule type="cellIs" dxfId="2071" priority="2057" stopIfTrue="1" operator="equal">
      <formula>"Towel"</formula>
    </cfRule>
    <cfRule type="cellIs" dxfId="2070" priority="2058" stopIfTrue="1" operator="equal">
      <formula>"Napkin Hs"</formula>
    </cfRule>
  </conditionalFormatting>
  <conditionalFormatting sqref="C27">
    <cfRule type="cellIs" dxfId="2069" priority="2059" stopIfTrue="1" operator="equal">
      <formula>"Towel"</formula>
    </cfRule>
    <cfRule type="cellIs" dxfId="2068" priority="2060" stopIfTrue="1" operator="equal">
      <formula>"Napkin Hs"</formula>
    </cfRule>
  </conditionalFormatting>
  <conditionalFormatting sqref="C27">
    <cfRule type="cellIs" dxfId="2067" priority="2068" stopIfTrue="1" operator="equal">
      <formula>"Napkin Hs"</formula>
    </cfRule>
  </conditionalFormatting>
  <conditionalFormatting sqref="C27">
    <cfRule type="cellIs" dxfId="2066" priority="2067" stopIfTrue="1" operator="equal">
      <formula>"Towel"</formula>
    </cfRule>
  </conditionalFormatting>
  <conditionalFormatting sqref="C27">
    <cfRule type="cellIs" dxfId="2065" priority="2063" stopIfTrue="1" operator="equal">
      <formula>"Towel"</formula>
    </cfRule>
    <cfRule type="cellIs" dxfId="2064" priority="2064" stopIfTrue="1" operator="equal">
      <formula>"Napkin Hs"</formula>
    </cfRule>
  </conditionalFormatting>
  <conditionalFormatting sqref="C27">
    <cfRule type="cellIs" dxfId="2063" priority="2062" stopIfTrue="1" operator="equal">
      <formula>"Napkin Hs"</formula>
    </cfRule>
  </conditionalFormatting>
  <conditionalFormatting sqref="C27">
    <cfRule type="cellIs" dxfId="2062" priority="2061" stopIfTrue="1" operator="equal">
      <formula>"Towel"</formula>
    </cfRule>
  </conditionalFormatting>
  <conditionalFormatting sqref="B26">
    <cfRule type="cellIs" dxfId="2061" priority="2039" stopIfTrue="1" operator="equal">
      <formula>"Towel"</formula>
    </cfRule>
    <cfRule type="cellIs" dxfId="2060" priority="2040" stopIfTrue="1" operator="equal">
      <formula>"Napkin Hs"</formula>
    </cfRule>
  </conditionalFormatting>
  <conditionalFormatting sqref="C26">
    <cfRule type="cellIs" dxfId="2059" priority="2053" stopIfTrue="1" operator="equal">
      <formula>"Towel"</formula>
    </cfRule>
    <cfRule type="cellIs" dxfId="2058" priority="2054" stopIfTrue="1" operator="equal">
      <formula>"Napkin Hs"</formula>
    </cfRule>
  </conditionalFormatting>
  <conditionalFormatting sqref="C26">
    <cfRule type="cellIs" dxfId="2057" priority="2049" stopIfTrue="1" operator="equal">
      <formula>"Towel"</formula>
    </cfRule>
    <cfRule type="cellIs" dxfId="2056" priority="2050" stopIfTrue="1" operator="equal">
      <formula>"Napkin Hs"</formula>
    </cfRule>
  </conditionalFormatting>
  <conditionalFormatting sqref="B26">
    <cfRule type="cellIs" dxfId="2055" priority="2041" stopIfTrue="1" operator="equal">
      <formula>"Towel"</formula>
    </cfRule>
    <cfRule type="cellIs" dxfId="2054" priority="2042" stopIfTrue="1" operator="equal">
      <formula>"Napkin Hs"</formula>
    </cfRule>
  </conditionalFormatting>
  <conditionalFormatting sqref="C26">
    <cfRule type="cellIs" dxfId="2053" priority="2043" stopIfTrue="1" operator="equal">
      <formula>"Towel"</formula>
    </cfRule>
    <cfRule type="cellIs" dxfId="2052" priority="2044" stopIfTrue="1" operator="equal">
      <formula>"Napkin Hs"</formula>
    </cfRule>
  </conditionalFormatting>
  <conditionalFormatting sqref="C26">
    <cfRule type="cellIs" dxfId="2051" priority="2052" stopIfTrue="1" operator="equal">
      <formula>"Napkin Hs"</formula>
    </cfRule>
  </conditionalFormatting>
  <conditionalFormatting sqref="C26">
    <cfRule type="cellIs" dxfId="2050" priority="2051" stopIfTrue="1" operator="equal">
      <formula>"Towel"</formula>
    </cfRule>
  </conditionalFormatting>
  <conditionalFormatting sqref="C26">
    <cfRule type="cellIs" dxfId="2049" priority="2047" stopIfTrue="1" operator="equal">
      <formula>"Towel"</formula>
    </cfRule>
    <cfRule type="cellIs" dxfId="2048" priority="2048" stopIfTrue="1" operator="equal">
      <formula>"Napkin Hs"</formula>
    </cfRule>
  </conditionalFormatting>
  <conditionalFormatting sqref="C26">
    <cfRule type="cellIs" dxfId="2047" priority="2046" stopIfTrue="1" operator="equal">
      <formula>"Napkin Hs"</formula>
    </cfRule>
  </conditionalFormatting>
  <conditionalFormatting sqref="C26">
    <cfRule type="cellIs" dxfId="2046" priority="2045" stopIfTrue="1" operator="equal">
      <formula>"Towel"</formula>
    </cfRule>
  </conditionalFormatting>
  <conditionalFormatting sqref="B26:C26">
    <cfRule type="cellIs" dxfId="2045" priority="2037" stopIfTrue="1" operator="equal">
      <formula>"Towel"</formula>
    </cfRule>
    <cfRule type="cellIs" dxfId="2044" priority="2038" stopIfTrue="1" operator="equal">
      <formula>"Napkin Hs"</formula>
    </cfRule>
  </conditionalFormatting>
  <conditionalFormatting sqref="C26">
    <cfRule type="cellIs" dxfId="2043" priority="2036" stopIfTrue="1" operator="equal">
      <formula>"Napkin Hs"</formula>
    </cfRule>
  </conditionalFormatting>
  <conditionalFormatting sqref="C26">
    <cfRule type="cellIs" dxfId="2042" priority="2035" stopIfTrue="1" operator="equal">
      <formula>"Towel"</formula>
    </cfRule>
  </conditionalFormatting>
  <conditionalFormatting sqref="C26">
    <cfRule type="cellIs" dxfId="2041" priority="2033" stopIfTrue="1" operator="equal">
      <formula>"Towel"</formula>
    </cfRule>
    <cfRule type="cellIs" dxfId="2040" priority="2034" stopIfTrue="1" operator="equal">
      <formula>"Napkin Hs"</formula>
    </cfRule>
  </conditionalFormatting>
  <conditionalFormatting sqref="B26:C26">
    <cfRule type="cellIs" dxfId="2039" priority="2031" stopIfTrue="1" operator="equal">
      <formula>"Towel"</formula>
    </cfRule>
    <cfRule type="cellIs" dxfId="2038" priority="2032" stopIfTrue="1" operator="equal">
      <formula>"Napkin Hs"</formula>
    </cfRule>
  </conditionalFormatting>
  <conditionalFormatting sqref="C26">
    <cfRule type="cellIs" dxfId="2037" priority="2029" stopIfTrue="1" operator="equal">
      <formula>"Towel"</formula>
    </cfRule>
    <cfRule type="cellIs" dxfId="2036" priority="2030" stopIfTrue="1" operator="equal">
      <formula>"Napkin Hs"</formula>
    </cfRule>
  </conditionalFormatting>
  <conditionalFormatting sqref="C26">
    <cfRule type="cellIs" dxfId="2035" priority="2027" stopIfTrue="1" operator="equal">
      <formula>"Towel"</formula>
    </cfRule>
    <cfRule type="cellIs" dxfId="2034" priority="2028" stopIfTrue="1" operator="equal">
      <formula>"Napkin Hs"</formula>
    </cfRule>
  </conditionalFormatting>
  <conditionalFormatting sqref="C26">
    <cfRule type="cellIs" dxfId="2033" priority="2021" stopIfTrue="1" operator="equal">
      <formula>"Towel"</formula>
    </cfRule>
    <cfRule type="cellIs" dxfId="2032" priority="2022" stopIfTrue="1" operator="equal">
      <formula>"Napkin Hs"</formula>
    </cfRule>
  </conditionalFormatting>
  <conditionalFormatting sqref="B26">
    <cfRule type="cellIs" dxfId="2031" priority="2011" stopIfTrue="1" operator="equal">
      <formula>"Towel"</formula>
    </cfRule>
    <cfRule type="cellIs" dxfId="2030" priority="2012" stopIfTrue="1" operator="equal">
      <formula>"Napkin Hs"</formula>
    </cfRule>
  </conditionalFormatting>
  <conditionalFormatting sqref="C26">
    <cfRule type="cellIs" dxfId="2029" priority="2015" stopIfTrue="1" operator="equal">
      <formula>"Towel"</formula>
    </cfRule>
    <cfRule type="cellIs" dxfId="2028" priority="2016" stopIfTrue="1" operator="equal">
      <formula>"Napkin Hs"</formula>
    </cfRule>
  </conditionalFormatting>
  <conditionalFormatting sqref="C26">
    <cfRule type="cellIs" dxfId="2027" priority="2025" stopIfTrue="1" operator="equal">
      <formula>"Towel"</formula>
    </cfRule>
    <cfRule type="cellIs" dxfId="2026" priority="2026" stopIfTrue="1" operator="equal">
      <formula>"Napkin Hs"</formula>
    </cfRule>
  </conditionalFormatting>
  <conditionalFormatting sqref="B26">
    <cfRule type="cellIs" dxfId="2025" priority="2013" stopIfTrue="1" operator="equal">
      <formula>"Towel"</formula>
    </cfRule>
    <cfRule type="cellIs" dxfId="2024" priority="2014" stopIfTrue="1" operator="equal">
      <formula>"Napkin Hs"</formula>
    </cfRule>
  </conditionalFormatting>
  <conditionalFormatting sqref="C26">
    <cfRule type="cellIs" dxfId="2023" priority="2024" stopIfTrue="1" operator="equal">
      <formula>"Napkin Hs"</formula>
    </cfRule>
  </conditionalFormatting>
  <conditionalFormatting sqref="C26">
    <cfRule type="cellIs" dxfId="2022" priority="2023" stopIfTrue="1" operator="equal">
      <formula>"Towel"</formula>
    </cfRule>
  </conditionalFormatting>
  <conditionalFormatting sqref="C26">
    <cfRule type="cellIs" dxfId="2021" priority="2019" stopIfTrue="1" operator="equal">
      <formula>"Towel"</formula>
    </cfRule>
    <cfRule type="cellIs" dxfId="2020" priority="2020" stopIfTrue="1" operator="equal">
      <formula>"Napkin Hs"</formula>
    </cfRule>
  </conditionalFormatting>
  <conditionalFormatting sqref="C26">
    <cfRule type="cellIs" dxfId="2019" priority="2018" stopIfTrue="1" operator="equal">
      <formula>"Napkin Hs"</formula>
    </cfRule>
  </conditionalFormatting>
  <conditionalFormatting sqref="C26">
    <cfRule type="cellIs" dxfId="2018" priority="2017" stopIfTrue="1" operator="equal">
      <formula>"Towel"</formula>
    </cfRule>
  </conditionalFormatting>
  <conditionalFormatting sqref="C26">
    <cfRule type="cellIs" dxfId="2017" priority="2010" stopIfTrue="1" operator="equal">
      <formula>"Napkin Hs"</formula>
    </cfRule>
  </conditionalFormatting>
  <conditionalFormatting sqref="C26">
    <cfRule type="cellIs" dxfId="2016" priority="2009" stopIfTrue="1" operator="equal">
      <formula>"Napkin Hs"</formula>
    </cfRule>
  </conditionalFormatting>
  <conditionalFormatting sqref="B33:C34">
    <cfRule type="cellIs" dxfId="2015" priority="2007" stopIfTrue="1" operator="equal">
      <formula>"Towel"</formula>
    </cfRule>
    <cfRule type="cellIs" dxfId="2014" priority="2008" stopIfTrue="1" operator="equal">
      <formula>"Napkin Hs"</formula>
    </cfRule>
  </conditionalFormatting>
  <conditionalFormatting sqref="C33:C34">
    <cfRule type="cellIs" dxfId="2013" priority="2006" stopIfTrue="1" operator="equal">
      <formula>"Napkin Hs"</formula>
    </cfRule>
  </conditionalFormatting>
  <conditionalFormatting sqref="C33:C34">
    <cfRule type="cellIs" dxfId="2012" priority="2003" stopIfTrue="1" operator="equal">
      <formula>"Towel"</formula>
    </cfRule>
    <cfRule type="cellIs" dxfId="2011" priority="2004" stopIfTrue="1" operator="equal">
      <formula>"Napkin Hs"</formula>
    </cfRule>
  </conditionalFormatting>
  <conditionalFormatting sqref="C33:C34">
    <cfRule type="cellIs" dxfId="2010" priority="2005" stopIfTrue="1" operator="equal">
      <formula>"Towel"</formula>
    </cfRule>
  </conditionalFormatting>
  <conditionalFormatting sqref="C32">
    <cfRule type="cellIs" dxfId="2009" priority="2001" stopIfTrue="1" operator="equal">
      <formula>"Towel"</formula>
    </cfRule>
    <cfRule type="cellIs" dxfId="2008" priority="2002" stopIfTrue="1" operator="equal">
      <formula>"Napkin Hs"</formula>
    </cfRule>
  </conditionalFormatting>
  <conditionalFormatting sqref="C32">
    <cfRule type="cellIs" dxfId="2007" priority="1997" stopIfTrue="1" operator="equal">
      <formula>"Towel"</formula>
    </cfRule>
    <cfRule type="cellIs" dxfId="2006" priority="1998" stopIfTrue="1" operator="equal">
      <formula>"Napkin Hs"</formula>
    </cfRule>
  </conditionalFormatting>
  <conditionalFormatting sqref="B32">
    <cfRule type="cellIs" dxfId="2005" priority="1987" stopIfTrue="1" operator="equal">
      <formula>"Towel"</formula>
    </cfRule>
    <cfRule type="cellIs" dxfId="2004" priority="1988" stopIfTrue="1" operator="equal">
      <formula>"Napkin Hs"</formula>
    </cfRule>
  </conditionalFormatting>
  <conditionalFormatting sqref="B32">
    <cfRule type="cellIs" dxfId="2003" priority="1989" stopIfTrue="1" operator="equal">
      <formula>"Towel"</formula>
    </cfRule>
    <cfRule type="cellIs" dxfId="2002" priority="1990" stopIfTrue="1" operator="equal">
      <formula>"Napkin Hs"</formula>
    </cfRule>
  </conditionalFormatting>
  <conditionalFormatting sqref="C32">
    <cfRule type="cellIs" dxfId="2001" priority="1991" stopIfTrue="1" operator="equal">
      <formula>"Towel"</formula>
    </cfRule>
    <cfRule type="cellIs" dxfId="2000" priority="1992" stopIfTrue="1" operator="equal">
      <formula>"Napkin Hs"</formula>
    </cfRule>
  </conditionalFormatting>
  <conditionalFormatting sqref="C32">
    <cfRule type="cellIs" dxfId="1999" priority="2000" stopIfTrue="1" operator="equal">
      <formula>"Napkin Hs"</formula>
    </cfRule>
  </conditionalFormatting>
  <conditionalFormatting sqref="C32">
    <cfRule type="cellIs" dxfId="1998" priority="1999" stopIfTrue="1" operator="equal">
      <formula>"Towel"</formula>
    </cfRule>
  </conditionalFormatting>
  <conditionalFormatting sqref="C32">
    <cfRule type="cellIs" dxfId="1997" priority="1995" stopIfTrue="1" operator="equal">
      <formula>"Towel"</formula>
    </cfRule>
    <cfRule type="cellIs" dxfId="1996" priority="1996" stopIfTrue="1" operator="equal">
      <formula>"Napkin Hs"</formula>
    </cfRule>
  </conditionalFormatting>
  <conditionalFormatting sqref="C32">
    <cfRule type="cellIs" dxfId="1995" priority="1994" stopIfTrue="1" operator="equal">
      <formula>"Napkin Hs"</formula>
    </cfRule>
  </conditionalFormatting>
  <conditionalFormatting sqref="C32">
    <cfRule type="cellIs" dxfId="1994" priority="1993" stopIfTrue="1" operator="equal">
      <formula>"Towel"</formula>
    </cfRule>
  </conditionalFormatting>
  <conditionalFormatting sqref="B31">
    <cfRule type="cellIs" dxfId="1993" priority="1971" stopIfTrue="1" operator="equal">
      <formula>"Towel"</formula>
    </cfRule>
    <cfRule type="cellIs" dxfId="1992" priority="1972" stopIfTrue="1" operator="equal">
      <formula>"Napkin Hs"</formula>
    </cfRule>
  </conditionalFormatting>
  <conditionalFormatting sqref="C31">
    <cfRule type="cellIs" dxfId="1991" priority="1985" stopIfTrue="1" operator="equal">
      <formula>"Towel"</formula>
    </cfRule>
    <cfRule type="cellIs" dxfId="1990" priority="1986" stopIfTrue="1" operator="equal">
      <formula>"Napkin Hs"</formula>
    </cfRule>
  </conditionalFormatting>
  <conditionalFormatting sqref="C31">
    <cfRule type="cellIs" dxfId="1989" priority="1981" stopIfTrue="1" operator="equal">
      <formula>"Towel"</formula>
    </cfRule>
    <cfRule type="cellIs" dxfId="1988" priority="1982" stopIfTrue="1" operator="equal">
      <formula>"Napkin Hs"</formula>
    </cfRule>
  </conditionalFormatting>
  <conditionalFormatting sqref="B31">
    <cfRule type="cellIs" dxfId="1987" priority="1973" stopIfTrue="1" operator="equal">
      <formula>"Towel"</formula>
    </cfRule>
    <cfRule type="cellIs" dxfId="1986" priority="1974" stopIfTrue="1" operator="equal">
      <formula>"Napkin Hs"</formula>
    </cfRule>
  </conditionalFormatting>
  <conditionalFormatting sqref="C31">
    <cfRule type="cellIs" dxfId="1985" priority="1975" stopIfTrue="1" operator="equal">
      <formula>"Towel"</formula>
    </cfRule>
    <cfRule type="cellIs" dxfId="1984" priority="1976" stopIfTrue="1" operator="equal">
      <formula>"Napkin Hs"</formula>
    </cfRule>
  </conditionalFormatting>
  <conditionalFormatting sqref="C31">
    <cfRule type="cellIs" dxfId="1983" priority="1984" stopIfTrue="1" operator="equal">
      <formula>"Napkin Hs"</formula>
    </cfRule>
  </conditionalFormatting>
  <conditionalFormatting sqref="C31">
    <cfRule type="cellIs" dxfId="1982" priority="1983" stopIfTrue="1" operator="equal">
      <formula>"Towel"</formula>
    </cfRule>
  </conditionalFormatting>
  <conditionalFormatting sqref="C31">
    <cfRule type="cellIs" dxfId="1981" priority="1979" stopIfTrue="1" operator="equal">
      <formula>"Towel"</formula>
    </cfRule>
    <cfRule type="cellIs" dxfId="1980" priority="1980" stopIfTrue="1" operator="equal">
      <formula>"Napkin Hs"</formula>
    </cfRule>
  </conditionalFormatting>
  <conditionalFormatting sqref="C31">
    <cfRule type="cellIs" dxfId="1979" priority="1978" stopIfTrue="1" operator="equal">
      <formula>"Napkin Hs"</formula>
    </cfRule>
  </conditionalFormatting>
  <conditionalFormatting sqref="C31">
    <cfRule type="cellIs" dxfId="1978" priority="1977" stopIfTrue="1" operator="equal">
      <formula>"Towel"</formula>
    </cfRule>
  </conditionalFormatting>
  <conditionalFormatting sqref="B31:C31">
    <cfRule type="cellIs" dxfId="1977" priority="1969" stopIfTrue="1" operator="equal">
      <formula>"Towel"</formula>
    </cfRule>
    <cfRule type="cellIs" dxfId="1976" priority="1970" stopIfTrue="1" operator="equal">
      <formula>"Napkin Hs"</formula>
    </cfRule>
  </conditionalFormatting>
  <conditionalFormatting sqref="C31">
    <cfRule type="cellIs" dxfId="1975" priority="1968" stopIfTrue="1" operator="equal">
      <formula>"Napkin Hs"</formula>
    </cfRule>
  </conditionalFormatting>
  <conditionalFormatting sqref="C31">
    <cfRule type="cellIs" dxfId="1974" priority="1967" stopIfTrue="1" operator="equal">
      <formula>"Towel"</formula>
    </cfRule>
  </conditionalFormatting>
  <conditionalFormatting sqref="C31">
    <cfRule type="cellIs" dxfId="1973" priority="1965" stopIfTrue="1" operator="equal">
      <formula>"Towel"</formula>
    </cfRule>
    <cfRule type="cellIs" dxfId="1972" priority="1966" stopIfTrue="1" operator="equal">
      <formula>"Napkin Hs"</formula>
    </cfRule>
  </conditionalFormatting>
  <conditionalFormatting sqref="B31:C31">
    <cfRule type="cellIs" dxfId="1971" priority="1963" stopIfTrue="1" operator="equal">
      <formula>"Towel"</formula>
    </cfRule>
    <cfRule type="cellIs" dxfId="1970" priority="1964" stopIfTrue="1" operator="equal">
      <formula>"Napkin Hs"</formula>
    </cfRule>
  </conditionalFormatting>
  <conditionalFormatting sqref="C31">
    <cfRule type="cellIs" dxfId="1969" priority="1961" stopIfTrue="1" operator="equal">
      <formula>"Towel"</formula>
    </cfRule>
    <cfRule type="cellIs" dxfId="1968" priority="1962" stopIfTrue="1" operator="equal">
      <formula>"Napkin Hs"</formula>
    </cfRule>
  </conditionalFormatting>
  <conditionalFormatting sqref="C31">
    <cfRule type="cellIs" dxfId="1967" priority="1959" stopIfTrue="1" operator="equal">
      <formula>"Towel"</formula>
    </cfRule>
    <cfRule type="cellIs" dxfId="1966" priority="1960" stopIfTrue="1" operator="equal">
      <formula>"Napkin Hs"</formula>
    </cfRule>
  </conditionalFormatting>
  <conditionalFormatting sqref="C31">
    <cfRule type="cellIs" dxfId="1965" priority="1953" stopIfTrue="1" operator="equal">
      <formula>"Towel"</formula>
    </cfRule>
    <cfRule type="cellIs" dxfId="1964" priority="1954" stopIfTrue="1" operator="equal">
      <formula>"Napkin Hs"</formula>
    </cfRule>
  </conditionalFormatting>
  <conditionalFormatting sqref="B31">
    <cfRule type="cellIs" dxfId="1963" priority="1943" stopIfTrue="1" operator="equal">
      <formula>"Towel"</formula>
    </cfRule>
    <cfRule type="cellIs" dxfId="1962" priority="1944" stopIfTrue="1" operator="equal">
      <formula>"Napkin Hs"</formula>
    </cfRule>
  </conditionalFormatting>
  <conditionalFormatting sqref="C31">
    <cfRule type="cellIs" dxfId="1961" priority="1947" stopIfTrue="1" operator="equal">
      <formula>"Towel"</formula>
    </cfRule>
    <cfRule type="cellIs" dxfId="1960" priority="1948" stopIfTrue="1" operator="equal">
      <formula>"Napkin Hs"</formula>
    </cfRule>
  </conditionalFormatting>
  <conditionalFormatting sqref="C31">
    <cfRule type="cellIs" dxfId="1959" priority="1957" stopIfTrue="1" operator="equal">
      <formula>"Towel"</formula>
    </cfRule>
    <cfRule type="cellIs" dxfId="1958" priority="1958" stopIfTrue="1" operator="equal">
      <formula>"Napkin Hs"</formula>
    </cfRule>
  </conditionalFormatting>
  <conditionalFormatting sqref="B31">
    <cfRule type="cellIs" dxfId="1957" priority="1945" stopIfTrue="1" operator="equal">
      <formula>"Towel"</formula>
    </cfRule>
    <cfRule type="cellIs" dxfId="1956" priority="1946" stopIfTrue="1" operator="equal">
      <formula>"Napkin Hs"</formula>
    </cfRule>
  </conditionalFormatting>
  <conditionalFormatting sqref="C31">
    <cfRule type="cellIs" dxfId="1955" priority="1956" stopIfTrue="1" operator="equal">
      <formula>"Napkin Hs"</formula>
    </cfRule>
  </conditionalFormatting>
  <conditionalFormatting sqref="C31">
    <cfRule type="cellIs" dxfId="1954" priority="1955" stopIfTrue="1" operator="equal">
      <formula>"Towel"</formula>
    </cfRule>
  </conditionalFormatting>
  <conditionalFormatting sqref="C31">
    <cfRule type="cellIs" dxfId="1953" priority="1951" stopIfTrue="1" operator="equal">
      <formula>"Towel"</formula>
    </cfRule>
    <cfRule type="cellIs" dxfId="1952" priority="1952" stopIfTrue="1" operator="equal">
      <formula>"Napkin Hs"</formula>
    </cfRule>
  </conditionalFormatting>
  <conditionalFormatting sqref="C31">
    <cfRule type="cellIs" dxfId="1951" priority="1950" stopIfTrue="1" operator="equal">
      <formula>"Napkin Hs"</formula>
    </cfRule>
  </conditionalFormatting>
  <conditionalFormatting sqref="C31">
    <cfRule type="cellIs" dxfId="1950" priority="1949" stopIfTrue="1" operator="equal">
      <formula>"Towel"</formula>
    </cfRule>
  </conditionalFormatting>
  <conditionalFormatting sqref="C31">
    <cfRule type="cellIs" dxfId="1949" priority="1942" stopIfTrue="1" operator="equal">
      <formula>"Napkin Hs"</formula>
    </cfRule>
  </conditionalFormatting>
  <conditionalFormatting sqref="C31">
    <cfRule type="cellIs" dxfId="1948" priority="1941" stopIfTrue="1" operator="equal">
      <formula>"Napkin Hs"</formula>
    </cfRule>
  </conditionalFormatting>
  <conditionalFormatting sqref="B38:C39">
    <cfRule type="cellIs" dxfId="1947" priority="1939" stopIfTrue="1" operator="equal">
      <formula>"Towel"</formula>
    </cfRule>
    <cfRule type="cellIs" dxfId="1946" priority="1940" stopIfTrue="1" operator="equal">
      <formula>"Napkin Hs"</formula>
    </cfRule>
  </conditionalFormatting>
  <conditionalFormatting sqref="C38:C39">
    <cfRule type="cellIs" dxfId="1945" priority="1938" stopIfTrue="1" operator="equal">
      <formula>"Napkin Hs"</formula>
    </cfRule>
  </conditionalFormatting>
  <conditionalFormatting sqref="C38:C39">
    <cfRule type="cellIs" dxfId="1944" priority="1935" stopIfTrue="1" operator="equal">
      <formula>"Towel"</formula>
    </cfRule>
    <cfRule type="cellIs" dxfId="1943" priority="1936" stopIfTrue="1" operator="equal">
      <formula>"Napkin Hs"</formula>
    </cfRule>
  </conditionalFormatting>
  <conditionalFormatting sqref="C38:C39">
    <cfRule type="cellIs" dxfId="1942" priority="1937" stopIfTrue="1" operator="equal">
      <formula>"Towel"</formula>
    </cfRule>
  </conditionalFormatting>
  <conditionalFormatting sqref="C37">
    <cfRule type="cellIs" dxfId="1941" priority="1933" stopIfTrue="1" operator="equal">
      <formula>"Towel"</formula>
    </cfRule>
    <cfRule type="cellIs" dxfId="1940" priority="1934" stopIfTrue="1" operator="equal">
      <formula>"Napkin Hs"</formula>
    </cfRule>
  </conditionalFormatting>
  <conditionalFormatting sqref="C37">
    <cfRule type="cellIs" dxfId="1939" priority="1929" stopIfTrue="1" operator="equal">
      <formula>"Towel"</formula>
    </cfRule>
    <cfRule type="cellIs" dxfId="1938" priority="1930" stopIfTrue="1" operator="equal">
      <formula>"Napkin Hs"</formula>
    </cfRule>
  </conditionalFormatting>
  <conditionalFormatting sqref="B37">
    <cfRule type="cellIs" dxfId="1937" priority="1919" stopIfTrue="1" operator="equal">
      <formula>"Towel"</formula>
    </cfRule>
    <cfRule type="cellIs" dxfId="1936" priority="1920" stopIfTrue="1" operator="equal">
      <formula>"Napkin Hs"</formula>
    </cfRule>
  </conditionalFormatting>
  <conditionalFormatting sqref="B37">
    <cfRule type="cellIs" dxfId="1935" priority="1921" stopIfTrue="1" operator="equal">
      <formula>"Towel"</formula>
    </cfRule>
    <cfRule type="cellIs" dxfId="1934" priority="1922" stopIfTrue="1" operator="equal">
      <formula>"Napkin Hs"</formula>
    </cfRule>
  </conditionalFormatting>
  <conditionalFormatting sqref="C37">
    <cfRule type="cellIs" dxfId="1933" priority="1923" stopIfTrue="1" operator="equal">
      <formula>"Towel"</formula>
    </cfRule>
    <cfRule type="cellIs" dxfId="1932" priority="1924" stopIfTrue="1" operator="equal">
      <formula>"Napkin Hs"</formula>
    </cfRule>
  </conditionalFormatting>
  <conditionalFormatting sqref="C37">
    <cfRule type="cellIs" dxfId="1931" priority="1932" stopIfTrue="1" operator="equal">
      <formula>"Napkin Hs"</formula>
    </cfRule>
  </conditionalFormatting>
  <conditionalFormatting sqref="C37">
    <cfRule type="cellIs" dxfId="1930" priority="1931" stopIfTrue="1" operator="equal">
      <formula>"Towel"</formula>
    </cfRule>
  </conditionalFormatting>
  <conditionalFormatting sqref="C37">
    <cfRule type="cellIs" dxfId="1929" priority="1927" stopIfTrue="1" operator="equal">
      <formula>"Towel"</formula>
    </cfRule>
    <cfRule type="cellIs" dxfId="1928" priority="1928" stopIfTrue="1" operator="equal">
      <formula>"Napkin Hs"</formula>
    </cfRule>
  </conditionalFormatting>
  <conditionalFormatting sqref="C37">
    <cfRule type="cellIs" dxfId="1927" priority="1926" stopIfTrue="1" operator="equal">
      <formula>"Napkin Hs"</formula>
    </cfRule>
  </conditionalFormatting>
  <conditionalFormatting sqref="C37">
    <cfRule type="cellIs" dxfId="1926" priority="1925" stopIfTrue="1" operator="equal">
      <formula>"Towel"</formula>
    </cfRule>
  </conditionalFormatting>
  <conditionalFormatting sqref="B36">
    <cfRule type="cellIs" dxfId="1925" priority="1903" stopIfTrue="1" operator="equal">
      <formula>"Towel"</formula>
    </cfRule>
    <cfRule type="cellIs" dxfId="1924" priority="1904" stopIfTrue="1" operator="equal">
      <formula>"Napkin Hs"</formula>
    </cfRule>
  </conditionalFormatting>
  <conditionalFormatting sqref="C36">
    <cfRule type="cellIs" dxfId="1923" priority="1917" stopIfTrue="1" operator="equal">
      <formula>"Towel"</formula>
    </cfRule>
    <cfRule type="cellIs" dxfId="1922" priority="1918" stopIfTrue="1" operator="equal">
      <formula>"Napkin Hs"</formula>
    </cfRule>
  </conditionalFormatting>
  <conditionalFormatting sqref="C36">
    <cfRule type="cellIs" dxfId="1921" priority="1913" stopIfTrue="1" operator="equal">
      <formula>"Towel"</formula>
    </cfRule>
    <cfRule type="cellIs" dxfId="1920" priority="1914" stopIfTrue="1" operator="equal">
      <formula>"Napkin Hs"</formula>
    </cfRule>
  </conditionalFormatting>
  <conditionalFormatting sqref="B36">
    <cfRule type="cellIs" dxfId="1919" priority="1905" stopIfTrue="1" operator="equal">
      <formula>"Towel"</formula>
    </cfRule>
    <cfRule type="cellIs" dxfId="1918" priority="1906" stopIfTrue="1" operator="equal">
      <formula>"Napkin Hs"</formula>
    </cfRule>
  </conditionalFormatting>
  <conditionalFormatting sqref="C36">
    <cfRule type="cellIs" dxfId="1917" priority="1907" stopIfTrue="1" operator="equal">
      <formula>"Towel"</formula>
    </cfRule>
    <cfRule type="cellIs" dxfId="1916" priority="1908" stopIfTrue="1" operator="equal">
      <formula>"Napkin Hs"</formula>
    </cfRule>
  </conditionalFormatting>
  <conditionalFormatting sqref="C36">
    <cfRule type="cellIs" dxfId="1915" priority="1916" stopIfTrue="1" operator="equal">
      <formula>"Napkin Hs"</formula>
    </cfRule>
  </conditionalFormatting>
  <conditionalFormatting sqref="C36">
    <cfRule type="cellIs" dxfId="1914" priority="1915" stopIfTrue="1" operator="equal">
      <formula>"Towel"</formula>
    </cfRule>
  </conditionalFormatting>
  <conditionalFormatting sqref="C36">
    <cfRule type="cellIs" dxfId="1913" priority="1911" stopIfTrue="1" operator="equal">
      <formula>"Towel"</formula>
    </cfRule>
    <cfRule type="cellIs" dxfId="1912" priority="1912" stopIfTrue="1" operator="equal">
      <formula>"Napkin Hs"</formula>
    </cfRule>
  </conditionalFormatting>
  <conditionalFormatting sqref="C36">
    <cfRule type="cellIs" dxfId="1911" priority="1910" stopIfTrue="1" operator="equal">
      <formula>"Napkin Hs"</formula>
    </cfRule>
  </conditionalFormatting>
  <conditionalFormatting sqref="C36">
    <cfRule type="cellIs" dxfId="1910" priority="1909" stopIfTrue="1" operator="equal">
      <formula>"Towel"</formula>
    </cfRule>
  </conditionalFormatting>
  <conditionalFormatting sqref="B36:C36">
    <cfRule type="cellIs" dxfId="1909" priority="1901" stopIfTrue="1" operator="equal">
      <formula>"Towel"</formula>
    </cfRule>
    <cfRule type="cellIs" dxfId="1908" priority="1902" stopIfTrue="1" operator="equal">
      <formula>"Napkin Hs"</formula>
    </cfRule>
  </conditionalFormatting>
  <conditionalFormatting sqref="C36">
    <cfRule type="cellIs" dxfId="1907" priority="1900" stopIfTrue="1" operator="equal">
      <formula>"Napkin Hs"</formula>
    </cfRule>
  </conditionalFormatting>
  <conditionalFormatting sqref="C36">
    <cfRule type="cellIs" dxfId="1906" priority="1899" stopIfTrue="1" operator="equal">
      <formula>"Towel"</formula>
    </cfRule>
  </conditionalFormatting>
  <conditionalFormatting sqref="C36">
    <cfRule type="cellIs" dxfId="1905" priority="1897" stopIfTrue="1" operator="equal">
      <formula>"Towel"</formula>
    </cfRule>
    <cfRule type="cellIs" dxfId="1904" priority="1898" stopIfTrue="1" operator="equal">
      <formula>"Napkin Hs"</formula>
    </cfRule>
  </conditionalFormatting>
  <conditionalFormatting sqref="B36:C36">
    <cfRule type="cellIs" dxfId="1903" priority="1895" stopIfTrue="1" operator="equal">
      <formula>"Towel"</formula>
    </cfRule>
    <cfRule type="cellIs" dxfId="1902" priority="1896" stopIfTrue="1" operator="equal">
      <formula>"Napkin Hs"</formula>
    </cfRule>
  </conditionalFormatting>
  <conditionalFormatting sqref="C36">
    <cfRule type="cellIs" dxfId="1901" priority="1893" stopIfTrue="1" operator="equal">
      <formula>"Towel"</formula>
    </cfRule>
    <cfRule type="cellIs" dxfId="1900" priority="1894" stopIfTrue="1" operator="equal">
      <formula>"Napkin Hs"</formula>
    </cfRule>
  </conditionalFormatting>
  <conditionalFormatting sqref="C36">
    <cfRule type="cellIs" dxfId="1899" priority="1891" stopIfTrue="1" operator="equal">
      <formula>"Towel"</formula>
    </cfRule>
    <cfRule type="cellIs" dxfId="1898" priority="1892" stopIfTrue="1" operator="equal">
      <formula>"Napkin Hs"</formula>
    </cfRule>
  </conditionalFormatting>
  <conditionalFormatting sqref="C36">
    <cfRule type="cellIs" dxfId="1897" priority="1885" stopIfTrue="1" operator="equal">
      <formula>"Towel"</formula>
    </cfRule>
    <cfRule type="cellIs" dxfId="1896" priority="1886" stopIfTrue="1" operator="equal">
      <formula>"Napkin Hs"</formula>
    </cfRule>
  </conditionalFormatting>
  <conditionalFormatting sqref="B36">
    <cfRule type="cellIs" dxfId="1895" priority="1875" stopIfTrue="1" operator="equal">
      <formula>"Towel"</formula>
    </cfRule>
    <cfRule type="cellIs" dxfId="1894" priority="1876" stopIfTrue="1" operator="equal">
      <formula>"Napkin Hs"</formula>
    </cfRule>
  </conditionalFormatting>
  <conditionalFormatting sqref="C36">
    <cfRule type="cellIs" dxfId="1893" priority="1879" stopIfTrue="1" operator="equal">
      <formula>"Towel"</formula>
    </cfRule>
    <cfRule type="cellIs" dxfId="1892" priority="1880" stopIfTrue="1" operator="equal">
      <formula>"Napkin Hs"</formula>
    </cfRule>
  </conditionalFormatting>
  <conditionalFormatting sqref="C36">
    <cfRule type="cellIs" dxfId="1891" priority="1889" stopIfTrue="1" operator="equal">
      <formula>"Towel"</formula>
    </cfRule>
    <cfRule type="cellIs" dxfId="1890" priority="1890" stopIfTrue="1" operator="equal">
      <formula>"Napkin Hs"</formula>
    </cfRule>
  </conditionalFormatting>
  <conditionalFormatting sqref="B36">
    <cfRule type="cellIs" dxfId="1889" priority="1877" stopIfTrue="1" operator="equal">
      <formula>"Towel"</formula>
    </cfRule>
    <cfRule type="cellIs" dxfId="1888" priority="1878" stopIfTrue="1" operator="equal">
      <formula>"Napkin Hs"</formula>
    </cfRule>
  </conditionalFormatting>
  <conditionalFormatting sqref="C36">
    <cfRule type="cellIs" dxfId="1887" priority="1888" stopIfTrue="1" operator="equal">
      <formula>"Napkin Hs"</formula>
    </cfRule>
  </conditionalFormatting>
  <conditionalFormatting sqref="C36">
    <cfRule type="cellIs" dxfId="1886" priority="1887" stopIfTrue="1" operator="equal">
      <formula>"Towel"</formula>
    </cfRule>
  </conditionalFormatting>
  <conditionalFormatting sqref="C36">
    <cfRule type="cellIs" dxfId="1885" priority="1883" stopIfTrue="1" operator="equal">
      <formula>"Towel"</formula>
    </cfRule>
    <cfRule type="cellIs" dxfId="1884" priority="1884" stopIfTrue="1" operator="equal">
      <formula>"Napkin Hs"</formula>
    </cfRule>
  </conditionalFormatting>
  <conditionalFormatting sqref="C36">
    <cfRule type="cellIs" dxfId="1883" priority="1882" stopIfTrue="1" operator="equal">
      <formula>"Napkin Hs"</formula>
    </cfRule>
  </conditionalFormatting>
  <conditionalFormatting sqref="C36">
    <cfRule type="cellIs" dxfId="1882" priority="1881" stopIfTrue="1" operator="equal">
      <formula>"Towel"</formula>
    </cfRule>
  </conditionalFormatting>
  <conditionalFormatting sqref="C36">
    <cfRule type="cellIs" dxfId="1881" priority="1874" stopIfTrue="1" operator="equal">
      <formula>"Napkin Hs"</formula>
    </cfRule>
  </conditionalFormatting>
  <conditionalFormatting sqref="C36">
    <cfRule type="cellIs" dxfId="1880" priority="1873" stopIfTrue="1" operator="equal">
      <formula>"Napkin Hs"</formula>
    </cfRule>
  </conditionalFormatting>
  <conditionalFormatting sqref="B43:C44">
    <cfRule type="cellIs" dxfId="1879" priority="1871" stopIfTrue="1" operator="equal">
      <formula>"Towel"</formula>
    </cfRule>
    <cfRule type="cellIs" dxfId="1878" priority="1872" stopIfTrue="1" operator="equal">
      <formula>"Napkin Hs"</formula>
    </cfRule>
  </conditionalFormatting>
  <conditionalFormatting sqref="C43:C44">
    <cfRule type="cellIs" dxfId="1877" priority="1870" stopIfTrue="1" operator="equal">
      <formula>"Napkin Hs"</formula>
    </cfRule>
  </conditionalFormatting>
  <conditionalFormatting sqref="C43:C44">
    <cfRule type="cellIs" dxfId="1876" priority="1867" stopIfTrue="1" operator="equal">
      <formula>"Towel"</formula>
    </cfRule>
    <cfRule type="cellIs" dxfId="1875" priority="1868" stopIfTrue="1" operator="equal">
      <formula>"Napkin Hs"</formula>
    </cfRule>
  </conditionalFormatting>
  <conditionalFormatting sqref="C43:C44">
    <cfRule type="cellIs" dxfId="1874" priority="1869" stopIfTrue="1" operator="equal">
      <formula>"Towel"</formula>
    </cfRule>
  </conditionalFormatting>
  <conditionalFormatting sqref="C42">
    <cfRule type="cellIs" dxfId="1873" priority="1865" stopIfTrue="1" operator="equal">
      <formula>"Towel"</formula>
    </cfRule>
    <cfRule type="cellIs" dxfId="1872" priority="1866" stopIfTrue="1" operator="equal">
      <formula>"Napkin Hs"</formula>
    </cfRule>
  </conditionalFormatting>
  <conditionalFormatting sqref="C42">
    <cfRule type="cellIs" dxfId="1871" priority="1861" stopIfTrue="1" operator="equal">
      <formula>"Towel"</formula>
    </cfRule>
    <cfRule type="cellIs" dxfId="1870" priority="1862" stopIfTrue="1" operator="equal">
      <formula>"Napkin Hs"</formula>
    </cfRule>
  </conditionalFormatting>
  <conditionalFormatting sqref="B42">
    <cfRule type="cellIs" dxfId="1869" priority="1851" stopIfTrue="1" operator="equal">
      <formula>"Towel"</formula>
    </cfRule>
    <cfRule type="cellIs" dxfId="1868" priority="1852" stopIfTrue="1" operator="equal">
      <formula>"Napkin Hs"</formula>
    </cfRule>
  </conditionalFormatting>
  <conditionalFormatting sqref="B42">
    <cfRule type="cellIs" dxfId="1867" priority="1853" stopIfTrue="1" operator="equal">
      <formula>"Towel"</formula>
    </cfRule>
    <cfRule type="cellIs" dxfId="1866" priority="1854" stopIfTrue="1" operator="equal">
      <formula>"Napkin Hs"</formula>
    </cfRule>
  </conditionalFormatting>
  <conditionalFormatting sqref="C42">
    <cfRule type="cellIs" dxfId="1865" priority="1855" stopIfTrue="1" operator="equal">
      <formula>"Towel"</formula>
    </cfRule>
    <cfRule type="cellIs" dxfId="1864" priority="1856" stopIfTrue="1" operator="equal">
      <formula>"Napkin Hs"</formula>
    </cfRule>
  </conditionalFormatting>
  <conditionalFormatting sqref="C42">
    <cfRule type="cellIs" dxfId="1863" priority="1864" stopIfTrue="1" operator="equal">
      <formula>"Napkin Hs"</formula>
    </cfRule>
  </conditionalFormatting>
  <conditionalFormatting sqref="C42">
    <cfRule type="cellIs" dxfId="1862" priority="1863" stopIfTrue="1" operator="equal">
      <formula>"Towel"</formula>
    </cfRule>
  </conditionalFormatting>
  <conditionalFormatting sqref="C42">
    <cfRule type="cellIs" dxfId="1861" priority="1859" stopIfTrue="1" operator="equal">
      <formula>"Towel"</formula>
    </cfRule>
    <cfRule type="cellIs" dxfId="1860" priority="1860" stopIfTrue="1" operator="equal">
      <formula>"Napkin Hs"</formula>
    </cfRule>
  </conditionalFormatting>
  <conditionalFormatting sqref="C42">
    <cfRule type="cellIs" dxfId="1859" priority="1858" stopIfTrue="1" operator="equal">
      <formula>"Napkin Hs"</formula>
    </cfRule>
  </conditionalFormatting>
  <conditionalFormatting sqref="C42">
    <cfRule type="cellIs" dxfId="1858" priority="1857" stopIfTrue="1" operator="equal">
      <formula>"Towel"</formula>
    </cfRule>
  </conditionalFormatting>
  <conditionalFormatting sqref="B41">
    <cfRule type="cellIs" dxfId="1857" priority="1835" stopIfTrue="1" operator="equal">
      <formula>"Towel"</formula>
    </cfRule>
    <cfRule type="cellIs" dxfId="1856" priority="1836" stopIfTrue="1" operator="equal">
      <formula>"Napkin Hs"</formula>
    </cfRule>
  </conditionalFormatting>
  <conditionalFormatting sqref="C41">
    <cfRule type="cellIs" dxfId="1855" priority="1849" stopIfTrue="1" operator="equal">
      <formula>"Towel"</formula>
    </cfRule>
    <cfRule type="cellIs" dxfId="1854" priority="1850" stopIfTrue="1" operator="equal">
      <formula>"Napkin Hs"</formula>
    </cfRule>
  </conditionalFormatting>
  <conditionalFormatting sqref="C41">
    <cfRule type="cellIs" dxfId="1853" priority="1845" stopIfTrue="1" operator="equal">
      <formula>"Towel"</formula>
    </cfRule>
    <cfRule type="cellIs" dxfId="1852" priority="1846" stopIfTrue="1" operator="equal">
      <formula>"Napkin Hs"</formula>
    </cfRule>
  </conditionalFormatting>
  <conditionalFormatting sqref="B41">
    <cfRule type="cellIs" dxfId="1851" priority="1837" stopIfTrue="1" operator="equal">
      <formula>"Towel"</formula>
    </cfRule>
    <cfRule type="cellIs" dxfId="1850" priority="1838" stopIfTrue="1" operator="equal">
      <formula>"Napkin Hs"</formula>
    </cfRule>
  </conditionalFormatting>
  <conditionalFormatting sqref="C41">
    <cfRule type="cellIs" dxfId="1849" priority="1839" stopIfTrue="1" operator="equal">
      <formula>"Towel"</formula>
    </cfRule>
    <cfRule type="cellIs" dxfId="1848" priority="1840" stopIfTrue="1" operator="equal">
      <formula>"Napkin Hs"</formula>
    </cfRule>
  </conditionalFormatting>
  <conditionalFormatting sqref="C41">
    <cfRule type="cellIs" dxfId="1847" priority="1848" stopIfTrue="1" operator="equal">
      <formula>"Napkin Hs"</formula>
    </cfRule>
  </conditionalFormatting>
  <conditionalFormatting sqref="C41">
    <cfRule type="cellIs" dxfId="1846" priority="1847" stopIfTrue="1" operator="equal">
      <formula>"Towel"</formula>
    </cfRule>
  </conditionalFormatting>
  <conditionalFormatting sqref="C41">
    <cfRule type="cellIs" dxfId="1845" priority="1843" stopIfTrue="1" operator="equal">
      <formula>"Towel"</formula>
    </cfRule>
    <cfRule type="cellIs" dxfId="1844" priority="1844" stopIfTrue="1" operator="equal">
      <formula>"Napkin Hs"</formula>
    </cfRule>
  </conditionalFormatting>
  <conditionalFormatting sqref="C41">
    <cfRule type="cellIs" dxfId="1843" priority="1842" stopIfTrue="1" operator="equal">
      <formula>"Napkin Hs"</formula>
    </cfRule>
  </conditionalFormatting>
  <conditionalFormatting sqref="C41">
    <cfRule type="cellIs" dxfId="1842" priority="1841" stopIfTrue="1" operator="equal">
      <formula>"Towel"</formula>
    </cfRule>
  </conditionalFormatting>
  <conditionalFormatting sqref="B41:C41">
    <cfRule type="cellIs" dxfId="1841" priority="1833" stopIfTrue="1" operator="equal">
      <formula>"Towel"</formula>
    </cfRule>
    <cfRule type="cellIs" dxfId="1840" priority="1834" stopIfTrue="1" operator="equal">
      <formula>"Napkin Hs"</formula>
    </cfRule>
  </conditionalFormatting>
  <conditionalFormatting sqref="C41">
    <cfRule type="cellIs" dxfId="1839" priority="1832" stopIfTrue="1" operator="equal">
      <formula>"Napkin Hs"</formula>
    </cfRule>
  </conditionalFormatting>
  <conditionalFormatting sqref="C41">
    <cfRule type="cellIs" dxfId="1838" priority="1831" stopIfTrue="1" operator="equal">
      <formula>"Towel"</formula>
    </cfRule>
  </conditionalFormatting>
  <conditionalFormatting sqref="C41">
    <cfRule type="cellIs" dxfId="1837" priority="1829" stopIfTrue="1" operator="equal">
      <formula>"Towel"</formula>
    </cfRule>
    <cfRule type="cellIs" dxfId="1836" priority="1830" stopIfTrue="1" operator="equal">
      <formula>"Napkin Hs"</formula>
    </cfRule>
  </conditionalFormatting>
  <conditionalFormatting sqref="B41:C41">
    <cfRule type="cellIs" dxfId="1835" priority="1827" stopIfTrue="1" operator="equal">
      <formula>"Towel"</formula>
    </cfRule>
    <cfRule type="cellIs" dxfId="1834" priority="1828" stopIfTrue="1" operator="equal">
      <formula>"Napkin Hs"</formula>
    </cfRule>
  </conditionalFormatting>
  <conditionalFormatting sqref="C41">
    <cfRule type="cellIs" dxfId="1833" priority="1825" stopIfTrue="1" operator="equal">
      <formula>"Towel"</formula>
    </cfRule>
    <cfRule type="cellIs" dxfId="1832" priority="1826" stopIfTrue="1" operator="equal">
      <formula>"Napkin Hs"</formula>
    </cfRule>
  </conditionalFormatting>
  <conditionalFormatting sqref="C41">
    <cfRule type="cellIs" dxfId="1831" priority="1823" stopIfTrue="1" operator="equal">
      <formula>"Towel"</formula>
    </cfRule>
    <cfRule type="cellIs" dxfId="1830" priority="1824" stopIfTrue="1" operator="equal">
      <formula>"Napkin Hs"</formula>
    </cfRule>
  </conditionalFormatting>
  <conditionalFormatting sqref="C41">
    <cfRule type="cellIs" dxfId="1829" priority="1817" stopIfTrue="1" operator="equal">
      <formula>"Towel"</formula>
    </cfRule>
    <cfRule type="cellIs" dxfId="1828" priority="1818" stopIfTrue="1" operator="equal">
      <formula>"Napkin Hs"</formula>
    </cfRule>
  </conditionalFormatting>
  <conditionalFormatting sqref="B41">
    <cfRule type="cellIs" dxfId="1827" priority="1807" stopIfTrue="1" operator="equal">
      <formula>"Towel"</formula>
    </cfRule>
    <cfRule type="cellIs" dxfId="1826" priority="1808" stopIfTrue="1" operator="equal">
      <formula>"Napkin Hs"</formula>
    </cfRule>
  </conditionalFormatting>
  <conditionalFormatting sqref="C41">
    <cfRule type="cellIs" dxfId="1825" priority="1811" stopIfTrue="1" operator="equal">
      <formula>"Towel"</formula>
    </cfRule>
    <cfRule type="cellIs" dxfId="1824" priority="1812" stopIfTrue="1" operator="equal">
      <formula>"Napkin Hs"</formula>
    </cfRule>
  </conditionalFormatting>
  <conditionalFormatting sqref="C41">
    <cfRule type="cellIs" dxfId="1823" priority="1821" stopIfTrue="1" operator="equal">
      <formula>"Towel"</formula>
    </cfRule>
    <cfRule type="cellIs" dxfId="1822" priority="1822" stopIfTrue="1" operator="equal">
      <formula>"Napkin Hs"</formula>
    </cfRule>
  </conditionalFormatting>
  <conditionalFormatting sqref="B41">
    <cfRule type="cellIs" dxfId="1821" priority="1809" stopIfTrue="1" operator="equal">
      <formula>"Towel"</formula>
    </cfRule>
    <cfRule type="cellIs" dxfId="1820" priority="1810" stopIfTrue="1" operator="equal">
      <formula>"Napkin Hs"</formula>
    </cfRule>
  </conditionalFormatting>
  <conditionalFormatting sqref="C41">
    <cfRule type="cellIs" dxfId="1819" priority="1820" stopIfTrue="1" operator="equal">
      <formula>"Napkin Hs"</formula>
    </cfRule>
  </conditionalFormatting>
  <conditionalFormatting sqref="C41">
    <cfRule type="cellIs" dxfId="1818" priority="1819" stopIfTrue="1" operator="equal">
      <formula>"Towel"</formula>
    </cfRule>
  </conditionalFormatting>
  <conditionalFormatting sqref="C41">
    <cfRule type="cellIs" dxfId="1817" priority="1815" stopIfTrue="1" operator="equal">
      <formula>"Towel"</formula>
    </cfRule>
    <cfRule type="cellIs" dxfId="1816" priority="1816" stopIfTrue="1" operator="equal">
      <formula>"Napkin Hs"</formula>
    </cfRule>
  </conditionalFormatting>
  <conditionalFormatting sqref="C41">
    <cfRule type="cellIs" dxfId="1815" priority="1814" stopIfTrue="1" operator="equal">
      <formula>"Napkin Hs"</formula>
    </cfRule>
  </conditionalFormatting>
  <conditionalFormatting sqref="C41">
    <cfRule type="cellIs" dxfId="1814" priority="1813" stopIfTrue="1" operator="equal">
      <formula>"Towel"</formula>
    </cfRule>
  </conditionalFormatting>
  <conditionalFormatting sqref="C41">
    <cfRule type="cellIs" dxfId="1813" priority="1806" stopIfTrue="1" operator="equal">
      <formula>"Napkin Hs"</formula>
    </cfRule>
  </conditionalFormatting>
  <conditionalFormatting sqref="C41">
    <cfRule type="cellIs" dxfId="1812" priority="1805" stopIfTrue="1" operator="equal">
      <formula>"Napkin Hs"</formula>
    </cfRule>
  </conditionalFormatting>
  <conditionalFormatting sqref="B48:C49">
    <cfRule type="cellIs" dxfId="1811" priority="1803" stopIfTrue="1" operator="equal">
      <formula>"Towel"</formula>
    </cfRule>
    <cfRule type="cellIs" dxfId="1810" priority="1804" stopIfTrue="1" operator="equal">
      <formula>"Napkin Hs"</formula>
    </cfRule>
  </conditionalFormatting>
  <conditionalFormatting sqref="C48:C49">
    <cfRule type="cellIs" dxfId="1809" priority="1802" stopIfTrue="1" operator="equal">
      <formula>"Napkin Hs"</formula>
    </cfRule>
  </conditionalFormatting>
  <conditionalFormatting sqref="C48:C49">
    <cfRule type="cellIs" dxfId="1808" priority="1799" stopIfTrue="1" operator="equal">
      <formula>"Towel"</formula>
    </cfRule>
    <cfRule type="cellIs" dxfId="1807" priority="1800" stopIfTrue="1" operator="equal">
      <formula>"Napkin Hs"</formula>
    </cfRule>
  </conditionalFormatting>
  <conditionalFormatting sqref="C48:C49">
    <cfRule type="cellIs" dxfId="1806" priority="1801" stopIfTrue="1" operator="equal">
      <formula>"Towel"</formula>
    </cfRule>
  </conditionalFormatting>
  <conditionalFormatting sqref="B46:B47">
    <cfRule type="cellIs" dxfId="1805" priority="1783" stopIfTrue="1" operator="equal">
      <formula>"Towel"</formula>
    </cfRule>
    <cfRule type="cellIs" dxfId="1804" priority="1784" stopIfTrue="1" operator="equal">
      <formula>"Napkin Hs"</formula>
    </cfRule>
  </conditionalFormatting>
  <conditionalFormatting sqref="C46:C47">
    <cfRule type="cellIs" dxfId="1803" priority="1797" stopIfTrue="1" operator="equal">
      <formula>"Towel"</formula>
    </cfRule>
    <cfRule type="cellIs" dxfId="1802" priority="1798" stopIfTrue="1" operator="equal">
      <formula>"Napkin Hs"</formula>
    </cfRule>
  </conditionalFormatting>
  <conditionalFormatting sqref="C46:C47">
    <cfRule type="cellIs" dxfId="1801" priority="1793" stopIfTrue="1" operator="equal">
      <formula>"Towel"</formula>
    </cfRule>
    <cfRule type="cellIs" dxfId="1800" priority="1794" stopIfTrue="1" operator="equal">
      <formula>"Napkin Hs"</formula>
    </cfRule>
  </conditionalFormatting>
  <conditionalFormatting sqref="B46:B47">
    <cfRule type="cellIs" dxfId="1799" priority="1785" stopIfTrue="1" operator="equal">
      <formula>"Towel"</formula>
    </cfRule>
    <cfRule type="cellIs" dxfId="1798" priority="1786" stopIfTrue="1" operator="equal">
      <formula>"Napkin Hs"</formula>
    </cfRule>
  </conditionalFormatting>
  <conditionalFormatting sqref="C46:C47">
    <cfRule type="cellIs" dxfId="1797" priority="1787" stopIfTrue="1" operator="equal">
      <formula>"Towel"</formula>
    </cfRule>
    <cfRule type="cellIs" dxfId="1796" priority="1788" stopIfTrue="1" operator="equal">
      <formula>"Napkin Hs"</formula>
    </cfRule>
  </conditionalFormatting>
  <conditionalFormatting sqref="C46:C47">
    <cfRule type="cellIs" dxfId="1795" priority="1796" stopIfTrue="1" operator="equal">
      <formula>"Napkin Hs"</formula>
    </cfRule>
  </conditionalFormatting>
  <conditionalFormatting sqref="C46:C47">
    <cfRule type="cellIs" dxfId="1794" priority="1795" stopIfTrue="1" operator="equal">
      <formula>"Towel"</formula>
    </cfRule>
  </conditionalFormatting>
  <conditionalFormatting sqref="C46:C47">
    <cfRule type="cellIs" dxfId="1793" priority="1791" stopIfTrue="1" operator="equal">
      <formula>"Towel"</formula>
    </cfRule>
    <cfRule type="cellIs" dxfId="1792" priority="1792" stopIfTrue="1" operator="equal">
      <formula>"Napkin Hs"</formula>
    </cfRule>
  </conditionalFormatting>
  <conditionalFormatting sqref="C46:C47">
    <cfRule type="cellIs" dxfId="1791" priority="1790" stopIfTrue="1" operator="equal">
      <formula>"Napkin Hs"</formula>
    </cfRule>
  </conditionalFormatting>
  <conditionalFormatting sqref="C46:C47">
    <cfRule type="cellIs" dxfId="1790" priority="1789" stopIfTrue="1" operator="equal">
      <formula>"Towel"</formula>
    </cfRule>
  </conditionalFormatting>
  <conditionalFormatting sqref="B46:C47">
    <cfRule type="cellIs" dxfId="1789" priority="1781" stopIfTrue="1" operator="equal">
      <formula>"Towel"</formula>
    </cfRule>
    <cfRule type="cellIs" dxfId="1788" priority="1782" stopIfTrue="1" operator="equal">
      <formula>"Napkin Hs"</formula>
    </cfRule>
  </conditionalFormatting>
  <conditionalFormatting sqref="C46:C47">
    <cfRule type="cellIs" dxfId="1787" priority="1780" stopIfTrue="1" operator="equal">
      <formula>"Napkin Hs"</formula>
    </cfRule>
  </conditionalFormatting>
  <conditionalFormatting sqref="C46:C47">
    <cfRule type="cellIs" dxfId="1786" priority="1779" stopIfTrue="1" operator="equal">
      <formula>"Towel"</formula>
    </cfRule>
  </conditionalFormatting>
  <conditionalFormatting sqref="C46:C47">
    <cfRule type="cellIs" dxfId="1785" priority="1777" stopIfTrue="1" operator="equal">
      <formula>"Towel"</formula>
    </cfRule>
    <cfRule type="cellIs" dxfId="1784" priority="1778" stopIfTrue="1" operator="equal">
      <formula>"Napkin Hs"</formula>
    </cfRule>
  </conditionalFormatting>
  <conditionalFormatting sqref="B46:C47">
    <cfRule type="cellIs" dxfId="1783" priority="1775" stopIfTrue="1" operator="equal">
      <formula>"Towel"</formula>
    </cfRule>
    <cfRule type="cellIs" dxfId="1782" priority="1776" stopIfTrue="1" operator="equal">
      <formula>"Napkin Hs"</formula>
    </cfRule>
  </conditionalFormatting>
  <conditionalFormatting sqref="C46:C47">
    <cfRule type="cellIs" dxfId="1781" priority="1773" stopIfTrue="1" operator="equal">
      <formula>"Towel"</formula>
    </cfRule>
    <cfRule type="cellIs" dxfId="1780" priority="1774" stopIfTrue="1" operator="equal">
      <formula>"Napkin Hs"</formula>
    </cfRule>
  </conditionalFormatting>
  <conditionalFormatting sqref="C46:C47">
    <cfRule type="cellIs" dxfId="1779" priority="1771" stopIfTrue="1" operator="equal">
      <formula>"Towel"</formula>
    </cfRule>
    <cfRule type="cellIs" dxfId="1778" priority="1772" stopIfTrue="1" operator="equal">
      <formula>"Napkin Hs"</formula>
    </cfRule>
  </conditionalFormatting>
  <conditionalFormatting sqref="C46:C47">
    <cfRule type="cellIs" dxfId="1777" priority="1765" stopIfTrue="1" operator="equal">
      <formula>"Towel"</formula>
    </cfRule>
    <cfRule type="cellIs" dxfId="1776" priority="1766" stopIfTrue="1" operator="equal">
      <formula>"Napkin Hs"</formula>
    </cfRule>
  </conditionalFormatting>
  <conditionalFormatting sqref="B46:B47">
    <cfRule type="cellIs" dxfId="1775" priority="1755" stopIfTrue="1" operator="equal">
      <formula>"Towel"</formula>
    </cfRule>
    <cfRule type="cellIs" dxfId="1774" priority="1756" stopIfTrue="1" operator="equal">
      <formula>"Napkin Hs"</formula>
    </cfRule>
  </conditionalFormatting>
  <conditionalFormatting sqref="C46:C47">
    <cfRule type="cellIs" dxfId="1773" priority="1759" stopIfTrue="1" operator="equal">
      <formula>"Towel"</formula>
    </cfRule>
    <cfRule type="cellIs" dxfId="1772" priority="1760" stopIfTrue="1" operator="equal">
      <formula>"Napkin Hs"</formula>
    </cfRule>
  </conditionalFormatting>
  <conditionalFormatting sqref="C46:C47">
    <cfRule type="cellIs" dxfId="1771" priority="1769" stopIfTrue="1" operator="equal">
      <formula>"Towel"</formula>
    </cfRule>
    <cfRule type="cellIs" dxfId="1770" priority="1770" stopIfTrue="1" operator="equal">
      <formula>"Napkin Hs"</formula>
    </cfRule>
  </conditionalFormatting>
  <conditionalFormatting sqref="B46:B47">
    <cfRule type="cellIs" dxfId="1769" priority="1757" stopIfTrue="1" operator="equal">
      <formula>"Towel"</formula>
    </cfRule>
    <cfRule type="cellIs" dxfId="1768" priority="1758" stopIfTrue="1" operator="equal">
      <formula>"Napkin Hs"</formula>
    </cfRule>
  </conditionalFormatting>
  <conditionalFormatting sqref="C46:C47">
    <cfRule type="cellIs" dxfId="1767" priority="1768" stopIfTrue="1" operator="equal">
      <formula>"Napkin Hs"</formula>
    </cfRule>
  </conditionalFormatting>
  <conditionalFormatting sqref="C46:C47">
    <cfRule type="cellIs" dxfId="1766" priority="1767" stopIfTrue="1" operator="equal">
      <formula>"Towel"</formula>
    </cfRule>
  </conditionalFormatting>
  <conditionalFormatting sqref="C46:C47">
    <cfRule type="cellIs" dxfId="1765" priority="1763" stopIfTrue="1" operator="equal">
      <formula>"Towel"</formula>
    </cfRule>
    <cfRule type="cellIs" dxfId="1764" priority="1764" stopIfTrue="1" operator="equal">
      <formula>"Napkin Hs"</formula>
    </cfRule>
  </conditionalFormatting>
  <conditionalFormatting sqref="C46:C47">
    <cfRule type="cellIs" dxfId="1763" priority="1762" stopIfTrue="1" operator="equal">
      <formula>"Napkin Hs"</formula>
    </cfRule>
  </conditionalFormatting>
  <conditionalFormatting sqref="C46:C47">
    <cfRule type="cellIs" dxfId="1762" priority="1761" stopIfTrue="1" operator="equal">
      <formula>"Towel"</formula>
    </cfRule>
  </conditionalFormatting>
  <conditionalFormatting sqref="C46:C47">
    <cfRule type="cellIs" dxfId="1761" priority="1754" stopIfTrue="1" operator="equal">
      <formula>"Napkin Hs"</formula>
    </cfRule>
  </conditionalFormatting>
  <conditionalFormatting sqref="C46:C47">
    <cfRule type="cellIs" dxfId="1760" priority="1753" stopIfTrue="1" operator="equal">
      <formula>"Napkin Hs"</formula>
    </cfRule>
  </conditionalFormatting>
  <conditionalFormatting sqref="B54:C55">
    <cfRule type="cellIs" dxfId="1759" priority="1751" stopIfTrue="1" operator="equal">
      <formula>"Towel"</formula>
    </cfRule>
    <cfRule type="cellIs" dxfId="1758" priority="1752" stopIfTrue="1" operator="equal">
      <formula>"Napkin Hs"</formula>
    </cfRule>
  </conditionalFormatting>
  <conditionalFormatting sqref="C54:C55">
    <cfRule type="cellIs" dxfId="1757" priority="1750" stopIfTrue="1" operator="equal">
      <formula>"Napkin Hs"</formula>
    </cfRule>
  </conditionalFormatting>
  <conditionalFormatting sqref="C54:C55">
    <cfRule type="cellIs" dxfId="1756" priority="1747" stopIfTrue="1" operator="equal">
      <formula>"Towel"</formula>
    </cfRule>
    <cfRule type="cellIs" dxfId="1755" priority="1748" stopIfTrue="1" operator="equal">
      <formula>"Napkin Hs"</formula>
    </cfRule>
  </conditionalFormatting>
  <conditionalFormatting sqref="C54:C55">
    <cfRule type="cellIs" dxfId="1754" priority="1749" stopIfTrue="1" operator="equal">
      <formula>"Towel"</formula>
    </cfRule>
  </conditionalFormatting>
  <conditionalFormatting sqref="C53">
    <cfRule type="cellIs" dxfId="1753" priority="1745" stopIfTrue="1" operator="equal">
      <formula>"Towel"</formula>
    </cfRule>
    <cfRule type="cellIs" dxfId="1752" priority="1746" stopIfTrue="1" operator="equal">
      <formula>"Napkin Hs"</formula>
    </cfRule>
  </conditionalFormatting>
  <conditionalFormatting sqref="C53">
    <cfRule type="cellIs" dxfId="1751" priority="1741" stopIfTrue="1" operator="equal">
      <formula>"Towel"</formula>
    </cfRule>
    <cfRule type="cellIs" dxfId="1750" priority="1742" stopIfTrue="1" operator="equal">
      <formula>"Napkin Hs"</formula>
    </cfRule>
  </conditionalFormatting>
  <conditionalFormatting sqref="C53">
    <cfRule type="cellIs" dxfId="1749" priority="1735" stopIfTrue="1" operator="equal">
      <formula>"Towel"</formula>
    </cfRule>
    <cfRule type="cellIs" dxfId="1748" priority="1736" stopIfTrue="1" operator="equal">
      <formula>"Napkin Hs"</formula>
    </cfRule>
  </conditionalFormatting>
  <conditionalFormatting sqref="C53">
    <cfRule type="cellIs" dxfId="1747" priority="1744" stopIfTrue="1" operator="equal">
      <formula>"Napkin Hs"</formula>
    </cfRule>
  </conditionalFormatting>
  <conditionalFormatting sqref="C53">
    <cfRule type="cellIs" dxfId="1746" priority="1743" stopIfTrue="1" operator="equal">
      <formula>"Towel"</formula>
    </cfRule>
  </conditionalFormatting>
  <conditionalFormatting sqref="C53">
    <cfRule type="cellIs" dxfId="1745" priority="1739" stopIfTrue="1" operator="equal">
      <formula>"Towel"</formula>
    </cfRule>
    <cfRule type="cellIs" dxfId="1744" priority="1740" stopIfTrue="1" operator="equal">
      <formula>"Napkin Hs"</formula>
    </cfRule>
  </conditionalFormatting>
  <conditionalFormatting sqref="C53">
    <cfRule type="cellIs" dxfId="1743" priority="1738" stopIfTrue="1" operator="equal">
      <formula>"Napkin Hs"</formula>
    </cfRule>
  </conditionalFormatting>
  <conditionalFormatting sqref="C53">
    <cfRule type="cellIs" dxfId="1742" priority="1737" stopIfTrue="1" operator="equal">
      <formula>"Towel"</formula>
    </cfRule>
  </conditionalFormatting>
  <conditionalFormatting sqref="B52:B53">
    <cfRule type="cellIs" dxfId="1741" priority="1719" stopIfTrue="1" operator="equal">
      <formula>"Towel"</formula>
    </cfRule>
    <cfRule type="cellIs" dxfId="1740" priority="1720" stopIfTrue="1" operator="equal">
      <formula>"Napkin Hs"</formula>
    </cfRule>
  </conditionalFormatting>
  <conditionalFormatting sqref="C52">
    <cfRule type="cellIs" dxfId="1739" priority="1733" stopIfTrue="1" operator="equal">
      <formula>"Towel"</formula>
    </cfRule>
    <cfRule type="cellIs" dxfId="1738" priority="1734" stopIfTrue="1" operator="equal">
      <formula>"Napkin Hs"</formula>
    </cfRule>
  </conditionalFormatting>
  <conditionalFormatting sqref="C52">
    <cfRule type="cellIs" dxfId="1737" priority="1729" stopIfTrue="1" operator="equal">
      <formula>"Towel"</formula>
    </cfRule>
    <cfRule type="cellIs" dxfId="1736" priority="1730" stopIfTrue="1" operator="equal">
      <formula>"Napkin Hs"</formula>
    </cfRule>
  </conditionalFormatting>
  <conditionalFormatting sqref="B52:B53">
    <cfRule type="cellIs" dxfId="1735" priority="1721" stopIfTrue="1" operator="equal">
      <formula>"Towel"</formula>
    </cfRule>
    <cfRule type="cellIs" dxfId="1734" priority="1722" stopIfTrue="1" operator="equal">
      <formula>"Napkin Hs"</formula>
    </cfRule>
  </conditionalFormatting>
  <conditionalFormatting sqref="C52">
    <cfRule type="cellIs" dxfId="1733" priority="1723" stopIfTrue="1" operator="equal">
      <formula>"Towel"</formula>
    </cfRule>
    <cfRule type="cellIs" dxfId="1732" priority="1724" stopIfTrue="1" operator="equal">
      <formula>"Napkin Hs"</formula>
    </cfRule>
  </conditionalFormatting>
  <conditionalFormatting sqref="C52">
    <cfRule type="cellIs" dxfId="1731" priority="1732" stopIfTrue="1" operator="equal">
      <formula>"Napkin Hs"</formula>
    </cfRule>
  </conditionalFormatting>
  <conditionalFormatting sqref="C52">
    <cfRule type="cellIs" dxfId="1730" priority="1731" stopIfTrue="1" operator="equal">
      <formula>"Towel"</formula>
    </cfRule>
  </conditionalFormatting>
  <conditionalFormatting sqref="C52">
    <cfRule type="cellIs" dxfId="1729" priority="1727" stopIfTrue="1" operator="equal">
      <formula>"Towel"</formula>
    </cfRule>
    <cfRule type="cellIs" dxfId="1728" priority="1728" stopIfTrue="1" operator="equal">
      <formula>"Napkin Hs"</formula>
    </cfRule>
  </conditionalFormatting>
  <conditionalFormatting sqref="C52">
    <cfRule type="cellIs" dxfId="1727" priority="1726" stopIfTrue="1" operator="equal">
      <formula>"Napkin Hs"</formula>
    </cfRule>
  </conditionalFormatting>
  <conditionalFormatting sqref="C52">
    <cfRule type="cellIs" dxfId="1726" priority="1725" stopIfTrue="1" operator="equal">
      <formula>"Towel"</formula>
    </cfRule>
  </conditionalFormatting>
  <conditionalFormatting sqref="B52:C52 B53">
    <cfRule type="cellIs" dxfId="1725" priority="1717" stopIfTrue="1" operator="equal">
      <formula>"Towel"</formula>
    </cfRule>
    <cfRule type="cellIs" dxfId="1724" priority="1718" stopIfTrue="1" operator="equal">
      <formula>"Napkin Hs"</formula>
    </cfRule>
  </conditionalFormatting>
  <conditionalFormatting sqref="C52">
    <cfRule type="cellIs" dxfId="1723" priority="1716" stopIfTrue="1" operator="equal">
      <formula>"Napkin Hs"</formula>
    </cfRule>
  </conditionalFormatting>
  <conditionalFormatting sqref="C52">
    <cfRule type="cellIs" dxfId="1722" priority="1715" stopIfTrue="1" operator="equal">
      <formula>"Towel"</formula>
    </cfRule>
  </conditionalFormatting>
  <conditionalFormatting sqref="C52">
    <cfRule type="cellIs" dxfId="1721" priority="1713" stopIfTrue="1" operator="equal">
      <formula>"Towel"</formula>
    </cfRule>
    <cfRule type="cellIs" dxfId="1720" priority="1714" stopIfTrue="1" operator="equal">
      <formula>"Napkin Hs"</formula>
    </cfRule>
  </conditionalFormatting>
  <conditionalFormatting sqref="B52:C52 B53">
    <cfRule type="cellIs" dxfId="1719" priority="1711" stopIfTrue="1" operator="equal">
      <formula>"Towel"</formula>
    </cfRule>
    <cfRule type="cellIs" dxfId="1718" priority="1712" stopIfTrue="1" operator="equal">
      <formula>"Napkin Hs"</formula>
    </cfRule>
  </conditionalFormatting>
  <conditionalFormatting sqref="C52">
    <cfRule type="cellIs" dxfId="1717" priority="1709" stopIfTrue="1" operator="equal">
      <formula>"Towel"</formula>
    </cfRule>
    <cfRule type="cellIs" dxfId="1716" priority="1710" stopIfTrue="1" operator="equal">
      <formula>"Napkin Hs"</formula>
    </cfRule>
  </conditionalFormatting>
  <conditionalFormatting sqref="C52">
    <cfRule type="cellIs" dxfId="1715" priority="1707" stopIfTrue="1" operator="equal">
      <formula>"Towel"</formula>
    </cfRule>
    <cfRule type="cellIs" dxfId="1714" priority="1708" stopIfTrue="1" operator="equal">
      <formula>"Napkin Hs"</formula>
    </cfRule>
  </conditionalFormatting>
  <conditionalFormatting sqref="C52">
    <cfRule type="cellIs" dxfId="1713" priority="1701" stopIfTrue="1" operator="equal">
      <formula>"Towel"</formula>
    </cfRule>
    <cfRule type="cellIs" dxfId="1712" priority="1702" stopIfTrue="1" operator="equal">
      <formula>"Napkin Hs"</formula>
    </cfRule>
  </conditionalFormatting>
  <conditionalFormatting sqref="B52:B53">
    <cfRule type="cellIs" dxfId="1711" priority="1691" stopIfTrue="1" operator="equal">
      <formula>"Towel"</formula>
    </cfRule>
    <cfRule type="cellIs" dxfId="1710" priority="1692" stopIfTrue="1" operator="equal">
      <formula>"Napkin Hs"</formula>
    </cfRule>
  </conditionalFormatting>
  <conditionalFormatting sqref="C52">
    <cfRule type="cellIs" dxfId="1709" priority="1695" stopIfTrue="1" operator="equal">
      <formula>"Towel"</formula>
    </cfRule>
    <cfRule type="cellIs" dxfId="1708" priority="1696" stopIfTrue="1" operator="equal">
      <formula>"Napkin Hs"</formula>
    </cfRule>
  </conditionalFormatting>
  <conditionalFormatting sqref="C52">
    <cfRule type="cellIs" dxfId="1707" priority="1705" stopIfTrue="1" operator="equal">
      <formula>"Towel"</formula>
    </cfRule>
    <cfRule type="cellIs" dxfId="1706" priority="1706" stopIfTrue="1" operator="equal">
      <formula>"Napkin Hs"</formula>
    </cfRule>
  </conditionalFormatting>
  <conditionalFormatting sqref="B52:B53">
    <cfRule type="cellIs" dxfId="1705" priority="1693" stopIfTrue="1" operator="equal">
      <formula>"Towel"</formula>
    </cfRule>
    <cfRule type="cellIs" dxfId="1704" priority="1694" stopIfTrue="1" operator="equal">
      <formula>"Napkin Hs"</formula>
    </cfRule>
  </conditionalFormatting>
  <conditionalFormatting sqref="C52">
    <cfRule type="cellIs" dxfId="1703" priority="1704" stopIfTrue="1" operator="equal">
      <formula>"Napkin Hs"</formula>
    </cfRule>
  </conditionalFormatting>
  <conditionalFormatting sqref="C52">
    <cfRule type="cellIs" dxfId="1702" priority="1703" stopIfTrue="1" operator="equal">
      <formula>"Towel"</formula>
    </cfRule>
  </conditionalFormatting>
  <conditionalFormatting sqref="C52">
    <cfRule type="cellIs" dxfId="1701" priority="1699" stopIfTrue="1" operator="equal">
      <formula>"Towel"</formula>
    </cfRule>
    <cfRule type="cellIs" dxfId="1700" priority="1700" stopIfTrue="1" operator="equal">
      <formula>"Napkin Hs"</formula>
    </cfRule>
  </conditionalFormatting>
  <conditionalFormatting sqref="C52">
    <cfRule type="cellIs" dxfId="1699" priority="1698" stopIfTrue="1" operator="equal">
      <formula>"Napkin Hs"</formula>
    </cfRule>
  </conditionalFormatting>
  <conditionalFormatting sqref="C52">
    <cfRule type="cellIs" dxfId="1698" priority="1697" stopIfTrue="1" operator="equal">
      <formula>"Towel"</formula>
    </cfRule>
  </conditionalFormatting>
  <conditionalFormatting sqref="C52">
    <cfRule type="cellIs" dxfId="1697" priority="1690" stopIfTrue="1" operator="equal">
      <formula>"Napkin Hs"</formula>
    </cfRule>
  </conditionalFormatting>
  <conditionalFormatting sqref="C52">
    <cfRule type="cellIs" dxfId="1696" priority="1689" stopIfTrue="1" operator="equal">
      <formula>"Napkin Hs"</formula>
    </cfRule>
  </conditionalFormatting>
  <conditionalFormatting sqref="B59:C60">
    <cfRule type="cellIs" dxfId="1695" priority="1687" stopIfTrue="1" operator="equal">
      <formula>"Towel"</formula>
    </cfRule>
    <cfRule type="cellIs" dxfId="1694" priority="1688" stopIfTrue="1" operator="equal">
      <formula>"Napkin Hs"</formula>
    </cfRule>
  </conditionalFormatting>
  <conditionalFormatting sqref="C59:C60">
    <cfRule type="cellIs" dxfId="1693" priority="1686" stopIfTrue="1" operator="equal">
      <formula>"Napkin Hs"</formula>
    </cfRule>
  </conditionalFormatting>
  <conditionalFormatting sqref="C59:C60">
    <cfRule type="cellIs" dxfId="1692" priority="1683" stopIfTrue="1" operator="equal">
      <formula>"Towel"</formula>
    </cfRule>
    <cfRule type="cellIs" dxfId="1691" priority="1684" stopIfTrue="1" operator="equal">
      <formula>"Napkin Hs"</formula>
    </cfRule>
  </conditionalFormatting>
  <conditionalFormatting sqref="C59:C60">
    <cfRule type="cellIs" dxfId="1690" priority="1685" stopIfTrue="1" operator="equal">
      <formula>"Towel"</formula>
    </cfRule>
  </conditionalFormatting>
  <conditionalFormatting sqref="C58">
    <cfRule type="cellIs" dxfId="1689" priority="1681" stopIfTrue="1" operator="equal">
      <formula>"Towel"</formula>
    </cfRule>
    <cfRule type="cellIs" dxfId="1688" priority="1682" stopIfTrue="1" operator="equal">
      <formula>"Napkin Hs"</formula>
    </cfRule>
  </conditionalFormatting>
  <conditionalFormatting sqref="C58">
    <cfRule type="cellIs" dxfId="1687" priority="1677" stopIfTrue="1" operator="equal">
      <formula>"Towel"</formula>
    </cfRule>
    <cfRule type="cellIs" dxfId="1686" priority="1678" stopIfTrue="1" operator="equal">
      <formula>"Napkin Hs"</formula>
    </cfRule>
  </conditionalFormatting>
  <conditionalFormatting sqref="C58">
    <cfRule type="cellIs" dxfId="1685" priority="1671" stopIfTrue="1" operator="equal">
      <formula>"Towel"</formula>
    </cfRule>
    <cfRule type="cellIs" dxfId="1684" priority="1672" stopIfTrue="1" operator="equal">
      <formula>"Napkin Hs"</formula>
    </cfRule>
  </conditionalFormatting>
  <conditionalFormatting sqref="C58">
    <cfRule type="cellIs" dxfId="1683" priority="1680" stopIfTrue="1" operator="equal">
      <formula>"Napkin Hs"</formula>
    </cfRule>
  </conditionalFormatting>
  <conditionalFormatting sqref="C58">
    <cfRule type="cellIs" dxfId="1682" priority="1679" stopIfTrue="1" operator="equal">
      <formula>"Towel"</formula>
    </cfRule>
  </conditionalFormatting>
  <conditionalFormatting sqref="C58">
    <cfRule type="cellIs" dxfId="1681" priority="1675" stopIfTrue="1" operator="equal">
      <formula>"Towel"</formula>
    </cfRule>
    <cfRule type="cellIs" dxfId="1680" priority="1676" stopIfTrue="1" operator="equal">
      <formula>"Napkin Hs"</formula>
    </cfRule>
  </conditionalFormatting>
  <conditionalFormatting sqref="C58">
    <cfRule type="cellIs" dxfId="1679" priority="1674" stopIfTrue="1" operator="equal">
      <formula>"Napkin Hs"</formula>
    </cfRule>
  </conditionalFormatting>
  <conditionalFormatting sqref="C58">
    <cfRule type="cellIs" dxfId="1678" priority="1673" stopIfTrue="1" operator="equal">
      <formula>"Towel"</formula>
    </cfRule>
  </conditionalFormatting>
  <conditionalFormatting sqref="B57:B58">
    <cfRule type="cellIs" dxfId="1677" priority="1655" stopIfTrue="1" operator="equal">
      <formula>"Towel"</formula>
    </cfRule>
    <cfRule type="cellIs" dxfId="1676" priority="1656" stopIfTrue="1" operator="equal">
      <formula>"Napkin Hs"</formula>
    </cfRule>
  </conditionalFormatting>
  <conditionalFormatting sqref="C57">
    <cfRule type="cellIs" dxfId="1675" priority="1669" stopIfTrue="1" operator="equal">
      <formula>"Towel"</formula>
    </cfRule>
    <cfRule type="cellIs" dxfId="1674" priority="1670" stopIfTrue="1" operator="equal">
      <formula>"Napkin Hs"</formula>
    </cfRule>
  </conditionalFormatting>
  <conditionalFormatting sqref="C57">
    <cfRule type="cellIs" dxfId="1673" priority="1665" stopIfTrue="1" operator="equal">
      <formula>"Towel"</formula>
    </cfRule>
    <cfRule type="cellIs" dxfId="1672" priority="1666" stopIfTrue="1" operator="equal">
      <formula>"Napkin Hs"</formula>
    </cfRule>
  </conditionalFormatting>
  <conditionalFormatting sqref="B57:B58">
    <cfRule type="cellIs" dxfId="1671" priority="1657" stopIfTrue="1" operator="equal">
      <formula>"Towel"</formula>
    </cfRule>
    <cfRule type="cellIs" dxfId="1670" priority="1658" stopIfTrue="1" operator="equal">
      <formula>"Napkin Hs"</formula>
    </cfRule>
  </conditionalFormatting>
  <conditionalFormatting sqref="C57">
    <cfRule type="cellIs" dxfId="1669" priority="1659" stopIfTrue="1" operator="equal">
      <formula>"Towel"</formula>
    </cfRule>
    <cfRule type="cellIs" dxfId="1668" priority="1660" stopIfTrue="1" operator="equal">
      <formula>"Napkin Hs"</formula>
    </cfRule>
  </conditionalFormatting>
  <conditionalFormatting sqref="C57">
    <cfRule type="cellIs" dxfId="1667" priority="1668" stopIfTrue="1" operator="equal">
      <formula>"Napkin Hs"</formula>
    </cfRule>
  </conditionalFormatting>
  <conditionalFormatting sqref="C57">
    <cfRule type="cellIs" dxfId="1666" priority="1667" stopIfTrue="1" operator="equal">
      <formula>"Towel"</formula>
    </cfRule>
  </conditionalFormatting>
  <conditionalFormatting sqref="C57">
    <cfRule type="cellIs" dxfId="1665" priority="1663" stopIfTrue="1" operator="equal">
      <formula>"Towel"</formula>
    </cfRule>
    <cfRule type="cellIs" dxfId="1664" priority="1664" stopIfTrue="1" operator="equal">
      <formula>"Napkin Hs"</formula>
    </cfRule>
  </conditionalFormatting>
  <conditionalFormatting sqref="C57">
    <cfRule type="cellIs" dxfId="1663" priority="1662" stopIfTrue="1" operator="equal">
      <formula>"Napkin Hs"</formula>
    </cfRule>
  </conditionalFormatting>
  <conditionalFormatting sqref="C57">
    <cfRule type="cellIs" dxfId="1662" priority="1661" stopIfTrue="1" operator="equal">
      <formula>"Towel"</formula>
    </cfRule>
  </conditionalFormatting>
  <conditionalFormatting sqref="B57:C57 B58">
    <cfRule type="cellIs" dxfId="1661" priority="1653" stopIfTrue="1" operator="equal">
      <formula>"Towel"</formula>
    </cfRule>
    <cfRule type="cellIs" dxfId="1660" priority="1654" stopIfTrue="1" operator="equal">
      <formula>"Napkin Hs"</formula>
    </cfRule>
  </conditionalFormatting>
  <conditionalFormatting sqref="C57">
    <cfRule type="cellIs" dxfId="1659" priority="1652" stopIfTrue="1" operator="equal">
      <formula>"Napkin Hs"</formula>
    </cfRule>
  </conditionalFormatting>
  <conditionalFormatting sqref="C57">
    <cfRule type="cellIs" dxfId="1658" priority="1651" stopIfTrue="1" operator="equal">
      <formula>"Towel"</formula>
    </cfRule>
  </conditionalFormatting>
  <conditionalFormatting sqref="C57">
    <cfRule type="cellIs" dxfId="1657" priority="1649" stopIfTrue="1" operator="equal">
      <formula>"Towel"</formula>
    </cfRule>
    <cfRule type="cellIs" dxfId="1656" priority="1650" stopIfTrue="1" operator="equal">
      <formula>"Napkin Hs"</formula>
    </cfRule>
  </conditionalFormatting>
  <conditionalFormatting sqref="B57:C57 B58">
    <cfRule type="cellIs" dxfId="1655" priority="1647" stopIfTrue="1" operator="equal">
      <formula>"Towel"</formula>
    </cfRule>
    <cfRule type="cellIs" dxfId="1654" priority="1648" stopIfTrue="1" operator="equal">
      <formula>"Napkin Hs"</formula>
    </cfRule>
  </conditionalFormatting>
  <conditionalFormatting sqref="C57">
    <cfRule type="cellIs" dxfId="1653" priority="1645" stopIfTrue="1" operator="equal">
      <formula>"Towel"</formula>
    </cfRule>
    <cfRule type="cellIs" dxfId="1652" priority="1646" stopIfTrue="1" operator="equal">
      <formula>"Napkin Hs"</formula>
    </cfRule>
  </conditionalFormatting>
  <conditionalFormatting sqref="C57">
    <cfRule type="cellIs" dxfId="1651" priority="1643" stopIfTrue="1" operator="equal">
      <formula>"Towel"</formula>
    </cfRule>
    <cfRule type="cellIs" dxfId="1650" priority="1644" stopIfTrue="1" operator="equal">
      <formula>"Napkin Hs"</formula>
    </cfRule>
  </conditionalFormatting>
  <conditionalFormatting sqref="C57">
    <cfRule type="cellIs" dxfId="1649" priority="1637" stopIfTrue="1" operator="equal">
      <formula>"Towel"</formula>
    </cfRule>
    <cfRule type="cellIs" dxfId="1648" priority="1638" stopIfTrue="1" operator="equal">
      <formula>"Napkin Hs"</formula>
    </cfRule>
  </conditionalFormatting>
  <conditionalFormatting sqref="B57:B58">
    <cfRule type="cellIs" dxfId="1647" priority="1627" stopIfTrue="1" operator="equal">
      <formula>"Towel"</formula>
    </cfRule>
    <cfRule type="cellIs" dxfId="1646" priority="1628" stopIfTrue="1" operator="equal">
      <formula>"Napkin Hs"</formula>
    </cfRule>
  </conditionalFormatting>
  <conditionalFormatting sqref="C57">
    <cfRule type="cellIs" dxfId="1645" priority="1631" stopIfTrue="1" operator="equal">
      <formula>"Towel"</formula>
    </cfRule>
    <cfRule type="cellIs" dxfId="1644" priority="1632" stopIfTrue="1" operator="equal">
      <formula>"Napkin Hs"</formula>
    </cfRule>
  </conditionalFormatting>
  <conditionalFormatting sqref="C57">
    <cfRule type="cellIs" dxfId="1643" priority="1641" stopIfTrue="1" operator="equal">
      <formula>"Towel"</formula>
    </cfRule>
    <cfRule type="cellIs" dxfId="1642" priority="1642" stopIfTrue="1" operator="equal">
      <formula>"Napkin Hs"</formula>
    </cfRule>
  </conditionalFormatting>
  <conditionalFormatting sqref="B57:B58">
    <cfRule type="cellIs" dxfId="1641" priority="1629" stopIfTrue="1" operator="equal">
      <formula>"Towel"</formula>
    </cfRule>
    <cfRule type="cellIs" dxfId="1640" priority="1630" stopIfTrue="1" operator="equal">
      <formula>"Napkin Hs"</formula>
    </cfRule>
  </conditionalFormatting>
  <conditionalFormatting sqref="C57">
    <cfRule type="cellIs" dxfId="1639" priority="1640" stopIfTrue="1" operator="equal">
      <formula>"Napkin Hs"</formula>
    </cfRule>
  </conditionalFormatting>
  <conditionalFormatting sqref="C57">
    <cfRule type="cellIs" dxfId="1638" priority="1639" stopIfTrue="1" operator="equal">
      <formula>"Towel"</formula>
    </cfRule>
  </conditionalFormatting>
  <conditionalFormatting sqref="C57">
    <cfRule type="cellIs" dxfId="1637" priority="1635" stopIfTrue="1" operator="equal">
      <formula>"Towel"</formula>
    </cfRule>
    <cfRule type="cellIs" dxfId="1636" priority="1636" stopIfTrue="1" operator="equal">
      <formula>"Napkin Hs"</formula>
    </cfRule>
  </conditionalFormatting>
  <conditionalFormatting sqref="C57">
    <cfRule type="cellIs" dxfId="1635" priority="1634" stopIfTrue="1" operator="equal">
      <formula>"Napkin Hs"</formula>
    </cfRule>
  </conditionalFormatting>
  <conditionalFormatting sqref="C57">
    <cfRule type="cellIs" dxfId="1634" priority="1633" stopIfTrue="1" operator="equal">
      <formula>"Towel"</formula>
    </cfRule>
  </conditionalFormatting>
  <conditionalFormatting sqref="C57">
    <cfRule type="cellIs" dxfId="1633" priority="1626" stopIfTrue="1" operator="equal">
      <formula>"Napkin Hs"</formula>
    </cfRule>
  </conditionalFormatting>
  <conditionalFormatting sqref="C57">
    <cfRule type="cellIs" dxfId="1632" priority="1625" stopIfTrue="1" operator="equal">
      <formula>"Napkin Hs"</formula>
    </cfRule>
  </conditionalFormatting>
  <conditionalFormatting sqref="B63:C64">
    <cfRule type="cellIs" dxfId="1631" priority="1623" stopIfTrue="1" operator="equal">
      <formula>"Towel"</formula>
    </cfRule>
    <cfRule type="cellIs" dxfId="1630" priority="1624" stopIfTrue="1" operator="equal">
      <formula>"Napkin Hs"</formula>
    </cfRule>
  </conditionalFormatting>
  <conditionalFormatting sqref="C63:C64">
    <cfRule type="cellIs" dxfId="1629" priority="1622" stopIfTrue="1" operator="equal">
      <formula>"Napkin Hs"</formula>
    </cfRule>
  </conditionalFormatting>
  <conditionalFormatting sqref="C63:C64">
    <cfRule type="cellIs" dxfId="1628" priority="1619" stopIfTrue="1" operator="equal">
      <formula>"Towel"</formula>
    </cfRule>
    <cfRule type="cellIs" dxfId="1627" priority="1620" stopIfTrue="1" operator="equal">
      <formula>"Napkin Hs"</formula>
    </cfRule>
  </conditionalFormatting>
  <conditionalFormatting sqref="C63:C64">
    <cfRule type="cellIs" dxfId="1626" priority="1621" stopIfTrue="1" operator="equal">
      <formula>"Towel"</formula>
    </cfRule>
  </conditionalFormatting>
  <conditionalFormatting sqref="C62">
    <cfRule type="cellIs" dxfId="1625" priority="1617" stopIfTrue="1" operator="equal">
      <formula>"Towel"</formula>
    </cfRule>
    <cfRule type="cellIs" dxfId="1624" priority="1618" stopIfTrue="1" operator="equal">
      <formula>"Napkin Hs"</formula>
    </cfRule>
  </conditionalFormatting>
  <conditionalFormatting sqref="C62">
    <cfRule type="cellIs" dxfId="1623" priority="1613" stopIfTrue="1" operator="equal">
      <formula>"Towel"</formula>
    </cfRule>
    <cfRule type="cellIs" dxfId="1622" priority="1614" stopIfTrue="1" operator="equal">
      <formula>"Napkin Hs"</formula>
    </cfRule>
  </conditionalFormatting>
  <conditionalFormatting sqref="C62">
    <cfRule type="cellIs" dxfId="1621" priority="1607" stopIfTrue="1" operator="equal">
      <formula>"Towel"</formula>
    </cfRule>
    <cfRule type="cellIs" dxfId="1620" priority="1608" stopIfTrue="1" operator="equal">
      <formula>"Napkin Hs"</formula>
    </cfRule>
  </conditionalFormatting>
  <conditionalFormatting sqref="C62">
    <cfRule type="cellIs" dxfId="1619" priority="1616" stopIfTrue="1" operator="equal">
      <formula>"Napkin Hs"</formula>
    </cfRule>
  </conditionalFormatting>
  <conditionalFormatting sqref="C62">
    <cfRule type="cellIs" dxfId="1618" priority="1615" stopIfTrue="1" operator="equal">
      <formula>"Towel"</formula>
    </cfRule>
  </conditionalFormatting>
  <conditionalFormatting sqref="C62">
    <cfRule type="cellIs" dxfId="1617" priority="1611" stopIfTrue="1" operator="equal">
      <formula>"Towel"</formula>
    </cfRule>
    <cfRule type="cellIs" dxfId="1616" priority="1612" stopIfTrue="1" operator="equal">
      <formula>"Napkin Hs"</formula>
    </cfRule>
  </conditionalFormatting>
  <conditionalFormatting sqref="C62">
    <cfRule type="cellIs" dxfId="1615" priority="1610" stopIfTrue="1" operator="equal">
      <formula>"Napkin Hs"</formula>
    </cfRule>
  </conditionalFormatting>
  <conditionalFormatting sqref="C62">
    <cfRule type="cellIs" dxfId="1614" priority="1609" stopIfTrue="1" operator="equal">
      <formula>"Towel"</formula>
    </cfRule>
  </conditionalFormatting>
  <conditionalFormatting sqref="B61:B62">
    <cfRule type="cellIs" dxfId="1613" priority="1591" stopIfTrue="1" operator="equal">
      <formula>"Towel"</formula>
    </cfRule>
    <cfRule type="cellIs" dxfId="1612" priority="1592" stopIfTrue="1" operator="equal">
      <formula>"Napkin Hs"</formula>
    </cfRule>
  </conditionalFormatting>
  <conditionalFormatting sqref="C61">
    <cfRule type="cellIs" dxfId="1611" priority="1605" stopIfTrue="1" operator="equal">
      <formula>"Towel"</formula>
    </cfRule>
    <cfRule type="cellIs" dxfId="1610" priority="1606" stopIfTrue="1" operator="equal">
      <formula>"Napkin Hs"</formula>
    </cfRule>
  </conditionalFormatting>
  <conditionalFormatting sqref="C61">
    <cfRule type="cellIs" dxfId="1609" priority="1601" stopIfTrue="1" operator="equal">
      <formula>"Towel"</formula>
    </cfRule>
    <cfRule type="cellIs" dxfId="1608" priority="1602" stopIfTrue="1" operator="equal">
      <formula>"Napkin Hs"</formula>
    </cfRule>
  </conditionalFormatting>
  <conditionalFormatting sqref="B61:B62">
    <cfRule type="cellIs" dxfId="1607" priority="1593" stopIfTrue="1" operator="equal">
      <formula>"Towel"</formula>
    </cfRule>
    <cfRule type="cellIs" dxfId="1606" priority="1594" stopIfTrue="1" operator="equal">
      <formula>"Napkin Hs"</formula>
    </cfRule>
  </conditionalFormatting>
  <conditionalFormatting sqref="C61">
    <cfRule type="cellIs" dxfId="1605" priority="1595" stopIfTrue="1" operator="equal">
      <formula>"Towel"</formula>
    </cfRule>
    <cfRule type="cellIs" dxfId="1604" priority="1596" stopIfTrue="1" operator="equal">
      <formula>"Napkin Hs"</formula>
    </cfRule>
  </conditionalFormatting>
  <conditionalFormatting sqref="C61">
    <cfRule type="cellIs" dxfId="1603" priority="1604" stopIfTrue="1" operator="equal">
      <formula>"Napkin Hs"</formula>
    </cfRule>
  </conditionalFormatting>
  <conditionalFormatting sqref="C61">
    <cfRule type="cellIs" dxfId="1602" priority="1603" stopIfTrue="1" operator="equal">
      <formula>"Towel"</formula>
    </cfRule>
  </conditionalFormatting>
  <conditionalFormatting sqref="C61">
    <cfRule type="cellIs" dxfId="1601" priority="1599" stopIfTrue="1" operator="equal">
      <formula>"Towel"</formula>
    </cfRule>
    <cfRule type="cellIs" dxfId="1600" priority="1600" stopIfTrue="1" operator="equal">
      <formula>"Napkin Hs"</formula>
    </cfRule>
  </conditionalFormatting>
  <conditionalFormatting sqref="C61">
    <cfRule type="cellIs" dxfId="1599" priority="1598" stopIfTrue="1" operator="equal">
      <formula>"Napkin Hs"</formula>
    </cfRule>
  </conditionalFormatting>
  <conditionalFormatting sqref="C61">
    <cfRule type="cellIs" dxfId="1598" priority="1597" stopIfTrue="1" operator="equal">
      <formula>"Towel"</formula>
    </cfRule>
  </conditionalFormatting>
  <conditionalFormatting sqref="B61:C61 B62">
    <cfRule type="cellIs" dxfId="1597" priority="1589" stopIfTrue="1" operator="equal">
      <formula>"Towel"</formula>
    </cfRule>
    <cfRule type="cellIs" dxfId="1596" priority="1590" stopIfTrue="1" operator="equal">
      <formula>"Napkin Hs"</formula>
    </cfRule>
  </conditionalFormatting>
  <conditionalFormatting sqref="C61">
    <cfRule type="cellIs" dxfId="1595" priority="1588" stopIfTrue="1" operator="equal">
      <formula>"Napkin Hs"</formula>
    </cfRule>
  </conditionalFormatting>
  <conditionalFormatting sqref="C61">
    <cfRule type="cellIs" dxfId="1594" priority="1587" stopIfTrue="1" operator="equal">
      <formula>"Towel"</formula>
    </cfRule>
  </conditionalFormatting>
  <conditionalFormatting sqref="C61">
    <cfRule type="cellIs" dxfId="1593" priority="1585" stopIfTrue="1" operator="equal">
      <formula>"Towel"</formula>
    </cfRule>
    <cfRule type="cellIs" dxfId="1592" priority="1586" stopIfTrue="1" operator="equal">
      <formula>"Napkin Hs"</formula>
    </cfRule>
  </conditionalFormatting>
  <conditionalFormatting sqref="B61:C61 B62">
    <cfRule type="cellIs" dxfId="1591" priority="1583" stopIfTrue="1" operator="equal">
      <formula>"Towel"</formula>
    </cfRule>
    <cfRule type="cellIs" dxfId="1590" priority="1584" stopIfTrue="1" operator="equal">
      <formula>"Napkin Hs"</formula>
    </cfRule>
  </conditionalFormatting>
  <conditionalFormatting sqref="C61">
    <cfRule type="cellIs" dxfId="1589" priority="1581" stopIfTrue="1" operator="equal">
      <formula>"Towel"</formula>
    </cfRule>
    <cfRule type="cellIs" dxfId="1588" priority="1582" stopIfTrue="1" operator="equal">
      <formula>"Napkin Hs"</formula>
    </cfRule>
  </conditionalFormatting>
  <conditionalFormatting sqref="C61">
    <cfRule type="cellIs" dxfId="1587" priority="1579" stopIfTrue="1" operator="equal">
      <formula>"Towel"</formula>
    </cfRule>
    <cfRule type="cellIs" dxfId="1586" priority="1580" stopIfTrue="1" operator="equal">
      <formula>"Napkin Hs"</formula>
    </cfRule>
  </conditionalFormatting>
  <conditionalFormatting sqref="C61">
    <cfRule type="cellIs" dxfId="1585" priority="1573" stopIfTrue="1" operator="equal">
      <formula>"Towel"</formula>
    </cfRule>
    <cfRule type="cellIs" dxfId="1584" priority="1574" stopIfTrue="1" operator="equal">
      <formula>"Napkin Hs"</formula>
    </cfRule>
  </conditionalFormatting>
  <conditionalFormatting sqref="B61:B62">
    <cfRule type="cellIs" dxfId="1583" priority="1563" stopIfTrue="1" operator="equal">
      <formula>"Towel"</formula>
    </cfRule>
    <cfRule type="cellIs" dxfId="1582" priority="1564" stopIfTrue="1" operator="equal">
      <formula>"Napkin Hs"</formula>
    </cfRule>
  </conditionalFormatting>
  <conditionalFormatting sqref="C61">
    <cfRule type="cellIs" dxfId="1581" priority="1567" stopIfTrue="1" operator="equal">
      <formula>"Towel"</formula>
    </cfRule>
    <cfRule type="cellIs" dxfId="1580" priority="1568" stopIfTrue="1" operator="equal">
      <formula>"Napkin Hs"</formula>
    </cfRule>
  </conditionalFormatting>
  <conditionalFormatting sqref="C61">
    <cfRule type="cellIs" dxfId="1579" priority="1577" stopIfTrue="1" operator="equal">
      <formula>"Towel"</formula>
    </cfRule>
    <cfRule type="cellIs" dxfId="1578" priority="1578" stopIfTrue="1" operator="equal">
      <formula>"Napkin Hs"</formula>
    </cfRule>
  </conditionalFormatting>
  <conditionalFormatting sqref="B61:B62">
    <cfRule type="cellIs" dxfId="1577" priority="1565" stopIfTrue="1" operator="equal">
      <formula>"Towel"</formula>
    </cfRule>
    <cfRule type="cellIs" dxfId="1576" priority="1566" stopIfTrue="1" operator="equal">
      <formula>"Napkin Hs"</formula>
    </cfRule>
  </conditionalFormatting>
  <conditionalFormatting sqref="C61">
    <cfRule type="cellIs" dxfId="1575" priority="1576" stopIfTrue="1" operator="equal">
      <formula>"Napkin Hs"</formula>
    </cfRule>
  </conditionalFormatting>
  <conditionalFormatting sqref="C61">
    <cfRule type="cellIs" dxfId="1574" priority="1575" stopIfTrue="1" operator="equal">
      <formula>"Towel"</formula>
    </cfRule>
  </conditionalFormatting>
  <conditionalFormatting sqref="C61">
    <cfRule type="cellIs" dxfId="1573" priority="1571" stopIfTrue="1" operator="equal">
      <formula>"Towel"</formula>
    </cfRule>
    <cfRule type="cellIs" dxfId="1572" priority="1572" stopIfTrue="1" operator="equal">
      <formula>"Napkin Hs"</formula>
    </cfRule>
  </conditionalFormatting>
  <conditionalFormatting sqref="C61">
    <cfRule type="cellIs" dxfId="1571" priority="1570" stopIfTrue="1" operator="equal">
      <formula>"Napkin Hs"</formula>
    </cfRule>
  </conditionalFormatting>
  <conditionalFormatting sqref="C61">
    <cfRule type="cellIs" dxfId="1570" priority="1569" stopIfTrue="1" operator="equal">
      <formula>"Towel"</formula>
    </cfRule>
  </conditionalFormatting>
  <conditionalFormatting sqref="C61">
    <cfRule type="cellIs" dxfId="1569" priority="1562" stopIfTrue="1" operator="equal">
      <formula>"Napkin Hs"</formula>
    </cfRule>
  </conditionalFormatting>
  <conditionalFormatting sqref="C61">
    <cfRule type="cellIs" dxfId="1568" priority="1561" stopIfTrue="1" operator="equal">
      <formula>"Napkin Hs"</formula>
    </cfRule>
  </conditionalFormatting>
  <conditionalFormatting sqref="B68:C68">
    <cfRule type="cellIs" dxfId="1567" priority="1559" stopIfTrue="1" operator="equal">
      <formula>"Towel"</formula>
    </cfRule>
    <cfRule type="cellIs" dxfId="1566" priority="1560" stopIfTrue="1" operator="equal">
      <formula>"Napkin Hs"</formula>
    </cfRule>
  </conditionalFormatting>
  <conditionalFormatting sqref="C68">
    <cfRule type="cellIs" dxfId="1565" priority="1558" stopIfTrue="1" operator="equal">
      <formula>"Napkin Hs"</formula>
    </cfRule>
  </conditionalFormatting>
  <conditionalFormatting sqref="C68">
    <cfRule type="cellIs" dxfId="1564" priority="1555" stopIfTrue="1" operator="equal">
      <formula>"Towel"</formula>
    </cfRule>
    <cfRule type="cellIs" dxfId="1563" priority="1556" stopIfTrue="1" operator="equal">
      <formula>"Napkin Hs"</formula>
    </cfRule>
  </conditionalFormatting>
  <conditionalFormatting sqref="C68">
    <cfRule type="cellIs" dxfId="1562" priority="1557" stopIfTrue="1" operator="equal">
      <formula>"Towel"</formula>
    </cfRule>
  </conditionalFormatting>
  <conditionalFormatting sqref="C67">
    <cfRule type="cellIs" dxfId="1561" priority="1553" stopIfTrue="1" operator="equal">
      <formula>"Towel"</formula>
    </cfRule>
    <cfRule type="cellIs" dxfId="1560" priority="1554" stopIfTrue="1" operator="equal">
      <formula>"Napkin Hs"</formula>
    </cfRule>
  </conditionalFormatting>
  <conditionalFormatting sqref="C67">
    <cfRule type="cellIs" dxfId="1559" priority="1549" stopIfTrue="1" operator="equal">
      <formula>"Towel"</formula>
    </cfRule>
    <cfRule type="cellIs" dxfId="1558" priority="1550" stopIfTrue="1" operator="equal">
      <formula>"Napkin Hs"</formula>
    </cfRule>
  </conditionalFormatting>
  <conditionalFormatting sqref="C67">
    <cfRule type="cellIs" dxfId="1557" priority="1543" stopIfTrue="1" operator="equal">
      <formula>"Towel"</formula>
    </cfRule>
    <cfRule type="cellIs" dxfId="1556" priority="1544" stopIfTrue="1" operator="equal">
      <formula>"Napkin Hs"</formula>
    </cfRule>
  </conditionalFormatting>
  <conditionalFormatting sqref="C67">
    <cfRule type="cellIs" dxfId="1555" priority="1552" stopIfTrue="1" operator="equal">
      <formula>"Napkin Hs"</formula>
    </cfRule>
  </conditionalFormatting>
  <conditionalFormatting sqref="C67">
    <cfRule type="cellIs" dxfId="1554" priority="1551" stopIfTrue="1" operator="equal">
      <formula>"Towel"</formula>
    </cfRule>
  </conditionalFormatting>
  <conditionalFormatting sqref="C67">
    <cfRule type="cellIs" dxfId="1553" priority="1547" stopIfTrue="1" operator="equal">
      <formula>"Towel"</formula>
    </cfRule>
    <cfRule type="cellIs" dxfId="1552" priority="1548" stopIfTrue="1" operator="equal">
      <formula>"Napkin Hs"</formula>
    </cfRule>
  </conditionalFormatting>
  <conditionalFormatting sqref="C67">
    <cfRule type="cellIs" dxfId="1551" priority="1546" stopIfTrue="1" operator="equal">
      <formula>"Napkin Hs"</formula>
    </cfRule>
  </conditionalFormatting>
  <conditionalFormatting sqref="C67">
    <cfRule type="cellIs" dxfId="1550" priority="1545" stopIfTrue="1" operator="equal">
      <formula>"Towel"</formula>
    </cfRule>
  </conditionalFormatting>
  <conditionalFormatting sqref="B66:B67">
    <cfRule type="cellIs" dxfId="1549" priority="1527" stopIfTrue="1" operator="equal">
      <formula>"Towel"</formula>
    </cfRule>
    <cfRule type="cellIs" dxfId="1548" priority="1528" stopIfTrue="1" operator="equal">
      <formula>"Napkin Hs"</formula>
    </cfRule>
  </conditionalFormatting>
  <conditionalFormatting sqref="C66">
    <cfRule type="cellIs" dxfId="1547" priority="1541" stopIfTrue="1" operator="equal">
      <formula>"Towel"</formula>
    </cfRule>
    <cfRule type="cellIs" dxfId="1546" priority="1542" stopIfTrue="1" operator="equal">
      <formula>"Napkin Hs"</formula>
    </cfRule>
  </conditionalFormatting>
  <conditionalFormatting sqref="C66">
    <cfRule type="cellIs" dxfId="1545" priority="1537" stopIfTrue="1" operator="equal">
      <formula>"Towel"</formula>
    </cfRule>
    <cfRule type="cellIs" dxfId="1544" priority="1538" stopIfTrue="1" operator="equal">
      <formula>"Napkin Hs"</formula>
    </cfRule>
  </conditionalFormatting>
  <conditionalFormatting sqref="B66:B67">
    <cfRule type="cellIs" dxfId="1543" priority="1529" stopIfTrue="1" operator="equal">
      <formula>"Towel"</formula>
    </cfRule>
    <cfRule type="cellIs" dxfId="1542" priority="1530" stopIfTrue="1" operator="equal">
      <formula>"Napkin Hs"</formula>
    </cfRule>
  </conditionalFormatting>
  <conditionalFormatting sqref="C66">
    <cfRule type="cellIs" dxfId="1541" priority="1531" stopIfTrue="1" operator="equal">
      <formula>"Towel"</formula>
    </cfRule>
    <cfRule type="cellIs" dxfId="1540" priority="1532" stopIfTrue="1" operator="equal">
      <formula>"Napkin Hs"</formula>
    </cfRule>
  </conditionalFormatting>
  <conditionalFormatting sqref="C66">
    <cfRule type="cellIs" dxfId="1539" priority="1540" stopIfTrue="1" operator="equal">
      <formula>"Napkin Hs"</formula>
    </cfRule>
  </conditionalFormatting>
  <conditionalFormatting sqref="C66">
    <cfRule type="cellIs" dxfId="1538" priority="1539" stopIfTrue="1" operator="equal">
      <formula>"Towel"</formula>
    </cfRule>
  </conditionalFormatting>
  <conditionalFormatting sqref="C66">
    <cfRule type="cellIs" dxfId="1537" priority="1535" stopIfTrue="1" operator="equal">
      <formula>"Towel"</formula>
    </cfRule>
    <cfRule type="cellIs" dxfId="1536" priority="1536" stopIfTrue="1" operator="equal">
      <formula>"Napkin Hs"</formula>
    </cfRule>
  </conditionalFormatting>
  <conditionalFormatting sqref="C66">
    <cfRule type="cellIs" dxfId="1535" priority="1534" stopIfTrue="1" operator="equal">
      <formula>"Napkin Hs"</formula>
    </cfRule>
  </conditionalFormatting>
  <conditionalFormatting sqref="C66">
    <cfRule type="cellIs" dxfId="1534" priority="1533" stopIfTrue="1" operator="equal">
      <formula>"Towel"</formula>
    </cfRule>
  </conditionalFormatting>
  <conditionalFormatting sqref="B66:C66 B67">
    <cfRule type="cellIs" dxfId="1533" priority="1525" stopIfTrue="1" operator="equal">
      <formula>"Towel"</formula>
    </cfRule>
    <cfRule type="cellIs" dxfId="1532" priority="1526" stopIfTrue="1" operator="equal">
      <formula>"Napkin Hs"</formula>
    </cfRule>
  </conditionalFormatting>
  <conditionalFormatting sqref="C66">
    <cfRule type="cellIs" dxfId="1531" priority="1524" stopIfTrue="1" operator="equal">
      <formula>"Napkin Hs"</formula>
    </cfRule>
  </conditionalFormatting>
  <conditionalFormatting sqref="C66">
    <cfRule type="cellIs" dxfId="1530" priority="1523" stopIfTrue="1" operator="equal">
      <formula>"Towel"</formula>
    </cfRule>
  </conditionalFormatting>
  <conditionalFormatting sqref="C66">
    <cfRule type="cellIs" dxfId="1529" priority="1521" stopIfTrue="1" operator="equal">
      <formula>"Towel"</formula>
    </cfRule>
    <cfRule type="cellIs" dxfId="1528" priority="1522" stopIfTrue="1" operator="equal">
      <formula>"Napkin Hs"</formula>
    </cfRule>
  </conditionalFormatting>
  <conditionalFormatting sqref="B66:C66 B67">
    <cfRule type="cellIs" dxfId="1527" priority="1519" stopIfTrue="1" operator="equal">
      <formula>"Towel"</formula>
    </cfRule>
    <cfRule type="cellIs" dxfId="1526" priority="1520" stopIfTrue="1" operator="equal">
      <formula>"Napkin Hs"</formula>
    </cfRule>
  </conditionalFormatting>
  <conditionalFormatting sqref="C66">
    <cfRule type="cellIs" dxfId="1525" priority="1517" stopIfTrue="1" operator="equal">
      <formula>"Towel"</formula>
    </cfRule>
    <cfRule type="cellIs" dxfId="1524" priority="1518" stopIfTrue="1" operator="equal">
      <formula>"Napkin Hs"</formula>
    </cfRule>
  </conditionalFormatting>
  <conditionalFormatting sqref="C66">
    <cfRule type="cellIs" dxfId="1523" priority="1515" stopIfTrue="1" operator="equal">
      <formula>"Towel"</formula>
    </cfRule>
    <cfRule type="cellIs" dxfId="1522" priority="1516" stopIfTrue="1" operator="equal">
      <formula>"Napkin Hs"</formula>
    </cfRule>
  </conditionalFormatting>
  <conditionalFormatting sqref="C66">
    <cfRule type="cellIs" dxfId="1521" priority="1509" stopIfTrue="1" operator="equal">
      <formula>"Towel"</formula>
    </cfRule>
    <cfRule type="cellIs" dxfId="1520" priority="1510" stopIfTrue="1" operator="equal">
      <formula>"Napkin Hs"</formula>
    </cfRule>
  </conditionalFormatting>
  <conditionalFormatting sqref="B66:B67">
    <cfRule type="cellIs" dxfId="1519" priority="1499" stopIfTrue="1" operator="equal">
      <formula>"Towel"</formula>
    </cfRule>
    <cfRule type="cellIs" dxfId="1518" priority="1500" stopIfTrue="1" operator="equal">
      <formula>"Napkin Hs"</formula>
    </cfRule>
  </conditionalFormatting>
  <conditionalFormatting sqref="C66">
    <cfRule type="cellIs" dxfId="1517" priority="1503" stopIfTrue="1" operator="equal">
      <formula>"Towel"</formula>
    </cfRule>
    <cfRule type="cellIs" dxfId="1516" priority="1504" stopIfTrue="1" operator="equal">
      <formula>"Napkin Hs"</formula>
    </cfRule>
  </conditionalFormatting>
  <conditionalFormatting sqref="C66">
    <cfRule type="cellIs" dxfId="1515" priority="1513" stopIfTrue="1" operator="equal">
      <formula>"Towel"</formula>
    </cfRule>
    <cfRule type="cellIs" dxfId="1514" priority="1514" stopIfTrue="1" operator="equal">
      <formula>"Napkin Hs"</formula>
    </cfRule>
  </conditionalFormatting>
  <conditionalFormatting sqref="B66:B67">
    <cfRule type="cellIs" dxfId="1513" priority="1501" stopIfTrue="1" operator="equal">
      <formula>"Towel"</formula>
    </cfRule>
    <cfRule type="cellIs" dxfId="1512" priority="1502" stopIfTrue="1" operator="equal">
      <formula>"Napkin Hs"</formula>
    </cfRule>
  </conditionalFormatting>
  <conditionalFormatting sqref="C66">
    <cfRule type="cellIs" dxfId="1511" priority="1512" stopIfTrue="1" operator="equal">
      <formula>"Napkin Hs"</formula>
    </cfRule>
  </conditionalFormatting>
  <conditionalFormatting sqref="C66">
    <cfRule type="cellIs" dxfId="1510" priority="1511" stopIfTrue="1" operator="equal">
      <formula>"Towel"</formula>
    </cfRule>
  </conditionalFormatting>
  <conditionalFormatting sqref="C66">
    <cfRule type="cellIs" dxfId="1509" priority="1507" stopIfTrue="1" operator="equal">
      <formula>"Towel"</formula>
    </cfRule>
    <cfRule type="cellIs" dxfId="1508" priority="1508" stopIfTrue="1" operator="equal">
      <formula>"Napkin Hs"</formula>
    </cfRule>
  </conditionalFormatting>
  <conditionalFormatting sqref="C66">
    <cfRule type="cellIs" dxfId="1507" priority="1506" stopIfTrue="1" operator="equal">
      <formula>"Napkin Hs"</formula>
    </cfRule>
  </conditionalFormatting>
  <conditionalFormatting sqref="C66">
    <cfRule type="cellIs" dxfId="1506" priority="1505" stopIfTrue="1" operator="equal">
      <formula>"Towel"</formula>
    </cfRule>
  </conditionalFormatting>
  <conditionalFormatting sqref="C66">
    <cfRule type="cellIs" dxfId="1505" priority="1498" stopIfTrue="1" operator="equal">
      <formula>"Napkin Hs"</formula>
    </cfRule>
  </conditionalFormatting>
  <conditionalFormatting sqref="C66">
    <cfRule type="cellIs" dxfId="1504" priority="1497" stopIfTrue="1" operator="equal">
      <formula>"Napkin Hs"</formula>
    </cfRule>
  </conditionalFormatting>
  <conditionalFormatting sqref="B72:C72">
    <cfRule type="cellIs" dxfId="1503" priority="1495" stopIfTrue="1" operator="equal">
      <formula>"Towel"</formula>
    </cfRule>
    <cfRule type="cellIs" dxfId="1502" priority="1496" stopIfTrue="1" operator="equal">
      <formula>"Napkin Hs"</formula>
    </cfRule>
  </conditionalFormatting>
  <conditionalFormatting sqref="C72">
    <cfRule type="cellIs" dxfId="1501" priority="1494" stopIfTrue="1" operator="equal">
      <formula>"Napkin Hs"</formula>
    </cfRule>
  </conditionalFormatting>
  <conditionalFormatting sqref="C72">
    <cfRule type="cellIs" dxfId="1500" priority="1491" stopIfTrue="1" operator="equal">
      <formula>"Towel"</formula>
    </cfRule>
    <cfRule type="cellIs" dxfId="1499" priority="1492" stopIfTrue="1" operator="equal">
      <formula>"Napkin Hs"</formula>
    </cfRule>
  </conditionalFormatting>
  <conditionalFormatting sqref="C72">
    <cfRule type="cellIs" dxfId="1498" priority="1493" stopIfTrue="1" operator="equal">
      <formula>"Towel"</formula>
    </cfRule>
  </conditionalFormatting>
  <conditionalFormatting sqref="B70:B71">
    <cfRule type="cellIs" dxfId="1497" priority="1475" stopIfTrue="1" operator="equal">
      <formula>"Towel"</formula>
    </cfRule>
    <cfRule type="cellIs" dxfId="1496" priority="1476" stopIfTrue="1" operator="equal">
      <formula>"Napkin Hs"</formula>
    </cfRule>
  </conditionalFormatting>
  <conditionalFormatting sqref="C70:C71">
    <cfRule type="cellIs" dxfId="1495" priority="1489" stopIfTrue="1" operator="equal">
      <formula>"Towel"</formula>
    </cfRule>
    <cfRule type="cellIs" dxfId="1494" priority="1490" stopIfTrue="1" operator="equal">
      <formula>"Napkin Hs"</formula>
    </cfRule>
  </conditionalFormatting>
  <conditionalFormatting sqref="C70:C71">
    <cfRule type="cellIs" dxfId="1493" priority="1485" stopIfTrue="1" operator="equal">
      <formula>"Towel"</formula>
    </cfRule>
    <cfRule type="cellIs" dxfId="1492" priority="1486" stopIfTrue="1" operator="equal">
      <formula>"Napkin Hs"</formula>
    </cfRule>
  </conditionalFormatting>
  <conditionalFormatting sqref="B70:B71">
    <cfRule type="cellIs" dxfId="1491" priority="1477" stopIfTrue="1" operator="equal">
      <formula>"Towel"</formula>
    </cfRule>
    <cfRule type="cellIs" dxfId="1490" priority="1478" stopIfTrue="1" operator="equal">
      <formula>"Napkin Hs"</formula>
    </cfRule>
  </conditionalFormatting>
  <conditionalFormatting sqref="C70:C71">
    <cfRule type="cellIs" dxfId="1489" priority="1479" stopIfTrue="1" operator="equal">
      <formula>"Towel"</formula>
    </cfRule>
    <cfRule type="cellIs" dxfId="1488" priority="1480" stopIfTrue="1" operator="equal">
      <formula>"Napkin Hs"</formula>
    </cfRule>
  </conditionalFormatting>
  <conditionalFormatting sqref="C70:C71">
    <cfRule type="cellIs" dxfId="1487" priority="1488" stopIfTrue="1" operator="equal">
      <formula>"Napkin Hs"</formula>
    </cfRule>
  </conditionalFormatting>
  <conditionalFormatting sqref="C70:C71">
    <cfRule type="cellIs" dxfId="1486" priority="1487" stopIfTrue="1" operator="equal">
      <formula>"Towel"</formula>
    </cfRule>
  </conditionalFormatting>
  <conditionalFormatting sqref="C70:C71">
    <cfRule type="cellIs" dxfId="1485" priority="1483" stopIfTrue="1" operator="equal">
      <formula>"Towel"</formula>
    </cfRule>
    <cfRule type="cellIs" dxfId="1484" priority="1484" stopIfTrue="1" operator="equal">
      <formula>"Napkin Hs"</formula>
    </cfRule>
  </conditionalFormatting>
  <conditionalFormatting sqref="C70:C71">
    <cfRule type="cellIs" dxfId="1483" priority="1482" stopIfTrue="1" operator="equal">
      <formula>"Napkin Hs"</formula>
    </cfRule>
  </conditionalFormatting>
  <conditionalFormatting sqref="C70:C71">
    <cfRule type="cellIs" dxfId="1482" priority="1481" stopIfTrue="1" operator="equal">
      <formula>"Towel"</formula>
    </cfRule>
  </conditionalFormatting>
  <conditionalFormatting sqref="B70:C71">
    <cfRule type="cellIs" dxfId="1481" priority="1473" stopIfTrue="1" operator="equal">
      <formula>"Towel"</formula>
    </cfRule>
    <cfRule type="cellIs" dxfId="1480" priority="1474" stopIfTrue="1" operator="equal">
      <formula>"Napkin Hs"</formula>
    </cfRule>
  </conditionalFormatting>
  <conditionalFormatting sqref="C70:C71">
    <cfRule type="cellIs" dxfId="1479" priority="1472" stopIfTrue="1" operator="equal">
      <formula>"Napkin Hs"</formula>
    </cfRule>
  </conditionalFormatting>
  <conditionalFormatting sqref="C70:C71">
    <cfRule type="cellIs" dxfId="1478" priority="1471" stopIfTrue="1" operator="equal">
      <formula>"Towel"</formula>
    </cfRule>
  </conditionalFormatting>
  <conditionalFormatting sqref="C70:C71">
    <cfRule type="cellIs" dxfId="1477" priority="1469" stopIfTrue="1" operator="equal">
      <formula>"Towel"</formula>
    </cfRule>
    <cfRule type="cellIs" dxfId="1476" priority="1470" stopIfTrue="1" operator="equal">
      <formula>"Napkin Hs"</formula>
    </cfRule>
  </conditionalFormatting>
  <conditionalFormatting sqref="B70:C71">
    <cfRule type="cellIs" dxfId="1475" priority="1467" stopIfTrue="1" operator="equal">
      <formula>"Towel"</formula>
    </cfRule>
    <cfRule type="cellIs" dxfId="1474" priority="1468" stopIfTrue="1" operator="equal">
      <formula>"Napkin Hs"</formula>
    </cfRule>
  </conditionalFormatting>
  <conditionalFormatting sqref="C70:C71">
    <cfRule type="cellIs" dxfId="1473" priority="1465" stopIfTrue="1" operator="equal">
      <formula>"Towel"</formula>
    </cfRule>
    <cfRule type="cellIs" dxfId="1472" priority="1466" stopIfTrue="1" operator="equal">
      <formula>"Napkin Hs"</formula>
    </cfRule>
  </conditionalFormatting>
  <conditionalFormatting sqref="C70:C71">
    <cfRule type="cellIs" dxfId="1471" priority="1463" stopIfTrue="1" operator="equal">
      <formula>"Towel"</formula>
    </cfRule>
    <cfRule type="cellIs" dxfId="1470" priority="1464" stopIfTrue="1" operator="equal">
      <formula>"Napkin Hs"</formula>
    </cfRule>
  </conditionalFormatting>
  <conditionalFormatting sqref="C70:C71">
    <cfRule type="cellIs" dxfId="1469" priority="1457" stopIfTrue="1" operator="equal">
      <formula>"Towel"</formula>
    </cfRule>
    <cfRule type="cellIs" dxfId="1468" priority="1458" stopIfTrue="1" operator="equal">
      <formula>"Napkin Hs"</formula>
    </cfRule>
  </conditionalFormatting>
  <conditionalFormatting sqref="B70:B71">
    <cfRule type="cellIs" dxfId="1467" priority="1447" stopIfTrue="1" operator="equal">
      <formula>"Towel"</formula>
    </cfRule>
    <cfRule type="cellIs" dxfId="1466" priority="1448" stopIfTrue="1" operator="equal">
      <formula>"Napkin Hs"</formula>
    </cfRule>
  </conditionalFormatting>
  <conditionalFormatting sqref="C70:C71">
    <cfRule type="cellIs" dxfId="1465" priority="1451" stopIfTrue="1" operator="equal">
      <formula>"Towel"</formula>
    </cfRule>
    <cfRule type="cellIs" dxfId="1464" priority="1452" stopIfTrue="1" operator="equal">
      <formula>"Napkin Hs"</formula>
    </cfRule>
  </conditionalFormatting>
  <conditionalFormatting sqref="C70:C71">
    <cfRule type="cellIs" dxfId="1463" priority="1461" stopIfTrue="1" operator="equal">
      <formula>"Towel"</formula>
    </cfRule>
    <cfRule type="cellIs" dxfId="1462" priority="1462" stopIfTrue="1" operator="equal">
      <formula>"Napkin Hs"</formula>
    </cfRule>
  </conditionalFormatting>
  <conditionalFormatting sqref="B70:B71">
    <cfRule type="cellIs" dxfId="1461" priority="1449" stopIfTrue="1" operator="equal">
      <formula>"Towel"</formula>
    </cfRule>
    <cfRule type="cellIs" dxfId="1460" priority="1450" stopIfTrue="1" operator="equal">
      <formula>"Napkin Hs"</formula>
    </cfRule>
  </conditionalFormatting>
  <conditionalFormatting sqref="C70:C71">
    <cfRule type="cellIs" dxfId="1459" priority="1460" stopIfTrue="1" operator="equal">
      <formula>"Napkin Hs"</formula>
    </cfRule>
  </conditionalFormatting>
  <conditionalFormatting sqref="C70:C71">
    <cfRule type="cellIs" dxfId="1458" priority="1459" stopIfTrue="1" operator="equal">
      <formula>"Towel"</formula>
    </cfRule>
  </conditionalFormatting>
  <conditionalFormatting sqref="C70:C71">
    <cfRule type="cellIs" dxfId="1457" priority="1455" stopIfTrue="1" operator="equal">
      <formula>"Towel"</formula>
    </cfRule>
    <cfRule type="cellIs" dxfId="1456" priority="1456" stopIfTrue="1" operator="equal">
      <formula>"Napkin Hs"</formula>
    </cfRule>
  </conditionalFormatting>
  <conditionalFormatting sqref="C70:C71">
    <cfRule type="cellIs" dxfId="1455" priority="1454" stopIfTrue="1" operator="equal">
      <formula>"Napkin Hs"</formula>
    </cfRule>
  </conditionalFormatting>
  <conditionalFormatting sqref="C70:C71">
    <cfRule type="cellIs" dxfId="1454" priority="1453" stopIfTrue="1" operator="equal">
      <formula>"Towel"</formula>
    </cfRule>
  </conditionalFormatting>
  <conditionalFormatting sqref="C70:C71">
    <cfRule type="cellIs" dxfId="1453" priority="1446" stopIfTrue="1" operator="equal">
      <formula>"Napkin Hs"</formula>
    </cfRule>
  </conditionalFormatting>
  <conditionalFormatting sqref="C70:C71">
    <cfRule type="cellIs" dxfId="1452" priority="1445" stopIfTrue="1" operator="equal">
      <formula>"Napkin Hs"</formula>
    </cfRule>
  </conditionalFormatting>
  <conditionalFormatting sqref="C77">
    <cfRule type="cellIs" dxfId="1451" priority="1439" stopIfTrue="1" operator="equal">
      <formula>"Towel"</formula>
    </cfRule>
    <cfRule type="cellIs" dxfId="1450" priority="1440" stopIfTrue="1" operator="equal">
      <formula>"Napkin Hs"</formula>
    </cfRule>
  </conditionalFormatting>
  <conditionalFormatting sqref="B77:C77">
    <cfRule type="cellIs" dxfId="1449" priority="1443" stopIfTrue="1" operator="equal">
      <formula>"Towel"</formula>
    </cfRule>
    <cfRule type="cellIs" dxfId="1448" priority="1444" stopIfTrue="1" operator="equal">
      <formula>"Napkin Hs"</formula>
    </cfRule>
  </conditionalFormatting>
  <conditionalFormatting sqref="C77">
    <cfRule type="cellIs" dxfId="1447" priority="1442" stopIfTrue="1" operator="equal">
      <formula>"Napkin Hs"</formula>
    </cfRule>
  </conditionalFormatting>
  <conditionalFormatting sqref="C77">
    <cfRule type="cellIs" dxfId="1446" priority="1441" stopIfTrue="1" operator="equal">
      <formula>"Towel"</formula>
    </cfRule>
  </conditionalFormatting>
  <conditionalFormatting sqref="B74:B76">
    <cfRule type="cellIs" dxfId="1445" priority="1423" stopIfTrue="1" operator="equal">
      <formula>"Towel"</formula>
    </cfRule>
    <cfRule type="cellIs" dxfId="1444" priority="1424" stopIfTrue="1" operator="equal">
      <formula>"Napkin Hs"</formula>
    </cfRule>
  </conditionalFormatting>
  <conditionalFormatting sqref="C74:C76">
    <cfRule type="cellIs" dxfId="1443" priority="1437" stopIfTrue="1" operator="equal">
      <formula>"Towel"</formula>
    </cfRule>
    <cfRule type="cellIs" dxfId="1442" priority="1438" stopIfTrue="1" operator="equal">
      <formula>"Napkin Hs"</formula>
    </cfRule>
  </conditionalFormatting>
  <conditionalFormatting sqref="C74:C76">
    <cfRule type="cellIs" dxfId="1441" priority="1433" stopIfTrue="1" operator="equal">
      <formula>"Towel"</formula>
    </cfRule>
    <cfRule type="cellIs" dxfId="1440" priority="1434" stopIfTrue="1" operator="equal">
      <formula>"Napkin Hs"</formula>
    </cfRule>
  </conditionalFormatting>
  <conditionalFormatting sqref="B74:B76">
    <cfRule type="cellIs" dxfId="1439" priority="1425" stopIfTrue="1" operator="equal">
      <formula>"Towel"</formula>
    </cfRule>
    <cfRule type="cellIs" dxfId="1438" priority="1426" stopIfTrue="1" operator="equal">
      <formula>"Napkin Hs"</formula>
    </cfRule>
  </conditionalFormatting>
  <conditionalFormatting sqref="C74:C76">
    <cfRule type="cellIs" dxfId="1437" priority="1427" stopIfTrue="1" operator="equal">
      <formula>"Towel"</formula>
    </cfRule>
    <cfRule type="cellIs" dxfId="1436" priority="1428" stopIfTrue="1" operator="equal">
      <formula>"Napkin Hs"</formula>
    </cfRule>
  </conditionalFormatting>
  <conditionalFormatting sqref="C74:C76">
    <cfRule type="cellIs" dxfId="1435" priority="1436" stopIfTrue="1" operator="equal">
      <formula>"Napkin Hs"</formula>
    </cfRule>
  </conditionalFormatting>
  <conditionalFormatting sqref="C74:C76">
    <cfRule type="cellIs" dxfId="1434" priority="1435" stopIfTrue="1" operator="equal">
      <formula>"Towel"</formula>
    </cfRule>
  </conditionalFormatting>
  <conditionalFormatting sqref="C74:C76">
    <cfRule type="cellIs" dxfId="1433" priority="1431" stopIfTrue="1" operator="equal">
      <formula>"Towel"</formula>
    </cfRule>
    <cfRule type="cellIs" dxfId="1432" priority="1432" stopIfTrue="1" operator="equal">
      <formula>"Napkin Hs"</formula>
    </cfRule>
  </conditionalFormatting>
  <conditionalFormatting sqref="C74:C76">
    <cfRule type="cellIs" dxfId="1431" priority="1430" stopIfTrue="1" operator="equal">
      <formula>"Napkin Hs"</formula>
    </cfRule>
  </conditionalFormatting>
  <conditionalFormatting sqref="C74:C76">
    <cfRule type="cellIs" dxfId="1430" priority="1429" stopIfTrue="1" operator="equal">
      <formula>"Towel"</formula>
    </cfRule>
  </conditionalFormatting>
  <conditionalFormatting sqref="B74:C76">
    <cfRule type="cellIs" dxfId="1429" priority="1421" stopIfTrue="1" operator="equal">
      <formula>"Towel"</formula>
    </cfRule>
    <cfRule type="cellIs" dxfId="1428" priority="1422" stopIfTrue="1" operator="equal">
      <formula>"Napkin Hs"</formula>
    </cfRule>
  </conditionalFormatting>
  <conditionalFormatting sqref="C74:C76">
    <cfRule type="cellIs" dxfId="1427" priority="1420" stopIfTrue="1" operator="equal">
      <formula>"Napkin Hs"</formula>
    </cfRule>
  </conditionalFormatting>
  <conditionalFormatting sqref="C74:C76">
    <cfRule type="cellIs" dxfId="1426" priority="1419" stopIfTrue="1" operator="equal">
      <formula>"Towel"</formula>
    </cfRule>
  </conditionalFormatting>
  <conditionalFormatting sqref="C74:C76">
    <cfRule type="cellIs" dxfId="1425" priority="1417" stopIfTrue="1" operator="equal">
      <formula>"Towel"</formula>
    </cfRule>
    <cfRule type="cellIs" dxfId="1424" priority="1418" stopIfTrue="1" operator="equal">
      <formula>"Napkin Hs"</formula>
    </cfRule>
  </conditionalFormatting>
  <conditionalFormatting sqref="B74:C76">
    <cfRule type="cellIs" dxfId="1423" priority="1415" stopIfTrue="1" operator="equal">
      <formula>"Towel"</formula>
    </cfRule>
    <cfRule type="cellIs" dxfId="1422" priority="1416" stopIfTrue="1" operator="equal">
      <formula>"Napkin Hs"</formula>
    </cfRule>
  </conditionalFormatting>
  <conditionalFormatting sqref="C74:C76">
    <cfRule type="cellIs" dxfId="1421" priority="1413" stopIfTrue="1" operator="equal">
      <formula>"Towel"</formula>
    </cfRule>
    <cfRule type="cellIs" dxfId="1420" priority="1414" stopIfTrue="1" operator="equal">
      <formula>"Napkin Hs"</formula>
    </cfRule>
  </conditionalFormatting>
  <conditionalFormatting sqref="C74:C76">
    <cfRule type="cellIs" dxfId="1419" priority="1411" stopIfTrue="1" operator="equal">
      <formula>"Towel"</formula>
    </cfRule>
    <cfRule type="cellIs" dxfId="1418" priority="1412" stopIfTrue="1" operator="equal">
      <formula>"Napkin Hs"</formula>
    </cfRule>
  </conditionalFormatting>
  <conditionalFormatting sqref="C74:C76">
    <cfRule type="cellIs" dxfId="1417" priority="1405" stopIfTrue="1" operator="equal">
      <formula>"Towel"</formula>
    </cfRule>
    <cfRule type="cellIs" dxfId="1416" priority="1406" stopIfTrue="1" operator="equal">
      <formula>"Napkin Hs"</formula>
    </cfRule>
  </conditionalFormatting>
  <conditionalFormatting sqref="B74:B76">
    <cfRule type="cellIs" dxfId="1415" priority="1395" stopIfTrue="1" operator="equal">
      <formula>"Towel"</formula>
    </cfRule>
    <cfRule type="cellIs" dxfId="1414" priority="1396" stopIfTrue="1" operator="equal">
      <formula>"Napkin Hs"</formula>
    </cfRule>
  </conditionalFormatting>
  <conditionalFormatting sqref="C74:C76">
    <cfRule type="cellIs" dxfId="1413" priority="1399" stopIfTrue="1" operator="equal">
      <formula>"Towel"</formula>
    </cfRule>
    <cfRule type="cellIs" dxfId="1412" priority="1400" stopIfTrue="1" operator="equal">
      <formula>"Napkin Hs"</formula>
    </cfRule>
  </conditionalFormatting>
  <conditionalFormatting sqref="C74:C76">
    <cfRule type="cellIs" dxfId="1411" priority="1409" stopIfTrue="1" operator="equal">
      <formula>"Towel"</formula>
    </cfRule>
    <cfRule type="cellIs" dxfId="1410" priority="1410" stopIfTrue="1" operator="equal">
      <formula>"Napkin Hs"</formula>
    </cfRule>
  </conditionalFormatting>
  <conditionalFormatting sqref="B74:B76">
    <cfRule type="cellIs" dxfId="1409" priority="1397" stopIfTrue="1" operator="equal">
      <formula>"Towel"</formula>
    </cfRule>
    <cfRule type="cellIs" dxfId="1408" priority="1398" stopIfTrue="1" operator="equal">
      <formula>"Napkin Hs"</formula>
    </cfRule>
  </conditionalFormatting>
  <conditionalFormatting sqref="C74:C76">
    <cfRule type="cellIs" dxfId="1407" priority="1408" stopIfTrue="1" operator="equal">
      <formula>"Napkin Hs"</formula>
    </cfRule>
  </conditionalFormatting>
  <conditionalFormatting sqref="C74:C76">
    <cfRule type="cellIs" dxfId="1406" priority="1407" stopIfTrue="1" operator="equal">
      <formula>"Towel"</formula>
    </cfRule>
  </conditionalFormatting>
  <conditionalFormatting sqref="C74:C76">
    <cfRule type="cellIs" dxfId="1405" priority="1403" stopIfTrue="1" operator="equal">
      <formula>"Towel"</formula>
    </cfRule>
    <cfRule type="cellIs" dxfId="1404" priority="1404" stopIfTrue="1" operator="equal">
      <formula>"Napkin Hs"</formula>
    </cfRule>
  </conditionalFormatting>
  <conditionalFormatting sqref="C74:C76">
    <cfRule type="cellIs" dxfId="1403" priority="1402" stopIfTrue="1" operator="equal">
      <formula>"Napkin Hs"</formula>
    </cfRule>
  </conditionalFormatting>
  <conditionalFormatting sqref="C74:C76">
    <cfRule type="cellIs" dxfId="1402" priority="1401" stopIfTrue="1" operator="equal">
      <formula>"Towel"</formula>
    </cfRule>
  </conditionalFormatting>
  <conditionalFormatting sqref="C74:C76">
    <cfRule type="cellIs" dxfId="1401" priority="1394" stopIfTrue="1" operator="equal">
      <formula>"Napkin Hs"</formula>
    </cfRule>
  </conditionalFormatting>
  <conditionalFormatting sqref="C74:C76">
    <cfRule type="cellIs" dxfId="1400" priority="1393" stopIfTrue="1" operator="equal">
      <formula>"Napkin Hs"</formula>
    </cfRule>
  </conditionalFormatting>
  <conditionalFormatting sqref="B79:B81">
    <cfRule type="cellIs" dxfId="1399" priority="1377" stopIfTrue="1" operator="equal">
      <formula>"Towel"</formula>
    </cfRule>
    <cfRule type="cellIs" dxfId="1398" priority="1378" stopIfTrue="1" operator="equal">
      <formula>"Napkin Hs"</formula>
    </cfRule>
  </conditionalFormatting>
  <conditionalFormatting sqref="C79:C81">
    <cfRule type="cellIs" dxfId="1397" priority="1391" stopIfTrue="1" operator="equal">
      <formula>"Towel"</formula>
    </cfRule>
    <cfRule type="cellIs" dxfId="1396" priority="1392" stopIfTrue="1" operator="equal">
      <formula>"Napkin Hs"</formula>
    </cfRule>
  </conditionalFormatting>
  <conditionalFormatting sqref="C79:C81">
    <cfRule type="cellIs" dxfId="1395" priority="1387" stopIfTrue="1" operator="equal">
      <formula>"Towel"</formula>
    </cfRule>
    <cfRule type="cellIs" dxfId="1394" priority="1388" stopIfTrue="1" operator="equal">
      <formula>"Napkin Hs"</formula>
    </cfRule>
  </conditionalFormatting>
  <conditionalFormatting sqref="B79:B81">
    <cfRule type="cellIs" dxfId="1393" priority="1379" stopIfTrue="1" operator="equal">
      <formula>"Towel"</formula>
    </cfRule>
    <cfRule type="cellIs" dxfId="1392" priority="1380" stopIfTrue="1" operator="equal">
      <formula>"Napkin Hs"</formula>
    </cfRule>
  </conditionalFormatting>
  <conditionalFormatting sqref="C79:C81">
    <cfRule type="cellIs" dxfId="1391" priority="1381" stopIfTrue="1" operator="equal">
      <formula>"Towel"</formula>
    </cfRule>
    <cfRule type="cellIs" dxfId="1390" priority="1382" stopIfTrue="1" operator="equal">
      <formula>"Napkin Hs"</formula>
    </cfRule>
  </conditionalFormatting>
  <conditionalFormatting sqref="C79:C81">
    <cfRule type="cellIs" dxfId="1389" priority="1390" stopIfTrue="1" operator="equal">
      <formula>"Napkin Hs"</formula>
    </cfRule>
  </conditionalFormatting>
  <conditionalFormatting sqref="C79:C81">
    <cfRule type="cellIs" dxfId="1388" priority="1389" stopIfTrue="1" operator="equal">
      <formula>"Towel"</formula>
    </cfRule>
  </conditionalFormatting>
  <conditionalFormatting sqref="C79:C81">
    <cfRule type="cellIs" dxfId="1387" priority="1385" stopIfTrue="1" operator="equal">
      <formula>"Towel"</formula>
    </cfRule>
    <cfRule type="cellIs" dxfId="1386" priority="1386" stopIfTrue="1" operator="equal">
      <formula>"Napkin Hs"</formula>
    </cfRule>
  </conditionalFormatting>
  <conditionalFormatting sqref="C79:C81">
    <cfRule type="cellIs" dxfId="1385" priority="1384" stopIfTrue="1" operator="equal">
      <formula>"Napkin Hs"</formula>
    </cfRule>
  </conditionalFormatting>
  <conditionalFormatting sqref="C79:C81">
    <cfRule type="cellIs" dxfId="1384" priority="1383" stopIfTrue="1" operator="equal">
      <formula>"Towel"</formula>
    </cfRule>
  </conditionalFormatting>
  <conditionalFormatting sqref="B79:C81">
    <cfRule type="cellIs" dxfId="1383" priority="1375" stopIfTrue="1" operator="equal">
      <formula>"Towel"</formula>
    </cfRule>
    <cfRule type="cellIs" dxfId="1382" priority="1376" stopIfTrue="1" operator="equal">
      <formula>"Napkin Hs"</formula>
    </cfRule>
  </conditionalFormatting>
  <conditionalFormatting sqref="C79:C81">
    <cfRule type="cellIs" dxfId="1381" priority="1374" stopIfTrue="1" operator="equal">
      <formula>"Napkin Hs"</formula>
    </cfRule>
  </conditionalFormatting>
  <conditionalFormatting sqref="C79:C81">
    <cfRule type="cellIs" dxfId="1380" priority="1373" stopIfTrue="1" operator="equal">
      <formula>"Towel"</formula>
    </cfRule>
  </conditionalFormatting>
  <conditionalFormatting sqref="C79:C81">
    <cfRule type="cellIs" dxfId="1379" priority="1371" stopIfTrue="1" operator="equal">
      <formula>"Towel"</formula>
    </cfRule>
    <cfRule type="cellIs" dxfId="1378" priority="1372" stopIfTrue="1" operator="equal">
      <formula>"Napkin Hs"</formula>
    </cfRule>
  </conditionalFormatting>
  <conditionalFormatting sqref="B79:C81">
    <cfRule type="cellIs" dxfId="1377" priority="1369" stopIfTrue="1" operator="equal">
      <formula>"Towel"</formula>
    </cfRule>
    <cfRule type="cellIs" dxfId="1376" priority="1370" stopIfTrue="1" operator="equal">
      <formula>"Napkin Hs"</formula>
    </cfRule>
  </conditionalFormatting>
  <conditionalFormatting sqref="C79:C81">
    <cfRule type="cellIs" dxfId="1375" priority="1367" stopIfTrue="1" operator="equal">
      <formula>"Towel"</formula>
    </cfRule>
    <cfRule type="cellIs" dxfId="1374" priority="1368" stopIfTrue="1" operator="equal">
      <formula>"Napkin Hs"</formula>
    </cfRule>
  </conditionalFormatting>
  <conditionalFormatting sqref="C79:C81">
    <cfRule type="cellIs" dxfId="1373" priority="1365" stopIfTrue="1" operator="equal">
      <formula>"Towel"</formula>
    </cfRule>
    <cfRule type="cellIs" dxfId="1372" priority="1366" stopIfTrue="1" operator="equal">
      <formula>"Napkin Hs"</formula>
    </cfRule>
  </conditionalFormatting>
  <conditionalFormatting sqref="C79:C81">
    <cfRule type="cellIs" dxfId="1371" priority="1359" stopIfTrue="1" operator="equal">
      <formula>"Towel"</formula>
    </cfRule>
    <cfRule type="cellIs" dxfId="1370" priority="1360" stopIfTrue="1" operator="equal">
      <formula>"Napkin Hs"</formula>
    </cfRule>
  </conditionalFormatting>
  <conditionalFormatting sqref="B79:B81">
    <cfRule type="cellIs" dxfId="1369" priority="1349" stopIfTrue="1" operator="equal">
      <formula>"Towel"</formula>
    </cfRule>
    <cfRule type="cellIs" dxfId="1368" priority="1350" stopIfTrue="1" operator="equal">
      <formula>"Napkin Hs"</formula>
    </cfRule>
  </conditionalFormatting>
  <conditionalFormatting sqref="C79:C81">
    <cfRule type="cellIs" dxfId="1367" priority="1353" stopIfTrue="1" operator="equal">
      <formula>"Towel"</formula>
    </cfRule>
    <cfRule type="cellIs" dxfId="1366" priority="1354" stopIfTrue="1" operator="equal">
      <formula>"Napkin Hs"</formula>
    </cfRule>
  </conditionalFormatting>
  <conditionalFormatting sqref="C79:C81">
    <cfRule type="cellIs" dxfId="1365" priority="1363" stopIfTrue="1" operator="equal">
      <formula>"Towel"</formula>
    </cfRule>
    <cfRule type="cellIs" dxfId="1364" priority="1364" stopIfTrue="1" operator="equal">
      <formula>"Napkin Hs"</formula>
    </cfRule>
  </conditionalFormatting>
  <conditionalFormatting sqref="B79:B81">
    <cfRule type="cellIs" dxfId="1363" priority="1351" stopIfTrue="1" operator="equal">
      <formula>"Towel"</formula>
    </cfRule>
    <cfRule type="cellIs" dxfId="1362" priority="1352" stopIfTrue="1" operator="equal">
      <formula>"Napkin Hs"</formula>
    </cfRule>
  </conditionalFormatting>
  <conditionalFormatting sqref="C79:C81">
    <cfRule type="cellIs" dxfId="1361" priority="1362" stopIfTrue="1" operator="equal">
      <formula>"Napkin Hs"</formula>
    </cfRule>
  </conditionalFormatting>
  <conditionalFormatting sqref="C79:C81">
    <cfRule type="cellIs" dxfId="1360" priority="1361" stopIfTrue="1" operator="equal">
      <formula>"Towel"</formula>
    </cfRule>
  </conditionalFormatting>
  <conditionalFormatting sqref="C79:C81">
    <cfRule type="cellIs" dxfId="1359" priority="1357" stopIfTrue="1" operator="equal">
      <formula>"Towel"</formula>
    </cfRule>
    <cfRule type="cellIs" dxfId="1358" priority="1358" stopIfTrue="1" operator="equal">
      <formula>"Napkin Hs"</formula>
    </cfRule>
  </conditionalFormatting>
  <conditionalFormatting sqref="C79:C81">
    <cfRule type="cellIs" dxfId="1357" priority="1356" stopIfTrue="1" operator="equal">
      <formula>"Napkin Hs"</formula>
    </cfRule>
  </conditionalFormatting>
  <conditionalFormatting sqref="C79:C81">
    <cfRule type="cellIs" dxfId="1356" priority="1355" stopIfTrue="1" operator="equal">
      <formula>"Towel"</formula>
    </cfRule>
  </conditionalFormatting>
  <conditionalFormatting sqref="C79:C81">
    <cfRule type="cellIs" dxfId="1355" priority="1348" stopIfTrue="1" operator="equal">
      <formula>"Napkin Hs"</formula>
    </cfRule>
  </conditionalFormatting>
  <conditionalFormatting sqref="C79:C81">
    <cfRule type="cellIs" dxfId="1354" priority="1347" stopIfTrue="1" operator="equal">
      <formula>"Napkin Hs"</formula>
    </cfRule>
  </conditionalFormatting>
  <conditionalFormatting sqref="B78">
    <cfRule type="cellIs" dxfId="1353" priority="1331" stopIfTrue="1" operator="equal">
      <formula>"Towel"</formula>
    </cfRule>
    <cfRule type="cellIs" dxfId="1352" priority="1332" stopIfTrue="1" operator="equal">
      <formula>"Napkin Hs"</formula>
    </cfRule>
  </conditionalFormatting>
  <conditionalFormatting sqref="C78">
    <cfRule type="cellIs" dxfId="1351" priority="1345" stopIfTrue="1" operator="equal">
      <formula>"Towel"</formula>
    </cfRule>
    <cfRule type="cellIs" dxfId="1350" priority="1346" stopIfTrue="1" operator="equal">
      <formula>"Napkin Hs"</formula>
    </cfRule>
  </conditionalFormatting>
  <conditionalFormatting sqref="C78">
    <cfRule type="cellIs" dxfId="1349" priority="1341" stopIfTrue="1" operator="equal">
      <formula>"Towel"</formula>
    </cfRule>
    <cfRule type="cellIs" dxfId="1348" priority="1342" stopIfTrue="1" operator="equal">
      <formula>"Napkin Hs"</formula>
    </cfRule>
  </conditionalFormatting>
  <conditionalFormatting sqref="B78">
    <cfRule type="cellIs" dxfId="1347" priority="1333" stopIfTrue="1" operator="equal">
      <formula>"Towel"</formula>
    </cfRule>
    <cfRule type="cellIs" dxfId="1346" priority="1334" stopIfTrue="1" operator="equal">
      <formula>"Napkin Hs"</formula>
    </cfRule>
  </conditionalFormatting>
  <conditionalFormatting sqref="C78">
    <cfRule type="cellIs" dxfId="1345" priority="1335" stopIfTrue="1" operator="equal">
      <formula>"Towel"</formula>
    </cfRule>
    <cfRule type="cellIs" dxfId="1344" priority="1336" stopIfTrue="1" operator="equal">
      <formula>"Napkin Hs"</formula>
    </cfRule>
  </conditionalFormatting>
  <conditionalFormatting sqref="C78">
    <cfRule type="cellIs" dxfId="1343" priority="1344" stopIfTrue="1" operator="equal">
      <formula>"Napkin Hs"</formula>
    </cfRule>
  </conditionalFormatting>
  <conditionalFormatting sqref="C78">
    <cfRule type="cellIs" dxfId="1342" priority="1343" stopIfTrue="1" operator="equal">
      <formula>"Towel"</formula>
    </cfRule>
  </conditionalFormatting>
  <conditionalFormatting sqref="C78">
    <cfRule type="cellIs" dxfId="1341" priority="1339" stopIfTrue="1" operator="equal">
      <formula>"Towel"</formula>
    </cfRule>
    <cfRule type="cellIs" dxfId="1340" priority="1340" stopIfTrue="1" operator="equal">
      <formula>"Napkin Hs"</formula>
    </cfRule>
  </conditionalFormatting>
  <conditionalFormatting sqref="C78">
    <cfRule type="cellIs" dxfId="1339" priority="1338" stopIfTrue="1" operator="equal">
      <formula>"Napkin Hs"</formula>
    </cfRule>
  </conditionalFormatting>
  <conditionalFormatting sqref="C78">
    <cfRule type="cellIs" dxfId="1338" priority="1337" stopIfTrue="1" operator="equal">
      <formula>"Towel"</formula>
    </cfRule>
  </conditionalFormatting>
  <conditionalFormatting sqref="B78:C78">
    <cfRule type="cellIs" dxfId="1337" priority="1329" stopIfTrue="1" operator="equal">
      <formula>"Towel"</formula>
    </cfRule>
    <cfRule type="cellIs" dxfId="1336" priority="1330" stopIfTrue="1" operator="equal">
      <formula>"Napkin Hs"</formula>
    </cfRule>
  </conditionalFormatting>
  <conditionalFormatting sqref="C78">
    <cfRule type="cellIs" dxfId="1335" priority="1328" stopIfTrue="1" operator="equal">
      <formula>"Napkin Hs"</formula>
    </cfRule>
  </conditionalFormatting>
  <conditionalFormatting sqref="C78">
    <cfRule type="cellIs" dxfId="1334" priority="1327" stopIfTrue="1" operator="equal">
      <formula>"Towel"</formula>
    </cfRule>
  </conditionalFormatting>
  <conditionalFormatting sqref="C78">
    <cfRule type="cellIs" dxfId="1333" priority="1325" stopIfTrue="1" operator="equal">
      <formula>"Towel"</formula>
    </cfRule>
    <cfRule type="cellIs" dxfId="1332" priority="1326" stopIfTrue="1" operator="equal">
      <formula>"Napkin Hs"</formula>
    </cfRule>
  </conditionalFormatting>
  <conditionalFormatting sqref="B78:C78">
    <cfRule type="cellIs" dxfId="1331" priority="1323" stopIfTrue="1" operator="equal">
      <formula>"Towel"</formula>
    </cfRule>
    <cfRule type="cellIs" dxfId="1330" priority="1324" stopIfTrue="1" operator="equal">
      <formula>"Napkin Hs"</formula>
    </cfRule>
  </conditionalFormatting>
  <conditionalFormatting sqref="C78">
    <cfRule type="cellIs" dxfId="1329" priority="1321" stopIfTrue="1" operator="equal">
      <formula>"Towel"</formula>
    </cfRule>
    <cfRule type="cellIs" dxfId="1328" priority="1322" stopIfTrue="1" operator="equal">
      <formula>"Napkin Hs"</formula>
    </cfRule>
  </conditionalFormatting>
  <conditionalFormatting sqref="C78">
    <cfRule type="cellIs" dxfId="1327" priority="1319" stopIfTrue="1" operator="equal">
      <formula>"Towel"</formula>
    </cfRule>
    <cfRule type="cellIs" dxfId="1326" priority="1320" stopIfTrue="1" operator="equal">
      <formula>"Napkin Hs"</formula>
    </cfRule>
  </conditionalFormatting>
  <conditionalFormatting sqref="C78">
    <cfRule type="cellIs" dxfId="1325" priority="1313" stopIfTrue="1" operator="equal">
      <formula>"Towel"</formula>
    </cfRule>
    <cfRule type="cellIs" dxfId="1324" priority="1314" stopIfTrue="1" operator="equal">
      <formula>"Napkin Hs"</formula>
    </cfRule>
  </conditionalFormatting>
  <conditionalFormatting sqref="B78">
    <cfRule type="cellIs" dxfId="1323" priority="1303" stopIfTrue="1" operator="equal">
      <formula>"Towel"</formula>
    </cfRule>
    <cfRule type="cellIs" dxfId="1322" priority="1304" stopIfTrue="1" operator="equal">
      <formula>"Napkin Hs"</formula>
    </cfRule>
  </conditionalFormatting>
  <conditionalFormatting sqref="C78">
    <cfRule type="cellIs" dxfId="1321" priority="1307" stopIfTrue="1" operator="equal">
      <formula>"Towel"</formula>
    </cfRule>
    <cfRule type="cellIs" dxfId="1320" priority="1308" stopIfTrue="1" operator="equal">
      <formula>"Napkin Hs"</formula>
    </cfRule>
  </conditionalFormatting>
  <conditionalFormatting sqref="C78">
    <cfRule type="cellIs" dxfId="1319" priority="1317" stopIfTrue="1" operator="equal">
      <formula>"Towel"</formula>
    </cfRule>
    <cfRule type="cellIs" dxfId="1318" priority="1318" stopIfTrue="1" operator="equal">
      <formula>"Napkin Hs"</formula>
    </cfRule>
  </conditionalFormatting>
  <conditionalFormatting sqref="B78">
    <cfRule type="cellIs" dxfId="1317" priority="1305" stopIfTrue="1" operator="equal">
      <formula>"Towel"</formula>
    </cfRule>
    <cfRule type="cellIs" dxfId="1316" priority="1306" stopIfTrue="1" operator="equal">
      <formula>"Napkin Hs"</formula>
    </cfRule>
  </conditionalFormatting>
  <conditionalFormatting sqref="C78">
    <cfRule type="cellIs" dxfId="1315" priority="1316" stopIfTrue="1" operator="equal">
      <formula>"Napkin Hs"</formula>
    </cfRule>
  </conditionalFormatting>
  <conditionalFormatting sqref="C78">
    <cfRule type="cellIs" dxfId="1314" priority="1315" stopIfTrue="1" operator="equal">
      <formula>"Towel"</formula>
    </cfRule>
  </conditionalFormatting>
  <conditionalFormatting sqref="C78">
    <cfRule type="cellIs" dxfId="1313" priority="1311" stopIfTrue="1" operator="equal">
      <formula>"Towel"</formula>
    </cfRule>
    <cfRule type="cellIs" dxfId="1312" priority="1312" stopIfTrue="1" operator="equal">
      <formula>"Napkin Hs"</formula>
    </cfRule>
  </conditionalFormatting>
  <conditionalFormatting sqref="C78">
    <cfRule type="cellIs" dxfId="1311" priority="1310" stopIfTrue="1" operator="equal">
      <formula>"Napkin Hs"</formula>
    </cfRule>
  </conditionalFormatting>
  <conditionalFormatting sqref="C78">
    <cfRule type="cellIs" dxfId="1310" priority="1309" stopIfTrue="1" operator="equal">
      <formula>"Towel"</formula>
    </cfRule>
  </conditionalFormatting>
  <conditionalFormatting sqref="C78">
    <cfRule type="cellIs" dxfId="1309" priority="1302" stopIfTrue="1" operator="equal">
      <formula>"Napkin Hs"</formula>
    </cfRule>
  </conditionalFormatting>
  <conditionalFormatting sqref="C78">
    <cfRule type="cellIs" dxfId="1308" priority="1301" stopIfTrue="1" operator="equal">
      <formula>"Napkin Hs"</formula>
    </cfRule>
  </conditionalFormatting>
  <conditionalFormatting sqref="B85:C85">
    <cfRule type="cellIs" dxfId="1307" priority="1299" stopIfTrue="1" operator="equal">
      <formula>"Towel"</formula>
    </cfRule>
    <cfRule type="cellIs" dxfId="1306" priority="1300" stopIfTrue="1" operator="equal">
      <formula>"Napkin Hs"</formula>
    </cfRule>
  </conditionalFormatting>
  <conditionalFormatting sqref="C85">
    <cfRule type="cellIs" dxfId="1305" priority="1298" stopIfTrue="1" operator="equal">
      <formula>"Napkin Hs"</formula>
    </cfRule>
  </conditionalFormatting>
  <conditionalFormatting sqref="C85">
    <cfRule type="cellIs" dxfId="1304" priority="1295" stopIfTrue="1" operator="equal">
      <formula>"Towel"</formula>
    </cfRule>
    <cfRule type="cellIs" dxfId="1303" priority="1296" stopIfTrue="1" operator="equal">
      <formula>"Napkin Hs"</formula>
    </cfRule>
  </conditionalFormatting>
  <conditionalFormatting sqref="C85">
    <cfRule type="cellIs" dxfId="1302" priority="1297" stopIfTrue="1" operator="equal">
      <formula>"Towel"</formula>
    </cfRule>
  </conditionalFormatting>
  <conditionalFormatting sqref="B84">
    <cfRule type="cellIs" dxfId="1301" priority="1279" stopIfTrue="1" operator="equal">
      <formula>"Towel"</formula>
    </cfRule>
    <cfRule type="cellIs" dxfId="1300" priority="1280" stopIfTrue="1" operator="equal">
      <formula>"Napkin Hs"</formula>
    </cfRule>
  </conditionalFormatting>
  <conditionalFormatting sqref="C84">
    <cfRule type="cellIs" dxfId="1299" priority="1293" stopIfTrue="1" operator="equal">
      <formula>"Towel"</formula>
    </cfRule>
    <cfRule type="cellIs" dxfId="1298" priority="1294" stopIfTrue="1" operator="equal">
      <formula>"Napkin Hs"</formula>
    </cfRule>
  </conditionalFormatting>
  <conditionalFormatting sqref="C84">
    <cfRule type="cellIs" dxfId="1297" priority="1289" stopIfTrue="1" operator="equal">
      <formula>"Towel"</formula>
    </cfRule>
    <cfRule type="cellIs" dxfId="1296" priority="1290" stopIfTrue="1" operator="equal">
      <formula>"Napkin Hs"</formula>
    </cfRule>
  </conditionalFormatting>
  <conditionalFormatting sqref="B84">
    <cfRule type="cellIs" dxfId="1295" priority="1281" stopIfTrue="1" operator="equal">
      <formula>"Towel"</formula>
    </cfRule>
    <cfRule type="cellIs" dxfId="1294" priority="1282" stopIfTrue="1" operator="equal">
      <formula>"Napkin Hs"</formula>
    </cfRule>
  </conditionalFormatting>
  <conditionalFormatting sqref="C84">
    <cfRule type="cellIs" dxfId="1293" priority="1283" stopIfTrue="1" operator="equal">
      <formula>"Towel"</formula>
    </cfRule>
    <cfRule type="cellIs" dxfId="1292" priority="1284" stopIfTrue="1" operator="equal">
      <formula>"Napkin Hs"</formula>
    </cfRule>
  </conditionalFormatting>
  <conditionalFormatting sqref="C84">
    <cfRule type="cellIs" dxfId="1291" priority="1292" stopIfTrue="1" operator="equal">
      <formula>"Napkin Hs"</formula>
    </cfRule>
  </conditionalFormatting>
  <conditionalFormatting sqref="C84">
    <cfRule type="cellIs" dxfId="1290" priority="1291" stopIfTrue="1" operator="equal">
      <formula>"Towel"</formula>
    </cfRule>
  </conditionalFormatting>
  <conditionalFormatting sqref="C84">
    <cfRule type="cellIs" dxfId="1289" priority="1287" stopIfTrue="1" operator="equal">
      <formula>"Towel"</formula>
    </cfRule>
    <cfRule type="cellIs" dxfId="1288" priority="1288" stopIfTrue="1" operator="equal">
      <formula>"Napkin Hs"</formula>
    </cfRule>
  </conditionalFormatting>
  <conditionalFormatting sqref="C84">
    <cfRule type="cellIs" dxfId="1287" priority="1286" stopIfTrue="1" operator="equal">
      <formula>"Napkin Hs"</formula>
    </cfRule>
  </conditionalFormatting>
  <conditionalFormatting sqref="C84">
    <cfRule type="cellIs" dxfId="1286" priority="1285" stopIfTrue="1" operator="equal">
      <formula>"Towel"</formula>
    </cfRule>
  </conditionalFormatting>
  <conditionalFormatting sqref="B84:C84">
    <cfRule type="cellIs" dxfId="1285" priority="1277" stopIfTrue="1" operator="equal">
      <formula>"Towel"</formula>
    </cfRule>
    <cfRule type="cellIs" dxfId="1284" priority="1278" stopIfTrue="1" operator="equal">
      <formula>"Napkin Hs"</formula>
    </cfRule>
  </conditionalFormatting>
  <conditionalFormatting sqref="C84">
    <cfRule type="cellIs" dxfId="1283" priority="1276" stopIfTrue="1" operator="equal">
      <formula>"Napkin Hs"</formula>
    </cfRule>
  </conditionalFormatting>
  <conditionalFormatting sqref="C84">
    <cfRule type="cellIs" dxfId="1282" priority="1275" stopIfTrue="1" operator="equal">
      <formula>"Towel"</formula>
    </cfRule>
  </conditionalFormatting>
  <conditionalFormatting sqref="C84">
    <cfRule type="cellIs" dxfId="1281" priority="1273" stopIfTrue="1" operator="equal">
      <formula>"Towel"</formula>
    </cfRule>
    <cfRule type="cellIs" dxfId="1280" priority="1274" stopIfTrue="1" operator="equal">
      <formula>"Napkin Hs"</formula>
    </cfRule>
  </conditionalFormatting>
  <conditionalFormatting sqref="B84:C84">
    <cfRule type="cellIs" dxfId="1279" priority="1271" stopIfTrue="1" operator="equal">
      <formula>"Towel"</formula>
    </cfRule>
    <cfRule type="cellIs" dxfId="1278" priority="1272" stopIfTrue="1" operator="equal">
      <formula>"Napkin Hs"</formula>
    </cfRule>
  </conditionalFormatting>
  <conditionalFormatting sqref="C84">
    <cfRule type="cellIs" dxfId="1277" priority="1269" stopIfTrue="1" operator="equal">
      <formula>"Towel"</formula>
    </cfRule>
    <cfRule type="cellIs" dxfId="1276" priority="1270" stopIfTrue="1" operator="equal">
      <formula>"Napkin Hs"</formula>
    </cfRule>
  </conditionalFormatting>
  <conditionalFormatting sqref="C84">
    <cfRule type="cellIs" dxfId="1275" priority="1267" stopIfTrue="1" operator="equal">
      <formula>"Towel"</formula>
    </cfRule>
    <cfRule type="cellIs" dxfId="1274" priority="1268" stopIfTrue="1" operator="equal">
      <formula>"Napkin Hs"</formula>
    </cfRule>
  </conditionalFormatting>
  <conditionalFormatting sqref="C84">
    <cfRule type="cellIs" dxfId="1273" priority="1261" stopIfTrue="1" operator="equal">
      <formula>"Towel"</formula>
    </cfRule>
    <cfRule type="cellIs" dxfId="1272" priority="1262" stopIfTrue="1" operator="equal">
      <formula>"Napkin Hs"</formula>
    </cfRule>
  </conditionalFormatting>
  <conditionalFormatting sqref="B84">
    <cfRule type="cellIs" dxfId="1271" priority="1251" stopIfTrue="1" operator="equal">
      <formula>"Towel"</formula>
    </cfRule>
    <cfRule type="cellIs" dxfId="1270" priority="1252" stopIfTrue="1" operator="equal">
      <formula>"Napkin Hs"</formula>
    </cfRule>
  </conditionalFormatting>
  <conditionalFormatting sqref="C84">
    <cfRule type="cellIs" dxfId="1269" priority="1255" stopIfTrue="1" operator="equal">
      <formula>"Towel"</formula>
    </cfRule>
    <cfRule type="cellIs" dxfId="1268" priority="1256" stopIfTrue="1" operator="equal">
      <formula>"Napkin Hs"</formula>
    </cfRule>
  </conditionalFormatting>
  <conditionalFormatting sqref="C84">
    <cfRule type="cellIs" dxfId="1267" priority="1265" stopIfTrue="1" operator="equal">
      <formula>"Towel"</formula>
    </cfRule>
    <cfRule type="cellIs" dxfId="1266" priority="1266" stopIfTrue="1" operator="equal">
      <formula>"Napkin Hs"</formula>
    </cfRule>
  </conditionalFormatting>
  <conditionalFormatting sqref="B84">
    <cfRule type="cellIs" dxfId="1265" priority="1253" stopIfTrue="1" operator="equal">
      <formula>"Towel"</formula>
    </cfRule>
    <cfRule type="cellIs" dxfId="1264" priority="1254" stopIfTrue="1" operator="equal">
      <formula>"Napkin Hs"</formula>
    </cfRule>
  </conditionalFormatting>
  <conditionalFormatting sqref="C84">
    <cfRule type="cellIs" dxfId="1263" priority="1264" stopIfTrue="1" operator="equal">
      <formula>"Napkin Hs"</formula>
    </cfRule>
  </conditionalFormatting>
  <conditionalFormatting sqref="C84">
    <cfRule type="cellIs" dxfId="1262" priority="1263" stopIfTrue="1" operator="equal">
      <formula>"Towel"</formula>
    </cfRule>
  </conditionalFormatting>
  <conditionalFormatting sqref="C84">
    <cfRule type="cellIs" dxfId="1261" priority="1259" stopIfTrue="1" operator="equal">
      <formula>"Towel"</formula>
    </cfRule>
    <cfRule type="cellIs" dxfId="1260" priority="1260" stopIfTrue="1" operator="equal">
      <formula>"Napkin Hs"</formula>
    </cfRule>
  </conditionalFormatting>
  <conditionalFormatting sqref="C84">
    <cfRule type="cellIs" dxfId="1259" priority="1258" stopIfTrue="1" operator="equal">
      <formula>"Napkin Hs"</formula>
    </cfRule>
  </conditionalFormatting>
  <conditionalFormatting sqref="C84">
    <cfRule type="cellIs" dxfId="1258" priority="1257" stopIfTrue="1" operator="equal">
      <formula>"Towel"</formula>
    </cfRule>
  </conditionalFormatting>
  <conditionalFormatting sqref="C84">
    <cfRule type="cellIs" dxfId="1257" priority="1250" stopIfTrue="1" operator="equal">
      <formula>"Napkin Hs"</formula>
    </cfRule>
  </conditionalFormatting>
  <conditionalFormatting sqref="C84">
    <cfRule type="cellIs" dxfId="1256" priority="1249" stopIfTrue="1" operator="equal">
      <formula>"Napkin Hs"</formula>
    </cfRule>
  </conditionalFormatting>
  <conditionalFormatting sqref="B83">
    <cfRule type="cellIs" dxfId="1255" priority="1233" stopIfTrue="1" operator="equal">
      <formula>"Towel"</formula>
    </cfRule>
    <cfRule type="cellIs" dxfId="1254" priority="1234" stopIfTrue="1" operator="equal">
      <formula>"Napkin Hs"</formula>
    </cfRule>
  </conditionalFormatting>
  <conditionalFormatting sqref="C83">
    <cfRule type="cellIs" dxfId="1253" priority="1247" stopIfTrue="1" operator="equal">
      <formula>"Towel"</formula>
    </cfRule>
    <cfRule type="cellIs" dxfId="1252" priority="1248" stopIfTrue="1" operator="equal">
      <formula>"Napkin Hs"</formula>
    </cfRule>
  </conditionalFormatting>
  <conditionalFormatting sqref="C83">
    <cfRule type="cellIs" dxfId="1251" priority="1243" stopIfTrue="1" operator="equal">
      <formula>"Towel"</formula>
    </cfRule>
    <cfRule type="cellIs" dxfId="1250" priority="1244" stopIfTrue="1" operator="equal">
      <formula>"Napkin Hs"</formula>
    </cfRule>
  </conditionalFormatting>
  <conditionalFormatting sqref="B83">
    <cfRule type="cellIs" dxfId="1249" priority="1235" stopIfTrue="1" operator="equal">
      <formula>"Towel"</formula>
    </cfRule>
    <cfRule type="cellIs" dxfId="1248" priority="1236" stopIfTrue="1" operator="equal">
      <formula>"Napkin Hs"</formula>
    </cfRule>
  </conditionalFormatting>
  <conditionalFormatting sqref="C83">
    <cfRule type="cellIs" dxfId="1247" priority="1237" stopIfTrue="1" operator="equal">
      <formula>"Towel"</formula>
    </cfRule>
    <cfRule type="cellIs" dxfId="1246" priority="1238" stopIfTrue="1" operator="equal">
      <formula>"Napkin Hs"</formula>
    </cfRule>
  </conditionalFormatting>
  <conditionalFormatting sqref="C83">
    <cfRule type="cellIs" dxfId="1245" priority="1246" stopIfTrue="1" operator="equal">
      <formula>"Napkin Hs"</formula>
    </cfRule>
  </conditionalFormatting>
  <conditionalFormatting sqref="C83">
    <cfRule type="cellIs" dxfId="1244" priority="1245" stopIfTrue="1" operator="equal">
      <formula>"Towel"</formula>
    </cfRule>
  </conditionalFormatting>
  <conditionalFormatting sqref="C83">
    <cfRule type="cellIs" dxfId="1243" priority="1241" stopIfTrue="1" operator="equal">
      <formula>"Towel"</formula>
    </cfRule>
    <cfRule type="cellIs" dxfId="1242" priority="1242" stopIfTrue="1" operator="equal">
      <formula>"Napkin Hs"</formula>
    </cfRule>
  </conditionalFormatting>
  <conditionalFormatting sqref="C83">
    <cfRule type="cellIs" dxfId="1241" priority="1240" stopIfTrue="1" operator="equal">
      <formula>"Napkin Hs"</formula>
    </cfRule>
  </conditionalFormatting>
  <conditionalFormatting sqref="C83">
    <cfRule type="cellIs" dxfId="1240" priority="1239" stopIfTrue="1" operator="equal">
      <formula>"Towel"</formula>
    </cfRule>
  </conditionalFormatting>
  <conditionalFormatting sqref="B83:C83">
    <cfRule type="cellIs" dxfId="1239" priority="1231" stopIfTrue="1" operator="equal">
      <formula>"Towel"</formula>
    </cfRule>
    <cfRule type="cellIs" dxfId="1238" priority="1232" stopIfTrue="1" operator="equal">
      <formula>"Napkin Hs"</formula>
    </cfRule>
  </conditionalFormatting>
  <conditionalFormatting sqref="C83">
    <cfRule type="cellIs" dxfId="1237" priority="1230" stopIfTrue="1" operator="equal">
      <formula>"Napkin Hs"</formula>
    </cfRule>
  </conditionalFormatting>
  <conditionalFormatting sqref="C83">
    <cfRule type="cellIs" dxfId="1236" priority="1229" stopIfTrue="1" operator="equal">
      <formula>"Towel"</formula>
    </cfRule>
  </conditionalFormatting>
  <conditionalFormatting sqref="C83">
    <cfRule type="cellIs" dxfId="1235" priority="1227" stopIfTrue="1" operator="equal">
      <formula>"Towel"</formula>
    </cfRule>
    <cfRule type="cellIs" dxfId="1234" priority="1228" stopIfTrue="1" operator="equal">
      <formula>"Napkin Hs"</formula>
    </cfRule>
  </conditionalFormatting>
  <conditionalFormatting sqref="B83:C83">
    <cfRule type="cellIs" dxfId="1233" priority="1225" stopIfTrue="1" operator="equal">
      <formula>"Towel"</formula>
    </cfRule>
    <cfRule type="cellIs" dxfId="1232" priority="1226" stopIfTrue="1" operator="equal">
      <formula>"Napkin Hs"</formula>
    </cfRule>
  </conditionalFormatting>
  <conditionalFormatting sqref="C83">
    <cfRule type="cellIs" dxfId="1231" priority="1223" stopIfTrue="1" operator="equal">
      <formula>"Towel"</formula>
    </cfRule>
    <cfRule type="cellIs" dxfId="1230" priority="1224" stopIfTrue="1" operator="equal">
      <formula>"Napkin Hs"</formula>
    </cfRule>
  </conditionalFormatting>
  <conditionalFormatting sqref="C83">
    <cfRule type="cellIs" dxfId="1229" priority="1221" stopIfTrue="1" operator="equal">
      <formula>"Towel"</formula>
    </cfRule>
    <cfRule type="cellIs" dxfId="1228" priority="1222" stopIfTrue="1" operator="equal">
      <formula>"Napkin Hs"</formula>
    </cfRule>
  </conditionalFormatting>
  <conditionalFormatting sqref="C83">
    <cfRule type="cellIs" dxfId="1227" priority="1215" stopIfTrue="1" operator="equal">
      <formula>"Towel"</formula>
    </cfRule>
    <cfRule type="cellIs" dxfId="1226" priority="1216" stopIfTrue="1" operator="equal">
      <formula>"Napkin Hs"</formula>
    </cfRule>
  </conditionalFormatting>
  <conditionalFormatting sqref="B83">
    <cfRule type="cellIs" dxfId="1225" priority="1205" stopIfTrue="1" operator="equal">
      <formula>"Towel"</formula>
    </cfRule>
    <cfRule type="cellIs" dxfId="1224" priority="1206" stopIfTrue="1" operator="equal">
      <formula>"Napkin Hs"</formula>
    </cfRule>
  </conditionalFormatting>
  <conditionalFormatting sqref="C83">
    <cfRule type="cellIs" dxfId="1223" priority="1209" stopIfTrue="1" operator="equal">
      <formula>"Towel"</formula>
    </cfRule>
    <cfRule type="cellIs" dxfId="1222" priority="1210" stopIfTrue="1" operator="equal">
      <formula>"Napkin Hs"</formula>
    </cfRule>
  </conditionalFormatting>
  <conditionalFormatting sqref="C83">
    <cfRule type="cellIs" dxfId="1221" priority="1219" stopIfTrue="1" operator="equal">
      <formula>"Towel"</formula>
    </cfRule>
    <cfRule type="cellIs" dxfId="1220" priority="1220" stopIfTrue="1" operator="equal">
      <formula>"Napkin Hs"</formula>
    </cfRule>
  </conditionalFormatting>
  <conditionalFormatting sqref="B83">
    <cfRule type="cellIs" dxfId="1219" priority="1207" stopIfTrue="1" operator="equal">
      <formula>"Towel"</formula>
    </cfRule>
    <cfRule type="cellIs" dxfId="1218" priority="1208" stopIfTrue="1" operator="equal">
      <formula>"Napkin Hs"</formula>
    </cfRule>
  </conditionalFormatting>
  <conditionalFormatting sqref="C83">
    <cfRule type="cellIs" dxfId="1217" priority="1218" stopIfTrue="1" operator="equal">
      <formula>"Napkin Hs"</formula>
    </cfRule>
  </conditionalFormatting>
  <conditionalFormatting sqref="C83">
    <cfRule type="cellIs" dxfId="1216" priority="1217" stopIfTrue="1" operator="equal">
      <formula>"Towel"</formula>
    </cfRule>
  </conditionalFormatting>
  <conditionalFormatting sqref="C83">
    <cfRule type="cellIs" dxfId="1215" priority="1213" stopIfTrue="1" operator="equal">
      <formula>"Towel"</formula>
    </cfRule>
    <cfRule type="cellIs" dxfId="1214" priority="1214" stopIfTrue="1" operator="equal">
      <formula>"Napkin Hs"</formula>
    </cfRule>
  </conditionalFormatting>
  <conditionalFormatting sqref="C83">
    <cfRule type="cellIs" dxfId="1213" priority="1212" stopIfTrue="1" operator="equal">
      <formula>"Napkin Hs"</formula>
    </cfRule>
  </conditionalFormatting>
  <conditionalFormatting sqref="C83">
    <cfRule type="cellIs" dxfId="1212" priority="1211" stopIfTrue="1" operator="equal">
      <formula>"Towel"</formula>
    </cfRule>
  </conditionalFormatting>
  <conditionalFormatting sqref="C83">
    <cfRule type="cellIs" dxfId="1211" priority="1204" stopIfTrue="1" operator="equal">
      <formula>"Napkin Hs"</formula>
    </cfRule>
  </conditionalFormatting>
  <conditionalFormatting sqref="C83">
    <cfRule type="cellIs" dxfId="1210" priority="1203" stopIfTrue="1" operator="equal">
      <formula>"Napkin Hs"</formula>
    </cfRule>
  </conditionalFormatting>
  <conditionalFormatting sqref="B89:C89">
    <cfRule type="cellIs" dxfId="1209" priority="1201" stopIfTrue="1" operator="equal">
      <formula>"Towel"</formula>
    </cfRule>
    <cfRule type="cellIs" dxfId="1208" priority="1202" stopIfTrue="1" operator="equal">
      <formula>"Napkin Hs"</formula>
    </cfRule>
  </conditionalFormatting>
  <conditionalFormatting sqref="C89">
    <cfRule type="cellIs" dxfId="1207" priority="1200" stopIfTrue="1" operator="equal">
      <formula>"Napkin Hs"</formula>
    </cfRule>
  </conditionalFormatting>
  <conditionalFormatting sqref="C89">
    <cfRule type="cellIs" dxfId="1206" priority="1197" stopIfTrue="1" operator="equal">
      <formula>"Towel"</formula>
    </cfRule>
    <cfRule type="cellIs" dxfId="1205" priority="1198" stopIfTrue="1" operator="equal">
      <formula>"Napkin Hs"</formula>
    </cfRule>
  </conditionalFormatting>
  <conditionalFormatting sqref="C89">
    <cfRule type="cellIs" dxfId="1204" priority="1199" stopIfTrue="1" operator="equal">
      <formula>"Towel"</formula>
    </cfRule>
  </conditionalFormatting>
  <conditionalFormatting sqref="B88">
    <cfRule type="cellIs" dxfId="1203" priority="1181" stopIfTrue="1" operator="equal">
      <formula>"Towel"</formula>
    </cfRule>
    <cfRule type="cellIs" dxfId="1202" priority="1182" stopIfTrue="1" operator="equal">
      <formula>"Napkin Hs"</formula>
    </cfRule>
  </conditionalFormatting>
  <conditionalFormatting sqref="C88">
    <cfRule type="cellIs" dxfId="1201" priority="1195" stopIfTrue="1" operator="equal">
      <formula>"Towel"</formula>
    </cfRule>
    <cfRule type="cellIs" dxfId="1200" priority="1196" stopIfTrue="1" operator="equal">
      <formula>"Napkin Hs"</formula>
    </cfRule>
  </conditionalFormatting>
  <conditionalFormatting sqref="C88">
    <cfRule type="cellIs" dxfId="1199" priority="1191" stopIfTrue="1" operator="equal">
      <formula>"Towel"</formula>
    </cfRule>
    <cfRule type="cellIs" dxfId="1198" priority="1192" stopIfTrue="1" operator="equal">
      <formula>"Napkin Hs"</formula>
    </cfRule>
  </conditionalFormatting>
  <conditionalFormatting sqref="B88">
    <cfRule type="cellIs" dxfId="1197" priority="1183" stopIfTrue="1" operator="equal">
      <formula>"Towel"</formula>
    </cfRule>
    <cfRule type="cellIs" dxfId="1196" priority="1184" stopIfTrue="1" operator="equal">
      <formula>"Napkin Hs"</formula>
    </cfRule>
  </conditionalFormatting>
  <conditionalFormatting sqref="C88">
    <cfRule type="cellIs" dxfId="1195" priority="1185" stopIfTrue="1" operator="equal">
      <formula>"Towel"</formula>
    </cfRule>
    <cfRule type="cellIs" dxfId="1194" priority="1186" stopIfTrue="1" operator="equal">
      <formula>"Napkin Hs"</formula>
    </cfRule>
  </conditionalFormatting>
  <conditionalFormatting sqref="C88">
    <cfRule type="cellIs" dxfId="1193" priority="1194" stopIfTrue="1" operator="equal">
      <formula>"Napkin Hs"</formula>
    </cfRule>
  </conditionalFormatting>
  <conditionalFormatting sqref="C88">
    <cfRule type="cellIs" dxfId="1192" priority="1193" stopIfTrue="1" operator="equal">
      <formula>"Towel"</formula>
    </cfRule>
  </conditionalFormatting>
  <conditionalFormatting sqref="C88">
    <cfRule type="cellIs" dxfId="1191" priority="1189" stopIfTrue="1" operator="equal">
      <formula>"Towel"</formula>
    </cfRule>
    <cfRule type="cellIs" dxfId="1190" priority="1190" stopIfTrue="1" operator="equal">
      <formula>"Napkin Hs"</formula>
    </cfRule>
  </conditionalFormatting>
  <conditionalFormatting sqref="C88">
    <cfRule type="cellIs" dxfId="1189" priority="1188" stopIfTrue="1" operator="equal">
      <formula>"Napkin Hs"</formula>
    </cfRule>
  </conditionalFormatting>
  <conditionalFormatting sqref="C88">
    <cfRule type="cellIs" dxfId="1188" priority="1187" stopIfTrue="1" operator="equal">
      <formula>"Towel"</formula>
    </cfRule>
  </conditionalFormatting>
  <conditionalFormatting sqref="B88:C88">
    <cfRule type="cellIs" dxfId="1187" priority="1179" stopIfTrue="1" operator="equal">
      <formula>"Towel"</formula>
    </cfRule>
    <cfRule type="cellIs" dxfId="1186" priority="1180" stopIfTrue="1" operator="equal">
      <formula>"Napkin Hs"</formula>
    </cfRule>
  </conditionalFormatting>
  <conditionalFormatting sqref="C88">
    <cfRule type="cellIs" dxfId="1185" priority="1178" stopIfTrue="1" operator="equal">
      <formula>"Napkin Hs"</formula>
    </cfRule>
  </conditionalFormatting>
  <conditionalFormatting sqref="C88">
    <cfRule type="cellIs" dxfId="1184" priority="1177" stopIfTrue="1" operator="equal">
      <formula>"Towel"</formula>
    </cfRule>
  </conditionalFormatting>
  <conditionalFormatting sqref="C88">
    <cfRule type="cellIs" dxfId="1183" priority="1175" stopIfTrue="1" operator="equal">
      <formula>"Towel"</formula>
    </cfRule>
    <cfRule type="cellIs" dxfId="1182" priority="1176" stopIfTrue="1" operator="equal">
      <formula>"Napkin Hs"</formula>
    </cfRule>
  </conditionalFormatting>
  <conditionalFormatting sqref="B88:C88">
    <cfRule type="cellIs" dxfId="1181" priority="1173" stopIfTrue="1" operator="equal">
      <formula>"Towel"</formula>
    </cfRule>
    <cfRule type="cellIs" dxfId="1180" priority="1174" stopIfTrue="1" operator="equal">
      <formula>"Napkin Hs"</formula>
    </cfRule>
  </conditionalFormatting>
  <conditionalFormatting sqref="C88">
    <cfRule type="cellIs" dxfId="1179" priority="1171" stopIfTrue="1" operator="equal">
      <formula>"Towel"</formula>
    </cfRule>
    <cfRule type="cellIs" dxfId="1178" priority="1172" stopIfTrue="1" operator="equal">
      <formula>"Napkin Hs"</formula>
    </cfRule>
  </conditionalFormatting>
  <conditionalFormatting sqref="C88">
    <cfRule type="cellIs" dxfId="1177" priority="1169" stopIfTrue="1" operator="equal">
      <formula>"Towel"</formula>
    </cfRule>
    <cfRule type="cellIs" dxfId="1176" priority="1170" stopIfTrue="1" operator="equal">
      <formula>"Napkin Hs"</formula>
    </cfRule>
  </conditionalFormatting>
  <conditionalFormatting sqref="C88">
    <cfRule type="cellIs" dxfId="1175" priority="1163" stopIfTrue="1" operator="equal">
      <formula>"Towel"</formula>
    </cfRule>
    <cfRule type="cellIs" dxfId="1174" priority="1164" stopIfTrue="1" operator="equal">
      <formula>"Napkin Hs"</formula>
    </cfRule>
  </conditionalFormatting>
  <conditionalFormatting sqref="B88">
    <cfRule type="cellIs" dxfId="1173" priority="1153" stopIfTrue="1" operator="equal">
      <formula>"Towel"</formula>
    </cfRule>
    <cfRule type="cellIs" dxfId="1172" priority="1154" stopIfTrue="1" operator="equal">
      <formula>"Napkin Hs"</formula>
    </cfRule>
  </conditionalFormatting>
  <conditionalFormatting sqref="C88">
    <cfRule type="cellIs" dxfId="1171" priority="1157" stopIfTrue="1" operator="equal">
      <formula>"Towel"</formula>
    </cfRule>
    <cfRule type="cellIs" dxfId="1170" priority="1158" stopIfTrue="1" operator="equal">
      <formula>"Napkin Hs"</formula>
    </cfRule>
  </conditionalFormatting>
  <conditionalFormatting sqref="C88">
    <cfRule type="cellIs" dxfId="1169" priority="1167" stopIfTrue="1" operator="equal">
      <formula>"Towel"</formula>
    </cfRule>
    <cfRule type="cellIs" dxfId="1168" priority="1168" stopIfTrue="1" operator="equal">
      <formula>"Napkin Hs"</formula>
    </cfRule>
  </conditionalFormatting>
  <conditionalFormatting sqref="B88">
    <cfRule type="cellIs" dxfId="1167" priority="1155" stopIfTrue="1" operator="equal">
      <formula>"Towel"</formula>
    </cfRule>
    <cfRule type="cellIs" dxfId="1166" priority="1156" stopIfTrue="1" operator="equal">
      <formula>"Napkin Hs"</formula>
    </cfRule>
  </conditionalFormatting>
  <conditionalFormatting sqref="C88">
    <cfRule type="cellIs" dxfId="1165" priority="1166" stopIfTrue="1" operator="equal">
      <formula>"Napkin Hs"</formula>
    </cfRule>
  </conditionalFormatting>
  <conditionalFormatting sqref="C88">
    <cfRule type="cellIs" dxfId="1164" priority="1165" stopIfTrue="1" operator="equal">
      <formula>"Towel"</formula>
    </cfRule>
  </conditionalFormatting>
  <conditionalFormatting sqref="C88">
    <cfRule type="cellIs" dxfId="1163" priority="1161" stopIfTrue="1" operator="equal">
      <formula>"Towel"</formula>
    </cfRule>
    <cfRule type="cellIs" dxfId="1162" priority="1162" stopIfTrue="1" operator="equal">
      <formula>"Napkin Hs"</formula>
    </cfRule>
  </conditionalFormatting>
  <conditionalFormatting sqref="C88">
    <cfRule type="cellIs" dxfId="1161" priority="1160" stopIfTrue="1" operator="equal">
      <formula>"Napkin Hs"</formula>
    </cfRule>
  </conditionalFormatting>
  <conditionalFormatting sqref="C88">
    <cfRule type="cellIs" dxfId="1160" priority="1159" stopIfTrue="1" operator="equal">
      <formula>"Towel"</formula>
    </cfRule>
  </conditionalFormatting>
  <conditionalFormatting sqref="C88">
    <cfRule type="cellIs" dxfId="1159" priority="1152" stopIfTrue="1" operator="equal">
      <formula>"Napkin Hs"</formula>
    </cfRule>
  </conditionalFormatting>
  <conditionalFormatting sqref="C88">
    <cfRule type="cellIs" dxfId="1158" priority="1151" stopIfTrue="1" operator="equal">
      <formula>"Napkin Hs"</formula>
    </cfRule>
  </conditionalFormatting>
  <conditionalFormatting sqref="B87">
    <cfRule type="cellIs" dxfId="1157" priority="1135" stopIfTrue="1" operator="equal">
      <formula>"Towel"</formula>
    </cfRule>
    <cfRule type="cellIs" dxfId="1156" priority="1136" stopIfTrue="1" operator="equal">
      <formula>"Napkin Hs"</formula>
    </cfRule>
  </conditionalFormatting>
  <conditionalFormatting sqref="C87">
    <cfRule type="cellIs" dxfId="1155" priority="1149" stopIfTrue="1" operator="equal">
      <formula>"Towel"</formula>
    </cfRule>
    <cfRule type="cellIs" dxfId="1154" priority="1150" stopIfTrue="1" operator="equal">
      <formula>"Napkin Hs"</formula>
    </cfRule>
  </conditionalFormatting>
  <conditionalFormatting sqref="C87">
    <cfRule type="cellIs" dxfId="1153" priority="1145" stopIfTrue="1" operator="equal">
      <formula>"Towel"</formula>
    </cfRule>
    <cfRule type="cellIs" dxfId="1152" priority="1146" stopIfTrue="1" operator="equal">
      <formula>"Napkin Hs"</formula>
    </cfRule>
  </conditionalFormatting>
  <conditionalFormatting sqref="B87">
    <cfRule type="cellIs" dxfId="1151" priority="1137" stopIfTrue="1" operator="equal">
      <formula>"Towel"</formula>
    </cfRule>
    <cfRule type="cellIs" dxfId="1150" priority="1138" stopIfTrue="1" operator="equal">
      <formula>"Napkin Hs"</formula>
    </cfRule>
  </conditionalFormatting>
  <conditionalFormatting sqref="C87">
    <cfRule type="cellIs" dxfId="1149" priority="1139" stopIfTrue="1" operator="equal">
      <formula>"Towel"</formula>
    </cfRule>
    <cfRule type="cellIs" dxfId="1148" priority="1140" stopIfTrue="1" operator="equal">
      <formula>"Napkin Hs"</formula>
    </cfRule>
  </conditionalFormatting>
  <conditionalFormatting sqref="C87">
    <cfRule type="cellIs" dxfId="1147" priority="1148" stopIfTrue="1" operator="equal">
      <formula>"Napkin Hs"</formula>
    </cfRule>
  </conditionalFormatting>
  <conditionalFormatting sqref="C87">
    <cfRule type="cellIs" dxfId="1146" priority="1147" stopIfTrue="1" operator="equal">
      <formula>"Towel"</formula>
    </cfRule>
  </conditionalFormatting>
  <conditionalFormatting sqref="C87">
    <cfRule type="cellIs" dxfId="1145" priority="1143" stopIfTrue="1" operator="equal">
      <formula>"Towel"</formula>
    </cfRule>
    <cfRule type="cellIs" dxfId="1144" priority="1144" stopIfTrue="1" operator="equal">
      <formula>"Napkin Hs"</formula>
    </cfRule>
  </conditionalFormatting>
  <conditionalFormatting sqref="C87">
    <cfRule type="cellIs" dxfId="1143" priority="1142" stopIfTrue="1" operator="equal">
      <formula>"Napkin Hs"</formula>
    </cfRule>
  </conditionalFormatting>
  <conditionalFormatting sqref="C87">
    <cfRule type="cellIs" dxfId="1142" priority="1141" stopIfTrue="1" operator="equal">
      <formula>"Towel"</formula>
    </cfRule>
  </conditionalFormatting>
  <conditionalFormatting sqref="B87:C87">
    <cfRule type="cellIs" dxfId="1141" priority="1133" stopIfTrue="1" operator="equal">
      <formula>"Towel"</formula>
    </cfRule>
    <cfRule type="cellIs" dxfId="1140" priority="1134" stopIfTrue="1" operator="equal">
      <formula>"Napkin Hs"</formula>
    </cfRule>
  </conditionalFormatting>
  <conditionalFormatting sqref="C87">
    <cfRule type="cellIs" dxfId="1139" priority="1132" stopIfTrue="1" operator="equal">
      <formula>"Napkin Hs"</formula>
    </cfRule>
  </conditionalFormatting>
  <conditionalFormatting sqref="C87">
    <cfRule type="cellIs" dxfId="1138" priority="1131" stopIfTrue="1" operator="equal">
      <formula>"Towel"</formula>
    </cfRule>
  </conditionalFormatting>
  <conditionalFormatting sqref="C87">
    <cfRule type="cellIs" dxfId="1137" priority="1129" stopIfTrue="1" operator="equal">
      <formula>"Towel"</formula>
    </cfRule>
    <cfRule type="cellIs" dxfId="1136" priority="1130" stopIfTrue="1" operator="equal">
      <formula>"Napkin Hs"</formula>
    </cfRule>
  </conditionalFormatting>
  <conditionalFormatting sqref="B87:C87">
    <cfRule type="cellIs" dxfId="1135" priority="1127" stopIfTrue="1" operator="equal">
      <formula>"Towel"</formula>
    </cfRule>
    <cfRule type="cellIs" dxfId="1134" priority="1128" stopIfTrue="1" operator="equal">
      <formula>"Napkin Hs"</formula>
    </cfRule>
  </conditionalFormatting>
  <conditionalFormatting sqref="C87">
    <cfRule type="cellIs" dxfId="1133" priority="1125" stopIfTrue="1" operator="equal">
      <formula>"Towel"</formula>
    </cfRule>
    <cfRule type="cellIs" dxfId="1132" priority="1126" stopIfTrue="1" operator="equal">
      <formula>"Napkin Hs"</formula>
    </cfRule>
  </conditionalFormatting>
  <conditionalFormatting sqref="C87">
    <cfRule type="cellIs" dxfId="1131" priority="1123" stopIfTrue="1" operator="equal">
      <formula>"Towel"</formula>
    </cfRule>
    <cfRule type="cellIs" dxfId="1130" priority="1124" stopIfTrue="1" operator="equal">
      <formula>"Napkin Hs"</formula>
    </cfRule>
  </conditionalFormatting>
  <conditionalFormatting sqref="C87">
    <cfRule type="cellIs" dxfId="1129" priority="1117" stopIfTrue="1" operator="equal">
      <formula>"Towel"</formula>
    </cfRule>
    <cfRule type="cellIs" dxfId="1128" priority="1118" stopIfTrue="1" operator="equal">
      <formula>"Napkin Hs"</formula>
    </cfRule>
  </conditionalFormatting>
  <conditionalFormatting sqref="B87">
    <cfRule type="cellIs" dxfId="1127" priority="1107" stopIfTrue="1" operator="equal">
      <formula>"Towel"</formula>
    </cfRule>
    <cfRule type="cellIs" dxfId="1126" priority="1108" stopIfTrue="1" operator="equal">
      <formula>"Napkin Hs"</formula>
    </cfRule>
  </conditionalFormatting>
  <conditionalFormatting sqref="C87">
    <cfRule type="cellIs" dxfId="1125" priority="1111" stopIfTrue="1" operator="equal">
      <formula>"Towel"</formula>
    </cfRule>
    <cfRule type="cellIs" dxfId="1124" priority="1112" stopIfTrue="1" operator="equal">
      <formula>"Napkin Hs"</formula>
    </cfRule>
  </conditionalFormatting>
  <conditionalFormatting sqref="C87">
    <cfRule type="cellIs" dxfId="1123" priority="1121" stopIfTrue="1" operator="equal">
      <formula>"Towel"</formula>
    </cfRule>
    <cfRule type="cellIs" dxfId="1122" priority="1122" stopIfTrue="1" operator="equal">
      <formula>"Napkin Hs"</formula>
    </cfRule>
  </conditionalFormatting>
  <conditionalFormatting sqref="B87">
    <cfRule type="cellIs" dxfId="1121" priority="1109" stopIfTrue="1" operator="equal">
      <formula>"Towel"</formula>
    </cfRule>
    <cfRule type="cellIs" dxfId="1120" priority="1110" stopIfTrue="1" operator="equal">
      <formula>"Napkin Hs"</formula>
    </cfRule>
  </conditionalFormatting>
  <conditionalFormatting sqref="C87">
    <cfRule type="cellIs" dxfId="1119" priority="1120" stopIfTrue="1" operator="equal">
      <formula>"Napkin Hs"</formula>
    </cfRule>
  </conditionalFormatting>
  <conditionalFormatting sqref="C87">
    <cfRule type="cellIs" dxfId="1118" priority="1119" stopIfTrue="1" operator="equal">
      <formula>"Towel"</formula>
    </cfRule>
  </conditionalFormatting>
  <conditionalFormatting sqref="C87">
    <cfRule type="cellIs" dxfId="1117" priority="1115" stopIfTrue="1" operator="equal">
      <formula>"Towel"</formula>
    </cfRule>
    <cfRule type="cellIs" dxfId="1116" priority="1116" stopIfTrue="1" operator="equal">
      <formula>"Napkin Hs"</formula>
    </cfRule>
  </conditionalFormatting>
  <conditionalFormatting sqref="C87">
    <cfRule type="cellIs" dxfId="1115" priority="1114" stopIfTrue="1" operator="equal">
      <formula>"Napkin Hs"</formula>
    </cfRule>
  </conditionalFormatting>
  <conditionalFormatting sqref="C87">
    <cfRule type="cellIs" dxfId="1114" priority="1113" stopIfTrue="1" operator="equal">
      <formula>"Towel"</formula>
    </cfRule>
  </conditionalFormatting>
  <conditionalFormatting sqref="C87">
    <cfRule type="cellIs" dxfId="1113" priority="1106" stopIfTrue="1" operator="equal">
      <formula>"Napkin Hs"</formula>
    </cfRule>
  </conditionalFormatting>
  <conditionalFormatting sqref="C87">
    <cfRule type="cellIs" dxfId="1112" priority="1105" stopIfTrue="1" operator="equal">
      <formula>"Napkin Hs"</formula>
    </cfRule>
  </conditionalFormatting>
  <conditionalFormatting sqref="B94:C94">
    <cfRule type="cellIs" dxfId="1111" priority="1103" stopIfTrue="1" operator="equal">
      <formula>"Towel"</formula>
    </cfRule>
    <cfRule type="cellIs" dxfId="1110" priority="1104" stopIfTrue="1" operator="equal">
      <formula>"Napkin Hs"</formula>
    </cfRule>
  </conditionalFormatting>
  <conditionalFormatting sqref="C94">
    <cfRule type="cellIs" dxfId="1109" priority="1101" stopIfTrue="1" operator="equal">
      <formula>"Towel"</formula>
    </cfRule>
    <cfRule type="cellIs" dxfId="1108" priority="1102" stopIfTrue="1" operator="equal">
      <formula>"Napkin Hs"</formula>
    </cfRule>
  </conditionalFormatting>
  <conditionalFormatting sqref="C94">
    <cfRule type="cellIs" dxfId="1107" priority="1099" stopIfTrue="1" operator="equal">
      <formula>"Towel"</formula>
    </cfRule>
    <cfRule type="cellIs" dxfId="1106" priority="1100" stopIfTrue="1" operator="equal">
      <formula>"Napkin Hs"</formula>
    </cfRule>
  </conditionalFormatting>
  <conditionalFormatting sqref="C94">
    <cfRule type="cellIs" dxfId="1105" priority="1093" stopIfTrue="1" operator="equal">
      <formula>"Towel"</formula>
    </cfRule>
    <cfRule type="cellIs" dxfId="1104" priority="1094" stopIfTrue="1" operator="equal">
      <formula>"Napkin Hs"</formula>
    </cfRule>
  </conditionalFormatting>
  <conditionalFormatting sqref="B94">
    <cfRule type="cellIs" dxfId="1103" priority="1083" stopIfTrue="1" operator="equal">
      <formula>"Towel"</formula>
    </cfRule>
    <cfRule type="cellIs" dxfId="1102" priority="1084" stopIfTrue="1" operator="equal">
      <formula>"Napkin Hs"</formula>
    </cfRule>
  </conditionalFormatting>
  <conditionalFormatting sqref="C94">
    <cfRule type="cellIs" dxfId="1101" priority="1087" stopIfTrue="1" operator="equal">
      <formula>"Towel"</formula>
    </cfRule>
    <cfRule type="cellIs" dxfId="1100" priority="1088" stopIfTrue="1" operator="equal">
      <formula>"Napkin Hs"</formula>
    </cfRule>
  </conditionalFormatting>
  <conditionalFormatting sqref="C94">
    <cfRule type="cellIs" dxfId="1099" priority="1097" stopIfTrue="1" operator="equal">
      <formula>"Towel"</formula>
    </cfRule>
    <cfRule type="cellIs" dxfId="1098" priority="1098" stopIfTrue="1" operator="equal">
      <formula>"Napkin Hs"</formula>
    </cfRule>
  </conditionalFormatting>
  <conditionalFormatting sqref="B94">
    <cfRule type="cellIs" dxfId="1097" priority="1085" stopIfTrue="1" operator="equal">
      <formula>"Towel"</formula>
    </cfRule>
    <cfRule type="cellIs" dxfId="1096" priority="1086" stopIfTrue="1" operator="equal">
      <formula>"Napkin Hs"</formula>
    </cfRule>
  </conditionalFormatting>
  <conditionalFormatting sqref="C94">
    <cfRule type="cellIs" dxfId="1095" priority="1096" stopIfTrue="1" operator="equal">
      <formula>"Napkin Hs"</formula>
    </cfRule>
  </conditionalFormatting>
  <conditionalFormatting sqref="C94">
    <cfRule type="cellIs" dxfId="1094" priority="1095" stopIfTrue="1" operator="equal">
      <formula>"Towel"</formula>
    </cfRule>
  </conditionalFormatting>
  <conditionalFormatting sqref="C94">
    <cfRule type="cellIs" dxfId="1093" priority="1091" stopIfTrue="1" operator="equal">
      <formula>"Towel"</formula>
    </cfRule>
    <cfRule type="cellIs" dxfId="1092" priority="1092" stopIfTrue="1" operator="equal">
      <formula>"Napkin Hs"</formula>
    </cfRule>
  </conditionalFormatting>
  <conditionalFormatting sqref="C94">
    <cfRule type="cellIs" dxfId="1091" priority="1090" stopIfTrue="1" operator="equal">
      <formula>"Napkin Hs"</formula>
    </cfRule>
  </conditionalFormatting>
  <conditionalFormatting sqref="C94">
    <cfRule type="cellIs" dxfId="1090" priority="1089" stopIfTrue="1" operator="equal">
      <formula>"Towel"</formula>
    </cfRule>
  </conditionalFormatting>
  <conditionalFormatting sqref="B93:C93">
    <cfRule type="cellIs" dxfId="1089" priority="1081" stopIfTrue="1" operator="equal">
      <formula>"Towel"</formula>
    </cfRule>
    <cfRule type="cellIs" dxfId="1088" priority="1082" stopIfTrue="1" operator="equal">
      <formula>"Napkin Hs"</formula>
    </cfRule>
  </conditionalFormatting>
  <conditionalFormatting sqref="C93">
    <cfRule type="cellIs" dxfId="1087" priority="1080" stopIfTrue="1" operator="equal">
      <formula>"Napkin Hs"</formula>
    </cfRule>
  </conditionalFormatting>
  <conditionalFormatting sqref="C93">
    <cfRule type="cellIs" dxfId="1086" priority="1077" stopIfTrue="1" operator="equal">
      <formula>"Towel"</formula>
    </cfRule>
    <cfRule type="cellIs" dxfId="1085" priority="1078" stopIfTrue="1" operator="equal">
      <formula>"Napkin Hs"</formula>
    </cfRule>
  </conditionalFormatting>
  <conditionalFormatting sqref="C93">
    <cfRule type="cellIs" dxfId="1084" priority="1079" stopIfTrue="1" operator="equal">
      <formula>"Towel"</formula>
    </cfRule>
  </conditionalFormatting>
  <conditionalFormatting sqref="B92">
    <cfRule type="cellIs" dxfId="1083" priority="1061" stopIfTrue="1" operator="equal">
      <formula>"Towel"</formula>
    </cfRule>
    <cfRule type="cellIs" dxfId="1082" priority="1062" stopIfTrue="1" operator="equal">
      <formula>"Napkin Hs"</formula>
    </cfRule>
  </conditionalFormatting>
  <conditionalFormatting sqref="C92">
    <cfRule type="cellIs" dxfId="1081" priority="1075" stopIfTrue="1" operator="equal">
      <formula>"Towel"</formula>
    </cfRule>
    <cfRule type="cellIs" dxfId="1080" priority="1076" stopIfTrue="1" operator="equal">
      <formula>"Napkin Hs"</formula>
    </cfRule>
  </conditionalFormatting>
  <conditionalFormatting sqref="C92">
    <cfRule type="cellIs" dxfId="1079" priority="1071" stopIfTrue="1" operator="equal">
      <formula>"Towel"</formula>
    </cfRule>
    <cfRule type="cellIs" dxfId="1078" priority="1072" stopIfTrue="1" operator="equal">
      <formula>"Napkin Hs"</formula>
    </cfRule>
  </conditionalFormatting>
  <conditionalFormatting sqref="B92">
    <cfRule type="cellIs" dxfId="1077" priority="1063" stopIfTrue="1" operator="equal">
      <formula>"Towel"</formula>
    </cfRule>
    <cfRule type="cellIs" dxfId="1076" priority="1064" stopIfTrue="1" operator="equal">
      <formula>"Napkin Hs"</formula>
    </cfRule>
  </conditionalFormatting>
  <conditionalFormatting sqref="C92">
    <cfRule type="cellIs" dxfId="1075" priority="1065" stopIfTrue="1" operator="equal">
      <formula>"Towel"</formula>
    </cfRule>
    <cfRule type="cellIs" dxfId="1074" priority="1066" stopIfTrue="1" operator="equal">
      <formula>"Napkin Hs"</formula>
    </cfRule>
  </conditionalFormatting>
  <conditionalFormatting sqref="C92">
    <cfRule type="cellIs" dxfId="1073" priority="1074" stopIfTrue="1" operator="equal">
      <formula>"Napkin Hs"</formula>
    </cfRule>
  </conditionalFormatting>
  <conditionalFormatting sqref="C92">
    <cfRule type="cellIs" dxfId="1072" priority="1073" stopIfTrue="1" operator="equal">
      <formula>"Towel"</formula>
    </cfRule>
  </conditionalFormatting>
  <conditionalFormatting sqref="C92">
    <cfRule type="cellIs" dxfId="1071" priority="1069" stopIfTrue="1" operator="equal">
      <formula>"Towel"</formula>
    </cfRule>
    <cfRule type="cellIs" dxfId="1070" priority="1070" stopIfTrue="1" operator="equal">
      <formula>"Napkin Hs"</formula>
    </cfRule>
  </conditionalFormatting>
  <conditionalFormatting sqref="C92">
    <cfRule type="cellIs" dxfId="1069" priority="1068" stopIfTrue="1" operator="equal">
      <formula>"Napkin Hs"</formula>
    </cfRule>
  </conditionalFormatting>
  <conditionalFormatting sqref="C92">
    <cfRule type="cellIs" dxfId="1068" priority="1067" stopIfTrue="1" operator="equal">
      <formula>"Towel"</formula>
    </cfRule>
  </conditionalFormatting>
  <conditionalFormatting sqref="B92:C92">
    <cfRule type="cellIs" dxfId="1067" priority="1059" stopIfTrue="1" operator="equal">
      <formula>"Towel"</formula>
    </cfRule>
    <cfRule type="cellIs" dxfId="1066" priority="1060" stopIfTrue="1" operator="equal">
      <formula>"Napkin Hs"</formula>
    </cfRule>
  </conditionalFormatting>
  <conditionalFormatting sqref="C92">
    <cfRule type="cellIs" dxfId="1065" priority="1058" stopIfTrue="1" operator="equal">
      <formula>"Napkin Hs"</formula>
    </cfRule>
  </conditionalFormatting>
  <conditionalFormatting sqref="C92">
    <cfRule type="cellIs" dxfId="1064" priority="1057" stopIfTrue="1" operator="equal">
      <formula>"Towel"</formula>
    </cfRule>
  </conditionalFormatting>
  <conditionalFormatting sqref="C92">
    <cfRule type="cellIs" dxfId="1063" priority="1055" stopIfTrue="1" operator="equal">
      <formula>"Towel"</formula>
    </cfRule>
    <cfRule type="cellIs" dxfId="1062" priority="1056" stopIfTrue="1" operator="equal">
      <formula>"Napkin Hs"</formula>
    </cfRule>
  </conditionalFormatting>
  <conditionalFormatting sqref="B92:C92">
    <cfRule type="cellIs" dxfId="1061" priority="1053" stopIfTrue="1" operator="equal">
      <formula>"Towel"</formula>
    </cfRule>
    <cfRule type="cellIs" dxfId="1060" priority="1054" stopIfTrue="1" operator="equal">
      <formula>"Napkin Hs"</formula>
    </cfRule>
  </conditionalFormatting>
  <conditionalFormatting sqref="C92">
    <cfRule type="cellIs" dxfId="1059" priority="1051" stopIfTrue="1" operator="equal">
      <formula>"Towel"</formula>
    </cfRule>
    <cfRule type="cellIs" dxfId="1058" priority="1052" stopIfTrue="1" operator="equal">
      <formula>"Napkin Hs"</formula>
    </cfRule>
  </conditionalFormatting>
  <conditionalFormatting sqref="C92">
    <cfRule type="cellIs" dxfId="1057" priority="1049" stopIfTrue="1" operator="equal">
      <formula>"Towel"</formula>
    </cfRule>
    <cfRule type="cellIs" dxfId="1056" priority="1050" stopIfTrue="1" operator="equal">
      <formula>"Napkin Hs"</formula>
    </cfRule>
  </conditionalFormatting>
  <conditionalFormatting sqref="C92">
    <cfRule type="cellIs" dxfId="1055" priority="1043" stopIfTrue="1" operator="equal">
      <formula>"Towel"</formula>
    </cfRule>
    <cfRule type="cellIs" dxfId="1054" priority="1044" stopIfTrue="1" operator="equal">
      <formula>"Napkin Hs"</formula>
    </cfRule>
  </conditionalFormatting>
  <conditionalFormatting sqref="B92">
    <cfRule type="cellIs" dxfId="1053" priority="1033" stopIfTrue="1" operator="equal">
      <formula>"Towel"</formula>
    </cfRule>
    <cfRule type="cellIs" dxfId="1052" priority="1034" stopIfTrue="1" operator="equal">
      <formula>"Napkin Hs"</formula>
    </cfRule>
  </conditionalFormatting>
  <conditionalFormatting sqref="C92">
    <cfRule type="cellIs" dxfId="1051" priority="1037" stopIfTrue="1" operator="equal">
      <formula>"Towel"</formula>
    </cfRule>
    <cfRule type="cellIs" dxfId="1050" priority="1038" stopIfTrue="1" operator="equal">
      <formula>"Napkin Hs"</formula>
    </cfRule>
  </conditionalFormatting>
  <conditionalFormatting sqref="C92">
    <cfRule type="cellIs" dxfId="1049" priority="1047" stopIfTrue="1" operator="equal">
      <formula>"Towel"</formula>
    </cfRule>
    <cfRule type="cellIs" dxfId="1048" priority="1048" stopIfTrue="1" operator="equal">
      <formula>"Napkin Hs"</formula>
    </cfRule>
  </conditionalFormatting>
  <conditionalFormatting sqref="B92">
    <cfRule type="cellIs" dxfId="1047" priority="1035" stopIfTrue="1" operator="equal">
      <formula>"Towel"</formula>
    </cfRule>
    <cfRule type="cellIs" dxfId="1046" priority="1036" stopIfTrue="1" operator="equal">
      <formula>"Napkin Hs"</formula>
    </cfRule>
  </conditionalFormatting>
  <conditionalFormatting sqref="C92">
    <cfRule type="cellIs" dxfId="1045" priority="1046" stopIfTrue="1" operator="equal">
      <formula>"Napkin Hs"</formula>
    </cfRule>
  </conditionalFormatting>
  <conditionalFormatting sqref="C92">
    <cfRule type="cellIs" dxfId="1044" priority="1045" stopIfTrue="1" operator="equal">
      <formula>"Towel"</formula>
    </cfRule>
  </conditionalFormatting>
  <conditionalFormatting sqref="C92">
    <cfRule type="cellIs" dxfId="1043" priority="1041" stopIfTrue="1" operator="equal">
      <formula>"Towel"</formula>
    </cfRule>
    <cfRule type="cellIs" dxfId="1042" priority="1042" stopIfTrue="1" operator="equal">
      <formula>"Napkin Hs"</formula>
    </cfRule>
  </conditionalFormatting>
  <conditionalFormatting sqref="C92">
    <cfRule type="cellIs" dxfId="1041" priority="1040" stopIfTrue="1" operator="equal">
      <formula>"Napkin Hs"</formula>
    </cfRule>
  </conditionalFormatting>
  <conditionalFormatting sqref="C92">
    <cfRule type="cellIs" dxfId="1040" priority="1039" stopIfTrue="1" operator="equal">
      <formula>"Towel"</formula>
    </cfRule>
  </conditionalFormatting>
  <conditionalFormatting sqref="C92">
    <cfRule type="cellIs" dxfId="1039" priority="1032" stopIfTrue="1" operator="equal">
      <formula>"Napkin Hs"</formula>
    </cfRule>
  </conditionalFormatting>
  <conditionalFormatting sqref="C92">
    <cfRule type="cellIs" dxfId="1038" priority="1031" stopIfTrue="1" operator="equal">
      <formula>"Napkin Hs"</formula>
    </cfRule>
  </conditionalFormatting>
  <conditionalFormatting sqref="B91">
    <cfRule type="cellIs" dxfId="1037" priority="1015" stopIfTrue="1" operator="equal">
      <formula>"Towel"</formula>
    </cfRule>
    <cfRule type="cellIs" dxfId="1036" priority="1016" stopIfTrue="1" operator="equal">
      <formula>"Napkin Hs"</formula>
    </cfRule>
  </conditionalFormatting>
  <conditionalFormatting sqref="C91">
    <cfRule type="cellIs" dxfId="1035" priority="1029" stopIfTrue="1" operator="equal">
      <formula>"Towel"</formula>
    </cfRule>
    <cfRule type="cellIs" dxfId="1034" priority="1030" stopIfTrue="1" operator="equal">
      <formula>"Napkin Hs"</formula>
    </cfRule>
  </conditionalFormatting>
  <conditionalFormatting sqref="C91">
    <cfRule type="cellIs" dxfId="1033" priority="1025" stopIfTrue="1" operator="equal">
      <formula>"Towel"</formula>
    </cfRule>
    <cfRule type="cellIs" dxfId="1032" priority="1026" stopIfTrue="1" operator="equal">
      <formula>"Napkin Hs"</formula>
    </cfRule>
  </conditionalFormatting>
  <conditionalFormatting sqref="B91">
    <cfRule type="cellIs" dxfId="1031" priority="1017" stopIfTrue="1" operator="equal">
      <formula>"Towel"</formula>
    </cfRule>
    <cfRule type="cellIs" dxfId="1030" priority="1018" stopIfTrue="1" operator="equal">
      <formula>"Napkin Hs"</formula>
    </cfRule>
  </conditionalFormatting>
  <conditionalFormatting sqref="C91">
    <cfRule type="cellIs" dxfId="1029" priority="1019" stopIfTrue="1" operator="equal">
      <formula>"Towel"</formula>
    </cfRule>
    <cfRule type="cellIs" dxfId="1028" priority="1020" stopIfTrue="1" operator="equal">
      <formula>"Napkin Hs"</formula>
    </cfRule>
  </conditionalFormatting>
  <conditionalFormatting sqref="C91">
    <cfRule type="cellIs" dxfId="1027" priority="1028" stopIfTrue="1" operator="equal">
      <formula>"Napkin Hs"</formula>
    </cfRule>
  </conditionalFormatting>
  <conditionalFormatting sqref="C91">
    <cfRule type="cellIs" dxfId="1026" priority="1027" stopIfTrue="1" operator="equal">
      <formula>"Towel"</formula>
    </cfRule>
  </conditionalFormatting>
  <conditionalFormatting sqref="C91">
    <cfRule type="cellIs" dxfId="1025" priority="1023" stopIfTrue="1" operator="equal">
      <formula>"Towel"</formula>
    </cfRule>
    <cfRule type="cellIs" dxfId="1024" priority="1024" stopIfTrue="1" operator="equal">
      <formula>"Napkin Hs"</formula>
    </cfRule>
  </conditionalFormatting>
  <conditionalFormatting sqref="C91">
    <cfRule type="cellIs" dxfId="1023" priority="1022" stopIfTrue="1" operator="equal">
      <formula>"Napkin Hs"</formula>
    </cfRule>
  </conditionalFormatting>
  <conditionalFormatting sqref="C91">
    <cfRule type="cellIs" dxfId="1022" priority="1021" stopIfTrue="1" operator="equal">
      <formula>"Towel"</formula>
    </cfRule>
  </conditionalFormatting>
  <conditionalFormatting sqref="B91:C91">
    <cfRule type="cellIs" dxfId="1021" priority="1013" stopIfTrue="1" operator="equal">
      <formula>"Towel"</formula>
    </cfRule>
    <cfRule type="cellIs" dxfId="1020" priority="1014" stopIfTrue="1" operator="equal">
      <formula>"Napkin Hs"</formula>
    </cfRule>
  </conditionalFormatting>
  <conditionalFormatting sqref="C91">
    <cfRule type="cellIs" dxfId="1019" priority="1012" stopIfTrue="1" operator="equal">
      <formula>"Napkin Hs"</formula>
    </cfRule>
  </conditionalFormatting>
  <conditionalFormatting sqref="C91">
    <cfRule type="cellIs" dxfId="1018" priority="1011" stopIfTrue="1" operator="equal">
      <formula>"Towel"</formula>
    </cfRule>
  </conditionalFormatting>
  <conditionalFormatting sqref="C91">
    <cfRule type="cellIs" dxfId="1017" priority="1009" stopIfTrue="1" operator="equal">
      <formula>"Towel"</formula>
    </cfRule>
    <cfRule type="cellIs" dxfId="1016" priority="1010" stopIfTrue="1" operator="equal">
      <formula>"Napkin Hs"</formula>
    </cfRule>
  </conditionalFormatting>
  <conditionalFormatting sqref="B91:C91">
    <cfRule type="cellIs" dxfId="1015" priority="1007" stopIfTrue="1" operator="equal">
      <formula>"Towel"</formula>
    </cfRule>
    <cfRule type="cellIs" dxfId="1014" priority="1008" stopIfTrue="1" operator="equal">
      <formula>"Napkin Hs"</formula>
    </cfRule>
  </conditionalFormatting>
  <conditionalFormatting sqref="C91">
    <cfRule type="cellIs" dxfId="1013" priority="1005" stopIfTrue="1" operator="equal">
      <formula>"Towel"</formula>
    </cfRule>
    <cfRule type="cellIs" dxfId="1012" priority="1006" stopIfTrue="1" operator="equal">
      <formula>"Napkin Hs"</formula>
    </cfRule>
  </conditionalFormatting>
  <conditionalFormatting sqref="C91">
    <cfRule type="cellIs" dxfId="1011" priority="1003" stopIfTrue="1" operator="equal">
      <formula>"Towel"</formula>
    </cfRule>
    <cfRule type="cellIs" dxfId="1010" priority="1004" stopIfTrue="1" operator="equal">
      <formula>"Napkin Hs"</formula>
    </cfRule>
  </conditionalFormatting>
  <conditionalFormatting sqref="C91">
    <cfRule type="cellIs" dxfId="1009" priority="997" stopIfTrue="1" operator="equal">
      <formula>"Towel"</formula>
    </cfRule>
    <cfRule type="cellIs" dxfId="1008" priority="998" stopIfTrue="1" operator="equal">
      <formula>"Napkin Hs"</formula>
    </cfRule>
  </conditionalFormatting>
  <conditionalFormatting sqref="B91">
    <cfRule type="cellIs" dxfId="1007" priority="987" stopIfTrue="1" operator="equal">
      <formula>"Towel"</formula>
    </cfRule>
    <cfRule type="cellIs" dxfId="1006" priority="988" stopIfTrue="1" operator="equal">
      <formula>"Napkin Hs"</formula>
    </cfRule>
  </conditionalFormatting>
  <conditionalFormatting sqref="C91">
    <cfRule type="cellIs" dxfId="1005" priority="991" stopIfTrue="1" operator="equal">
      <formula>"Towel"</formula>
    </cfRule>
    <cfRule type="cellIs" dxfId="1004" priority="992" stopIfTrue="1" operator="equal">
      <formula>"Napkin Hs"</formula>
    </cfRule>
  </conditionalFormatting>
  <conditionalFormatting sqref="C91">
    <cfRule type="cellIs" dxfId="1003" priority="1001" stopIfTrue="1" operator="equal">
      <formula>"Towel"</formula>
    </cfRule>
    <cfRule type="cellIs" dxfId="1002" priority="1002" stopIfTrue="1" operator="equal">
      <formula>"Napkin Hs"</formula>
    </cfRule>
  </conditionalFormatting>
  <conditionalFormatting sqref="B91">
    <cfRule type="cellIs" dxfId="1001" priority="989" stopIfTrue="1" operator="equal">
      <formula>"Towel"</formula>
    </cfRule>
    <cfRule type="cellIs" dxfId="1000" priority="990" stopIfTrue="1" operator="equal">
      <formula>"Napkin Hs"</formula>
    </cfRule>
  </conditionalFormatting>
  <conditionalFormatting sqref="C91">
    <cfRule type="cellIs" dxfId="999" priority="1000" stopIfTrue="1" operator="equal">
      <formula>"Napkin Hs"</formula>
    </cfRule>
  </conditionalFormatting>
  <conditionalFormatting sqref="C91">
    <cfRule type="cellIs" dxfId="998" priority="999" stopIfTrue="1" operator="equal">
      <formula>"Towel"</formula>
    </cfRule>
  </conditionalFormatting>
  <conditionalFormatting sqref="C91">
    <cfRule type="cellIs" dxfId="997" priority="995" stopIfTrue="1" operator="equal">
      <formula>"Towel"</formula>
    </cfRule>
    <cfRule type="cellIs" dxfId="996" priority="996" stopIfTrue="1" operator="equal">
      <formula>"Napkin Hs"</formula>
    </cfRule>
  </conditionalFormatting>
  <conditionalFormatting sqref="C91">
    <cfRule type="cellIs" dxfId="995" priority="994" stopIfTrue="1" operator="equal">
      <formula>"Napkin Hs"</formula>
    </cfRule>
  </conditionalFormatting>
  <conditionalFormatting sqref="C91">
    <cfRule type="cellIs" dxfId="994" priority="993" stopIfTrue="1" operator="equal">
      <formula>"Towel"</formula>
    </cfRule>
  </conditionalFormatting>
  <conditionalFormatting sqref="C91">
    <cfRule type="cellIs" dxfId="993" priority="986" stopIfTrue="1" operator="equal">
      <formula>"Napkin Hs"</formula>
    </cfRule>
  </conditionalFormatting>
  <conditionalFormatting sqref="C91">
    <cfRule type="cellIs" dxfId="992" priority="985" stopIfTrue="1" operator="equal">
      <formula>"Napkin Hs"</formula>
    </cfRule>
  </conditionalFormatting>
  <conditionalFormatting sqref="B98:C98">
    <cfRule type="cellIs" dxfId="991" priority="983" stopIfTrue="1" operator="equal">
      <formula>"Towel"</formula>
    </cfRule>
    <cfRule type="cellIs" dxfId="990" priority="984" stopIfTrue="1" operator="equal">
      <formula>"Napkin Hs"</formula>
    </cfRule>
  </conditionalFormatting>
  <conditionalFormatting sqref="C98">
    <cfRule type="cellIs" dxfId="989" priority="981" stopIfTrue="1" operator="equal">
      <formula>"Towel"</formula>
    </cfRule>
    <cfRule type="cellIs" dxfId="988" priority="982" stopIfTrue="1" operator="equal">
      <formula>"Napkin Hs"</formula>
    </cfRule>
  </conditionalFormatting>
  <conditionalFormatting sqref="C98">
    <cfRule type="cellIs" dxfId="987" priority="979" stopIfTrue="1" operator="equal">
      <formula>"Towel"</formula>
    </cfRule>
    <cfRule type="cellIs" dxfId="986" priority="980" stopIfTrue="1" operator="equal">
      <formula>"Napkin Hs"</formula>
    </cfRule>
  </conditionalFormatting>
  <conditionalFormatting sqref="C98">
    <cfRule type="cellIs" dxfId="985" priority="973" stopIfTrue="1" operator="equal">
      <formula>"Towel"</formula>
    </cfRule>
    <cfRule type="cellIs" dxfId="984" priority="974" stopIfTrue="1" operator="equal">
      <formula>"Napkin Hs"</formula>
    </cfRule>
  </conditionalFormatting>
  <conditionalFormatting sqref="B98">
    <cfRule type="cellIs" dxfId="983" priority="963" stopIfTrue="1" operator="equal">
      <formula>"Towel"</formula>
    </cfRule>
    <cfRule type="cellIs" dxfId="982" priority="964" stopIfTrue="1" operator="equal">
      <formula>"Napkin Hs"</formula>
    </cfRule>
  </conditionalFormatting>
  <conditionalFormatting sqref="C98">
    <cfRule type="cellIs" dxfId="981" priority="967" stopIfTrue="1" operator="equal">
      <formula>"Towel"</formula>
    </cfRule>
    <cfRule type="cellIs" dxfId="980" priority="968" stopIfTrue="1" operator="equal">
      <formula>"Napkin Hs"</formula>
    </cfRule>
  </conditionalFormatting>
  <conditionalFormatting sqref="C98">
    <cfRule type="cellIs" dxfId="979" priority="977" stopIfTrue="1" operator="equal">
      <formula>"Towel"</formula>
    </cfRule>
    <cfRule type="cellIs" dxfId="978" priority="978" stopIfTrue="1" operator="equal">
      <formula>"Napkin Hs"</formula>
    </cfRule>
  </conditionalFormatting>
  <conditionalFormatting sqref="B98">
    <cfRule type="cellIs" dxfId="977" priority="965" stopIfTrue="1" operator="equal">
      <formula>"Towel"</formula>
    </cfRule>
    <cfRule type="cellIs" dxfId="976" priority="966" stopIfTrue="1" operator="equal">
      <formula>"Napkin Hs"</formula>
    </cfRule>
  </conditionalFormatting>
  <conditionalFormatting sqref="C98">
    <cfRule type="cellIs" dxfId="975" priority="976" stopIfTrue="1" operator="equal">
      <formula>"Napkin Hs"</formula>
    </cfRule>
  </conditionalFormatting>
  <conditionalFormatting sqref="C98">
    <cfRule type="cellIs" dxfId="974" priority="975" stopIfTrue="1" operator="equal">
      <formula>"Towel"</formula>
    </cfRule>
  </conditionalFormatting>
  <conditionalFormatting sqref="C98">
    <cfRule type="cellIs" dxfId="973" priority="971" stopIfTrue="1" operator="equal">
      <formula>"Towel"</formula>
    </cfRule>
    <cfRule type="cellIs" dxfId="972" priority="972" stopIfTrue="1" operator="equal">
      <formula>"Napkin Hs"</formula>
    </cfRule>
  </conditionalFormatting>
  <conditionalFormatting sqref="C98">
    <cfRule type="cellIs" dxfId="971" priority="970" stopIfTrue="1" operator="equal">
      <formula>"Napkin Hs"</formula>
    </cfRule>
  </conditionalFormatting>
  <conditionalFormatting sqref="C98">
    <cfRule type="cellIs" dxfId="970" priority="969" stopIfTrue="1" operator="equal">
      <formula>"Towel"</formula>
    </cfRule>
  </conditionalFormatting>
  <conditionalFormatting sqref="B97:C97">
    <cfRule type="cellIs" dxfId="969" priority="961" stopIfTrue="1" operator="equal">
      <formula>"Towel"</formula>
    </cfRule>
    <cfRule type="cellIs" dxfId="968" priority="962" stopIfTrue="1" operator="equal">
      <formula>"Napkin Hs"</formula>
    </cfRule>
  </conditionalFormatting>
  <conditionalFormatting sqref="C97">
    <cfRule type="cellIs" dxfId="967" priority="960" stopIfTrue="1" operator="equal">
      <formula>"Napkin Hs"</formula>
    </cfRule>
  </conditionalFormatting>
  <conditionalFormatting sqref="C97">
    <cfRule type="cellIs" dxfId="966" priority="957" stopIfTrue="1" operator="equal">
      <formula>"Towel"</formula>
    </cfRule>
    <cfRule type="cellIs" dxfId="965" priority="958" stopIfTrue="1" operator="equal">
      <formula>"Napkin Hs"</formula>
    </cfRule>
  </conditionalFormatting>
  <conditionalFormatting sqref="C97">
    <cfRule type="cellIs" dxfId="964" priority="959" stopIfTrue="1" operator="equal">
      <formula>"Towel"</formula>
    </cfRule>
  </conditionalFormatting>
  <conditionalFormatting sqref="B96">
    <cfRule type="cellIs" dxfId="963" priority="941" stopIfTrue="1" operator="equal">
      <formula>"Towel"</formula>
    </cfRule>
    <cfRule type="cellIs" dxfId="962" priority="942" stopIfTrue="1" operator="equal">
      <formula>"Napkin Hs"</formula>
    </cfRule>
  </conditionalFormatting>
  <conditionalFormatting sqref="C96">
    <cfRule type="cellIs" dxfId="961" priority="955" stopIfTrue="1" operator="equal">
      <formula>"Towel"</formula>
    </cfRule>
    <cfRule type="cellIs" dxfId="960" priority="956" stopIfTrue="1" operator="equal">
      <formula>"Napkin Hs"</formula>
    </cfRule>
  </conditionalFormatting>
  <conditionalFormatting sqref="C96">
    <cfRule type="cellIs" dxfId="959" priority="951" stopIfTrue="1" operator="equal">
      <formula>"Towel"</formula>
    </cfRule>
    <cfRule type="cellIs" dxfId="958" priority="952" stopIfTrue="1" operator="equal">
      <formula>"Napkin Hs"</formula>
    </cfRule>
  </conditionalFormatting>
  <conditionalFormatting sqref="B96">
    <cfRule type="cellIs" dxfId="957" priority="943" stopIfTrue="1" operator="equal">
      <formula>"Towel"</formula>
    </cfRule>
    <cfRule type="cellIs" dxfId="956" priority="944" stopIfTrue="1" operator="equal">
      <formula>"Napkin Hs"</formula>
    </cfRule>
  </conditionalFormatting>
  <conditionalFormatting sqref="C96">
    <cfRule type="cellIs" dxfId="955" priority="945" stopIfTrue="1" operator="equal">
      <formula>"Towel"</formula>
    </cfRule>
    <cfRule type="cellIs" dxfId="954" priority="946" stopIfTrue="1" operator="equal">
      <formula>"Napkin Hs"</formula>
    </cfRule>
  </conditionalFormatting>
  <conditionalFormatting sqref="C96">
    <cfRule type="cellIs" dxfId="953" priority="954" stopIfTrue="1" operator="equal">
      <formula>"Napkin Hs"</formula>
    </cfRule>
  </conditionalFormatting>
  <conditionalFormatting sqref="C96">
    <cfRule type="cellIs" dxfId="952" priority="953" stopIfTrue="1" operator="equal">
      <formula>"Towel"</formula>
    </cfRule>
  </conditionalFormatting>
  <conditionalFormatting sqref="C96">
    <cfRule type="cellIs" dxfId="951" priority="949" stopIfTrue="1" operator="equal">
      <formula>"Towel"</formula>
    </cfRule>
    <cfRule type="cellIs" dxfId="950" priority="950" stopIfTrue="1" operator="equal">
      <formula>"Napkin Hs"</formula>
    </cfRule>
  </conditionalFormatting>
  <conditionalFormatting sqref="C96">
    <cfRule type="cellIs" dxfId="949" priority="948" stopIfTrue="1" operator="equal">
      <formula>"Napkin Hs"</formula>
    </cfRule>
  </conditionalFormatting>
  <conditionalFormatting sqref="C96">
    <cfRule type="cellIs" dxfId="948" priority="947" stopIfTrue="1" operator="equal">
      <formula>"Towel"</formula>
    </cfRule>
  </conditionalFormatting>
  <conditionalFormatting sqref="B96:C96">
    <cfRule type="cellIs" dxfId="947" priority="939" stopIfTrue="1" operator="equal">
      <formula>"Towel"</formula>
    </cfRule>
    <cfRule type="cellIs" dxfId="946" priority="940" stopIfTrue="1" operator="equal">
      <formula>"Napkin Hs"</formula>
    </cfRule>
  </conditionalFormatting>
  <conditionalFormatting sqref="C96">
    <cfRule type="cellIs" dxfId="945" priority="938" stopIfTrue="1" operator="equal">
      <formula>"Napkin Hs"</formula>
    </cfRule>
  </conditionalFormatting>
  <conditionalFormatting sqref="C96">
    <cfRule type="cellIs" dxfId="944" priority="937" stopIfTrue="1" operator="equal">
      <formula>"Towel"</formula>
    </cfRule>
  </conditionalFormatting>
  <conditionalFormatting sqref="C96">
    <cfRule type="cellIs" dxfId="943" priority="935" stopIfTrue="1" operator="equal">
      <formula>"Towel"</formula>
    </cfRule>
    <cfRule type="cellIs" dxfId="942" priority="936" stopIfTrue="1" operator="equal">
      <formula>"Napkin Hs"</formula>
    </cfRule>
  </conditionalFormatting>
  <conditionalFormatting sqref="B96:C96">
    <cfRule type="cellIs" dxfId="941" priority="933" stopIfTrue="1" operator="equal">
      <formula>"Towel"</formula>
    </cfRule>
    <cfRule type="cellIs" dxfId="940" priority="934" stopIfTrue="1" operator="equal">
      <formula>"Napkin Hs"</formula>
    </cfRule>
  </conditionalFormatting>
  <conditionalFormatting sqref="C96">
    <cfRule type="cellIs" dxfId="939" priority="931" stopIfTrue="1" operator="equal">
      <formula>"Towel"</formula>
    </cfRule>
    <cfRule type="cellIs" dxfId="938" priority="932" stopIfTrue="1" operator="equal">
      <formula>"Napkin Hs"</formula>
    </cfRule>
  </conditionalFormatting>
  <conditionalFormatting sqref="C96">
    <cfRule type="cellIs" dxfId="937" priority="929" stopIfTrue="1" operator="equal">
      <formula>"Towel"</formula>
    </cfRule>
    <cfRule type="cellIs" dxfId="936" priority="930" stopIfTrue="1" operator="equal">
      <formula>"Napkin Hs"</formula>
    </cfRule>
  </conditionalFormatting>
  <conditionalFormatting sqref="C96">
    <cfRule type="cellIs" dxfId="935" priority="923" stopIfTrue="1" operator="equal">
      <formula>"Towel"</formula>
    </cfRule>
    <cfRule type="cellIs" dxfId="934" priority="924" stopIfTrue="1" operator="equal">
      <formula>"Napkin Hs"</formula>
    </cfRule>
  </conditionalFormatting>
  <conditionalFormatting sqref="B96">
    <cfRule type="cellIs" dxfId="933" priority="913" stopIfTrue="1" operator="equal">
      <formula>"Towel"</formula>
    </cfRule>
    <cfRule type="cellIs" dxfId="932" priority="914" stopIfTrue="1" operator="equal">
      <formula>"Napkin Hs"</formula>
    </cfRule>
  </conditionalFormatting>
  <conditionalFormatting sqref="C96">
    <cfRule type="cellIs" dxfId="931" priority="917" stopIfTrue="1" operator="equal">
      <formula>"Towel"</formula>
    </cfRule>
    <cfRule type="cellIs" dxfId="930" priority="918" stopIfTrue="1" operator="equal">
      <formula>"Napkin Hs"</formula>
    </cfRule>
  </conditionalFormatting>
  <conditionalFormatting sqref="C96">
    <cfRule type="cellIs" dxfId="929" priority="927" stopIfTrue="1" operator="equal">
      <formula>"Towel"</formula>
    </cfRule>
    <cfRule type="cellIs" dxfId="928" priority="928" stopIfTrue="1" operator="equal">
      <formula>"Napkin Hs"</formula>
    </cfRule>
  </conditionalFormatting>
  <conditionalFormatting sqref="B96">
    <cfRule type="cellIs" dxfId="927" priority="915" stopIfTrue="1" operator="equal">
      <formula>"Towel"</formula>
    </cfRule>
    <cfRule type="cellIs" dxfId="926" priority="916" stopIfTrue="1" operator="equal">
      <formula>"Napkin Hs"</formula>
    </cfRule>
  </conditionalFormatting>
  <conditionalFormatting sqref="C96">
    <cfRule type="cellIs" dxfId="925" priority="926" stopIfTrue="1" operator="equal">
      <formula>"Napkin Hs"</formula>
    </cfRule>
  </conditionalFormatting>
  <conditionalFormatting sqref="C96">
    <cfRule type="cellIs" dxfId="924" priority="925" stopIfTrue="1" operator="equal">
      <formula>"Towel"</formula>
    </cfRule>
  </conditionalFormatting>
  <conditionalFormatting sqref="C96">
    <cfRule type="cellIs" dxfId="923" priority="921" stopIfTrue="1" operator="equal">
      <formula>"Towel"</formula>
    </cfRule>
    <cfRule type="cellIs" dxfId="922" priority="922" stopIfTrue="1" operator="equal">
      <formula>"Napkin Hs"</formula>
    </cfRule>
  </conditionalFormatting>
  <conditionalFormatting sqref="C96">
    <cfRule type="cellIs" dxfId="921" priority="920" stopIfTrue="1" operator="equal">
      <formula>"Napkin Hs"</formula>
    </cfRule>
  </conditionalFormatting>
  <conditionalFormatting sqref="C96">
    <cfRule type="cellIs" dxfId="920" priority="919" stopIfTrue="1" operator="equal">
      <formula>"Towel"</formula>
    </cfRule>
  </conditionalFormatting>
  <conditionalFormatting sqref="C96">
    <cfRule type="cellIs" dxfId="919" priority="912" stopIfTrue="1" operator="equal">
      <formula>"Napkin Hs"</formula>
    </cfRule>
  </conditionalFormatting>
  <conditionalFormatting sqref="C96">
    <cfRule type="cellIs" dxfId="918" priority="911" stopIfTrue="1" operator="equal">
      <formula>"Napkin Hs"</formula>
    </cfRule>
  </conditionalFormatting>
  <conditionalFormatting sqref="B95">
    <cfRule type="cellIs" dxfId="917" priority="895" stopIfTrue="1" operator="equal">
      <formula>"Towel"</formula>
    </cfRule>
    <cfRule type="cellIs" dxfId="916" priority="896" stopIfTrue="1" operator="equal">
      <formula>"Napkin Hs"</formula>
    </cfRule>
  </conditionalFormatting>
  <conditionalFormatting sqref="C95">
    <cfRule type="cellIs" dxfId="915" priority="909" stopIfTrue="1" operator="equal">
      <formula>"Towel"</formula>
    </cfRule>
    <cfRule type="cellIs" dxfId="914" priority="910" stopIfTrue="1" operator="equal">
      <formula>"Napkin Hs"</formula>
    </cfRule>
  </conditionalFormatting>
  <conditionalFormatting sqref="C95">
    <cfRule type="cellIs" dxfId="913" priority="905" stopIfTrue="1" operator="equal">
      <formula>"Towel"</formula>
    </cfRule>
    <cfRule type="cellIs" dxfId="912" priority="906" stopIfTrue="1" operator="equal">
      <formula>"Napkin Hs"</formula>
    </cfRule>
  </conditionalFormatting>
  <conditionalFormatting sqref="B95">
    <cfRule type="cellIs" dxfId="911" priority="897" stopIfTrue="1" operator="equal">
      <formula>"Towel"</formula>
    </cfRule>
    <cfRule type="cellIs" dxfId="910" priority="898" stopIfTrue="1" operator="equal">
      <formula>"Napkin Hs"</formula>
    </cfRule>
  </conditionalFormatting>
  <conditionalFormatting sqref="C95">
    <cfRule type="cellIs" dxfId="909" priority="899" stopIfTrue="1" operator="equal">
      <formula>"Towel"</formula>
    </cfRule>
    <cfRule type="cellIs" dxfId="908" priority="900" stopIfTrue="1" operator="equal">
      <formula>"Napkin Hs"</formula>
    </cfRule>
  </conditionalFormatting>
  <conditionalFormatting sqref="C95">
    <cfRule type="cellIs" dxfId="907" priority="908" stopIfTrue="1" operator="equal">
      <formula>"Napkin Hs"</formula>
    </cfRule>
  </conditionalFormatting>
  <conditionalFormatting sqref="C95">
    <cfRule type="cellIs" dxfId="906" priority="907" stopIfTrue="1" operator="equal">
      <formula>"Towel"</formula>
    </cfRule>
  </conditionalFormatting>
  <conditionalFormatting sqref="C95">
    <cfRule type="cellIs" dxfId="905" priority="903" stopIfTrue="1" operator="equal">
      <formula>"Towel"</formula>
    </cfRule>
    <cfRule type="cellIs" dxfId="904" priority="904" stopIfTrue="1" operator="equal">
      <formula>"Napkin Hs"</formula>
    </cfRule>
  </conditionalFormatting>
  <conditionalFormatting sqref="C95">
    <cfRule type="cellIs" dxfId="903" priority="902" stopIfTrue="1" operator="equal">
      <formula>"Napkin Hs"</formula>
    </cfRule>
  </conditionalFormatting>
  <conditionalFormatting sqref="C95">
    <cfRule type="cellIs" dxfId="902" priority="901" stopIfTrue="1" operator="equal">
      <formula>"Towel"</formula>
    </cfRule>
  </conditionalFormatting>
  <conditionalFormatting sqref="B95:C95">
    <cfRule type="cellIs" dxfId="901" priority="893" stopIfTrue="1" operator="equal">
      <formula>"Towel"</formula>
    </cfRule>
    <cfRule type="cellIs" dxfId="900" priority="894" stopIfTrue="1" operator="equal">
      <formula>"Napkin Hs"</formula>
    </cfRule>
  </conditionalFormatting>
  <conditionalFormatting sqref="C95">
    <cfRule type="cellIs" dxfId="899" priority="892" stopIfTrue="1" operator="equal">
      <formula>"Napkin Hs"</formula>
    </cfRule>
  </conditionalFormatting>
  <conditionalFormatting sqref="C95">
    <cfRule type="cellIs" dxfId="898" priority="891" stopIfTrue="1" operator="equal">
      <formula>"Towel"</formula>
    </cfRule>
  </conditionalFormatting>
  <conditionalFormatting sqref="C95">
    <cfRule type="cellIs" dxfId="897" priority="889" stopIfTrue="1" operator="equal">
      <formula>"Towel"</formula>
    </cfRule>
    <cfRule type="cellIs" dxfId="896" priority="890" stopIfTrue="1" operator="equal">
      <formula>"Napkin Hs"</formula>
    </cfRule>
  </conditionalFormatting>
  <conditionalFormatting sqref="B95:C95">
    <cfRule type="cellIs" dxfId="895" priority="887" stopIfTrue="1" operator="equal">
      <formula>"Towel"</formula>
    </cfRule>
    <cfRule type="cellIs" dxfId="894" priority="888" stopIfTrue="1" operator="equal">
      <formula>"Napkin Hs"</formula>
    </cfRule>
  </conditionalFormatting>
  <conditionalFormatting sqref="C95">
    <cfRule type="cellIs" dxfId="893" priority="885" stopIfTrue="1" operator="equal">
      <formula>"Towel"</formula>
    </cfRule>
    <cfRule type="cellIs" dxfId="892" priority="886" stopIfTrue="1" operator="equal">
      <formula>"Napkin Hs"</formula>
    </cfRule>
  </conditionalFormatting>
  <conditionalFormatting sqref="C95">
    <cfRule type="cellIs" dxfId="891" priority="883" stopIfTrue="1" operator="equal">
      <formula>"Towel"</formula>
    </cfRule>
    <cfRule type="cellIs" dxfId="890" priority="884" stopIfTrue="1" operator="equal">
      <formula>"Napkin Hs"</formula>
    </cfRule>
  </conditionalFormatting>
  <conditionalFormatting sqref="C95">
    <cfRule type="cellIs" dxfId="889" priority="877" stopIfTrue="1" operator="equal">
      <formula>"Towel"</formula>
    </cfRule>
    <cfRule type="cellIs" dxfId="888" priority="878" stopIfTrue="1" operator="equal">
      <formula>"Napkin Hs"</formula>
    </cfRule>
  </conditionalFormatting>
  <conditionalFormatting sqref="B95">
    <cfRule type="cellIs" dxfId="887" priority="867" stopIfTrue="1" operator="equal">
      <formula>"Towel"</formula>
    </cfRule>
    <cfRule type="cellIs" dxfId="886" priority="868" stopIfTrue="1" operator="equal">
      <formula>"Napkin Hs"</formula>
    </cfRule>
  </conditionalFormatting>
  <conditionalFormatting sqref="C95">
    <cfRule type="cellIs" dxfId="885" priority="871" stopIfTrue="1" operator="equal">
      <formula>"Towel"</formula>
    </cfRule>
    <cfRule type="cellIs" dxfId="884" priority="872" stopIfTrue="1" operator="equal">
      <formula>"Napkin Hs"</formula>
    </cfRule>
  </conditionalFormatting>
  <conditionalFormatting sqref="C95">
    <cfRule type="cellIs" dxfId="883" priority="881" stopIfTrue="1" operator="equal">
      <formula>"Towel"</formula>
    </cfRule>
    <cfRule type="cellIs" dxfId="882" priority="882" stopIfTrue="1" operator="equal">
      <formula>"Napkin Hs"</formula>
    </cfRule>
  </conditionalFormatting>
  <conditionalFormatting sqref="B95">
    <cfRule type="cellIs" dxfId="881" priority="869" stopIfTrue="1" operator="equal">
      <formula>"Towel"</formula>
    </cfRule>
    <cfRule type="cellIs" dxfId="880" priority="870" stopIfTrue="1" operator="equal">
      <formula>"Napkin Hs"</formula>
    </cfRule>
  </conditionalFormatting>
  <conditionalFormatting sqref="C95">
    <cfRule type="cellIs" dxfId="879" priority="880" stopIfTrue="1" operator="equal">
      <formula>"Napkin Hs"</formula>
    </cfRule>
  </conditionalFormatting>
  <conditionalFormatting sqref="C95">
    <cfRule type="cellIs" dxfId="878" priority="879" stopIfTrue="1" operator="equal">
      <formula>"Towel"</formula>
    </cfRule>
  </conditionalFormatting>
  <conditionalFormatting sqref="C95">
    <cfRule type="cellIs" dxfId="877" priority="875" stopIfTrue="1" operator="equal">
      <formula>"Towel"</formula>
    </cfRule>
    <cfRule type="cellIs" dxfId="876" priority="876" stopIfTrue="1" operator="equal">
      <formula>"Napkin Hs"</formula>
    </cfRule>
  </conditionalFormatting>
  <conditionalFormatting sqref="C95">
    <cfRule type="cellIs" dxfId="875" priority="874" stopIfTrue="1" operator="equal">
      <formula>"Napkin Hs"</formula>
    </cfRule>
  </conditionalFormatting>
  <conditionalFormatting sqref="C95">
    <cfRule type="cellIs" dxfId="874" priority="873" stopIfTrue="1" operator="equal">
      <formula>"Towel"</formula>
    </cfRule>
  </conditionalFormatting>
  <conditionalFormatting sqref="C95">
    <cfRule type="cellIs" dxfId="873" priority="866" stopIfTrue="1" operator="equal">
      <formula>"Napkin Hs"</formula>
    </cfRule>
  </conditionalFormatting>
  <conditionalFormatting sqref="C95">
    <cfRule type="cellIs" dxfId="872" priority="865" stopIfTrue="1" operator="equal">
      <formula>"Napkin Hs"</formula>
    </cfRule>
  </conditionalFormatting>
  <conditionalFormatting sqref="B99:B102">
    <cfRule type="cellIs" dxfId="871" priority="849" stopIfTrue="1" operator="equal">
      <formula>"Towel"</formula>
    </cfRule>
    <cfRule type="cellIs" dxfId="870" priority="850" stopIfTrue="1" operator="equal">
      <formula>"Napkin Hs"</formula>
    </cfRule>
  </conditionalFormatting>
  <conditionalFormatting sqref="C99:C102">
    <cfRule type="cellIs" dxfId="869" priority="863" stopIfTrue="1" operator="equal">
      <formula>"Towel"</formula>
    </cfRule>
    <cfRule type="cellIs" dxfId="868" priority="864" stopIfTrue="1" operator="equal">
      <formula>"Napkin Hs"</formula>
    </cfRule>
  </conditionalFormatting>
  <conditionalFormatting sqref="C99:C102">
    <cfRule type="cellIs" dxfId="867" priority="859" stopIfTrue="1" operator="equal">
      <formula>"Towel"</formula>
    </cfRule>
    <cfRule type="cellIs" dxfId="866" priority="860" stopIfTrue="1" operator="equal">
      <formula>"Napkin Hs"</formula>
    </cfRule>
  </conditionalFormatting>
  <conditionalFormatting sqref="B99:B102">
    <cfRule type="cellIs" dxfId="865" priority="851" stopIfTrue="1" operator="equal">
      <formula>"Towel"</formula>
    </cfRule>
    <cfRule type="cellIs" dxfId="864" priority="852" stopIfTrue="1" operator="equal">
      <formula>"Napkin Hs"</formula>
    </cfRule>
  </conditionalFormatting>
  <conditionalFormatting sqref="C99:C102">
    <cfRule type="cellIs" dxfId="863" priority="853" stopIfTrue="1" operator="equal">
      <formula>"Towel"</formula>
    </cfRule>
    <cfRule type="cellIs" dxfId="862" priority="854" stopIfTrue="1" operator="equal">
      <formula>"Napkin Hs"</formula>
    </cfRule>
  </conditionalFormatting>
  <conditionalFormatting sqref="C99:C102">
    <cfRule type="cellIs" dxfId="861" priority="862" stopIfTrue="1" operator="equal">
      <formula>"Napkin Hs"</formula>
    </cfRule>
  </conditionalFormatting>
  <conditionalFormatting sqref="C99:C102">
    <cfRule type="cellIs" dxfId="860" priority="861" stopIfTrue="1" operator="equal">
      <formula>"Towel"</formula>
    </cfRule>
  </conditionalFormatting>
  <conditionalFormatting sqref="C99:C102">
    <cfRule type="cellIs" dxfId="859" priority="857" stopIfTrue="1" operator="equal">
      <formula>"Towel"</formula>
    </cfRule>
    <cfRule type="cellIs" dxfId="858" priority="858" stopIfTrue="1" operator="equal">
      <formula>"Napkin Hs"</formula>
    </cfRule>
  </conditionalFormatting>
  <conditionalFormatting sqref="C99:C102">
    <cfRule type="cellIs" dxfId="857" priority="856" stopIfTrue="1" operator="equal">
      <formula>"Napkin Hs"</formula>
    </cfRule>
  </conditionalFormatting>
  <conditionalFormatting sqref="C99:C102">
    <cfRule type="cellIs" dxfId="856" priority="855" stopIfTrue="1" operator="equal">
      <formula>"Towel"</formula>
    </cfRule>
  </conditionalFormatting>
  <conditionalFormatting sqref="B99:C102">
    <cfRule type="cellIs" dxfId="855" priority="847" stopIfTrue="1" operator="equal">
      <formula>"Towel"</formula>
    </cfRule>
    <cfRule type="cellIs" dxfId="854" priority="848" stopIfTrue="1" operator="equal">
      <formula>"Napkin Hs"</formula>
    </cfRule>
  </conditionalFormatting>
  <conditionalFormatting sqref="C99:C102">
    <cfRule type="cellIs" dxfId="853" priority="846" stopIfTrue="1" operator="equal">
      <formula>"Napkin Hs"</formula>
    </cfRule>
  </conditionalFormatting>
  <conditionalFormatting sqref="C99:C102">
    <cfRule type="cellIs" dxfId="852" priority="845" stopIfTrue="1" operator="equal">
      <formula>"Towel"</formula>
    </cfRule>
  </conditionalFormatting>
  <conditionalFormatting sqref="C99:C102">
    <cfRule type="cellIs" dxfId="851" priority="843" stopIfTrue="1" operator="equal">
      <formula>"Towel"</formula>
    </cfRule>
    <cfRule type="cellIs" dxfId="850" priority="844" stopIfTrue="1" operator="equal">
      <formula>"Napkin Hs"</formula>
    </cfRule>
  </conditionalFormatting>
  <conditionalFormatting sqref="B99:C102">
    <cfRule type="cellIs" dxfId="849" priority="841" stopIfTrue="1" operator="equal">
      <formula>"Towel"</formula>
    </cfRule>
    <cfRule type="cellIs" dxfId="848" priority="842" stopIfTrue="1" operator="equal">
      <formula>"Napkin Hs"</formula>
    </cfRule>
  </conditionalFormatting>
  <conditionalFormatting sqref="C99:C102">
    <cfRule type="cellIs" dxfId="847" priority="839" stopIfTrue="1" operator="equal">
      <formula>"Towel"</formula>
    </cfRule>
    <cfRule type="cellIs" dxfId="846" priority="840" stopIfTrue="1" operator="equal">
      <formula>"Napkin Hs"</formula>
    </cfRule>
  </conditionalFormatting>
  <conditionalFormatting sqref="C99:C102">
    <cfRule type="cellIs" dxfId="845" priority="837" stopIfTrue="1" operator="equal">
      <formula>"Towel"</formula>
    </cfRule>
    <cfRule type="cellIs" dxfId="844" priority="838" stopIfTrue="1" operator="equal">
      <formula>"Napkin Hs"</formula>
    </cfRule>
  </conditionalFormatting>
  <conditionalFormatting sqref="C99:C102">
    <cfRule type="cellIs" dxfId="843" priority="831" stopIfTrue="1" operator="equal">
      <formula>"Towel"</formula>
    </cfRule>
    <cfRule type="cellIs" dxfId="842" priority="832" stopIfTrue="1" operator="equal">
      <formula>"Napkin Hs"</formula>
    </cfRule>
  </conditionalFormatting>
  <conditionalFormatting sqref="B99:B102">
    <cfRule type="cellIs" dxfId="841" priority="821" stopIfTrue="1" operator="equal">
      <formula>"Towel"</formula>
    </cfRule>
    <cfRule type="cellIs" dxfId="840" priority="822" stopIfTrue="1" operator="equal">
      <formula>"Napkin Hs"</formula>
    </cfRule>
  </conditionalFormatting>
  <conditionalFormatting sqref="C99:C102">
    <cfRule type="cellIs" dxfId="839" priority="825" stopIfTrue="1" operator="equal">
      <formula>"Towel"</formula>
    </cfRule>
    <cfRule type="cellIs" dxfId="838" priority="826" stopIfTrue="1" operator="equal">
      <formula>"Napkin Hs"</formula>
    </cfRule>
  </conditionalFormatting>
  <conditionalFormatting sqref="C99:C102">
    <cfRule type="cellIs" dxfId="837" priority="835" stopIfTrue="1" operator="equal">
      <formula>"Towel"</formula>
    </cfRule>
    <cfRule type="cellIs" dxfId="836" priority="836" stopIfTrue="1" operator="equal">
      <formula>"Napkin Hs"</formula>
    </cfRule>
  </conditionalFormatting>
  <conditionalFormatting sqref="B99:B102">
    <cfRule type="cellIs" dxfId="835" priority="823" stopIfTrue="1" operator="equal">
      <formula>"Towel"</formula>
    </cfRule>
    <cfRule type="cellIs" dxfId="834" priority="824" stopIfTrue="1" operator="equal">
      <formula>"Napkin Hs"</formula>
    </cfRule>
  </conditionalFormatting>
  <conditionalFormatting sqref="C99:C102">
    <cfRule type="cellIs" dxfId="833" priority="834" stopIfTrue="1" operator="equal">
      <formula>"Napkin Hs"</formula>
    </cfRule>
  </conditionalFormatting>
  <conditionalFormatting sqref="C99:C102">
    <cfRule type="cellIs" dxfId="832" priority="833" stopIfTrue="1" operator="equal">
      <formula>"Towel"</formula>
    </cfRule>
  </conditionalFormatting>
  <conditionalFormatting sqref="C99:C102">
    <cfRule type="cellIs" dxfId="831" priority="829" stopIfTrue="1" operator="equal">
      <formula>"Towel"</formula>
    </cfRule>
    <cfRule type="cellIs" dxfId="830" priority="830" stopIfTrue="1" operator="equal">
      <formula>"Napkin Hs"</formula>
    </cfRule>
  </conditionalFormatting>
  <conditionalFormatting sqref="C99:C102">
    <cfRule type="cellIs" dxfId="829" priority="828" stopIfTrue="1" operator="equal">
      <formula>"Napkin Hs"</formula>
    </cfRule>
  </conditionalFormatting>
  <conditionalFormatting sqref="C99:C102">
    <cfRule type="cellIs" dxfId="828" priority="827" stopIfTrue="1" operator="equal">
      <formula>"Towel"</formula>
    </cfRule>
  </conditionalFormatting>
  <conditionalFormatting sqref="C99:C102">
    <cfRule type="cellIs" dxfId="827" priority="820" stopIfTrue="1" operator="equal">
      <formula>"Napkin Hs"</formula>
    </cfRule>
  </conditionalFormatting>
  <conditionalFormatting sqref="C99:C102">
    <cfRule type="cellIs" dxfId="826" priority="819" stopIfTrue="1" operator="equal">
      <formula>"Napkin Hs"</formula>
    </cfRule>
  </conditionalFormatting>
  <conditionalFormatting sqref="B104:B106">
    <cfRule type="cellIs" dxfId="825" priority="803" stopIfTrue="1" operator="equal">
      <formula>"Towel"</formula>
    </cfRule>
    <cfRule type="cellIs" dxfId="824" priority="804" stopIfTrue="1" operator="equal">
      <formula>"Napkin Hs"</formula>
    </cfRule>
  </conditionalFormatting>
  <conditionalFormatting sqref="C104:C106">
    <cfRule type="cellIs" dxfId="823" priority="817" stopIfTrue="1" operator="equal">
      <formula>"Towel"</formula>
    </cfRule>
    <cfRule type="cellIs" dxfId="822" priority="818" stopIfTrue="1" operator="equal">
      <formula>"Napkin Hs"</formula>
    </cfRule>
  </conditionalFormatting>
  <conditionalFormatting sqref="C104:C106">
    <cfRule type="cellIs" dxfId="821" priority="813" stopIfTrue="1" operator="equal">
      <formula>"Towel"</formula>
    </cfRule>
    <cfRule type="cellIs" dxfId="820" priority="814" stopIfTrue="1" operator="equal">
      <formula>"Napkin Hs"</formula>
    </cfRule>
  </conditionalFormatting>
  <conditionalFormatting sqref="B104:B106">
    <cfRule type="cellIs" dxfId="819" priority="805" stopIfTrue="1" operator="equal">
      <formula>"Towel"</formula>
    </cfRule>
    <cfRule type="cellIs" dxfId="818" priority="806" stopIfTrue="1" operator="equal">
      <formula>"Napkin Hs"</formula>
    </cfRule>
  </conditionalFormatting>
  <conditionalFormatting sqref="C104:C106">
    <cfRule type="cellIs" dxfId="817" priority="807" stopIfTrue="1" operator="equal">
      <formula>"Towel"</formula>
    </cfRule>
    <cfRule type="cellIs" dxfId="816" priority="808" stopIfTrue="1" operator="equal">
      <formula>"Napkin Hs"</formula>
    </cfRule>
  </conditionalFormatting>
  <conditionalFormatting sqref="C104:C106">
    <cfRule type="cellIs" dxfId="815" priority="816" stopIfTrue="1" operator="equal">
      <formula>"Napkin Hs"</formula>
    </cfRule>
  </conditionalFormatting>
  <conditionalFormatting sqref="C104:C106">
    <cfRule type="cellIs" dxfId="814" priority="815" stopIfTrue="1" operator="equal">
      <formula>"Towel"</formula>
    </cfRule>
  </conditionalFormatting>
  <conditionalFormatting sqref="C104:C106">
    <cfRule type="cellIs" dxfId="813" priority="811" stopIfTrue="1" operator="equal">
      <formula>"Towel"</formula>
    </cfRule>
    <cfRule type="cellIs" dxfId="812" priority="812" stopIfTrue="1" operator="equal">
      <formula>"Napkin Hs"</formula>
    </cfRule>
  </conditionalFormatting>
  <conditionalFormatting sqref="C104:C106">
    <cfRule type="cellIs" dxfId="811" priority="810" stopIfTrue="1" operator="equal">
      <formula>"Napkin Hs"</formula>
    </cfRule>
  </conditionalFormatting>
  <conditionalFormatting sqref="C104:C106">
    <cfRule type="cellIs" dxfId="810" priority="809" stopIfTrue="1" operator="equal">
      <formula>"Towel"</formula>
    </cfRule>
  </conditionalFormatting>
  <conditionalFormatting sqref="B104:C106">
    <cfRule type="cellIs" dxfId="809" priority="801" stopIfTrue="1" operator="equal">
      <formula>"Towel"</formula>
    </cfRule>
    <cfRule type="cellIs" dxfId="808" priority="802" stopIfTrue="1" operator="equal">
      <formula>"Napkin Hs"</formula>
    </cfRule>
  </conditionalFormatting>
  <conditionalFormatting sqref="C104:C106">
    <cfRule type="cellIs" dxfId="807" priority="800" stopIfTrue="1" operator="equal">
      <formula>"Napkin Hs"</formula>
    </cfRule>
  </conditionalFormatting>
  <conditionalFormatting sqref="C104:C106">
    <cfRule type="cellIs" dxfId="806" priority="799" stopIfTrue="1" operator="equal">
      <formula>"Towel"</formula>
    </cfRule>
  </conditionalFormatting>
  <conditionalFormatting sqref="C104:C106">
    <cfRule type="cellIs" dxfId="805" priority="797" stopIfTrue="1" operator="equal">
      <formula>"Towel"</formula>
    </cfRule>
    <cfRule type="cellIs" dxfId="804" priority="798" stopIfTrue="1" operator="equal">
      <formula>"Napkin Hs"</formula>
    </cfRule>
  </conditionalFormatting>
  <conditionalFormatting sqref="B104:C106">
    <cfRule type="cellIs" dxfId="803" priority="795" stopIfTrue="1" operator="equal">
      <formula>"Towel"</formula>
    </cfRule>
    <cfRule type="cellIs" dxfId="802" priority="796" stopIfTrue="1" operator="equal">
      <formula>"Napkin Hs"</formula>
    </cfRule>
  </conditionalFormatting>
  <conditionalFormatting sqref="C104:C106">
    <cfRule type="cellIs" dxfId="801" priority="793" stopIfTrue="1" operator="equal">
      <formula>"Towel"</formula>
    </cfRule>
    <cfRule type="cellIs" dxfId="800" priority="794" stopIfTrue="1" operator="equal">
      <formula>"Napkin Hs"</formula>
    </cfRule>
  </conditionalFormatting>
  <conditionalFormatting sqref="C104:C106">
    <cfRule type="cellIs" dxfId="799" priority="791" stopIfTrue="1" operator="equal">
      <formula>"Towel"</formula>
    </cfRule>
    <cfRule type="cellIs" dxfId="798" priority="792" stopIfTrue="1" operator="equal">
      <formula>"Napkin Hs"</formula>
    </cfRule>
  </conditionalFormatting>
  <conditionalFormatting sqref="C104:C106">
    <cfRule type="cellIs" dxfId="797" priority="785" stopIfTrue="1" operator="equal">
      <formula>"Towel"</formula>
    </cfRule>
    <cfRule type="cellIs" dxfId="796" priority="786" stopIfTrue="1" operator="equal">
      <formula>"Napkin Hs"</formula>
    </cfRule>
  </conditionalFormatting>
  <conditionalFormatting sqref="B104:B106">
    <cfRule type="cellIs" dxfId="795" priority="775" stopIfTrue="1" operator="equal">
      <formula>"Towel"</formula>
    </cfRule>
    <cfRule type="cellIs" dxfId="794" priority="776" stopIfTrue="1" operator="equal">
      <formula>"Napkin Hs"</formula>
    </cfRule>
  </conditionalFormatting>
  <conditionalFormatting sqref="C104:C106">
    <cfRule type="cellIs" dxfId="793" priority="779" stopIfTrue="1" operator="equal">
      <formula>"Towel"</formula>
    </cfRule>
    <cfRule type="cellIs" dxfId="792" priority="780" stopIfTrue="1" operator="equal">
      <formula>"Napkin Hs"</formula>
    </cfRule>
  </conditionalFormatting>
  <conditionalFormatting sqref="C104:C106">
    <cfRule type="cellIs" dxfId="791" priority="789" stopIfTrue="1" operator="equal">
      <formula>"Towel"</formula>
    </cfRule>
    <cfRule type="cellIs" dxfId="790" priority="790" stopIfTrue="1" operator="equal">
      <formula>"Napkin Hs"</formula>
    </cfRule>
  </conditionalFormatting>
  <conditionalFormatting sqref="B104:B106">
    <cfRule type="cellIs" dxfId="789" priority="777" stopIfTrue="1" operator="equal">
      <formula>"Towel"</formula>
    </cfRule>
    <cfRule type="cellIs" dxfId="788" priority="778" stopIfTrue="1" operator="equal">
      <formula>"Napkin Hs"</formula>
    </cfRule>
  </conditionalFormatting>
  <conditionalFormatting sqref="C104:C106">
    <cfRule type="cellIs" dxfId="787" priority="788" stopIfTrue="1" operator="equal">
      <formula>"Napkin Hs"</formula>
    </cfRule>
  </conditionalFormatting>
  <conditionalFormatting sqref="C104:C106">
    <cfRule type="cellIs" dxfId="786" priority="787" stopIfTrue="1" operator="equal">
      <formula>"Towel"</formula>
    </cfRule>
  </conditionalFormatting>
  <conditionalFormatting sqref="C104:C106">
    <cfRule type="cellIs" dxfId="785" priority="783" stopIfTrue="1" operator="equal">
      <formula>"Towel"</formula>
    </cfRule>
    <cfRule type="cellIs" dxfId="784" priority="784" stopIfTrue="1" operator="equal">
      <formula>"Napkin Hs"</formula>
    </cfRule>
  </conditionalFormatting>
  <conditionalFormatting sqref="C104:C106">
    <cfRule type="cellIs" dxfId="783" priority="782" stopIfTrue="1" operator="equal">
      <formula>"Napkin Hs"</formula>
    </cfRule>
  </conditionalFormatting>
  <conditionalFormatting sqref="C104:C106">
    <cfRule type="cellIs" dxfId="782" priority="781" stopIfTrue="1" operator="equal">
      <formula>"Towel"</formula>
    </cfRule>
  </conditionalFormatting>
  <conditionalFormatting sqref="C104:C106">
    <cfRule type="cellIs" dxfId="781" priority="774" stopIfTrue="1" operator="equal">
      <formula>"Napkin Hs"</formula>
    </cfRule>
  </conditionalFormatting>
  <conditionalFormatting sqref="C104:C106">
    <cfRule type="cellIs" dxfId="780" priority="773" stopIfTrue="1" operator="equal">
      <formula>"Napkin Hs"</formula>
    </cfRule>
  </conditionalFormatting>
  <conditionalFormatting sqref="C111">
    <cfRule type="cellIs" dxfId="779" priority="767" stopIfTrue="1" operator="equal">
      <formula>"Towel"</formula>
    </cfRule>
    <cfRule type="cellIs" dxfId="778" priority="768" stopIfTrue="1" operator="equal">
      <formula>"Napkin Hs"</formula>
    </cfRule>
  </conditionalFormatting>
  <conditionalFormatting sqref="B111:C111">
    <cfRule type="cellIs" dxfId="777" priority="771" stopIfTrue="1" operator="equal">
      <formula>"Towel"</formula>
    </cfRule>
    <cfRule type="cellIs" dxfId="776" priority="772" stopIfTrue="1" operator="equal">
      <formula>"Napkin Hs"</formula>
    </cfRule>
  </conditionalFormatting>
  <conditionalFormatting sqref="C111">
    <cfRule type="cellIs" dxfId="775" priority="770" stopIfTrue="1" operator="equal">
      <formula>"Napkin Hs"</formula>
    </cfRule>
  </conditionalFormatting>
  <conditionalFormatting sqref="C111">
    <cfRule type="cellIs" dxfId="774" priority="769" stopIfTrue="1" operator="equal">
      <formula>"Towel"</formula>
    </cfRule>
  </conditionalFormatting>
  <conditionalFormatting sqref="B109:B110">
    <cfRule type="cellIs" dxfId="773" priority="751" stopIfTrue="1" operator="equal">
      <formula>"Towel"</formula>
    </cfRule>
    <cfRule type="cellIs" dxfId="772" priority="752" stopIfTrue="1" operator="equal">
      <formula>"Napkin Hs"</formula>
    </cfRule>
  </conditionalFormatting>
  <conditionalFormatting sqref="C109:C110">
    <cfRule type="cellIs" dxfId="771" priority="765" stopIfTrue="1" operator="equal">
      <formula>"Towel"</formula>
    </cfRule>
    <cfRule type="cellIs" dxfId="770" priority="766" stopIfTrue="1" operator="equal">
      <formula>"Napkin Hs"</formula>
    </cfRule>
  </conditionalFormatting>
  <conditionalFormatting sqref="C109:C110">
    <cfRule type="cellIs" dxfId="769" priority="761" stopIfTrue="1" operator="equal">
      <formula>"Towel"</formula>
    </cfRule>
    <cfRule type="cellIs" dxfId="768" priority="762" stopIfTrue="1" operator="equal">
      <formula>"Napkin Hs"</formula>
    </cfRule>
  </conditionalFormatting>
  <conditionalFormatting sqref="B109:B110">
    <cfRule type="cellIs" dxfId="767" priority="753" stopIfTrue="1" operator="equal">
      <formula>"Towel"</formula>
    </cfRule>
    <cfRule type="cellIs" dxfId="766" priority="754" stopIfTrue="1" operator="equal">
      <formula>"Napkin Hs"</formula>
    </cfRule>
  </conditionalFormatting>
  <conditionalFormatting sqref="C109:C110">
    <cfRule type="cellIs" dxfId="765" priority="755" stopIfTrue="1" operator="equal">
      <formula>"Towel"</formula>
    </cfRule>
    <cfRule type="cellIs" dxfId="764" priority="756" stopIfTrue="1" operator="equal">
      <formula>"Napkin Hs"</formula>
    </cfRule>
  </conditionalFormatting>
  <conditionalFormatting sqref="C109:C110">
    <cfRule type="cellIs" dxfId="763" priority="764" stopIfTrue="1" operator="equal">
      <formula>"Napkin Hs"</formula>
    </cfRule>
  </conditionalFormatting>
  <conditionalFormatting sqref="C109:C110">
    <cfRule type="cellIs" dxfId="762" priority="763" stopIfTrue="1" operator="equal">
      <formula>"Towel"</formula>
    </cfRule>
  </conditionalFormatting>
  <conditionalFormatting sqref="C109:C110">
    <cfRule type="cellIs" dxfId="761" priority="759" stopIfTrue="1" operator="equal">
      <formula>"Towel"</formula>
    </cfRule>
    <cfRule type="cellIs" dxfId="760" priority="760" stopIfTrue="1" operator="equal">
      <formula>"Napkin Hs"</formula>
    </cfRule>
  </conditionalFormatting>
  <conditionalFormatting sqref="C109:C110">
    <cfRule type="cellIs" dxfId="759" priority="758" stopIfTrue="1" operator="equal">
      <formula>"Napkin Hs"</formula>
    </cfRule>
  </conditionalFormatting>
  <conditionalFormatting sqref="C109:C110">
    <cfRule type="cellIs" dxfId="758" priority="757" stopIfTrue="1" operator="equal">
      <formula>"Towel"</formula>
    </cfRule>
  </conditionalFormatting>
  <conditionalFormatting sqref="B109:C110">
    <cfRule type="cellIs" dxfId="757" priority="749" stopIfTrue="1" operator="equal">
      <formula>"Towel"</formula>
    </cfRule>
    <cfRule type="cellIs" dxfId="756" priority="750" stopIfTrue="1" operator="equal">
      <formula>"Napkin Hs"</formula>
    </cfRule>
  </conditionalFormatting>
  <conditionalFormatting sqref="C109:C110">
    <cfRule type="cellIs" dxfId="755" priority="748" stopIfTrue="1" operator="equal">
      <formula>"Napkin Hs"</formula>
    </cfRule>
  </conditionalFormatting>
  <conditionalFormatting sqref="C109:C110">
    <cfRule type="cellIs" dxfId="754" priority="747" stopIfTrue="1" operator="equal">
      <formula>"Towel"</formula>
    </cfRule>
  </conditionalFormatting>
  <conditionalFormatting sqref="C109:C110">
    <cfRule type="cellIs" dxfId="753" priority="745" stopIfTrue="1" operator="equal">
      <formula>"Towel"</formula>
    </cfRule>
    <cfRule type="cellIs" dxfId="752" priority="746" stopIfTrue="1" operator="equal">
      <formula>"Napkin Hs"</formula>
    </cfRule>
  </conditionalFormatting>
  <conditionalFormatting sqref="B109:C110">
    <cfRule type="cellIs" dxfId="751" priority="743" stopIfTrue="1" operator="equal">
      <formula>"Towel"</formula>
    </cfRule>
    <cfRule type="cellIs" dxfId="750" priority="744" stopIfTrue="1" operator="equal">
      <formula>"Napkin Hs"</formula>
    </cfRule>
  </conditionalFormatting>
  <conditionalFormatting sqref="C109:C110">
    <cfRule type="cellIs" dxfId="749" priority="741" stopIfTrue="1" operator="equal">
      <formula>"Towel"</formula>
    </cfRule>
    <cfRule type="cellIs" dxfId="748" priority="742" stopIfTrue="1" operator="equal">
      <formula>"Napkin Hs"</formula>
    </cfRule>
  </conditionalFormatting>
  <conditionalFormatting sqref="C109:C110">
    <cfRule type="cellIs" dxfId="747" priority="739" stopIfTrue="1" operator="equal">
      <formula>"Towel"</formula>
    </cfRule>
    <cfRule type="cellIs" dxfId="746" priority="740" stopIfTrue="1" operator="equal">
      <formula>"Napkin Hs"</formula>
    </cfRule>
  </conditionalFormatting>
  <conditionalFormatting sqref="C109:C110">
    <cfRule type="cellIs" dxfId="745" priority="733" stopIfTrue="1" operator="equal">
      <formula>"Towel"</formula>
    </cfRule>
    <cfRule type="cellIs" dxfId="744" priority="734" stopIfTrue="1" operator="equal">
      <formula>"Napkin Hs"</formula>
    </cfRule>
  </conditionalFormatting>
  <conditionalFormatting sqref="B109:B110">
    <cfRule type="cellIs" dxfId="743" priority="723" stopIfTrue="1" operator="equal">
      <formula>"Towel"</formula>
    </cfRule>
    <cfRule type="cellIs" dxfId="742" priority="724" stopIfTrue="1" operator="equal">
      <formula>"Napkin Hs"</formula>
    </cfRule>
  </conditionalFormatting>
  <conditionalFormatting sqref="C109:C110">
    <cfRule type="cellIs" dxfId="741" priority="727" stopIfTrue="1" operator="equal">
      <formula>"Towel"</formula>
    </cfRule>
    <cfRule type="cellIs" dxfId="740" priority="728" stopIfTrue="1" operator="equal">
      <formula>"Napkin Hs"</formula>
    </cfRule>
  </conditionalFormatting>
  <conditionalFormatting sqref="C109:C110">
    <cfRule type="cellIs" dxfId="739" priority="737" stopIfTrue="1" operator="equal">
      <formula>"Towel"</formula>
    </cfRule>
    <cfRule type="cellIs" dxfId="738" priority="738" stopIfTrue="1" operator="equal">
      <formula>"Napkin Hs"</formula>
    </cfRule>
  </conditionalFormatting>
  <conditionalFormatting sqref="B109:B110">
    <cfRule type="cellIs" dxfId="737" priority="725" stopIfTrue="1" operator="equal">
      <formula>"Towel"</formula>
    </cfRule>
    <cfRule type="cellIs" dxfId="736" priority="726" stopIfTrue="1" operator="equal">
      <formula>"Napkin Hs"</formula>
    </cfRule>
  </conditionalFormatting>
  <conditionalFormatting sqref="C109:C110">
    <cfRule type="cellIs" dxfId="735" priority="736" stopIfTrue="1" operator="equal">
      <formula>"Napkin Hs"</formula>
    </cfRule>
  </conditionalFormatting>
  <conditionalFormatting sqref="C109:C110">
    <cfRule type="cellIs" dxfId="734" priority="735" stopIfTrue="1" operator="equal">
      <formula>"Towel"</formula>
    </cfRule>
  </conditionalFormatting>
  <conditionalFormatting sqref="C109:C110">
    <cfRule type="cellIs" dxfId="733" priority="731" stopIfTrue="1" operator="equal">
      <formula>"Towel"</formula>
    </cfRule>
    <cfRule type="cellIs" dxfId="732" priority="732" stopIfTrue="1" operator="equal">
      <formula>"Napkin Hs"</formula>
    </cfRule>
  </conditionalFormatting>
  <conditionalFormatting sqref="C109:C110">
    <cfRule type="cellIs" dxfId="731" priority="730" stopIfTrue="1" operator="equal">
      <formula>"Napkin Hs"</formula>
    </cfRule>
  </conditionalFormatting>
  <conditionalFormatting sqref="C109:C110">
    <cfRule type="cellIs" dxfId="730" priority="729" stopIfTrue="1" operator="equal">
      <formula>"Towel"</formula>
    </cfRule>
  </conditionalFormatting>
  <conditionalFormatting sqref="C109:C110">
    <cfRule type="cellIs" dxfId="729" priority="722" stopIfTrue="1" operator="equal">
      <formula>"Napkin Hs"</formula>
    </cfRule>
  </conditionalFormatting>
  <conditionalFormatting sqref="C109:C110">
    <cfRule type="cellIs" dxfId="728" priority="721" stopIfTrue="1" operator="equal">
      <formula>"Napkin Hs"</formula>
    </cfRule>
  </conditionalFormatting>
  <conditionalFormatting sqref="B108">
    <cfRule type="cellIs" dxfId="727" priority="705" stopIfTrue="1" operator="equal">
      <formula>"Towel"</formula>
    </cfRule>
    <cfRule type="cellIs" dxfId="726" priority="706" stopIfTrue="1" operator="equal">
      <formula>"Napkin Hs"</formula>
    </cfRule>
  </conditionalFormatting>
  <conditionalFormatting sqref="C108">
    <cfRule type="cellIs" dxfId="725" priority="719" stopIfTrue="1" operator="equal">
      <formula>"Towel"</formula>
    </cfRule>
    <cfRule type="cellIs" dxfId="724" priority="720" stopIfTrue="1" operator="equal">
      <formula>"Napkin Hs"</formula>
    </cfRule>
  </conditionalFormatting>
  <conditionalFormatting sqref="C108">
    <cfRule type="cellIs" dxfId="723" priority="715" stopIfTrue="1" operator="equal">
      <formula>"Towel"</formula>
    </cfRule>
    <cfRule type="cellIs" dxfId="722" priority="716" stopIfTrue="1" operator="equal">
      <formula>"Napkin Hs"</formula>
    </cfRule>
  </conditionalFormatting>
  <conditionalFormatting sqref="B108">
    <cfRule type="cellIs" dxfId="721" priority="707" stopIfTrue="1" operator="equal">
      <formula>"Towel"</formula>
    </cfRule>
    <cfRule type="cellIs" dxfId="720" priority="708" stopIfTrue="1" operator="equal">
      <formula>"Napkin Hs"</formula>
    </cfRule>
  </conditionalFormatting>
  <conditionalFormatting sqref="C108">
    <cfRule type="cellIs" dxfId="719" priority="709" stopIfTrue="1" operator="equal">
      <formula>"Towel"</formula>
    </cfRule>
    <cfRule type="cellIs" dxfId="718" priority="710" stopIfTrue="1" operator="equal">
      <formula>"Napkin Hs"</formula>
    </cfRule>
  </conditionalFormatting>
  <conditionalFormatting sqref="C108">
    <cfRule type="cellIs" dxfId="717" priority="718" stopIfTrue="1" operator="equal">
      <formula>"Napkin Hs"</formula>
    </cfRule>
  </conditionalFormatting>
  <conditionalFormatting sqref="C108">
    <cfRule type="cellIs" dxfId="716" priority="717" stopIfTrue="1" operator="equal">
      <formula>"Towel"</formula>
    </cfRule>
  </conditionalFormatting>
  <conditionalFormatting sqref="C108">
    <cfRule type="cellIs" dxfId="715" priority="713" stopIfTrue="1" operator="equal">
      <formula>"Towel"</formula>
    </cfRule>
    <cfRule type="cellIs" dxfId="714" priority="714" stopIfTrue="1" operator="equal">
      <formula>"Napkin Hs"</formula>
    </cfRule>
  </conditionalFormatting>
  <conditionalFormatting sqref="C108">
    <cfRule type="cellIs" dxfId="713" priority="712" stopIfTrue="1" operator="equal">
      <formula>"Napkin Hs"</formula>
    </cfRule>
  </conditionalFormatting>
  <conditionalFormatting sqref="C108">
    <cfRule type="cellIs" dxfId="712" priority="711" stopIfTrue="1" operator="equal">
      <formula>"Towel"</formula>
    </cfRule>
  </conditionalFormatting>
  <conditionalFormatting sqref="B108:C108">
    <cfRule type="cellIs" dxfId="711" priority="703" stopIfTrue="1" operator="equal">
      <formula>"Towel"</formula>
    </cfRule>
    <cfRule type="cellIs" dxfId="710" priority="704" stopIfTrue="1" operator="equal">
      <formula>"Napkin Hs"</formula>
    </cfRule>
  </conditionalFormatting>
  <conditionalFormatting sqref="C108">
    <cfRule type="cellIs" dxfId="709" priority="702" stopIfTrue="1" operator="equal">
      <formula>"Napkin Hs"</formula>
    </cfRule>
  </conditionalFormatting>
  <conditionalFormatting sqref="C108">
    <cfRule type="cellIs" dxfId="708" priority="701" stopIfTrue="1" operator="equal">
      <formula>"Towel"</formula>
    </cfRule>
  </conditionalFormatting>
  <conditionalFormatting sqref="C108">
    <cfRule type="cellIs" dxfId="707" priority="699" stopIfTrue="1" operator="equal">
      <formula>"Towel"</formula>
    </cfRule>
    <cfRule type="cellIs" dxfId="706" priority="700" stopIfTrue="1" operator="equal">
      <formula>"Napkin Hs"</formula>
    </cfRule>
  </conditionalFormatting>
  <conditionalFormatting sqref="B108:C108">
    <cfRule type="cellIs" dxfId="705" priority="697" stopIfTrue="1" operator="equal">
      <formula>"Towel"</formula>
    </cfRule>
    <cfRule type="cellIs" dxfId="704" priority="698" stopIfTrue="1" operator="equal">
      <formula>"Napkin Hs"</formula>
    </cfRule>
  </conditionalFormatting>
  <conditionalFormatting sqref="C108">
    <cfRule type="cellIs" dxfId="703" priority="695" stopIfTrue="1" operator="equal">
      <formula>"Towel"</formula>
    </cfRule>
    <cfRule type="cellIs" dxfId="702" priority="696" stopIfTrue="1" operator="equal">
      <formula>"Napkin Hs"</formula>
    </cfRule>
  </conditionalFormatting>
  <conditionalFormatting sqref="C108">
    <cfRule type="cellIs" dxfId="701" priority="693" stopIfTrue="1" operator="equal">
      <formula>"Towel"</formula>
    </cfRule>
    <cfRule type="cellIs" dxfId="700" priority="694" stopIfTrue="1" operator="equal">
      <formula>"Napkin Hs"</formula>
    </cfRule>
  </conditionalFormatting>
  <conditionalFormatting sqref="C108">
    <cfRule type="cellIs" dxfId="699" priority="687" stopIfTrue="1" operator="equal">
      <formula>"Towel"</formula>
    </cfRule>
    <cfRule type="cellIs" dxfId="698" priority="688" stopIfTrue="1" operator="equal">
      <formula>"Napkin Hs"</formula>
    </cfRule>
  </conditionalFormatting>
  <conditionalFormatting sqref="B108">
    <cfRule type="cellIs" dxfId="697" priority="677" stopIfTrue="1" operator="equal">
      <formula>"Towel"</formula>
    </cfRule>
    <cfRule type="cellIs" dxfId="696" priority="678" stopIfTrue="1" operator="equal">
      <formula>"Napkin Hs"</formula>
    </cfRule>
  </conditionalFormatting>
  <conditionalFormatting sqref="C108">
    <cfRule type="cellIs" dxfId="695" priority="681" stopIfTrue="1" operator="equal">
      <formula>"Towel"</formula>
    </cfRule>
    <cfRule type="cellIs" dxfId="694" priority="682" stopIfTrue="1" operator="equal">
      <formula>"Napkin Hs"</formula>
    </cfRule>
  </conditionalFormatting>
  <conditionalFormatting sqref="C108">
    <cfRule type="cellIs" dxfId="693" priority="691" stopIfTrue="1" operator="equal">
      <formula>"Towel"</formula>
    </cfRule>
    <cfRule type="cellIs" dxfId="692" priority="692" stopIfTrue="1" operator="equal">
      <formula>"Napkin Hs"</formula>
    </cfRule>
  </conditionalFormatting>
  <conditionalFormatting sqref="B108">
    <cfRule type="cellIs" dxfId="691" priority="679" stopIfTrue="1" operator="equal">
      <formula>"Towel"</formula>
    </cfRule>
    <cfRule type="cellIs" dxfId="690" priority="680" stopIfTrue="1" operator="equal">
      <formula>"Napkin Hs"</formula>
    </cfRule>
  </conditionalFormatting>
  <conditionalFormatting sqref="C108">
    <cfRule type="cellIs" dxfId="689" priority="690" stopIfTrue="1" operator="equal">
      <formula>"Napkin Hs"</formula>
    </cfRule>
  </conditionalFormatting>
  <conditionalFormatting sqref="C108">
    <cfRule type="cellIs" dxfId="688" priority="689" stopIfTrue="1" operator="equal">
      <formula>"Towel"</formula>
    </cfRule>
  </conditionalFormatting>
  <conditionalFormatting sqref="C108">
    <cfRule type="cellIs" dxfId="687" priority="685" stopIfTrue="1" operator="equal">
      <formula>"Towel"</formula>
    </cfRule>
    <cfRule type="cellIs" dxfId="686" priority="686" stopIfTrue="1" operator="equal">
      <formula>"Napkin Hs"</formula>
    </cfRule>
  </conditionalFormatting>
  <conditionalFormatting sqref="C108">
    <cfRule type="cellIs" dxfId="685" priority="684" stopIfTrue="1" operator="equal">
      <formula>"Napkin Hs"</formula>
    </cfRule>
  </conditionalFormatting>
  <conditionalFormatting sqref="C108">
    <cfRule type="cellIs" dxfId="684" priority="683" stopIfTrue="1" operator="equal">
      <formula>"Towel"</formula>
    </cfRule>
  </conditionalFormatting>
  <conditionalFormatting sqref="C108">
    <cfRule type="cellIs" dxfId="683" priority="676" stopIfTrue="1" operator="equal">
      <formula>"Napkin Hs"</formula>
    </cfRule>
  </conditionalFormatting>
  <conditionalFormatting sqref="C108">
    <cfRule type="cellIs" dxfId="682" priority="675" stopIfTrue="1" operator="equal">
      <formula>"Napkin Hs"</formula>
    </cfRule>
  </conditionalFormatting>
  <conditionalFormatting sqref="B113:B114">
    <cfRule type="cellIs" dxfId="681" priority="659" stopIfTrue="1" operator="equal">
      <formula>"Towel"</formula>
    </cfRule>
    <cfRule type="cellIs" dxfId="680" priority="660" stopIfTrue="1" operator="equal">
      <formula>"Napkin Hs"</formula>
    </cfRule>
  </conditionalFormatting>
  <conditionalFormatting sqref="C113:C114">
    <cfRule type="cellIs" dxfId="679" priority="673" stopIfTrue="1" operator="equal">
      <formula>"Towel"</formula>
    </cfRule>
    <cfRule type="cellIs" dxfId="678" priority="674" stopIfTrue="1" operator="equal">
      <formula>"Napkin Hs"</formula>
    </cfRule>
  </conditionalFormatting>
  <conditionalFormatting sqref="C113:C114">
    <cfRule type="cellIs" dxfId="677" priority="669" stopIfTrue="1" operator="equal">
      <formula>"Towel"</formula>
    </cfRule>
    <cfRule type="cellIs" dxfId="676" priority="670" stopIfTrue="1" operator="equal">
      <formula>"Napkin Hs"</formula>
    </cfRule>
  </conditionalFormatting>
  <conditionalFormatting sqref="B113:B114">
    <cfRule type="cellIs" dxfId="675" priority="661" stopIfTrue="1" operator="equal">
      <formula>"Towel"</formula>
    </cfRule>
    <cfRule type="cellIs" dxfId="674" priority="662" stopIfTrue="1" operator="equal">
      <formula>"Napkin Hs"</formula>
    </cfRule>
  </conditionalFormatting>
  <conditionalFormatting sqref="C113:C114">
    <cfRule type="cellIs" dxfId="673" priority="663" stopIfTrue="1" operator="equal">
      <formula>"Towel"</formula>
    </cfRule>
    <cfRule type="cellIs" dxfId="672" priority="664" stopIfTrue="1" operator="equal">
      <formula>"Napkin Hs"</formula>
    </cfRule>
  </conditionalFormatting>
  <conditionalFormatting sqref="C113:C114">
    <cfRule type="cellIs" dxfId="671" priority="672" stopIfTrue="1" operator="equal">
      <formula>"Napkin Hs"</formula>
    </cfRule>
  </conditionalFormatting>
  <conditionalFormatting sqref="C113:C114">
    <cfRule type="cellIs" dxfId="670" priority="671" stopIfTrue="1" operator="equal">
      <formula>"Towel"</formula>
    </cfRule>
  </conditionalFormatting>
  <conditionalFormatting sqref="C113:C114">
    <cfRule type="cellIs" dxfId="669" priority="667" stopIfTrue="1" operator="equal">
      <formula>"Towel"</formula>
    </cfRule>
    <cfRule type="cellIs" dxfId="668" priority="668" stopIfTrue="1" operator="equal">
      <formula>"Napkin Hs"</formula>
    </cfRule>
  </conditionalFormatting>
  <conditionalFormatting sqref="C113:C114">
    <cfRule type="cellIs" dxfId="667" priority="666" stopIfTrue="1" operator="equal">
      <formula>"Napkin Hs"</formula>
    </cfRule>
  </conditionalFormatting>
  <conditionalFormatting sqref="C113:C114">
    <cfRule type="cellIs" dxfId="666" priority="665" stopIfTrue="1" operator="equal">
      <formula>"Towel"</formula>
    </cfRule>
  </conditionalFormatting>
  <conditionalFormatting sqref="B113:C114">
    <cfRule type="cellIs" dxfId="665" priority="657" stopIfTrue="1" operator="equal">
      <formula>"Towel"</formula>
    </cfRule>
    <cfRule type="cellIs" dxfId="664" priority="658" stopIfTrue="1" operator="equal">
      <formula>"Napkin Hs"</formula>
    </cfRule>
  </conditionalFormatting>
  <conditionalFormatting sqref="C113:C114">
    <cfRule type="cellIs" dxfId="663" priority="656" stopIfTrue="1" operator="equal">
      <formula>"Napkin Hs"</formula>
    </cfRule>
  </conditionalFormatting>
  <conditionalFormatting sqref="C113:C114">
    <cfRule type="cellIs" dxfId="662" priority="655" stopIfTrue="1" operator="equal">
      <formula>"Towel"</formula>
    </cfRule>
  </conditionalFormatting>
  <conditionalFormatting sqref="C113:C114">
    <cfRule type="cellIs" dxfId="661" priority="653" stopIfTrue="1" operator="equal">
      <formula>"Towel"</formula>
    </cfRule>
    <cfRule type="cellIs" dxfId="660" priority="654" stopIfTrue="1" operator="equal">
      <formula>"Napkin Hs"</formula>
    </cfRule>
  </conditionalFormatting>
  <conditionalFormatting sqref="B113:C114">
    <cfRule type="cellIs" dxfId="659" priority="651" stopIfTrue="1" operator="equal">
      <formula>"Towel"</formula>
    </cfRule>
    <cfRule type="cellIs" dxfId="658" priority="652" stopIfTrue="1" operator="equal">
      <formula>"Napkin Hs"</formula>
    </cfRule>
  </conditionalFormatting>
  <conditionalFormatting sqref="C113:C114">
    <cfRule type="cellIs" dxfId="657" priority="649" stopIfTrue="1" operator="equal">
      <formula>"Towel"</formula>
    </cfRule>
    <cfRule type="cellIs" dxfId="656" priority="650" stopIfTrue="1" operator="equal">
      <formula>"Napkin Hs"</formula>
    </cfRule>
  </conditionalFormatting>
  <conditionalFormatting sqref="C113:C114">
    <cfRule type="cellIs" dxfId="655" priority="647" stopIfTrue="1" operator="equal">
      <formula>"Towel"</formula>
    </cfRule>
    <cfRule type="cellIs" dxfId="654" priority="648" stopIfTrue="1" operator="equal">
      <formula>"Napkin Hs"</formula>
    </cfRule>
  </conditionalFormatting>
  <conditionalFormatting sqref="C113:C114">
    <cfRule type="cellIs" dxfId="653" priority="641" stopIfTrue="1" operator="equal">
      <formula>"Towel"</formula>
    </cfRule>
    <cfRule type="cellIs" dxfId="652" priority="642" stopIfTrue="1" operator="equal">
      <formula>"Napkin Hs"</formula>
    </cfRule>
  </conditionalFormatting>
  <conditionalFormatting sqref="B113:B114">
    <cfRule type="cellIs" dxfId="651" priority="631" stopIfTrue="1" operator="equal">
      <formula>"Towel"</formula>
    </cfRule>
    <cfRule type="cellIs" dxfId="650" priority="632" stopIfTrue="1" operator="equal">
      <formula>"Napkin Hs"</formula>
    </cfRule>
  </conditionalFormatting>
  <conditionalFormatting sqref="C113:C114">
    <cfRule type="cellIs" dxfId="649" priority="635" stopIfTrue="1" operator="equal">
      <formula>"Towel"</formula>
    </cfRule>
    <cfRule type="cellIs" dxfId="648" priority="636" stopIfTrue="1" operator="equal">
      <formula>"Napkin Hs"</formula>
    </cfRule>
  </conditionalFormatting>
  <conditionalFormatting sqref="C113:C114">
    <cfRule type="cellIs" dxfId="647" priority="645" stopIfTrue="1" operator="equal">
      <formula>"Towel"</formula>
    </cfRule>
    <cfRule type="cellIs" dxfId="646" priority="646" stopIfTrue="1" operator="equal">
      <formula>"Napkin Hs"</formula>
    </cfRule>
  </conditionalFormatting>
  <conditionalFormatting sqref="B113:B114">
    <cfRule type="cellIs" dxfId="645" priority="633" stopIfTrue="1" operator="equal">
      <formula>"Towel"</formula>
    </cfRule>
    <cfRule type="cellIs" dxfId="644" priority="634" stopIfTrue="1" operator="equal">
      <formula>"Napkin Hs"</formula>
    </cfRule>
  </conditionalFormatting>
  <conditionalFormatting sqref="C113:C114">
    <cfRule type="cellIs" dxfId="643" priority="644" stopIfTrue="1" operator="equal">
      <formula>"Napkin Hs"</formula>
    </cfRule>
  </conditionalFormatting>
  <conditionalFormatting sqref="C113:C114">
    <cfRule type="cellIs" dxfId="642" priority="643" stopIfTrue="1" operator="equal">
      <formula>"Towel"</formula>
    </cfRule>
  </conditionalFormatting>
  <conditionalFormatting sqref="C113:C114">
    <cfRule type="cellIs" dxfId="641" priority="639" stopIfTrue="1" operator="equal">
      <formula>"Towel"</formula>
    </cfRule>
    <cfRule type="cellIs" dxfId="640" priority="640" stopIfTrue="1" operator="equal">
      <formula>"Napkin Hs"</formula>
    </cfRule>
  </conditionalFormatting>
  <conditionalFormatting sqref="C113:C114">
    <cfRule type="cellIs" dxfId="639" priority="638" stopIfTrue="1" operator="equal">
      <formula>"Napkin Hs"</formula>
    </cfRule>
  </conditionalFormatting>
  <conditionalFormatting sqref="C113:C114">
    <cfRule type="cellIs" dxfId="638" priority="637" stopIfTrue="1" operator="equal">
      <formula>"Towel"</formula>
    </cfRule>
  </conditionalFormatting>
  <conditionalFormatting sqref="C113:C114">
    <cfRule type="cellIs" dxfId="637" priority="630" stopIfTrue="1" operator="equal">
      <formula>"Napkin Hs"</formula>
    </cfRule>
  </conditionalFormatting>
  <conditionalFormatting sqref="C113:C114">
    <cfRule type="cellIs" dxfId="636" priority="629" stopIfTrue="1" operator="equal">
      <formula>"Napkin Hs"</formula>
    </cfRule>
  </conditionalFormatting>
  <conditionalFormatting sqref="B112">
    <cfRule type="cellIs" dxfId="635" priority="613" stopIfTrue="1" operator="equal">
      <formula>"Towel"</formula>
    </cfRule>
    <cfRule type="cellIs" dxfId="634" priority="614" stopIfTrue="1" operator="equal">
      <formula>"Napkin Hs"</formula>
    </cfRule>
  </conditionalFormatting>
  <conditionalFormatting sqref="C112">
    <cfRule type="cellIs" dxfId="633" priority="627" stopIfTrue="1" operator="equal">
      <formula>"Towel"</formula>
    </cfRule>
    <cfRule type="cellIs" dxfId="632" priority="628" stopIfTrue="1" operator="equal">
      <formula>"Napkin Hs"</formula>
    </cfRule>
  </conditionalFormatting>
  <conditionalFormatting sqref="C112">
    <cfRule type="cellIs" dxfId="631" priority="623" stopIfTrue="1" operator="equal">
      <formula>"Towel"</formula>
    </cfRule>
    <cfRule type="cellIs" dxfId="630" priority="624" stopIfTrue="1" operator="equal">
      <formula>"Napkin Hs"</formula>
    </cfRule>
  </conditionalFormatting>
  <conditionalFormatting sqref="B112">
    <cfRule type="cellIs" dxfId="629" priority="615" stopIfTrue="1" operator="equal">
      <formula>"Towel"</formula>
    </cfRule>
    <cfRule type="cellIs" dxfId="628" priority="616" stopIfTrue="1" operator="equal">
      <formula>"Napkin Hs"</formula>
    </cfRule>
  </conditionalFormatting>
  <conditionalFormatting sqref="C112">
    <cfRule type="cellIs" dxfId="627" priority="617" stopIfTrue="1" operator="equal">
      <formula>"Towel"</formula>
    </cfRule>
    <cfRule type="cellIs" dxfId="626" priority="618" stopIfTrue="1" operator="equal">
      <formula>"Napkin Hs"</formula>
    </cfRule>
  </conditionalFormatting>
  <conditionalFormatting sqref="C112">
    <cfRule type="cellIs" dxfId="625" priority="626" stopIfTrue="1" operator="equal">
      <formula>"Napkin Hs"</formula>
    </cfRule>
  </conditionalFormatting>
  <conditionalFormatting sqref="C112">
    <cfRule type="cellIs" dxfId="624" priority="625" stopIfTrue="1" operator="equal">
      <formula>"Towel"</formula>
    </cfRule>
  </conditionalFormatting>
  <conditionalFormatting sqref="C112">
    <cfRule type="cellIs" dxfId="623" priority="621" stopIfTrue="1" operator="equal">
      <formula>"Towel"</formula>
    </cfRule>
    <cfRule type="cellIs" dxfId="622" priority="622" stopIfTrue="1" operator="equal">
      <formula>"Napkin Hs"</formula>
    </cfRule>
  </conditionalFormatting>
  <conditionalFormatting sqref="C112">
    <cfRule type="cellIs" dxfId="621" priority="620" stopIfTrue="1" operator="equal">
      <formula>"Napkin Hs"</formula>
    </cfRule>
  </conditionalFormatting>
  <conditionalFormatting sqref="C112">
    <cfRule type="cellIs" dxfId="620" priority="619" stopIfTrue="1" operator="equal">
      <formula>"Towel"</formula>
    </cfRule>
  </conditionalFormatting>
  <conditionalFormatting sqref="B112:C112">
    <cfRule type="cellIs" dxfId="619" priority="611" stopIfTrue="1" operator="equal">
      <formula>"Towel"</formula>
    </cfRule>
    <cfRule type="cellIs" dxfId="618" priority="612" stopIfTrue="1" operator="equal">
      <formula>"Napkin Hs"</formula>
    </cfRule>
  </conditionalFormatting>
  <conditionalFormatting sqref="C112">
    <cfRule type="cellIs" dxfId="617" priority="610" stopIfTrue="1" operator="equal">
      <formula>"Napkin Hs"</formula>
    </cfRule>
  </conditionalFormatting>
  <conditionalFormatting sqref="C112">
    <cfRule type="cellIs" dxfId="616" priority="609" stopIfTrue="1" operator="equal">
      <formula>"Towel"</formula>
    </cfRule>
  </conditionalFormatting>
  <conditionalFormatting sqref="C112">
    <cfRule type="cellIs" dxfId="615" priority="607" stopIfTrue="1" operator="equal">
      <formula>"Towel"</formula>
    </cfRule>
    <cfRule type="cellIs" dxfId="614" priority="608" stopIfTrue="1" operator="equal">
      <formula>"Napkin Hs"</formula>
    </cfRule>
  </conditionalFormatting>
  <conditionalFormatting sqref="B112:C112">
    <cfRule type="cellIs" dxfId="613" priority="605" stopIfTrue="1" operator="equal">
      <formula>"Towel"</formula>
    </cfRule>
    <cfRule type="cellIs" dxfId="612" priority="606" stopIfTrue="1" operator="equal">
      <formula>"Napkin Hs"</formula>
    </cfRule>
  </conditionalFormatting>
  <conditionalFormatting sqref="C112">
    <cfRule type="cellIs" dxfId="611" priority="603" stopIfTrue="1" operator="equal">
      <formula>"Towel"</formula>
    </cfRule>
    <cfRule type="cellIs" dxfId="610" priority="604" stopIfTrue="1" operator="equal">
      <formula>"Napkin Hs"</formula>
    </cfRule>
  </conditionalFormatting>
  <conditionalFormatting sqref="C112">
    <cfRule type="cellIs" dxfId="609" priority="601" stopIfTrue="1" operator="equal">
      <formula>"Towel"</formula>
    </cfRule>
    <cfRule type="cellIs" dxfId="608" priority="602" stopIfTrue="1" operator="equal">
      <formula>"Napkin Hs"</formula>
    </cfRule>
  </conditionalFormatting>
  <conditionalFormatting sqref="C112">
    <cfRule type="cellIs" dxfId="607" priority="595" stopIfTrue="1" operator="equal">
      <formula>"Towel"</formula>
    </cfRule>
    <cfRule type="cellIs" dxfId="606" priority="596" stopIfTrue="1" operator="equal">
      <formula>"Napkin Hs"</formula>
    </cfRule>
  </conditionalFormatting>
  <conditionalFormatting sqref="B112">
    <cfRule type="cellIs" dxfId="605" priority="585" stopIfTrue="1" operator="equal">
      <formula>"Towel"</formula>
    </cfRule>
    <cfRule type="cellIs" dxfId="604" priority="586" stopIfTrue="1" operator="equal">
      <formula>"Napkin Hs"</formula>
    </cfRule>
  </conditionalFormatting>
  <conditionalFormatting sqref="C112">
    <cfRule type="cellIs" dxfId="603" priority="589" stopIfTrue="1" operator="equal">
      <formula>"Towel"</formula>
    </cfRule>
    <cfRule type="cellIs" dxfId="602" priority="590" stopIfTrue="1" operator="equal">
      <formula>"Napkin Hs"</formula>
    </cfRule>
  </conditionalFormatting>
  <conditionalFormatting sqref="C112">
    <cfRule type="cellIs" dxfId="601" priority="599" stopIfTrue="1" operator="equal">
      <formula>"Towel"</formula>
    </cfRule>
    <cfRule type="cellIs" dxfId="600" priority="600" stopIfTrue="1" operator="equal">
      <formula>"Napkin Hs"</formula>
    </cfRule>
  </conditionalFormatting>
  <conditionalFormatting sqref="B112">
    <cfRule type="cellIs" dxfId="599" priority="587" stopIfTrue="1" operator="equal">
      <formula>"Towel"</formula>
    </cfRule>
    <cfRule type="cellIs" dxfId="598" priority="588" stopIfTrue="1" operator="equal">
      <formula>"Napkin Hs"</formula>
    </cfRule>
  </conditionalFormatting>
  <conditionalFormatting sqref="C112">
    <cfRule type="cellIs" dxfId="597" priority="598" stopIfTrue="1" operator="equal">
      <formula>"Napkin Hs"</formula>
    </cfRule>
  </conditionalFormatting>
  <conditionalFormatting sqref="C112">
    <cfRule type="cellIs" dxfId="596" priority="597" stopIfTrue="1" operator="equal">
      <formula>"Towel"</formula>
    </cfRule>
  </conditionalFormatting>
  <conditionalFormatting sqref="C112">
    <cfRule type="cellIs" dxfId="595" priority="593" stopIfTrue="1" operator="equal">
      <formula>"Towel"</formula>
    </cfRule>
    <cfRule type="cellIs" dxfId="594" priority="594" stopIfTrue="1" operator="equal">
      <formula>"Napkin Hs"</formula>
    </cfRule>
  </conditionalFormatting>
  <conditionalFormatting sqref="C112">
    <cfRule type="cellIs" dxfId="593" priority="592" stopIfTrue="1" operator="equal">
      <formula>"Napkin Hs"</formula>
    </cfRule>
  </conditionalFormatting>
  <conditionalFormatting sqref="C112">
    <cfRule type="cellIs" dxfId="592" priority="591" stopIfTrue="1" operator="equal">
      <formula>"Towel"</formula>
    </cfRule>
  </conditionalFormatting>
  <conditionalFormatting sqref="C112">
    <cfRule type="cellIs" dxfId="591" priority="584" stopIfTrue="1" operator="equal">
      <formula>"Napkin Hs"</formula>
    </cfRule>
  </conditionalFormatting>
  <conditionalFormatting sqref="C112">
    <cfRule type="cellIs" dxfId="590" priority="583" stopIfTrue="1" operator="equal">
      <formula>"Napkin Hs"</formula>
    </cfRule>
  </conditionalFormatting>
  <conditionalFormatting sqref="B115">
    <cfRule type="cellIs" dxfId="589" priority="567" stopIfTrue="1" operator="equal">
      <formula>"Towel"</formula>
    </cfRule>
    <cfRule type="cellIs" dxfId="588" priority="568" stopIfTrue="1" operator="equal">
      <formula>"Napkin Hs"</formula>
    </cfRule>
  </conditionalFormatting>
  <conditionalFormatting sqref="C115">
    <cfRule type="cellIs" dxfId="587" priority="581" stopIfTrue="1" operator="equal">
      <formula>"Towel"</formula>
    </cfRule>
    <cfRule type="cellIs" dxfId="586" priority="582" stopIfTrue="1" operator="equal">
      <formula>"Napkin Hs"</formula>
    </cfRule>
  </conditionalFormatting>
  <conditionalFormatting sqref="C115">
    <cfRule type="cellIs" dxfId="585" priority="577" stopIfTrue="1" operator="equal">
      <formula>"Towel"</formula>
    </cfRule>
    <cfRule type="cellIs" dxfId="584" priority="578" stopIfTrue="1" operator="equal">
      <formula>"Napkin Hs"</formula>
    </cfRule>
  </conditionalFormatting>
  <conditionalFormatting sqref="B115">
    <cfRule type="cellIs" dxfId="583" priority="569" stopIfTrue="1" operator="equal">
      <formula>"Towel"</formula>
    </cfRule>
    <cfRule type="cellIs" dxfId="582" priority="570" stopIfTrue="1" operator="equal">
      <formula>"Napkin Hs"</formula>
    </cfRule>
  </conditionalFormatting>
  <conditionalFormatting sqref="C115">
    <cfRule type="cellIs" dxfId="581" priority="571" stopIfTrue="1" operator="equal">
      <formula>"Towel"</formula>
    </cfRule>
    <cfRule type="cellIs" dxfId="580" priority="572" stopIfTrue="1" operator="equal">
      <formula>"Napkin Hs"</formula>
    </cfRule>
  </conditionalFormatting>
  <conditionalFormatting sqref="C115">
    <cfRule type="cellIs" dxfId="579" priority="580" stopIfTrue="1" operator="equal">
      <formula>"Napkin Hs"</formula>
    </cfRule>
  </conditionalFormatting>
  <conditionalFormatting sqref="C115">
    <cfRule type="cellIs" dxfId="578" priority="579" stopIfTrue="1" operator="equal">
      <formula>"Towel"</formula>
    </cfRule>
  </conditionalFormatting>
  <conditionalFormatting sqref="C115">
    <cfRule type="cellIs" dxfId="577" priority="575" stopIfTrue="1" operator="equal">
      <formula>"Towel"</formula>
    </cfRule>
    <cfRule type="cellIs" dxfId="576" priority="576" stopIfTrue="1" operator="equal">
      <formula>"Napkin Hs"</formula>
    </cfRule>
  </conditionalFormatting>
  <conditionalFormatting sqref="C115">
    <cfRule type="cellIs" dxfId="575" priority="574" stopIfTrue="1" operator="equal">
      <formula>"Napkin Hs"</formula>
    </cfRule>
  </conditionalFormatting>
  <conditionalFormatting sqref="C115">
    <cfRule type="cellIs" dxfId="574" priority="573" stopIfTrue="1" operator="equal">
      <formula>"Towel"</formula>
    </cfRule>
  </conditionalFormatting>
  <conditionalFormatting sqref="B115:C115">
    <cfRule type="cellIs" dxfId="573" priority="565" stopIfTrue="1" operator="equal">
      <formula>"Towel"</formula>
    </cfRule>
    <cfRule type="cellIs" dxfId="572" priority="566" stopIfTrue="1" operator="equal">
      <formula>"Napkin Hs"</formula>
    </cfRule>
  </conditionalFormatting>
  <conditionalFormatting sqref="C115">
    <cfRule type="cellIs" dxfId="571" priority="564" stopIfTrue="1" operator="equal">
      <formula>"Napkin Hs"</formula>
    </cfRule>
  </conditionalFormatting>
  <conditionalFormatting sqref="C115">
    <cfRule type="cellIs" dxfId="570" priority="563" stopIfTrue="1" operator="equal">
      <formula>"Towel"</formula>
    </cfRule>
  </conditionalFormatting>
  <conditionalFormatting sqref="C115">
    <cfRule type="cellIs" dxfId="569" priority="561" stopIfTrue="1" operator="equal">
      <formula>"Towel"</formula>
    </cfRule>
    <cfRule type="cellIs" dxfId="568" priority="562" stopIfTrue="1" operator="equal">
      <formula>"Napkin Hs"</formula>
    </cfRule>
  </conditionalFormatting>
  <conditionalFormatting sqref="B115:C115">
    <cfRule type="cellIs" dxfId="567" priority="559" stopIfTrue="1" operator="equal">
      <formula>"Towel"</formula>
    </cfRule>
    <cfRule type="cellIs" dxfId="566" priority="560" stopIfTrue="1" operator="equal">
      <formula>"Napkin Hs"</formula>
    </cfRule>
  </conditionalFormatting>
  <conditionalFormatting sqref="C115">
    <cfRule type="cellIs" dxfId="565" priority="557" stopIfTrue="1" operator="equal">
      <formula>"Towel"</formula>
    </cfRule>
    <cfRule type="cellIs" dxfId="564" priority="558" stopIfTrue="1" operator="equal">
      <formula>"Napkin Hs"</formula>
    </cfRule>
  </conditionalFormatting>
  <conditionalFormatting sqref="C115">
    <cfRule type="cellIs" dxfId="563" priority="555" stopIfTrue="1" operator="equal">
      <formula>"Towel"</formula>
    </cfRule>
    <cfRule type="cellIs" dxfId="562" priority="556" stopIfTrue="1" operator="equal">
      <formula>"Napkin Hs"</formula>
    </cfRule>
  </conditionalFormatting>
  <conditionalFormatting sqref="C115">
    <cfRule type="cellIs" dxfId="561" priority="549" stopIfTrue="1" operator="equal">
      <formula>"Towel"</formula>
    </cfRule>
    <cfRule type="cellIs" dxfId="560" priority="550" stopIfTrue="1" operator="equal">
      <formula>"Napkin Hs"</formula>
    </cfRule>
  </conditionalFormatting>
  <conditionalFormatting sqref="B115">
    <cfRule type="cellIs" dxfId="559" priority="539" stopIfTrue="1" operator="equal">
      <formula>"Towel"</formula>
    </cfRule>
    <cfRule type="cellIs" dxfId="558" priority="540" stopIfTrue="1" operator="equal">
      <formula>"Napkin Hs"</formula>
    </cfRule>
  </conditionalFormatting>
  <conditionalFormatting sqref="C115">
    <cfRule type="cellIs" dxfId="557" priority="543" stopIfTrue="1" operator="equal">
      <formula>"Towel"</formula>
    </cfRule>
    <cfRule type="cellIs" dxfId="556" priority="544" stopIfTrue="1" operator="equal">
      <formula>"Napkin Hs"</formula>
    </cfRule>
  </conditionalFormatting>
  <conditionalFormatting sqref="C115">
    <cfRule type="cellIs" dxfId="555" priority="553" stopIfTrue="1" operator="equal">
      <formula>"Towel"</formula>
    </cfRule>
    <cfRule type="cellIs" dxfId="554" priority="554" stopIfTrue="1" operator="equal">
      <formula>"Napkin Hs"</formula>
    </cfRule>
  </conditionalFormatting>
  <conditionalFormatting sqref="B115">
    <cfRule type="cellIs" dxfId="553" priority="541" stopIfTrue="1" operator="equal">
      <formula>"Towel"</formula>
    </cfRule>
    <cfRule type="cellIs" dxfId="552" priority="542" stopIfTrue="1" operator="equal">
      <formula>"Napkin Hs"</formula>
    </cfRule>
  </conditionalFormatting>
  <conditionalFormatting sqref="C115">
    <cfRule type="cellIs" dxfId="551" priority="552" stopIfTrue="1" operator="equal">
      <formula>"Napkin Hs"</formula>
    </cfRule>
  </conditionalFormatting>
  <conditionalFormatting sqref="C115">
    <cfRule type="cellIs" dxfId="550" priority="551" stopIfTrue="1" operator="equal">
      <formula>"Towel"</formula>
    </cfRule>
  </conditionalFormatting>
  <conditionalFormatting sqref="C115">
    <cfRule type="cellIs" dxfId="549" priority="547" stopIfTrue="1" operator="equal">
      <formula>"Towel"</formula>
    </cfRule>
    <cfRule type="cellIs" dxfId="548" priority="548" stopIfTrue="1" operator="equal">
      <formula>"Napkin Hs"</formula>
    </cfRule>
  </conditionalFormatting>
  <conditionalFormatting sqref="C115">
    <cfRule type="cellIs" dxfId="547" priority="546" stopIfTrue="1" operator="equal">
      <formula>"Napkin Hs"</formula>
    </cfRule>
  </conditionalFormatting>
  <conditionalFormatting sqref="C115">
    <cfRule type="cellIs" dxfId="546" priority="545" stopIfTrue="1" operator="equal">
      <formula>"Towel"</formula>
    </cfRule>
  </conditionalFormatting>
  <conditionalFormatting sqref="C115">
    <cfRule type="cellIs" dxfId="545" priority="538" stopIfTrue="1" operator="equal">
      <formula>"Napkin Hs"</formula>
    </cfRule>
  </conditionalFormatting>
  <conditionalFormatting sqref="C115">
    <cfRule type="cellIs" dxfId="544" priority="537" stopIfTrue="1" operator="equal">
      <formula>"Napkin Hs"</formula>
    </cfRule>
  </conditionalFormatting>
  <conditionalFormatting sqref="B119:C120">
    <cfRule type="cellIs" dxfId="543" priority="535" stopIfTrue="1" operator="equal">
      <formula>"Towel"</formula>
    </cfRule>
    <cfRule type="cellIs" dxfId="542" priority="536" stopIfTrue="1" operator="equal">
      <formula>"Napkin Hs"</formula>
    </cfRule>
  </conditionalFormatting>
  <conditionalFormatting sqref="C119:C120">
    <cfRule type="cellIs" dxfId="541" priority="534" stopIfTrue="1" operator="equal">
      <formula>"Napkin Hs"</formula>
    </cfRule>
  </conditionalFormatting>
  <conditionalFormatting sqref="C119:C120">
    <cfRule type="cellIs" dxfId="540" priority="531" stopIfTrue="1" operator="equal">
      <formula>"Towel"</formula>
    </cfRule>
    <cfRule type="cellIs" dxfId="539" priority="532" stopIfTrue="1" operator="equal">
      <formula>"Napkin Hs"</formula>
    </cfRule>
  </conditionalFormatting>
  <conditionalFormatting sqref="C119:C120">
    <cfRule type="cellIs" dxfId="538" priority="533" stopIfTrue="1" operator="equal">
      <formula>"Towel"</formula>
    </cfRule>
  </conditionalFormatting>
  <conditionalFormatting sqref="B117:B118">
    <cfRule type="cellIs" dxfId="537" priority="515" stopIfTrue="1" operator="equal">
      <formula>"Towel"</formula>
    </cfRule>
    <cfRule type="cellIs" dxfId="536" priority="516" stopIfTrue="1" operator="equal">
      <formula>"Napkin Hs"</formula>
    </cfRule>
  </conditionalFormatting>
  <conditionalFormatting sqref="C117:C118">
    <cfRule type="cellIs" dxfId="535" priority="529" stopIfTrue="1" operator="equal">
      <formula>"Towel"</formula>
    </cfRule>
    <cfRule type="cellIs" dxfId="534" priority="530" stopIfTrue="1" operator="equal">
      <formula>"Napkin Hs"</formula>
    </cfRule>
  </conditionalFormatting>
  <conditionalFormatting sqref="C117:C118">
    <cfRule type="cellIs" dxfId="533" priority="525" stopIfTrue="1" operator="equal">
      <formula>"Towel"</formula>
    </cfRule>
    <cfRule type="cellIs" dxfId="532" priority="526" stopIfTrue="1" operator="equal">
      <formula>"Napkin Hs"</formula>
    </cfRule>
  </conditionalFormatting>
  <conditionalFormatting sqref="B117:B118">
    <cfRule type="cellIs" dxfId="531" priority="517" stopIfTrue="1" operator="equal">
      <formula>"Towel"</formula>
    </cfRule>
    <cfRule type="cellIs" dxfId="530" priority="518" stopIfTrue="1" operator="equal">
      <formula>"Napkin Hs"</formula>
    </cfRule>
  </conditionalFormatting>
  <conditionalFormatting sqref="C117:C118">
    <cfRule type="cellIs" dxfId="529" priority="519" stopIfTrue="1" operator="equal">
      <formula>"Towel"</formula>
    </cfRule>
    <cfRule type="cellIs" dxfId="528" priority="520" stopIfTrue="1" operator="equal">
      <formula>"Napkin Hs"</formula>
    </cfRule>
  </conditionalFormatting>
  <conditionalFormatting sqref="C117:C118">
    <cfRule type="cellIs" dxfId="527" priority="528" stopIfTrue="1" operator="equal">
      <formula>"Napkin Hs"</formula>
    </cfRule>
  </conditionalFormatting>
  <conditionalFormatting sqref="C117:C118">
    <cfRule type="cellIs" dxfId="526" priority="527" stopIfTrue="1" operator="equal">
      <formula>"Towel"</formula>
    </cfRule>
  </conditionalFormatting>
  <conditionalFormatting sqref="C117:C118">
    <cfRule type="cellIs" dxfId="525" priority="523" stopIfTrue="1" operator="equal">
      <formula>"Towel"</formula>
    </cfRule>
    <cfRule type="cellIs" dxfId="524" priority="524" stopIfTrue="1" operator="equal">
      <formula>"Napkin Hs"</formula>
    </cfRule>
  </conditionalFormatting>
  <conditionalFormatting sqref="C117:C118">
    <cfRule type="cellIs" dxfId="523" priority="522" stopIfTrue="1" operator="equal">
      <formula>"Napkin Hs"</formula>
    </cfRule>
  </conditionalFormatting>
  <conditionalFormatting sqref="C117:C118">
    <cfRule type="cellIs" dxfId="522" priority="521" stopIfTrue="1" operator="equal">
      <formula>"Towel"</formula>
    </cfRule>
  </conditionalFormatting>
  <conditionalFormatting sqref="B117:C118">
    <cfRule type="cellIs" dxfId="521" priority="513" stopIfTrue="1" operator="equal">
      <formula>"Towel"</formula>
    </cfRule>
    <cfRule type="cellIs" dxfId="520" priority="514" stopIfTrue="1" operator="equal">
      <formula>"Napkin Hs"</formula>
    </cfRule>
  </conditionalFormatting>
  <conditionalFormatting sqref="C117:C118">
    <cfRule type="cellIs" dxfId="519" priority="512" stopIfTrue="1" operator="equal">
      <formula>"Napkin Hs"</formula>
    </cfRule>
  </conditionalFormatting>
  <conditionalFormatting sqref="C117:C118">
    <cfRule type="cellIs" dxfId="518" priority="511" stopIfTrue="1" operator="equal">
      <formula>"Towel"</formula>
    </cfRule>
  </conditionalFormatting>
  <conditionalFormatting sqref="C117:C118">
    <cfRule type="cellIs" dxfId="517" priority="509" stopIfTrue="1" operator="equal">
      <formula>"Towel"</formula>
    </cfRule>
    <cfRule type="cellIs" dxfId="516" priority="510" stopIfTrue="1" operator="equal">
      <formula>"Napkin Hs"</formula>
    </cfRule>
  </conditionalFormatting>
  <conditionalFormatting sqref="B117:C118">
    <cfRule type="cellIs" dxfId="515" priority="507" stopIfTrue="1" operator="equal">
      <formula>"Towel"</formula>
    </cfRule>
    <cfRule type="cellIs" dxfId="514" priority="508" stopIfTrue="1" operator="equal">
      <formula>"Napkin Hs"</formula>
    </cfRule>
  </conditionalFormatting>
  <conditionalFormatting sqref="C117:C118">
    <cfRule type="cellIs" dxfId="513" priority="505" stopIfTrue="1" operator="equal">
      <formula>"Towel"</formula>
    </cfRule>
    <cfRule type="cellIs" dxfId="512" priority="506" stopIfTrue="1" operator="equal">
      <formula>"Napkin Hs"</formula>
    </cfRule>
  </conditionalFormatting>
  <conditionalFormatting sqref="C117:C118">
    <cfRule type="cellIs" dxfId="511" priority="503" stopIfTrue="1" operator="equal">
      <formula>"Towel"</formula>
    </cfRule>
    <cfRule type="cellIs" dxfId="510" priority="504" stopIfTrue="1" operator="equal">
      <formula>"Napkin Hs"</formula>
    </cfRule>
  </conditionalFormatting>
  <conditionalFormatting sqref="C117:C118">
    <cfRule type="cellIs" dxfId="509" priority="497" stopIfTrue="1" operator="equal">
      <formula>"Towel"</formula>
    </cfRule>
    <cfRule type="cellIs" dxfId="508" priority="498" stopIfTrue="1" operator="equal">
      <formula>"Napkin Hs"</formula>
    </cfRule>
  </conditionalFormatting>
  <conditionalFormatting sqref="B117:B118">
    <cfRule type="cellIs" dxfId="507" priority="487" stopIfTrue="1" operator="equal">
      <formula>"Towel"</formula>
    </cfRule>
    <cfRule type="cellIs" dxfId="506" priority="488" stopIfTrue="1" operator="equal">
      <formula>"Napkin Hs"</formula>
    </cfRule>
  </conditionalFormatting>
  <conditionalFormatting sqref="C117:C118">
    <cfRule type="cellIs" dxfId="505" priority="491" stopIfTrue="1" operator="equal">
      <formula>"Towel"</formula>
    </cfRule>
    <cfRule type="cellIs" dxfId="504" priority="492" stopIfTrue="1" operator="equal">
      <formula>"Napkin Hs"</formula>
    </cfRule>
  </conditionalFormatting>
  <conditionalFormatting sqref="C117:C118">
    <cfRule type="cellIs" dxfId="503" priority="501" stopIfTrue="1" operator="equal">
      <formula>"Towel"</formula>
    </cfRule>
    <cfRule type="cellIs" dxfId="502" priority="502" stopIfTrue="1" operator="equal">
      <formula>"Napkin Hs"</formula>
    </cfRule>
  </conditionalFormatting>
  <conditionalFormatting sqref="B117:B118">
    <cfRule type="cellIs" dxfId="501" priority="489" stopIfTrue="1" operator="equal">
      <formula>"Towel"</formula>
    </cfRule>
    <cfRule type="cellIs" dxfId="500" priority="490" stopIfTrue="1" operator="equal">
      <formula>"Napkin Hs"</formula>
    </cfRule>
  </conditionalFormatting>
  <conditionalFormatting sqref="C117:C118">
    <cfRule type="cellIs" dxfId="499" priority="500" stopIfTrue="1" operator="equal">
      <formula>"Napkin Hs"</formula>
    </cfRule>
  </conditionalFormatting>
  <conditionalFormatting sqref="C117:C118">
    <cfRule type="cellIs" dxfId="498" priority="499" stopIfTrue="1" operator="equal">
      <formula>"Towel"</formula>
    </cfRule>
  </conditionalFormatting>
  <conditionalFormatting sqref="C117:C118">
    <cfRule type="cellIs" dxfId="497" priority="495" stopIfTrue="1" operator="equal">
      <formula>"Towel"</formula>
    </cfRule>
    <cfRule type="cellIs" dxfId="496" priority="496" stopIfTrue="1" operator="equal">
      <formula>"Napkin Hs"</formula>
    </cfRule>
  </conditionalFormatting>
  <conditionalFormatting sqref="C117:C118">
    <cfRule type="cellIs" dxfId="495" priority="494" stopIfTrue="1" operator="equal">
      <formula>"Napkin Hs"</formula>
    </cfRule>
  </conditionalFormatting>
  <conditionalFormatting sqref="C117:C118">
    <cfRule type="cellIs" dxfId="494" priority="493" stopIfTrue="1" operator="equal">
      <formula>"Towel"</formula>
    </cfRule>
  </conditionalFormatting>
  <conditionalFormatting sqref="C117:C118">
    <cfRule type="cellIs" dxfId="493" priority="486" stopIfTrue="1" operator="equal">
      <formula>"Napkin Hs"</formula>
    </cfRule>
  </conditionalFormatting>
  <conditionalFormatting sqref="C117:C118">
    <cfRule type="cellIs" dxfId="492" priority="485" stopIfTrue="1" operator="equal">
      <formula>"Napkin Hs"</formula>
    </cfRule>
  </conditionalFormatting>
  <conditionalFormatting sqref="B124:C125">
    <cfRule type="cellIs" dxfId="491" priority="483" stopIfTrue="1" operator="equal">
      <formula>"Towel"</formula>
    </cfRule>
    <cfRule type="cellIs" dxfId="490" priority="484" stopIfTrue="1" operator="equal">
      <formula>"Napkin Hs"</formula>
    </cfRule>
  </conditionalFormatting>
  <conditionalFormatting sqref="C124:C125">
    <cfRule type="cellIs" dxfId="489" priority="482" stopIfTrue="1" operator="equal">
      <formula>"Napkin Hs"</formula>
    </cfRule>
  </conditionalFormatting>
  <conditionalFormatting sqref="C124:C125">
    <cfRule type="cellIs" dxfId="488" priority="479" stopIfTrue="1" operator="equal">
      <formula>"Towel"</formula>
    </cfRule>
    <cfRule type="cellIs" dxfId="487" priority="480" stopIfTrue="1" operator="equal">
      <formula>"Napkin Hs"</formula>
    </cfRule>
  </conditionalFormatting>
  <conditionalFormatting sqref="C124:C125">
    <cfRule type="cellIs" dxfId="486" priority="481" stopIfTrue="1" operator="equal">
      <formula>"Towel"</formula>
    </cfRule>
  </conditionalFormatting>
  <conditionalFormatting sqref="B123">
    <cfRule type="cellIs" dxfId="485" priority="463" stopIfTrue="1" operator="equal">
      <formula>"Towel"</formula>
    </cfRule>
    <cfRule type="cellIs" dxfId="484" priority="464" stopIfTrue="1" operator="equal">
      <formula>"Napkin Hs"</formula>
    </cfRule>
  </conditionalFormatting>
  <conditionalFormatting sqref="C123">
    <cfRule type="cellIs" dxfId="483" priority="477" stopIfTrue="1" operator="equal">
      <formula>"Towel"</formula>
    </cfRule>
    <cfRule type="cellIs" dxfId="482" priority="478" stopIfTrue="1" operator="equal">
      <formula>"Napkin Hs"</formula>
    </cfRule>
  </conditionalFormatting>
  <conditionalFormatting sqref="C123">
    <cfRule type="cellIs" dxfId="481" priority="473" stopIfTrue="1" operator="equal">
      <formula>"Towel"</formula>
    </cfRule>
    <cfRule type="cellIs" dxfId="480" priority="474" stopIfTrue="1" operator="equal">
      <formula>"Napkin Hs"</formula>
    </cfRule>
  </conditionalFormatting>
  <conditionalFormatting sqref="B123">
    <cfRule type="cellIs" dxfId="479" priority="465" stopIfTrue="1" operator="equal">
      <formula>"Towel"</formula>
    </cfRule>
    <cfRule type="cellIs" dxfId="478" priority="466" stopIfTrue="1" operator="equal">
      <formula>"Napkin Hs"</formula>
    </cfRule>
  </conditionalFormatting>
  <conditionalFormatting sqref="C123">
    <cfRule type="cellIs" dxfId="477" priority="467" stopIfTrue="1" operator="equal">
      <formula>"Towel"</formula>
    </cfRule>
    <cfRule type="cellIs" dxfId="476" priority="468" stopIfTrue="1" operator="equal">
      <formula>"Napkin Hs"</formula>
    </cfRule>
  </conditionalFormatting>
  <conditionalFormatting sqref="C123">
    <cfRule type="cellIs" dxfId="475" priority="476" stopIfTrue="1" operator="equal">
      <formula>"Napkin Hs"</formula>
    </cfRule>
  </conditionalFormatting>
  <conditionalFormatting sqref="C123">
    <cfRule type="cellIs" dxfId="474" priority="475" stopIfTrue="1" operator="equal">
      <formula>"Towel"</formula>
    </cfRule>
  </conditionalFormatting>
  <conditionalFormatting sqref="C123">
    <cfRule type="cellIs" dxfId="473" priority="471" stopIfTrue="1" operator="equal">
      <formula>"Towel"</formula>
    </cfRule>
    <cfRule type="cellIs" dxfId="472" priority="472" stopIfTrue="1" operator="equal">
      <formula>"Napkin Hs"</formula>
    </cfRule>
  </conditionalFormatting>
  <conditionalFormatting sqref="C123">
    <cfRule type="cellIs" dxfId="471" priority="470" stopIfTrue="1" operator="equal">
      <formula>"Napkin Hs"</formula>
    </cfRule>
  </conditionalFormatting>
  <conditionalFormatting sqref="C123">
    <cfRule type="cellIs" dxfId="470" priority="469" stopIfTrue="1" operator="equal">
      <formula>"Towel"</formula>
    </cfRule>
  </conditionalFormatting>
  <conditionalFormatting sqref="B123:C123">
    <cfRule type="cellIs" dxfId="469" priority="461" stopIfTrue="1" operator="equal">
      <formula>"Towel"</formula>
    </cfRule>
    <cfRule type="cellIs" dxfId="468" priority="462" stopIfTrue="1" operator="equal">
      <formula>"Napkin Hs"</formula>
    </cfRule>
  </conditionalFormatting>
  <conditionalFormatting sqref="C123">
    <cfRule type="cellIs" dxfId="467" priority="460" stopIfTrue="1" operator="equal">
      <formula>"Napkin Hs"</formula>
    </cfRule>
  </conditionalFormatting>
  <conditionalFormatting sqref="C123">
    <cfRule type="cellIs" dxfId="466" priority="459" stopIfTrue="1" operator="equal">
      <formula>"Towel"</formula>
    </cfRule>
  </conditionalFormatting>
  <conditionalFormatting sqref="C123">
    <cfRule type="cellIs" dxfId="465" priority="457" stopIfTrue="1" operator="equal">
      <formula>"Towel"</formula>
    </cfRule>
    <cfRule type="cellIs" dxfId="464" priority="458" stopIfTrue="1" operator="equal">
      <formula>"Napkin Hs"</formula>
    </cfRule>
  </conditionalFormatting>
  <conditionalFormatting sqref="B123:C123">
    <cfRule type="cellIs" dxfId="463" priority="455" stopIfTrue="1" operator="equal">
      <formula>"Towel"</formula>
    </cfRule>
    <cfRule type="cellIs" dxfId="462" priority="456" stopIfTrue="1" operator="equal">
      <formula>"Napkin Hs"</formula>
    </cfRule>
  </conditionalFormatting>
  <conditionalFormatting sqref="C123">
    <cfRule type="cellIs" dxfId="461" priority="453" stopIfTrue="1" operator="equal">
      <formula>"Towel"</formula>
    </cfRule>
    <cfRule type="cellIs" dxfId="460" priority="454" stopIfTrue="1" operator="equal">
      <formula>"Napkin Hs"</formula>
    </cfRule>
  </conditionalFormatting>
  <conditionalFormatting sqref="C123">
    <cfRule type="cellIs" dxfId="459" priority="451" stopIfTrue="1" operator="equal">
      <formula>"Towel"</formula>
    </cfRule>
    <cfRule type="cellIs" dxfId="458" priority="452" stopIfTrue="1" operator="equal">
      <formula>"Napkin Hs"</formula>
    </cfRule>
  </conditionalFormatting>
  <conditionalFormatting sqref="C123">
    <cfRule type="cellIs" dxfId="457" priority="445" stopIfTrue="1" operator="equal">
      <formula>"Towel"</formula>
    </cfRule>
    <cfRule type="cellIs" dxfId="456" priority="446" stopIfTrue="1" operator="equal">
      <formula>"Napkin Hs"</formula>
    </cfRule>
  </conditionalFormatting>
  <conditionalFormatting sqref="B123">
    <cfRule type="cellIs" dxfId="455" priority="435" stopIfTrue="1" operator="equal">
      <formula>"Towel"</formula>
    </cfRule>
    <cfRule type="cellIs" dxfId="454" priority="436" stopIfTrue="1" operator="equal">
      <formula>"Napkin Hs"</formula>
    </cfRule>
  </conditionalFormatting>
  <conditionalFormatting sqref="C123">
    <cfRule type="cellIs" dxfId="453" priority="439" stopIfTrue="1" operator="equal">
      <formula>"Towel"</formula>
    </cfRule>
    <cfRule type="cellIs" dxfId="452" priority="440" stopIfTrue="1" operator="equal">
      <formula>"Napkin Hs"</formula>
    </cfRule>
  </conditionalFormatting>
  <conditionalFormatting sqref="C123">
    <cfRule type="cellIs" dxfId="451" priority="449" stopIfTrue="1" operator="equal">
      <formula>"Towel"</formula>
    </cfRule>
    <cfRule type="cellIs" dxfId="450" priority="450" stopIfTrue="1" operator="equal">
      <formula>"Napkin Hs"</formula>
    </cfRule>
  </conditionalFormatting>
  <conditionalFormatting sqref="B123">
    <cfRule type="cellIs" dxfId="449" priority="437" stopIfTrue="1" operator="equal">
      <formula>"Towel"</formula>
    </cfRule>
    <cfRule type="cellIs" dxfId="448" priority="438" stopIfTrue="1" operator="equal">
      <formula>"Napkin Hs"</formula>
    </cfRule>
  </conditionalFormatting>
  <conditionalFormatting sqref="C123">
    <cfRule type="cellIs" dxfId="447" priority="448" stopIfTrue="1" operator="equal">
      <formula>"Napkin Hs"</formula>
    </cfRule>
  </conditionalFormatting>
  <conditionalFormatting sqref="C123">
    <cfRule type="cellIs" dxfId="446" priority="447" stopIfTrue="1" operator="equal">
      <formula>"Towel"</formula>
    </cfRule>
  </conditionalFormatting>
  <conditionalFormatting sqref="C123">
    <cfRule type="cellIs" dxfId="445" priority="443" stopIfTrue="1" operator="equal">
      <formula>"Towel"</formula>
    </cfRule>
    <cfRule type="cellIs" dxfId="444" priority="444" stopIfTrue="1" operator="equal">
      <formula>"Napkin Hs"</formula>
    </cfRule>
  </conditionalFormatting>
  <conditionalFormatting sqref="C123">
    <cfRule type="cellIs" dxfId="443" priority="442" stopIfTrue="1" operator="equal">
      <formula>"Napkin Hs"</formula>
    </cfRule>
  </conditionalFormatting>
  <conditionalFormatting sqref="C123">
    <cfRule type="cellIs" dxfId="442" priority="441" stopIfTrue="1" operator="equal">
      <formula>"Towel"</formula>
    </cfRule>
  </conditionalFormatting>
  <conditionalFormatting sqref="C123">
    <cfRule type="cellIs" dxfId="441" priority="434" stopIfTrue="1" operator="equal">
      <formula>"Napkin Hs"</formula>
    </cfRule>
  </conditionalFormatting>
  <conditionalFormatting sqref="C123">
    <cfRule type="cellIs" dxfId="440" priority="433" stopIfTrue="1" operator="equal">
      <formula>"Napkin Hs"</formula>
    </cfRule>
  </conditionalFormatting>
  <conditionalFormatting sqref="B122">
    <cfRule type="cellIs" dxfId="439" priority="417" stopIfTrue="1" operator="equal">
      <formula>"Towel"</formula>
    </cfRule>
    <cfRule type="cellIs" dxfId="438" priority="418" stopIfTrue="1" operator="equal">
      <formula>"Napkin Hs"</formula>
    </cfRule>
  </conditionalFormatting>
  <conditionalFormatting sqref="C122">
    <cfRule type="cellIs" dxfId="437" priority="431" stopIfTrue="1" operator="equal">
      <formula>"Towel"</formula>
    </cfRule>
    <cfRule type="cellIs" dxfId="436" priority="432" stopIfTrue="1" operator="equal">
      <formula>"Napkin Hs"</formula>
    </cfRule>
  </conditionalFormatting>
  <conditionalFormatting sqref="C122">
    <cfRule type="cellIs" dxfId="435" priority="427" stopIfTrue="1" operator="equal">
      <formula>"Towel"</formula>
    </cfRule>
    <cfRule type="cellIs" dxfId="434" priority="428" stopIfTrue="1" operator="equal">
      <formula>"Napkin Hs"</formula>
    </cfRule>
  </conditionalFormatting>
  <conditionalFormatting sqref="B122">
    <cfRule type="cellIs" dxfId="433" priority="419" stopIfTrue="1" operator="equal">
      <formula>"Towel"</formula>
    </cfRule>
    <cfRule type="cellIs" dxfId="432" priority="420" stopIfTrue="1" operator="equal">
      <formula>"Napkin Hs"</formula>
    </cfRule>
  </conditionalFormatting>
  <conditionalFormatting sqref="C122">
    <cfRule type="cellIs" dxfId="431" priority="421" stopIfTrue="1" operator="equal">
      <formula>"Towel"</formula>
    </cfRule>
    <cfRule type="cellIs" dxfId="430" priority="422" stopIfTrue="1" operator="equal">
      <formula>"Napkin Hs"</formula>
    </cfRule>
  </conditionalFormatting>
  <conditionalFormatting sqref="C122">
    <cfRule type="cellIs" dxfId="429" priority="430" stopIfTrue="1" operator="equal">
      <formula>"Napkin Hs"</formula>
    </cfRule>
  </conditionalFormatting>
  <conditionalFormatting sqref="C122">
    <cfRule type="cellIs" dxfId="428" priority="429" stopIfTrue="1" operator="equal">
      <formula>"Towel"</formula>
    </cfRule>
  </conditionalFormatting>
  <conditionalFormatting sqref="C122">
    <cfRule type="cellIs" dxfId="427" priority="425" stopIfTrue="1" operator="equal">
      <formula>"Towel"</formula>
    </cfRule>
    <cfRule type="cellIs" dxfId="426" priority="426" stopIfTrue="1" operator="equal">
      <formula>"Napkin Hs"</formula>
    </cfRule>
  </conditionalFormatting>
  <conditionalFormatting sqref="C122">
    <cfRule type="cellIs" dxfId="425" priority="424" stopIfTrue="1" operator="equal">
      <formula>"Napkin Hs"</formula>
    </cfRule>
  </conditionalFormatting>
  <conditionalFormatting sqref="C122">
    <cfRule type="cellIs" dxfId="424" priority="423" stopIfTrue="1" operator="equal">
      <formula>"Towel"</formula>
    </cfRule>
  </conditionalFormatting>
  <conditionalFormatting sqref="B122:C122">
    <cfRule type="cellIs" dxfId="423" priority="415" stopIfTrue="1" operator="equal">
      <formula>"Towel"</formula>
    </cfRule>
    <cfRule type="cellIs" dxfId="422" priority="416" stopIfTrue="1" operator="equal">
      <formula>"Napkin Hs"</formula>
    </cfRule>
  </conditionalFormatting>
  <conditionalFormatting sqref="C122">
    <cfRule type="cellIs" dxfId="421" priority="414" stopIfTrue="1" operator="equal">
      <formula>"Napkin Hs"</formula>
    </cfRule>
  </conditionalFormatting>
  <conditionalFormatting sqref="C122">
    <cfRule type="cellIs" dxfId="420" priority="413" stopIfTrue="1" operator="equal">
      <formula>"Towel"</formula>
    </cfRule>
  </conditionalFormatting>
  <conditionalFormatting sqref="C122">
    <cfRule type="cellIs" dxfId="419" priority="411" stopIfTrue="1" operator="equal">
      <formula>"Towel"</formula>
    </cfRule>
    <cfRule type="cellIs" dxfId="418" priority="412" stopIfTrue="1" operator="equal">
      <formula>"Napkin Hs"</formula>
    </cfRule>
  </conditionalFormatting>
  <conditionalFormatting sqref="B122:C122">
    <cfRule type="cellIs" dxfId="417" priority="409" stopIfTrue="1" operator="equal">
      <formula>"Towel"</formula>
    </cfRule>
    <cfRule type="cellIs" dxfId="416" priority="410" stopIfTrue="1" operator="equal">
      <formula>"Napkin Hs"</formula>
    </cfRule>
  </conditionalFormatting>
  <conditionalFormatting sqref="C122">
    <cfRule type="cellIs" dxfId="415" priority="407" stopIfTrue="1" operator="equal">
      <formula>"Towel"</formula>
    </cfRule>
    <cfRule type="cellIs" dxfId="414" priority="408" stopIfTrue="1" operator="equal">
      <formula>"Napkin Hs"</formula>
    </cfRule>
  </conditionalFormatting>
  <conditionalFormatting sqref="C122">
    <cfRule type="cellIs" dxfId="413" priority="405" stopIfTrue="1" operator="equal">
      <formula>"Towel"</formula>
    </cfRule>
    <cfRule type="cellIs" dxfId="412" priority="406" stopIfTrue="1" operator="equal">
      <formula>"Napkin Hs"</formula>
    </cfRule>
  </conditionalFormatting>
  <conditionalFormatting sqref="C122">
    <cfRule type="cellIs" dxfId="411" priority="399" stopIfTrue="1" operator="equal">
      <formula>"Towel"</formula>
    </cfRule>
    <cfRule type="cellIs" dxfId="410" priority="400" stopIfTrue="1" operator="equal">
      <formula>"Napkin Hs"</formula>
    </cfRule>
  </conditionalFormatting>
  <conditionalFormatting sqref="B122">
    <cfRule type="cellIs" dxfId="409" priority="389" stopIfTrue="1" operator="equal">
      <formula>"Towel"</formula>
    </cfRule>
    <cfRule type="cellIs" dxfId="408" priority="390" stopIfTrue="1" operator="equal">
      <formula>"Napkin Hs"</formula>
    </cfRule>
  </conditionalFormatting>
  <conditionalFormatting sqref="C122">
    <cfRule type="cellIs" dxfId="407" priority="393" stopIfTrue="1" operator="equal">
      <formula>"Towel"</formula>
    </cfRule>
    <cfRule type="cellIs" dxfId="406" priority="394" stopIfTrue="1" operator="equal">
      <formula>"Napkin Hs"</formula>
    </cfRule>
  </conditionalFormatting>
  <conditionalFormatting sqref="C122">
    <cfRule type="cellIs" dxfId="405" priority="403" stopIfTrue="1" operator="equal">
      <formula>"Towel"</formula>
    </cfRule>
    <cfRule type="cellIs" dxfId="404" priority="404" stopIfTrue="1" operator="equal">
      <formula>"Napkin Hs"</formula>
    </cfRule>
  </conditionalFormatting>
  <conditionalFormatting sqref="B122">
    <cfRule type="cellIs" dxfId="403" priority="391" stopIfTrue="1" operator="equal">
      <formula>"Towel"</formula>
    </cfRule>
    <cfRule type="cellIs" dxfId="402" priority="392" stopIfTrue="1" operator="equal">
      <formula>"Napkin Hs"</formula>
    </cfRule>
  </conditionalFormatting>
  <conditionalFormatting sqref="C122">
    <cfRule type="cellIs" dxfId="401" priority="402" stopIfTrue="1" operator="equal">
      <formula>"Napkin Hs"</formula>
    </cfRule>
  </conditionalFormatting>
  <conditionalFormatting sqref="C122">
    <cfRule type="cellIs" dxfId="400" priority="401" stopIfTrue="1" operator="equal">
      <formula>"Towel"</formula>
    </cfRule>
  </conditionalFormatting>
  <conditionalFormatting sqref="C122">
    <cfRule type="cellIs" dxfId="399" priority="397" stopIfTrue="1" operator="equal">
      <formula>"Towel"</formula>
    </cfRule>
    <cfRule type="cellIs" dxfId="398" priority="398" stopIfTrue="1" operator="equal">
      <formula>"Napkin Hs"</formula>
    </cfRule>
  </conditionalFormatting>
  <conditionalFormatting sqref="C122">
    <cfRule type="cellIs" dxfId="397" priority="396" stopIfTrue="1" operator="equal">
      <formula>"Napkin Hs"</formula>
    </cfRule>
  </conditionalFormatting>
  <conditionalFormatting sqref="C122">
    <cfRule type="cellIs" dxfId="396" priority="395" stopIfTrue="1" operator="equal">
      <formula>"Towel"</formula>
    </cfRule>
  </conditionalFormatting>
  <conditionalFormatting sqref="C122">
    <cfRule type="cellIs" dxfId="395" priority="388" stopIfTrue="1" operator="equal">
      <formula>"Napkin Hs"</formula>
    </cfRule>
  </conditionalFormatting>
  <conditionalFormatting sqref="C122">
    <cfRule type="cellIs" dxfId="394" priority="387" stopIfTrue="1" operator="equal">
      <formula>"Napkin Hs"</formula>
    </cfRule>
  </conditionalFormatting>
  <conditionalFormatting sqref="B128:C130">
    <cfRule type="cellIs" dxfId="393" priority="385" stopIfTrue="1" operator="equal">
      <formula>"Towel"</formula>
    </cfRule>
    <cfRule type="cellIs" dxfId="392" priority="386" stopIfTrue="1" operator="equal">
      <formula>"Napkin Hs"</formula>
    </cfRule>
  </conditionalFormatting>
  <conditionalFormatting sqref="C128:C130">
    <cfRule type="cellIs" dxfId="391" priority="384" stopIfTrue="1" operator="equal">
      <formula>"Napkin Hs"</formula>
    </cfRule>
  </conditionalFormatting>
  <conditionalFormatting sqref="C128:C130">
    <cfRule type="cellIs" dxfId="390" priority="381" stopIfTrue="1" operator="equal">
      <formula>"Towel"</formula>
    </cfRule>
    <cfRule type="cellIs" dxfId="389" priority="382" stopIfTrue="1" operator="equal">
      <formula>"Napkin Hs"</formula>
    </cfRule>
  </conditionalFormatting>
  <conditionalFormatting sqref="C128:C130">
    <cfRule type="cellIs" dxfId="388" priority="383" stopIfTrue="1" operator="equal">
      <formula>"Towel"</formula>
    </cfRule>
  </conditionalFormatting>
  <conditionalFormatting sqref="B127">
    <cfRule type="cellIs" dxfId="387" priority="365" stopIfTrue="1" operator="equal">
      <formula>"Towel"</formula>
    </cfRule>
    <cfRule type="cellIs" dxfId="386" priority="366" stopIfTrue="1" operator="equal">
      <formula>"Napkin Hs"</formula>
    </cfRule>
  </conditionalFormatting>
  <conditionalFormatting sqref="C127">
    <cfRule type="cellIs" dxfId="385" priority="379" stopIfTrue="1" operator="equal">
      <formula>"Towel"</formula>
    </cfRule>
    <cfRule type="cellIs" dxfId="384" priority="380" stopIfTrue="1" operator="equal">
      <formula>"Napkin Hs"</formula>
    </cfRule>
  </conditionalFormatting>
  <conditionalFormatting sqref="C127">
    <cfRule type="cellIs" dxfId="383" priority="375" stopIfTrue="1" operator="equal">
      <formula>"Towel"</formula>
    </cfRule>
    <cfRule type="cellIs" dxfId="382" priority="376" stopIfTrue="1" operator="equal">
      <formula>"Napkin Hs"</formula>
    </cfRule>
  </conditionalFormatting>
  <conditionalFormatting sqref="B127">
    <cfRule type="cellIs" dxfId="381" priority="367" stopIfTrue="1" operator="equal">
      <formula>"Towel"</formula>
    </cfRule>
    <cfRule type="cellIs" dxfId="380" priority="368" stopIfTrue="1" operator="equal">
      <formula>"Napkin Hs"</formula>
    </cfRule>
  </conditionalFormatting>
  <conditionalFormatting sqref="C127">
    <cfRule type="cellIs" dxfId="379" priority="369" stopIfTrue="1" operator="equal">
      <formula>"Towel"</formula>
    </cfRule>
    <cfRule type="cellIs" dxfId="378" priority="370" stopIfTrue="1" operator="equal">
      <formula>"Napkin Hs"</formula>
    </cfRule>
  </conditionalFormatting>
  <conditionalFormatting sqref="C127">
    <cfRule type="cellIs" dxfId="377" priority="378" stopIfTrue="1" operator="equal">
      <formula>"Napkin Hs"</formula>
    </cfRule>
  </conditionalFormatting>
  <conditionalFormatting sqref="C127">
    <cfRule type="cellIs" dxfId="376" priority="377" stopIfTrue="1" operator="equal">
      <formula>"Towel"</formula>
    </cfRule>
  </conditionalFormatting>
  <conditionalFormatting sqref="C127">
    <cfRule type="cellIs" dxfId="375" priority="373" stopIfTrue="1" operator="equal">
      <formula>"Towel"</formula>
    </cfRule>
    <cfRule type="cellIs" dxfId="374" priority="374" stopIfTrue="1" operator="equal">
      <formula>"Napkin Hs"</formula>
    </cfRule>
  </conditionalFormatting>
  <conditionalFormatting sqref="C127">
    <cfRule type="cellIs" dxfId="373" priority="372" stopIfTrue="1" operator="equal">
      <formula>"Napkin Hs"</formula>
    </cfRule>
  </conditionalFormatting>
  <conditionalFormatting sqref="C127">
    <cfRule type="cellIs" dxfId="372" priority="371" stopIfTrue="1" operator="equal">
      <formula>"Towel"</formula>
    </cfRule>
  </conditionalFormatting>
  <conditionalFormatting sqref="B127:C127">
    <cfRule type="cellIs" dxfId="371" priority="363" stopIfTrue="1" operator="equal">
      <formula>"Towel"</formula>
    </cfRule>
    <cfRule type="cellIs" dxfId="370" priority="364" stopIfTrue="1" operator="equal">
      <formula>"Napkin Hs"</formula>
    </cfRule>
  </conditionalFormatting>
  <conditionalFormatting sqref="C127">
    <cfRule type="cellIs" dxfId="369" priority="362" stopIfTrue="1" operator="equal">
      <formula>"Napkin Hs"</formula>
    </cfRule>
  </conditionalFormatting>
  <conditionalFormatting sqref="C127">
    <cfRule type="cellIs" dxfId="368" priority="361" stopIfTrue="1" operator="equal">
      <formula>"Towel"</formula>
    </cfRule>
  </conditionalFormatting>
  <conditionalFormatting sqref="C127">
    <cfRule type="cellIs" dxfId="367" priority="359" stopIfTrue="1" operator="equal">
      <formula>"Towel"</formula>
    </cfRule>
    <cfRule type="cellIs" dxfId="366" priority="360" stopIfTrue="1" operator="equal">
      <formula>"Napkin Hs"</formula>
    </cfRule>
  </conditionalFormatting>
  <conditionalFormatting sqref="B127:C127">
    <cfRule type="cellIs" dxfId="365" priority="357" stopIfTrue="1" operator="equal">
      <formula>"Towel"</formula>
    </cfRule>
    <cfRule type="cellIs" dxfId="364" priority="358" stopIfTrue="1" operator="equal">
      <formula>"Napkin Hs"</formula>
    </cfRule>
  </conditionalFormatting>
  <conditionalFormatting sqref="C127">
    <cfRule type="cellIs" dxfId="363" priority="355" stopIfTrue="1" operator="equal">
      <formula>"Towel"</formula>
    </cfRule>
    <cfRule type="cellIs" dxfId="362" priority="356" stopIfTrue="1" operator="equal">
      <formula>"Napkin Hs"</formula>
    </cfRule>
  </conditionalFormatting>
  <conditionalFormatting sqref="C127">
    <cfRule type="cellIs" dxfId="361" priority="353" stopIfTrue="1" operator="equal">
      <formula>"Towel"</formula>
    </cfRule>
    <cfRule type="cellIs" dxfId="360" priority="354" stopIfTrue="1" operator="equal">
      <formula>"Napkin Hs"</formula>
    </cfRule>
  </conditionalFormatting>
  <conditionalFormatting sqref="C127">
    <cfRule type="cellIs" dxfId="359" priority="347" stopIfTrue="1" operator="equal">
      <formula>"Towel"</formula>
    </cfRule>
    <cfRule type="cellIs" dxfId="358" priority="348" stopIfTrue="1" operator="equal">
      <formula>"Napkin Hs"</formula>
    </cfRule>
  </conditionalFormatting>
  <conditionalFormatting sqref="B127">
    <cfRule type="cellIs" dxfId="357" priority="337" stopIfTrue="1" operator="equal">
      <formula>"Towel"</formula>
    </cfRule>
    <cfRule type="cellIs" dxfId="356" priority="338" stopIfTrue="1" operator="equal">
      <formula>"Napkin Hs"</formula>
    </cfRule>
  </conditionalFormatting>
  <conditionalFormatting sqref="C127">
    <cfRule type="cellIs" dxfId="355" priority="341" stopIfTrue="1" operator="equal">
      <formula>"Towel"</formula>
    </cfRule>
    <cfRule type="cellIs" dxfId="354" priority="342" stopIfTrue="1" operator="equal">
      <formula>"Napkin Hs"</formula>
    </cfRule>
  </conditionalFormatting>
  <conditionalFormatting sqref="C127">
    <cfRule type="cellIs" dxfId="353" priority="351" stopIfTrue="1" operator="equal">
      <formula>"Towel"</formula>
    </cfRule>
    <cfRule type="cellIs" dxfId="352" priority="352" stopIfTrue="1" operator="equal">
      <formula>"Napkin Hs"</formula>
    </cfRule>
  </conditionalFormatting>
  <conditionalFormatting sqref="B127">
    <cfRule type="cellIs" dxfId="351" priority="339" stopIfTrue="1" operator="equal">
      <formula>"Towel"</formula>
    </cfRule>
    <cfRule type="cellIs" dxfId="350" priority="340" stopIfTrue="1" operator="equal">
      <formula>"Napkin Hs"</formula>
    </cfRule>
  </conditionalFormatting>
  <conditionalFormatting sqref="C127">
    <cfRule type="cellIs" dxfId="349" priority="350" stopIfTrue="1" operator="equal">
      <formula>"Napkin Hs"</formula>
    </cfRule>
  </conditionalFormatting>
  <conditionalFormatting sqref="C127">
    <cfRule type="cellIs" dxfId="348" priority="349" stopIfTrue="1" operator="equal">
      <formula>"Towel"</formula>
    </cfRule>
  </conditionalFormatting>
  <conditionalFormatting sqref="C127">
    <cfRule type="cellIs" dxfId="347" priority="345" stopIfTrue="1" operator="equal">
      <formula>"Towel"</formula>
    </cfRule>
    <cfRule type="cellIs" dxfId="346" priority="346" stopIfTrue="1" operator="equal">
      <formula>"Napkin Hs"</formula>
    </cfRule>
  </conditionalFormatting>
  <conditionalFormatting sqref="C127">
    <cfRule type="cellIs" dxfId="345" priority="344" stopIfTrue="1" operator="equal">
      <formula>"Napkin Hs"</formula>
    </cfRule>
  </conditionalFormatting>
  <conditionalFormatting sqref="C127">
    <cfRule type="cellIs" dxfId="344" priority="343" stopIfTrue="1" operator="equal">
      <formula>"Towel"</formula>
    </cfRule>
  </conditionalFormatting>
  <conditionalFormatting sqref="C127">
    <cfRule type="cellIs" dxfId="343" priority="336" stopIfTrue="1" operator="equal">
      <formula>"Napkin Hs"</formula>
    </cfRule>
  </conditionalFormatting>
  <conditionalFormatting sqref="C127">
    <cfRule type="cellIs" dxfId="342" priority="335" stopIfTrue="1" operator="equal">
      <formula>"Napkin Hs"</formula>
    </cfRule>
  </conditionalFormatting>
  <conditionalFormatting sqref="B126">
    <cfRule type="cellIs" dxfId="341" priority="319" stopIfTrue="1" operator="equal">
      <formula>"Towel"</formula>
    </cfRule>
    <cfRule type="cellIs" dxfId="340" priority="320" stopIfTrue="1" operator="equal">
      <formula>"Napkin Hs"</formula>
    </cfRule>
  </conditionalFormatting>
  <conditionalFormatting sqref="C126">
    <cfRule type="cellIs" dxfId="339" priority="333" stopIfTrue="1" operator="equal">
      <formula>"Towel"</formula>
    </cfRule>
    <cfRule type="cellIs" dxfId="338" priority="334" stopIfTrue="1" operator="equal">
      <formula>"Napkin Hs"</formula>
    </cfRule>
  </conditionalFormatting>
  <conditionalFormatting sqref="C126">
    <cfRule type="cellIs" dxfId="337" priority="329" stopIfTrue="1" operator="equal">
      <formula>"Towel"</formula>
    </cfRule>
    <cfRule type="cellIs" dxfId="336" priority="330" stopIfTrue="1" operator="equal">
      <formula>"Napkin Hs"</formula>
    </cfRule>
  </conditionalFormatting>
  <conditionalFormatting sqref="B126">
    <cfRule type="cellIs" dxfId="335" priority="321" stopIfTrue="1" operator="equal">
      <formula>"Towel"</formula>
    </cfRule>
    <cfRule type="cellIs" dxfId="334" priority="322" stopIfTrue="1" operator="equal">
      <formula>"Napkin Hs"</formula>
    </cfRule>
  </conditionalFormatting>
  <conditionalFormatting sqref="C126">
    <cfRule type="cellIs" dxfId="333" priority="323" stopIfTrue="1" operator="equal">
      <formula>"Towel"</formula>
    </cfRule>
    <cfRule type="cellIs" dxfId="332" priority="324" stopIfTrue="1" operator="equal">
      <formula>"Napkin Hs"</formula>
    </cfRule>
  </conditionalFormatting>
  <conditionalFormatting sqref="C126">
    <cfRule type="cellIs" dxfId="331" priority="332" stopIfTrue="1" operator="equal">
      <formula>"Napkin Hs"</formula>
    </cfRule>
  </conditionalFormatting>
  <conditionalFormatting sqref="C126">
    <cfRule type="cellIs" dxfId="330" priority="331" stopIfTrue="1" operator="equal">
      <formula>"Towel"</formula>
    </cfRule>
  </conditionalFormatting>
  <conditionalFormatting sqref="C126">
    <cfRule type="cellIs" dxfId="329" priority="327" stopIfTrue="1" operator="equal">
      <formula>"Towel"</formula>
    </cfRule>
    <cfRule type="cellIs" dxfId="328" priority="328" stopIfTrue="1" operator="equal">
      <formula>"Napkin Hs"</formula>
    </cfRule>
  </conditionalFormatting>
  <conditionalFormatting sqref="C126">
    <cfRule type="cellIs" dxfId="327" priority="326" stopIfTrue="1" operator="equal">
      <formula>"Napkin Hs"</formula>
    </cfRule>
  </conditionalFormatting>
  <conditionalFormatting sqref="C126">
    <cfRule type="cellIs" dxfId="326" priority="325" stopIfTrue="1" operator="equal">
      <formula>"Towel"</formula>
    </cfRule>
  </conditionalFormatting>
  <conditionalFormatting sqref="B126:C126">
    <cfRule type="cellIs" dxfId="325" priority="317" stopIfTrue="1" operator="equal">
      <formula>"Towel"</formula>
    </cfRule>
    <cfRule type="cellIs" dxfId="324" priority="318" stopIfTrue="1" operator="equal">
      <formula>"Napkin Hs"</formula>
    </cfRule>
  </conditionalFormatting>
  <conditionalFormatting sqref="C126">
    <cfRule type="cellIs" dxfId="323" priority="316" stopIfTrue="1" operator="equal">
      <formula>"Napkin Hs"</formula>
    </cfRule>
  </conditionalFormatting>
  <conditionalFormatting sqref="C126">
    <cfRule type="cellIs" dxfId="322" priority="315" stopIfTrue="1" operator="equal">
      <formula>"Towel"</formula>
    </cfRule>
  </conditionalFormatting>
  <conditionalFormatting sqref="C126">
    <cfRule type="cellIs" dxfId="321" priority="313" stopIfTrue="1" operator="equal">
      <formula>"Towel"</formula>
    </cfRule>
    <cfRule type="cellIs" dxfId="320" priority="314" stopIfTrue="1" operator="equal">
      <formula>"Napkin Hs"</formula>
    </cfRule>
  </conditionalFormatting>
  <conditionalFormatting sqref="B126:C126">
    <cfRule type="cellIs" dxfId="319" priority="311" stopIfTrue="1" operator="equal">
      <formula>"Towel"</formula>
    </cfRule>
    <cfRule type="cellIs" dxfId="318" priority="312" stopIfTrue="1" operator="equal">
      <formula>"Napkin Hs"</formula>
    </cfRule>
  </conditionalFormatting>
  <conditionalFormatting sqref="C126">
    <cfRule type="cellIs" dxfId="317" priority="309" stopIfTrue="1" operator="equal">
      <formula>"Towel"</formula>
    </cfRule>
    <cfRule type="cellIs" dxfId="316" priority="310" stopIfTrue="1" operator="equal">
      <formula>"Napkin Hs"</formula>
    </cfRule>
  </conditionalFormatting>
  <conditionalFormatting sqref="C126">
    <cfRule type="cellIs" dxfId="315" priority="307" stopIfTrue="1" operator="equal">
      <formula>"Towel"</formula>
    </cfRule>
    <cfRule type="cellIs" dxfId="314" priority="308" stopIfTrue="1" operator="equal">
      <formula>"Napkin Hs"</formula>
    </cfRule>
  </conditionalFormatting>
  <conditionalFormatting sqref="C126">
    <cfRule type="cellIs" dxfId="313" priority="301" stopIfTrue="1" operator="equal">
      <formula>"Towel"</formula>
    </cfRule>
    <cfRule type="cellIs" dxfId="312" priority="302" stopIfTrue="1" operator="equal">
      <formula>"Napkin Hs"</formula>
    </cfRule>
  </conditionalFormatting>
  <conditionalFormatting sqref="B126">
    <cfRule type="cellIs" dxfId="311" priority="291" stopIfTrue="1" operator="equal">
      <formula>"Towel"</formula>
    </cfRule>
    <cfRule type="cellIs" dxfId="310" priority="292" stopIfTrue="1" operator="equal">
      <formula>"Napkin Hs"</formula>
    </cfRule>
  </conditionalFormatting>
  <conditionalFormatting sqref="C126">
    <cfRule type="cellIs" dxfId="309" priority="295" stopIfTrue="1" operator="equal">
      <formula>"Towel"</formula>
    </cfRule>
    <cfRule type="cellIs" dxfId="308" priority="296" stopIfTrue="1" operator="equal">
      <formula>"Napkin Hs"</formula>
    </cfRule>
  </conditionalFormatting>
  <conditionalFormatting sqref="C126">
    <cfRule type="cellIs" dxfId="307" priority="305" stopIfTrue="1" operator="equal">
      <formula>"Towel"</formula>
    </cfRule>
    <cfRule type="cellIs" dxfId="306" priority="306" stopIfTrue="1" operator="equal">
      <formula>"Napkin Hs"</formula>
    </cfRule>
  </conditionalFormatting>
  <conditionalFormatting sqref="B126">
    <cfRule type="cellIs" dxfId="305" priority="293" stopIfTrue="1" operator="equal">
      <formula>"Towel"</formula>
    </cfRule>
    <cfRule type="cellIs" dxfId="304" priority="294" stopIfTrue="1" operator="equal">
      <formula>"Napkin Hs"</formula>
    </cfRule>
  </conditionalFormatting>
  <conditionalFormatting sqref="C126">
    <cfRule type="cellIs" dxfId="303" priority="304" stopIfTrue="1" operator="equal">
      <formula>"Napkin Hs"</formula>
    </cfRule>
  </conditionalFormatting>
  <conditionalFormatting sqref="C126">
    <cfRule type="cellIs" dxfId="302" priority="303" stopIfTrue="1" operator="equal">
      <formula>"Towel"</formula>
    </cfRule>
  </conditionalFormatting>
  <conditionalFormatting sqref="C126">
    <cfRule type="cellIs" dxfId="301" priority="299" stopIfTrue="1" operator="equal">
      <formula>"Towel"</formula>
    </cfRule>
    <cfRule type="cellIs" dxfId="300" priority="300" stopIfTrue="1" operator="equal">
      <formula>"Napkin Hs"</formula>
    </cfRule>
  </conditionalFormatting>
  <conditionalFormatting sqref="C126">
    <cfRule type="cellIs" dxfId="299" priority="298" stopIfTrue="1" operator="equal">
      <formula>"Napkin Hs"</formula>
    </cfRule>
  </conditionalFormatting>
  <conditionalFormatting sqref="C126">
    <cfRule type="cellIs" dxfId="298" priority="297" stopIfTrue="1" operator="equal">
      <formula>"Towel"</formula>
    </cfRule>
  </conditionalFormatting>
  <conditionalFormatting sqref="C126">
    <cfRule type="cellIs" dxfId="297" priority="290" stopIfTrue="1" operator="equal">
      <formula>"Napkin Hs"</formula>
    </cfRule>
  </conditionalFormatting>
  <conditionalFormatting sqref="C126">
    <cfRule type="cellIs" dxfId="296" priority="289" stopIfTrue="1" operator="equal">
      <formula>"Napkin Hs"</formula>
    </cfRule>
  </conditionalFormatting>
  <conditionalFormatting sqref="B134:C134">
    <cfRule type="cellIs" dxfId="295" priority="287" stopIfTrue="1" operator="equal">
      <formula>"Towel"</formula>
    </cfRule>
    <cfRule type="cellIs" dxfId="294" priority="288" stopIfTrue="1" operator="equal">
      <formula>"Napkin Hs"</formula>
    </cfRule>
  </conditionalFormatting>
  <conditionalFormatting sqref="C134">
    <cfRule type="cellIs" dxfId="293" priority="286" stopIfTrue="1" operator="equal">
      <formula>"Napkin Hs"</formula>
    </cfRule>
  </conditionalFormatting>
  <conditionalFormatting sqref="C134">
    <cfRule type="cellIs" dxfId="292" priority="283" stopIfTrue="1" operator="equal">
      <formula>"Towel"</formula>
    </cfRule>
    <cfRule type="cellIs" dxfId="291" priority="284" stopIfTrue="1" operator="equal">
      <formula>"Napkin Hs"</formula>
    </cfRule>
  </conditionalFormatting>
  <conditionalFormatting sqref="C134">
    <cfRule type="cellIs" dxfId="290" priority="285" stopIfTrue="1" operator="equal">
      <formula>"Towel"</formula>
    </cfRule>
  </conditionalFormatting>
  <conditionalFormatting sqref="B133">
    <cfRule type="cellIs" dxfId="289" priority="267" stopIfTrue="1" operator="equal">
      <formula>"Towel"</formula>
    </cfRule>
    <cfRule type="cellIs" dxfId="288" priority="268" stopIfTrue="1" operator="equal">
      <formula>"Napkin Hs"</formula>
    </cfRule>
  </conditionalFormatting>
  <conditionalFormatting sqref="C133">
    <cfRule type="cellIs" dxfId="287" priority="281" stopIfTrue="1" operator="equal">
      <formula>"Towel"</formula>
    </cfRule>
    <cfRule type="cellIs" dxfId="286" priority="282" stopIfTrue="1" operator="equal">
      <formula>"Napkin Hs"</formula>
    </cfRule>
  </conditionalFormatting>
  <conditionalFormatting sqref="C133">
    <cfRule type="cellIs" dxfId="285" priority="277" stopIfTrue="1" operator="equal">
      <formula>"Towel"</formula>
    </cfRule>
    <cfRule type="cellIs" dxfId="284" priority="278" stopIfTrue="1" operator="equal">
      <formula>"Napkin Hs"</formula>
    </cfRule>
  </conditionalFormatting>
  <conditionalFormatting sqref="B133">
    <cfRule type="cellIs" dxfId="283" priority="269" stopIfTrue="1" operator="equal">
      <formula>"Towel"</formula>
    </cfRule>
    <cfRule type="cellIs" dxfId="282" priority="270" stopIfTrue="1" operator="equal">
      <formula>"Napkin Hs"</formula>
    </cfRule>
  </conditionalFormatting>
  <conditionalFormatting sqref="C133">
    <cfRule type="cellIs" dxfId="281" priority="271" stopIfTrue="1" operator="equal">
      <formula>"Towel"</formula>
    </cfRule>
    <cfRule type="cellIs" dxfId="280" priority="272" stopIfTrue="1" operator="equal">
      <formula>"Napkin Hs"</formula>
    </cfRule>
  </conditionalFormatting>
  <conditionalFormatting sqref="C133">
    <cfRule type="cellIs" dxfId="279" priority="280" stopIfTrue="1" operator="equal">
      <formula>"Napkin Hs"</formula>
    </cfRule>
  </conditionalFormatting>
  <conditionalFormatting sqref="C133">
    <cfRule type="cellIs" dxfId="278" priority="279" stopIfTrue="1" operator="equal">
      <formula>"Towel"</formula>
    </cfRule>
  </conditionalFormatting>
  <conditionalFormatting sqref="C133">
    <cfRule type="cellIs" dxfId="277" priority="275" stopIfTrue="1" operator="equal">
      <formula>"Towel"</formula>
    </cfRule>
    <cfRule type="cellIs" dxfId="276" priority="276" stopIfTrue="1" operator="equal">
      <formula>"Napkin Hs"</formula>
    </cfRule>
  </conditionalFormatting>
  <conditionalFormatting sqref="C133">
    <cfRule type="cellIs" dxfId="275" priority="274" stopIfTrue="1" operator="equal">
      <formula>"Napkin Hs"</formula>
    </cfRule>
  </conditionalFormatting>
  <conditionalFormatting sqref="C133">
    <cfRule type="cellIs" dxfId="274" priority="273" stopIfTrue="1" operator="equal">
      <formula>"Towel"</formula>
    </cfRule>
  </conditionalFormatting>
  <conditionalFormatting sqref="B133:C133">
    <cfRule type="cellIs" dxfId="273" priority="265" stopIfTrue="1" operator="equal">
      <formula>"Towel"</formula>
    </cfRule>
    <cfRule type="cellIs" dxfId="272" priority="266" stopIfTrue="1" operator="equal">
      <formula>"Napkin Hs"</formula>
    </cfRule>
  </conditionalFormatting>
  <conditionalFormatting sqref="C133">
    <cfRule type="cellIs" dxfId="271" priority="264" stopIfTrue="1" operator="equal">
      <formula>"Napkin Hs"</formula>
    </cfRule>
  </conditionalFormatting>
  <conditionalFormatting sqref="C133">
    <cfRule type="cellIs" dxfId="270" priority="263" stopIfTrue="1" operator="equal">
      <formula>"Towel"</formula>
    </cfRule>
  </conditionalFormatting>
  <conditionalFormatting sqref="C133">
    <cfRule type="cellIs" dxfId="269" priority="261" stopIfTrue="1" operator="equal">
      <formula>"Towel"</formula>
    </cfRule>
    <cfRule type="cellIs" dxfId="268" priority="262" stopIfTrue="1" operator="equal">
      <formula>"Napkin Hs"</formula>
    </cfRule>
  </conditionalFormatting>
  <conditionalFormatting sqref="B133:C133">
    <cfRule type="cellIs" dxfId="267" priority="259" stopIfTrue="1" operator="equal">
      <formula>"Towel"</formula>
    </cfRule>
    <cfRule type="cellIs" dxfId="266" priority="260" stopIfTrue="1" operator="equal">
      <formula>"Napkin Hs"</formula>
    </cfRule>
  </conditionalFormatting>
  <conditionalFormatting sqref="C133">
    <cfRule type="cellIs" dxfId="265" priority="257" stopIfTrue="1" operator="equal">
      <formula>"Towel"</formula>
    </cfRule>
    <cfRule type="cellIs" dxfId="264" priority="258" stopIfTrue="1" operator="equal">
      <formula>"Napkin Hs"</formula>
    </cfRule>
  </conditionalFormatting>
  <conditionalFormatting sqref="C133">
    <cfRule type="cellIs" dxfId="263" priority="255" stopIfTrue="1" operator="equal">
      <formula>"Towel"</formula>
    </cfRule>
    <cfRule type="cellIs" dxfId="262" priority="256" stopIfTrue="1" operator="equal">
      <formula>"Napkin Hs"</formula>
    </cfRule>
  </conditionalFormatting>
  <conditionalFormatting sqref="C133">
    <cfRule type="cellIs" dxfId="261" priority="249" stopIfTrue="1" operator="equal">
      <formula>"Towel"</formula>
    </cfRule>
    <cfRule type="cellIs" dxfId="260" priority="250" stopIfTrue="1" operator="equal">
      <formula>"Napkin Hs"</formula>
    </cfRule>
  </conditionalFormatting>
  <conditionalFormatting sqref="B133">
    <cfRule type="cellIs" dxfId="259" priority="239" stopIfTrue="1" operator="equal">
      <formula>"Towel"</formula>
    </cfRule>
    <cfRule type="cellIs" dxfId="258" priority="240" stopIfTrue="1" operator="equal">
      <formula>"Napkin Hs"</formula>
    </cfRule>
  </conditionalFormatting>
  <conditionalFormatting sqref="C133">
    <cfRule type="cellIs" dxfId="257" priority="243" stopIfTrue="1" operator="equal">
      <formula>"Towel"</formula>
    </cfRule>
    <cfRule type="cellIs" dxfId="256" priority="244" stopIfTrue="1" operator="equal">
      <formula>"Napkin Hs"</formula>
    </cfRule>
  </conditionalFormatting>
  <conditionalFormatting sqref="C133">
    <cfRule type="cellIs" dxfId="255" priority="253" stopIfTrue="1" operator="equal">
      <formula>"Towel"</formula>
    </cfRule>
    <cfRule type="cellIs" dxfId="254" priority="254" stopIfTrue="1" operator="equal">
      <formula>"Napkin Hs"</formula>
    </cfRule>
  </conditionalFormatting>
  <conditionalFormatting sqref="B133">
    <cfRule type="cellIs" dxfId="253" priority="241" stopIfTrue="1" operator="equal">
      <formula>"Towel"</formula>
    </cfRule>
    <cfRule type="cellIs" dxfId="252" priority="242" stopIfTrue="1" operator="equal">
      <formula>"Napkin Hs"</formula>
    </cfRule>
  </conditionalFormatting>
  <conditionalFormatting sqref="C133">
    <cfRule type="cellIs" dxfId="251" priority="252" stopIfTrue="1" operator="equal">
      <formula>"Napkin Hs"</formula>
    </cfRule>
  </conditionalFormatting>
  <conditionalFormatting sqref="C133">
    <cfRule type="cellIs" dxfId="250" priority="251" stopIfTrue="1" operator="equal">
      <formula>"Towel"</formula>
    </cfRule>
  </conditionalFormatting>
  <conditionalFormatting sqref="C133">
    <cfRule type="cellIs" dxfId="249" priority="247" stopIfTrue="1" operator="equal">
      <formula>"Towel"</formula>
    </cfRule>
    <cfRule type="cellIs" dxfId="248" priority="248" stopIfTrue="1" operator="equal">
      <formula>"Napkin Hs"</formula>
    </cfRule>
  </conditionalFormatting>
  <conditionalFormatting sqref="C133">
    <cfRule type="cellIs" dxfId="247" priority="246" stopIfTrue="1" operator="equal">
      <formula>"Napkin Hs"</formula>
    </cfRule>
  </conditionalFormatting>
  <conditionalFormatting sqref="C133">
    <cfRule type="cellIs" dxfId="246" priority="245" stopIfTrue="1" operator="equal">
      <formula>"Towel"</formula>
    </cfRule>
  </conditionalFormatting>
  <conditionalFormatting sqref="C133">
    <cfRule type="cellIs" dxfId="245" priority="238" stopIfTrue="1" operator="equal">
      <formula>"Napkin Hs"</formula>
    </cfRule>
  </conditionalFormatting>
  <conditionalFormatting sqref="C133">
    <cfRule type="cellIs" dxfId="244" priority="237" stopIfTrue="1" operator="equal">
      <formula>"Napkin Hs"</formula>
    </cfRule>
  </conditionalFormatting>
  <conditionalFormatting sqref="B132">
    <cfRule type="cellIs" dxfId="243" priority="221" stopIfTrue="1" operator="equal">
      <formula>"Towel"</formula>
    </cfRule>
    <cfRule type="cellIs" dxfId="242" priority="222" stopIfTrue="1" operator="equal">
      <formula>"Napkin Hs"</formula>
    </cfRule>
  </conditionalFormatting>
  <conditionalFormatting sqref="C132">
    <cfRule type="cellIs" dxfId="241" priority="235" stopIfTrue="1" operator="equal">
      <formula>"Towel"</formula>
    </cfRule>
    <cfRule type="cellIs" dxfId="240" priority="236" stopIfTrue="1" operator="equal">
      <formula>"Napkin Hs"</formula>
    </cfRule>
  </conditionalFormatting>
  <conditionalFormatting sqref="C132">
    <cfRule type="cellIs" dxfId="239" priority="231" stopIfTrue="1" operator="equal">
      <formula>"Towel"</formula>
    </cfRule>
    <cfRule type="cellIs" dxfId="238" priority="232" stopIfTrue="1" operator="equal">
      <formula>"Napkin Hs"</formula>
    </cfRule>
  </conditionalFormatting>
  <conditionalFormatting sqref="B132">
    <cfRule type="cellIs" dxfId="237" priority="223" stopIfTrue="1" operator="equal">
      <formula>"Towel"</formula>
    </cfRule>
    <cfRule type="cellIs" dxfId="236" priority="224" stopIfTrue="1" operator="equal">
      <formula>"Napkin Hs"</formula>
    </cfRule>
  </conditionalFormatting>
  <conditionalFormatting sqref="C132">
    <cfRule type="cellIs" dxfId="235" priority="225" stopIfTrue="1" operator="equal">
      <formula>"Towel"</formula>
    </cfRule>
    <cfRule type="cellIs" dxfId="234" priority="226" stopIfTrue="1" operator="equal">
      <formula>"Napkin Hs"</formula>
    </cfRule>
  </conditionalFormatting>
  <conditionalFormatting sqref="C132">
    <cfRule type="cellIs" dxfId="233" priority="234" stopIfTrue="1" operator="equal">
      <formula>"Napkin Hs"</formula>
    </cfRule>
  </conditionalFormatting>
  <conditionalFormatting sqref="C132">
    <cfRule type="cellIs" dxfId="232" priority="233" stopIfTrue="1" operator="equal">
      <formula>"Towel"</formula>
    </cfRule>
  </conditionalFormatting>
  <conditionalFormatting sqref="C132">
    <cfRule type="cellIs" dxfId="231" priority="229" stopIfTrue="1" operator="equal">
      <formula>"Towel"</formula>
    </cfRule>
    <cfRule type="cellIs" dxfId="230" priority="230" stopIfTrue="1" operator="equal">
      <formula>"Napkin Hs"</formula>
    </cfRule>
  </conditionalFormatting>
  <conditionalFormatting sqref="C132">
    <cfRule type="cellIs" dxfId="229" priority="228" stopIfTrue="1" operator="equal">
      <formula>"Napkin Hs"</formula>
    </cfRule>
  </conditionalFormatting>
  <conditionalFormatting sqref="C132">
    <cfRule type="cellIs" dxfId="228" priority="227" stopIfTrue="1" operator="equal">
      <formula>"Towel"</formula>
    </cfRule>
  </conditionalFormatting>
  <conditionalFormatting sqref="B132:C132">
    <cfRule type="cellIs" dxfId="227" priority="219" stopIfTrue="1" operator="equal">
      <formula>"Towel"</formula>
    </cfRule>
    <cfRule type="cellIs" dxfId="226" priority="220" stopIfTrue="1" operator="equal">
      <formula>"Napkin Hs"</formula>
    </cfRule>
  </conditionalFormatting>
  <conditionalFormatting sqref="C132">
    <cfRule type="cellIs" dxfId="225" priority="218" stopIfTrue="1" operator="equal">
      <formula>"Napkin Hs"</formula>
    </cfRule>
  </conditionalFormatting>
  <conditionalFormatting sqref="C132">
    <cfRule type="cellIs" dxfId="224" priority="217" stopIfTrue="1" operator="equal">
      <formula>"Towel"</formula>
    </cfRule>
  </conditionalFormatting>
  <conditionalFormatting sqref="C132">
    <cfRule type="cellIs" dxfId="223" priority="215" stopIfTrue="1" operator="equal">
      <formula>"Towel"</formula>
    </cfRule>
    <cfRule type="cellIs" dxfId="222" priority="216" stopIfTrue="1" operator="equal">
      <formula>"Napkin Hs"</formula>
    </cfRule>
  </conditionalFormatting>
  <conditionalFormatting sqref="B132:C132">
    <cfRule type="cellIs" dxfId="221" priority="213" stopIfTrue="1" operator="equal">
      <formula>"Towel"</formula>
    </cfRule>
    <cfRule type="cellIs" dxfId="220" priority="214" stopIfTrue="1" operator="equal">
      <formula>"Napkin Hs"</formula>
    </cfRule>
  </conditionalFormatting>
  <conditionalFormatting sqref="C132">
    <cfRule type="cellIs" dxfId="219" priority="211" stopIfTrue="1" operator="equal">
      <formula>"Towel"</formula>
    </cfRule>
    <cfRule type="cellIs" dxfId="218" priority="212" stopIfTrue="1" operator="equal">
      <formula>"Napkin Hs"</formula>
    </cfRule>
  </conditionalFormatting>
  <conditionalFormatting sqref="C132">
    <cfRule type="cellIs" dxfId="217" priority="209" stopIfTrue="1" operator="equal">
      <formula>"Towel"</formula>
    </cfRule>
    <cfRule type="cellIs" dxfId="216" priority="210" stopIfTrue="1" operator="equal">
      <formula>"Napkin Hs"</formula>
    </cfRule>
  </conditionalFormatting>
  <conditionalFormatting sqref="C132">
    <cfRule type="cellIs" dxfId="215" priority="203" stopIfTrue="1" operator="equal">
      <formula>"Towel"</formula>
    </cfRule>
    <cfRule type="cellIs" dxfId="214" priority="204" stopIfTrue="1" operator="equal">
      <formula>"Napkin Hs"</formula>
    </cfRule>
  </conditionalFormatting>
  <conditionalFormatting sqref="B132">
    <cfRule type="cellIs" dxfId="213" priority="193" stopIfTrue="1" operator="equal">
      <formula>"Towel"</formula>
    </cfRule>
    <cfRule type="cellIs" dxfId="212" priority="194" stopIfTrue="1" operator="equal">
      <formula>"Napkin Hs"</formula>
    </cfRule>
  </conditionalFormatting>
  <conditionalFormatting sqref="C132">
    <cfRule type="cellIs" dxfId="211" priority="197" stopIfTrue="1" operator="equal">
      <formula>"Towel"</formula>
    </cfRule>
    <cfRule type="cellIs" dxfId="210" priority="198" stopIfTrue="1" operator="equal">
      <formula>"Napkin Hs"</formula>
    </cfRule>
  </conditionalFormatting>
  <conditionalFormatting sqref="C132">
    <cfRule type="cellIs" dxfId="209" priority="207" stopIfTrue="1" operator="equal">
      <formula>"Towel"</formula>
    </cfRule>
    <cfRule type="cellIs" dxfId="208" priority="208" stopIfTrue="1" operator="equal">
      <formula>"Napkin Hs"</formula>
    </cfRule>
  </conditionalFormatting>
  <conditionalFormatting sqref="B132">
    <cfRule type="cellIs" dxfId="207" priority="195" stopIfTrue="1" operator="equal">
      <formula>"Towel"</formula>
    </cfRule>
    <cfRule type="cellIs" dxfId="206" priority="196" stopIfTrue="1" operator="equal">
      <formula>"Napkin Hs"</formula>
    </cfRule>
  </conditionalFormatting>
  <conditionalFormatting sqref="C132">
    <cfRule type="cellIs" dxfId="205" priority="206" stopIfTrue="1" operator="equal">
      <formula>"Napkin Hs"</formula>
    </cfRule>
  </conditionalFormatting>
  <conditionalFormatting sqref="C132">
    <cfRule type="cellIs" dxfId="204" priority="205" stopIfTrue="1" operator="equal">
      <formula>"Towel"</formula>
    </cfRule>
  </conditionalFormatting>
  <conditionalFormatting sqref="C132">
    <cfRule type="cellIs" dxfId="203" priority="201" stopIfTrue="1" operator="equal">
      <formula>"Towel"</formula>
    </cfRule>
    <cfRule type="cellIs" dxfId="202" priority="202" stopIfTrue="1" operator="equal">
      <formula>"Napkin Hs"</formula>
    </cfRule>
  </conditionalFormatting>
  <conditionalFormatting sqref="C132">
    <cfRule type="cellIs" dxfId="201" priority="200" stopIfTrue="1" operator="equal">
      <formula>"Napkin Hs"</formula>
    </cfRule>
  </conditionalFormatting>
  <conditionalFormatting sqref="C132">
    <cfRule type="cellIs" dxfId="200" priority="199" stopIfTrue="1" operator="equal">
      <formula>"Towel"</formula>
    </cfRule>
  </conditionalFormatting>
  <conditionalFormatting sqref="C132">
    <cfRule type="cellIs" dxfId="199" priority="192" stopIfTrue="1" operator="equal">
      <formula>"Napkin Hs"</formula>
    </cfRule>
  </conditionalFormatting>
  <conditionalFormatting sqref="C132">
    <cfRule type="cellIs" dxfId="198" priority="191" stopIfTrue="1" operator="equal">
      <formula>"Napkin Hs"</formula>
    </cfRule>
  </conditionalFormatting>
  <conditionalFormatting sqref="B138:C139">
    <cfRule type="cellIs" dxfId="197" priority="189" stopIfTrue="1" operator="equal">
      <formula>"Towel"</formula>
    </cfRule>
    <cfRule type="cellIs" dxfId="196" priority="190" stopIfTrue="1" operator="equal">
      <formula>"Napkin Hs"</formula>
    </cfRule>
  </conditionalFormatting>
  <conditionalFormatting sqref="C138:C139">
    <cfRule type="cellIs" dxfId="195" priority="188" stopIfTrue="1" operator="equal">
      <formula>"Napkin Hs"</formula>
    </cfRule>
  </conditionalFormatting>
  <conditionalFormatting sqref="C138:C139">
    <cfRule type="cellIs" dxfId="194" priority="185" stopIfTrue="1" operator="equal">
      <formula>"Towel"</formula>
    </cfRule>
    <cfRule type="cellIs" dxfId="193" priority="186" stopIfTrue="1" operator="equal">
      <formula>"Napkin Hs"</formula>
    </cfRule>
  </conditionalFormatting>
  <conditionalFormatting sqref="C138:C139">
    <cfRule type="cellIs" dxfId="192" priority="187" stopIfTrue="1" operator="equal">
      <formula>"Towel"</formula>
    </cfRule>
  </conditionalFormatting>
  <conditionalFormatting sqref="B136:B137">
    <cfRule type="cellIs" dxfId="191" priority="169" stopIfTrue="1" operator="equal">
      <formula>"Towel"</formula>
    </cfRule>
    <cfRule type="cellIs" dxfId="190" priority="170" stopIfTrue="1" operator="equal">
      <formula>"Napkin Hs"</formula>
    </cfRule>
  </conditionalFormatting>
  <conditionalFormatting sqref="C136:C137">
    <cfRule type="cellIs" dxfId="189" priority="183" stopIfTrue="1" operator="equal">
      <formula>"Towel"</formula>
    </cfRule>
    <cfRule type="cellIs" dxfId="188" priority="184" stopIfTrue="1" operator="equal">
      <formula>"Napkin Hs"</formula>
    </cfRule>
  </conditionalFormatting>
  <conditionalFormatting sqref="C136:C137">
    <cfRule type="cellIs" dxfId="187" priority="179" stopIfTrue="1" operator="equal">
      <formula>"Towel"</formula>
    </cfRule>
    <cfRule type="cellIs" dxfId="186" priority="180" stopIfTrue="1" operator="equal">
      <formula>"Napkin Hs"</formula>
    </cfRule>
  </conditionalFormatting>
  <conditionalFormatting sqref="B136:B137">
    <cfRule type="cellIs" dxfId="185" priority="171" stopIfTrue="1" operator="equal">
      <formula>"Towel"</formula>
    </cfRule>
    <cfRule type="cellIs" dxfId="184" priority="172" stopIfTrue="1" operator="equal">
      <formula>"Napkin Hs"</formula>
    </cfRule>
  </conditionalFormatting>
  <conditionalFormatting sqref="C136:C137">
    <cfRule type="cellIs" dxfId="183" priority="173" stopIfTrue="1" operator="equal">
      <formula>"Towel"</formula>
    </cfRule>
    <cfRule type="cellIs" dxfId="182" priority="174" stopIfTrue="1" operator="equal">
      <formula>"Napkin Hs"</formula>
    </cfRule>
  </conditionalFormatting>
  <conditionalFormatting sqref="C136:C137">
    <cfRule type="cellIs" dxfId="181" priority="182" stopIfTrue="1" operator="equal">
      <formula>"Napkin Hs"</formula>
    </cfRule>
  </conditionalFormatting>
  <conditionalFormatting sqref="C136:C137">
    <cfRule type="cellIs" dxfId="180" priority="181" stopIfTrue="1" operator="equal">
      <formula>"Towel"</formula>
    </cfRule>
  </conditionalFormatting>
  <conditionalFormatting sqref="C136:C137">
    <cfRule type="cellIs" dxfId="179" priority="177" stopIfTrue="1" operator="equal">
      <formula>"Towel"</formula>
    </cfRule>
    <cfRule type="cellIs" dxfId="178" priority="178" stopIfTrue="1" operator="equal">
      <formula>"Napkin Hs"</formula>
    </cfRule>
  </conditionalFormatting>
  <conditionalFormatting sqref="C136:C137">
    <cfRule type="cellIs" dxfId="177" priority="176" stopIfTrue="1" operator="equal">
      <formula>"Napkin Hs"</formula>
    </cfRule>
  </conditionalFormatting>
  <conditionalFormatting sqref="C136:C137">
    <cfRule type="cellIs" dxfId="176" priority="175" stopIfTrue="1" operator="equal">
      <formula>"Towel"</formula>
    </cfRule>
  </conditionalFormatting>
  <conditionalFormatting sqref="B136:C137">
    <cfRule type="cellIs" dxfId="175" priority="167" stopIfTrue="1" operator="equal">
      <formula>"Towel"</formula>
    </cfRule>
    <cfRule type="cellIs" dxfId="174" priority="168" stopIfTrue="1" operator="equal">
      <formula>"Napkin Hs"</formula>
    </cfRule>
  </conditionalFormatting>
  <conditionalFormatting sqref="C136:C137">
    <cfRule type="cellIs" dxfId="173" priority="166" stopIfTrue="1" operator="equal">
      <formula>"Napkin Hs"</formula>
    </cfRule>
  </conditionalFormatting>
  <conditionalFormatting sqref="C136:C137">
    <cfRule type="cellIs" dxfId="172" priority="165" stopIfTrue="1" operator="equal">
      <formula>"Towel"</formula>
    </cfRule>
  </conditionalFormatting>
  <conditionalFormatting sqref="C136:C137">
    <cfRule type="cellIs" dxfId="171" priority="163" stopIfTrue="1" operator="equal">
      <formula>"Towel"</formula>
    </cfRule>
    <cfRule type="cellIs" dxfId="170" priority="164" stopIfTrue="1" operator="equal">
      <formula>"Napkin Hs"</formula>
    </cfRule>
  </conditionalFormatting>
  <conditionalFormatting sqref="B136:C137">
    <cfRule type="cellIs" dxfId="169" priority="161" stopIfTrue="1" operator="equal">
      <formula>"Towel"</formula>
    </cfRule>
    <cfRule type="cellIs" dxfId="168" priority="162" stopIfTrue="1" operator="equal">
      <formula>"Napkin Hs"</formula>
    </cfRule>
  </conditionalFormatting>
  <conditionalFormatting sqref="C136:C137">
    <cfRule type="cellIs" dxfId="167" priority="159" stopIfTrue="1" operator="equal">
      <formula>"Towel"</formula>
    </cfRule>
    <cfRule type="cellIs" dxfId="166" priority="160" stopIfTrue="1" operator="equal">
      <formula>"Napkin Hs"</formula>
    </cfRule>
  </conditionalFormatting>
  <conditionalFormatting sqref="C136:C137">
    <cfRule type="cellIs" dxfId="165" priority="157" stopIfTrue="1" operator="equal">
      <formula>"Towel"</formula>
    </cfRule>
    <cfRule type="cellIs" dxfId="164" priority="158" stopIfTrue="1" operator="equal">
      <formula>"Napkin Hs"</formula>
    </cfRule>
  </conditionalFormatting>
  <conditionalFormatting sqref="C136:C137">
    <cfRule type="cellIs" dxfId="163" priority="151" stopIfTrue="1" operator="equal">
      <formula>"Towel"</formula>
    </cfRule>
    <cfRule type="cellIs" dxfId="162" priority="152" stopIfTrue="1" operator="equal">
      <formula>"Napkin Hs"</formula>
    </cfRule>
  </conditionalFormatting>
  <conditionalFormatting sqref="B136:B137">
    <cfRule type="cellIs" dxfId="161" priority="141" stopIfTrue="1" operator="equal">
      <formula>"Towel"</formula>
    </cfRule>
    <cfRule type="cellIs" dxfId="160" priority="142" stopIfTrue="1" operator="equal">
      <formula>"Napkin Hs"</formula>
    </cfRule>
  </conditionalFormatting>
  <conditionalFormatting sqref="C136:C137">
    <cfRule type="cellIs" dxfId="159" priority="145" stopIfTrue="1" operator="equal">
      <formula>"Towel"</formula>
    </cfRule>
    <cfRule type="cellIs" dxfId="158" priority="146" stopIfTrue="1" operator="equal">
      <formula>"Napkin Hs"</formula>
    </cfRule>
  </conditionalFormatting>
  <conditionalFormatting sqref="C136:C137">
    <cfRule type="cellIs" dxfId="157" priority="155" stopIfTrue="1" operator="equal">
      <formula>"Towel"</formula>
    </cfRule>
    <cfRule type="cellIs" dxfId="156" priority="156" stopIfTrue="1" operator="equal">
      <formula>"Napkin Hs"</formula>
    </cfRule>
  </conditionalFormatting>
  <conditionalFormatting sqref="B136:B137">
    <cfRule type="cellIs" dxfId="155" priority="143" stopIfTrue="1" operator="equal">
      <formula>"Towel"</formula>
    </cfRule>
    <cfRule type="cellIs" dxfId="154" priority="144" stopIfTrue="1" operator="equal">
      <formula>"Napkin Hs"</formula>
    </cfRule>
  </conditionalFormatting>
  <conditionalFormatting sqref="C136:C137">
    <cfRule type="cellIs" dxfId="153" priority="154" stopIfTrue="1" operator="equal">
      <formula>"Napkin Hs"</formula>
    </cfRule>
  </conditionalFormatting>
  <conditionalFormatting sqref="C136:C137">
    <cfRule type="cellIs" dxfId="152" priority="153" stopIfTrue="1" operator="equal">
      <formula>"Towel"</formula>
    </cfRule>
  </conditionalFormatting>
  <conditionalFormatting sqref="C136:C137">
    <cfRule type="cellIs" dxfId="151" priority="149" stopIfTrue="1" operator="equal">
      <formula>"Towel"</formula>
    </cfRule>
    <cfRule type="cellIs" dxfId="150" priority="150" stopIfTrue="1" operator="equal">
      <formula>"Napkin Hs"</formula>
    </cfRule>
  </conditionalFormatting>
  <conditionalFormatting sqref="C136:C137">
    <cfRule type="cellIs" dxfId="149" priority="148" stopIfTrue="1" operator="equal">
      <formula>"Napkin Hs"</formula>
    </cfRule>
  </conditionalFormatting>
  <conditionalFormatting sqref="C136:C137">
    <cfRule type="cellIs" dxfId="148" priority="147" stopIfTrue="1" operator="equal">
      <formula>"Towel"</formula>
    </cfRule>
  </conditionalFormatting>
  <conditionalFormatting sqref="C136:C137">
    <cfRule type="cellIs" dxfId="147" priority="140" stopIfTrue="1" operator="equal">
      <formula>"Napkin Hs"</formula>
    </cfRule>
  </conditionalFormatting>
  <conditionalFormatting sqref="C136:C137">
    <cfRule type="cellIs" dxfId="146" priority="139" stopIfTrue="1" operator="equal">
      <formula>"Napkin Hs"</formula>
    </cfRule>
  </conditionalFormatting>
  <conditionalFormatting sqref="B141:B145">
    <cfRule type="cellIs" dxfId="145" priority="123" stopIfTrue="1" operator="equal">
      <formula>"Towel"</formula>
    </cfRule>
    <cfRule type="cellIs" dxfId="144" priority="124" stopIfTrue="1" operator="equal">
      <formula>"Napkin Hs"</formula>
    </cfRule>
  </conditionalFormatting>
  <conditionalFormatting sqref="C141:C145">
    <cfRule type="cellIs" dxfId="143" priority="137" stopIfTrue="1" operator="equal">
      <formula>"Towel"</formula>
    </cfRule>
    <cfRule type="cellIs" dxfId="142" priority="138" stopIfTrue="1" operator="equal">
      <formula>"Napkin Hs"</formula>
    </cfRule>
  </conditionalFormatting>
  <conditionalFormatting sqref="C141:C145">
    <cfRule type="cellIs" dxfId="141" priority="133" stopIfTrue="1" operator="equal">
      <formula>"Towel"</formula>
    </cfRule>
    <cfRule type="cellIs" dxfId="140" priority="134" stopIfTrue="1" operator="equal">
      <formula>"Napkin Hs"</formula>
    </cfRule>
  </conditionalFormatting>
  <conditionalFormatting sqref="B141:B145">
    <cfRule type="cellIs" dxfId="139" priority="125" stopIfTrue="1" operator="equal">
      <formula>"Towel"</formula>
    </cfRule>
    <cfRule type="cellIs" dxfId="138" priority="126" stopIfTrue="1" operator="equal">
      <formula>"Napkin Hs"</formula>
    </cfRule>
  </conditionalFormatting>
  <conditionalFormatting sqref="C141:C145">
    <cfRule type="cellIs" dxfId="137" priority="127" stopIfTrue="1" operator="equal">
      <formula>"Towel"</formula>
    </cfRule>
    <cfRule type="cellIs" dxfId="136" priority="128" stopIfTrue="1" operator="equal">
      <formula>"Napkin Hs"</formula>
    </cfRule>
  </conditionalFormatting>
  <conditionalFormatting sqref="C141:C145">
    <cfRule type="cellIs" dxfId="135" priority="136" stopIfTrue="1" operator="equal">
      <formula>"Napkin Hs"</formula>
    </cfRule>
  </conditionalFormatting>
  <conditionalFormatting sqref="C141:C145">
    <cfRule type="cellIs" dxfId="134" priority="135" stopIfTrue="1" operator="equal">
      <formula>"Towel"</formula>
    </cfRule>
  </conditionalFormatting>
  <conditionalFormatting sqref="C141:C145">
    <cfRule type="cellIs" dxfId="133" priority="131" stopIfTrue="1" operator="equal">
      <formula>"Towel"</formula>
    </cfRule>
    <cfRule type="cellIs" dxfId="132" priority="132" stopIfTrue="1" operator="equal">
      <formula>"Napkin Hs"</formula>
    </cfRule>
  </conditionalFormatting>
  <conditionalFormatting sqref="C141:C145">
    <cfRule type="cellIs" dxfId="131" priority="130" stopIfTrue="1" operator="equal">
      <formula>"Napkin Hs"</formula>
    </cfRule>
  </conditionalFormatting>
  <conditionalFormatting sqref="C141:C145">
    <cfRule type="cellIs" dxfId="130" priority="129" stopIfTrue="1" operator="equal">
      <formula>"Towel"</formula>
    </cfRule>
  </conditionalFormatting>
  <conditionalFormatting sqref="B141:C145">
    <cfRule type="cellIs" dxfId="129" priority="121" stopIfTrue="1" operator="equal">
      <formula>"Towel"</formula>
    </cfRule>
    <cfRule type="cellIs" dxfId="128" priority="122" stopIfTrue="1" operator="equal">
      <formula>"Napkin Hs"</formula>
    </cfRule>
  </conditionalFormatting>
  <conditionalFormatting sqref="C141:C145">
    <cfRule type="cellIs" dxfId="127" priority="120" stopIfTrue="1" operator="equal">
      <formula>"Napkin Hs"</formula>
    </cfRule>
  </conditionalFormatting>
  <conditionalFormatting sqref="C141:C145">
    <cfRule type="cellIs" dxfId="126" priority="119" stopIfTrue="1" operator="equal">
      <formula>"Towel"</formula>
    </cfRule>
  </conditionalFormatting>
  <conditionalFormatting sqref="C141:C145">
    <cfRule type="cellIs" dxfId="125" priority="117" stopIfTrue="1" operator="equal">
      <formula>"Towel"</formula>
    </cfRule>
    <cfRule type="cellIs" dxfId="124" priority="118" stopIfTrue="1" operator="equal">
      <formula>"Napkin Hs"</formula>
    </cfRule>
  </conditionalFormatting>
  <conditionalFormatting sqref="B141:C145">
    <cfRule type="cellIs" dxfId="123" priority="115" stopIfTrue="1" operator="equal">
      <formula>"Towel"</formula>
    </cfRule>
    <cfRule type="cellIs" dxfId="122" priority="116" stopIfTrue="1" operator="equal">
      <formula>"Napkin Hs"</formula>
    </cfRule>
  </conditionalFormatting>
  <conditionalFormatting sqref="C141:C145">
    <cfRule type="cellIs" dxfId="121" priority="113" stopIfTrue="1" operator="equal">
      <formula>"Towel"</formula>
    </cfRule>
    <cfRule type="cellIs" dxfId="120" priority="114" stopIfTrue="1" operator="equal">
      <formula>"Napkin Hs"</formula>
    </cfRule>
  </conditionalFormatting>
  <conditionalFormatting sqref="C141:C145">
    <cfRule type="cellIs" dxfId="119" priority="111" stopIfTrue="1" operator="equal">
      <formula>"Towel"</formula>
    </cfRule>
    <cfRule type="cellIs" dxfId="118" priority="112" stopIfTrue="1" operator="equal">
      <formula>"Napkin Hs"</formula>
    </cfRule>
  </conditionalFormatting>
  <conditionalFormatting sqref="C141:C145">
    <cfRule type="cellIs" dxfId="117" priority="105" stopIfTrue="1" operator="equal">
      <formula>"Towel"</formula>
    </cfRule>
    <cfRule type="cellIs" dxfId="116" priority="106" stopIfTrue="1" operator="equal">
      <formula>"Napkin Hs"</formula>
    </cfRule>
  </conditionalFormatting>
  <conditionalFormatting sqref="B141:B145">
    <cfRule type="cellIs" dxfId="115" priority="95" stopIfTrue="1" operator="equal">
      <formula>"Towel"</formula>
    </cfRule>
    <cfRule type="cellIs" dxfId="114" priority="96" stopIfTrue="1" operator="equal">
      <formula>"Napkin Hs"</formula>
    </cfRule>
  </conditionalFormatting>
  <conditionalFormatting sqref="C141:C145">
    <cfRule type="cellIs" dxfId="113" priority="99" stopIfTrue="1" operator="equal">
      <formula>"Towel"</formula>
    </cfRule>
    <cfRule type="cellIs" dxfId="112" priority="100" stopIfTrue="1" operator="equal">
      <formula>"Napkin Hs"</formula>
    </cfRule>
  </conditionalFormatting>
  <conditionalFormatting sqref="C141:C145">
    <cfRule type="cellIs" dxfId="111" priority="109" stopIfTrue="1" operator="equal">
      <formula>"Towel"</formula>
    </cfRule>
    <cfRule type="cellIs" dxfId="110" priority="110" stopIfTrue="1" operator="equal">
      <formula>"Napkin Hs"</formula>
    </cfRule>
  </conditionalFormatting>
  <conditionalFormatting sqref="B141:B145">
    <cfRule type="cellIs" dxfId="109" priority="97" stopIfTrue="1" operator="equal">
      <formula>"Towel"</formula>
    </cfRule>
    <cfRule type="cellIs" dxfId="108" priority="98" stopIfTrue="1" operator="equal">
      <formula>"Napkin Hs"</formula>
    </cfRule>
  </conditionalFormatting>
  <conditionalFormatting sqref="C141:C145">
    <cfRule type="cellIs" dxfId="107" priority="108" stopIfTrue="1" operator="equal">
      <formula>"Napkin Hs"</formula>
    </cfRule>
  </conditionalFormatting>
  <conditionalFormatting sqref="C141:C145">
    <cfRule type="cellIs" dxfId="106" priority="107" stopIfTrue="1" operator="equal">
      <formula>"Towel"</formula>
    </cfRule>
  </conditionalFormatting>
  <conditionalFormatting sqref="C141:C145">
    <cfRule type="cellIs" dxfId="105" priority="103" stopIfTrue="1" operator="equal">
      <formula>"Towel"</formula>
    </cfRule>
    <cfRule type="cellIs" dxfId="104" priority="104" stopIfTrue="1" operator="equal">
      <formula>"Napkin Hs"</formula>
    </cfRule>
  </conditionalFormatting>
  <conditionalFormatting sqref="C141:C145">
    <cfRule type="cellIs" dxfId="103" priority="102" stopIfTrue="1" operator="equal">
      <formula>"Napkin Hs"</formula>
    </cfRule>
  </conditionalFormatting>
  <conditionalFormatting sqref="C141:C145">
    <cfRule type="cellIs" dxfId="102" priority="101" stopIfTrue="1" operator="equal">
      <formula>"Towel"</formula>
    </cfRule>
  </conditionalFormatting>
  <conditionalFormatting sqref="C141:C145">
    <cfRule type="cellIs" dxfId="101" priority="94" stopIfTrue="1" operator="equal">
      <formula>"Napkin Hs"</formula>
    </cfRule>
  </conditionalFormatting>
  <conditionalFormatting sqref="C141:C145">
    <cfRule type="cellIs" dxfId="100" priority="93" stopIfTrue="1" operator="equal">
      <formula>"Napkin Hs"</formula>
    </cfRule>
  </conditionalFormatting>
  <conditionalFormatting sqref="B148">
    <cfRule type="cellIs" dxfId="99" priority="77" stopIfTrue="1" operator="equal">
      <formula>"Towel"</formula>
    </cfRule>
    <cfRule type="cellIs" dxfId="98" priority="78" stopIfTrue="1" operator="equal">
      <formula>"Napkin Hs"</formula>
    </cfRule>
  </conditionalFormatting>
  <conditionalFormatting sqref="C148">
    <cfRule type="cellIs" dxfId="97" priority="91" stopIfTrue="1" operator="equal">
      <formula>"Towel"</formula>
    </cfRule>
    <cfRule type="cellIs" dxfId="96" priority="92" stopIfTrue="1" operator="equal">
      <formula>"Napkin Hs"</formula>
    </cfRule>
  </conditionalFormatting>
  <conditionalFormatting sqref="C148">
    <cfRule type="cellIs" dxfId="95" priority="87" stopIfTrue="1" operator="equal">
      <formula>"Towel"</formula>
    </cfRule>
    <cfRule type="cellIs" dxfId="94" priority="88" stopIfTrue="1" operator="equal">
      <formula>"Napkin Hs"</formula>
    </cfRule>
  </conditionalFormatting>
  <conditionalFormatting sqref="B148">
    <cfRule type="cellIs" dxfId="93" priority="79" stopIfTrue="1" operator="equal">
      <formula>"Towel"</formula>
    </cfRule>
    <cfRule type="cellIs" dxfId="92" priority="80" stopIfTrue="1" operator="equal">
      <formula>"Napkin Hs"</formula>
    </cfRule>
  </conditionalFormatting>
  <conditionalFormatting sqref="C148">
    <cfRule type="cellIs" dxfId="91" priority="81" stopIfTrue="1" operator="equal">
      <formula>"Towel"</formula>
    </cfRule>
    <cfRule type="cellIs" dxfId="90" priority="82" stopIfTrue="1" operator="equal">
      <formula>"Napkin Hs"</formula>
    </cfRule>
  </conditionalFormatting>
  <conditionalFormatting sqref="C148">
    <cfRule type="cellIs" dxfId="89" priority="90" stopIfTrue="1" operator="equal">
      <formula>"Napkin Hs"</formula>
    </cfRule>
  </conditionalFormatting>
  <conditionalFormatting sqref="C148">
    <cfRule type="cellIs" dxfId="88" priority="89" stopIfTrue="1" operator="equal">
      <formula>"Towel"</formula>
    </cfRule>
  </conditionalFormatting>
  <conditionalFormatting sqref="C148">
    <cfRule type="cellIs" dxfId="87" priority="85" stopIfTrue="1" operator="equal">
      <formula>"Towel"</formula>
    </cfRule>
    <cfRule type="cellIs" dxfId="86" priority="86" stopIfTrue="1" operator="equal">
      <formula>"Napkin Hs"</formula>
    </cfRule>
  </conditionalFormatting>
  <conditionalFormatting sqref="C148">
    <cfRule type="cellIs" dxfId="85" priority="84" stopIfTrue="1" operator="equal">
      <formula>"Napkin Hs"</formula>
    </cfRule>
  </conditionalFormatting>
  <conditionalFormatting sqref="C148">
    <cfRule type="cellIs" dxfId="84" priority="83" stopIfTrue="1" operator="equal">
      <formula>"Towel"</formula>
    </cfRule>
  </conditionalFormatting>
  <conditionalFormatting sqref="B148:C148">
    <cfRule type="cellIs" dxfId="83" priority="75" stopIfTrue="1" operator="equal">
      <formula>"Towel"</formula>
    </cfRule>
    <cfRule type="cellIs" dxfId="82" priority="76" stopIfTrue="1" operator="equal">
      <formula>"Napkin Hs"</formula>
    </cfRule>
  </conditionalFormatting>
  <conditionalFormatting sqref="C148">
    <cfRule type="cellIs" dxfId="81" priority="74" stopIfTrue="1" operator="equal">
      <formula>"Napkin Hs"</formula>
    </cfRule>
  </conditionalFormatting>
  <conditionalFormatting sqref="C148">
    <cfRule type="cellIs" dxfId="80" priority="73" stopIfTrue="1" operator="equal">
      <formula>"Towel"</formula>
    </cfRule>
  </conditionalFormatting>
  <conditionalFormatting sqref="C148">
    <cfRule type="cellIs" dxfId="79" priority="71" stopIfTrue="1" operator="equal">
      <formula>"Towel"</formula>
    </cfRule>
    <cfRule type="cellIs" dxfId="78" priority="72" stopIfTrue="1" operator="equal">
      <formula>"Napkin Hs"</formula>
    </cfRule>
  </conditionalFormatting>
  <conditionalFormatting sqref="B148:C148">
    <cfRule type="cellIs" dxfId="77" priority="69" stopIfTrue="1" operator="equal">
      <formula>"Towel"</formula>
    </cfRule>
    <cfRule type="cellIs" dxfId="76" priority="70" stopIfTrue="1" operator="equal">
      <formula>"Napkin Hs"</formula>
    </cfRule>
  </conditionalFormatting>
  <conditionalFormatting sqref="C148">
    <cfRule type="cellIs" dxfId="75" priority="67" stopIfTrue="1" operator="equal">
      <formula>"Towel"</formula>
    </cfRule>
    <cfRule type="cellIs" dxfId="74" priority="68" stopIfTrue="1" operator="equal">
      <formula>"Napkin Hs"</formula>
    </cfRule>
  </conditionalFormatting>
  <conditionalFormatting sqref="C148">
    <cfRule type="cellIs" dxfId="73" priority="65" stopIfTrue="1" operator="equal">
      <formula>"Towel"</formula>
    </cfRule>
    <cfRule type="cellIs" dxfId="72" priority="66" stopIfTrue="1" operator="equal">
      <formula>"Napkin Hs"</formula>
    </cfRule>
  </conditionalFormatting>
  <conditionalFormatting sqref="C148">
    <cfRule type="cellIs" dxfId="71" priority="59" stopIfTrue="1" operator="equal">
      <formula>"Towel"</formula>
    </cfRule>
    <cfRule type="cellIs" dxfId="70" priority="60" stopIfTrue="1" operator="equal">
      <formula>"Napkin Hs"</formula>
    </cfRule>
  </conditionalFormatting>
  <conditionalFormatting sqref="B148">
    <cfRule type="cellIs" dxfId="69" priority="49" stopIfTrue="1" operator="equal">
      <formula>"Towel"</formula>
    </cfRule>
    <cfRule type="cellIs" dxfId="68" priority="50" stopIfTrue="1" operator="equal">
      <formula>"Napkin Hs"</formula>
    </cfRule>
  </conditionalFormatting>
  <conditionalFormatting sqref="C148">
    <cfRule type="cellIs" dxfId="67" priority="53" stopIfTrue="1" operator="equal">
      <formula>"Towel"</formula>
    </cfRule>
    <cfRule type="cellIs" dxfId="66" priority="54" stopIfTrue="1" operator="equal">
      <formula>"Napkin Hs"</formula>
    </cfRule>
  </conditionalFormatting>
  <conditionalFormatting sqref="C148">
    <cfRule type="cellIs" dxfId="65" priority="63" stopIfTrue="1" operator="equal">
      <formula>"Towel"</formula>
    </cfRule>
    <cfRule type="cellIs" dxfId="64" priority="64" stopIfTrue="1" operator="equal">
      <formula>"Napkin Hs"</formula>
    </cfRule>
  </conditionalFormatting>
  <conditionalFormatting sqref="B148">
    <cfRule type="cellIs" dxfId="63" priority="51" stopIfTrue="1" operator="equal">
      <formula>"Towel"</formula>
    </cfRule>
    <cfRule type="cellIs" dxfId="62" priority="52" stopIfTrue="1" operator="equal">
      <formula>"Napkin Hs"</formula>
    </cfRule>
  </conditionalFormatting>
  <conditionalFormatting sqref="C148">
    <cfRule type="cellIs" dxfId="61" priority="62" stopIfTrue="1" operator="equal">
      <formula>"Napkin Hs"</formula>
    </cfRule>
  </conditionalFormatting>
  <conditionalFormatting sqref="C148">
    <cfRule type="cellIs" dxfId="60" priority="61" stopIfTrue="1" operator="equal">
      <formula>"Towel"</formula>
    </cfRule>
  </conditionalFormatting>
  <conditionalFormatting sqref="C148">
    <cfRule type="cellIs" dxfId="59" priority="57" stopIfTrue="1" operator="equal">
      <formula>"Towel"</formula>
    </cfRule>
    <cfRule type="cellIs" dxfId="58" priority="58" stopIfTrue="1" operator="equal">
      <formula>"Napkin Hs"</formula>
    </cfRule>
  </conditionalFormatting>
  <conditionalFormatting sqref="C148">
    <cfRule type="cellIs" dxfId="57" priority="56" stopIfTrue="1" operator="equal">
      <formula>"Napkin Hs"</formula>
    </cfRule>
  </conditionalFormatting>
  <conditionalFormatting sqref="C148">
    <cfRule type="cellIs" dxfId="56" priority="55" stopIfTrue="1" operator="equal">
      <formula>"Towel"</formula>
    </cfRule>
  </conditionalFormatting>
  <conditionalFormatting sqref="C148">
    <cfRule type="cellIs" dxfId="55" priority="48" stopIfTrue="1" operator="equal">
      <formula>"Napkin Hs"</formula>
    </cfRule>
  </conditionalFormatting>
  <conditionalFormatting sqref="C148">
    <cfRule type="cellIs" dxfId="54" priority="47" stopIfTrue="1" operator="equal">
      <formula>"Napkin Hs"</formula>
    </cfRule>
  </conditionalFormatting>
  <conditionalFormatting sqref="B147">
    <cfRule type="cellIs" dxfId="53" priority="31" stopIfTrue="1" operator="equal">
      <formula>"Towel"</formula>
    </cfRule>
    <cfRule type="cellIs" dxfId="52" priority="32" stopIfTrue="1" operator="equal">
      <formula>"Napkin Hs"</formula>
    </cfRule>
  </conditionalFormatting>
  <conditionalFormatting sqref="C147">
    <cfRule type="cellIs" dxfId="51" priority="45" stopIfTrue="1" operator="equal">
      <formula>"Towel"</formula>
    </cfRule>
    <cfRule type="cellIs" dxfId="50" priority="46" stopIfTrue="1" operator="equal">
      <formula>"Napkin Hs"</formula>
    </cfRule>
  </conditionalFormatting>
  <conditionalFormatting sqref="C147">
    <cfRule type="cellIs" dxfId="49" priority="41" stopIfTrue="1" operator="equal">
      <formula>"Towel"</formula>
    </cfRule>
    <cfRule type="cellIs" dxfId="48" priority="42" stopIfTrue="1" operator="equal">
      <formula>"Napkin Hs"</formula>
    </cfRule>
  </conditionalFormatting>
  <conditionalFormatting sqref="B147">
    <cfRule type="cellIs" dxfId="47" priority="33" stopIfTrue="1" operator="equal">
      <formula>"Towel"</formula>
    </cfRule>
    <cfRule type="cellIs" dxfId="46" priority="34" stopIfTrue="1" operator="equal">
      <formula>"Napkin Hs"</formula>
    </cfRule>
  </conditionalFormatting>
  <conditionalFormatting sqref="C147">
    <cfRule type="cellIs" dxfId="45" priority="35" stopIfTrue="1" operator="equal">
      <formula>"Towel"</formula>
    </cfRule>
    <cfRule type="cellIs" dxfId="44" priority="36" stopIfTrue="1" operator="equal">
      <formula>"Napkin Hs"</formula>
    </cfRule>
  </conditionalFormatting>
  <conditionalFormatting sqref="C147">
    <cfRule type="cellIs" dxfId="43" priority="44" stopIfTrue="1" operator="equal">
      <formula>"Napkin Hs"</formula>
    </cfRule>
  </conditionalFormatting>
  <conditionalFormatting sqref="C147">
    <cfRule type="cellIs" dxfId="42" priority="43" stopIfTrue="1" operator="equal">
      <formula>"Towel"</formula>
    </cfRule>
  </conditionalFormatting>
  <conditionalFormatting sqref="C147">
    <cfRule type="cellIs" dxfId="41" priority="39" stopIfTrue="1" operator="equal">
      <formula>"Towel"</formula>
    </cfRule>
    <cfRule type="cellIs" dxfId="40" priority="40" stopIfTrue="1" operator="equal">
      <formula>"Napkin Hs"</formula>
    </cfRule>
  </conditionalFormatting>
  <conditionalFormatting sqref="C147">
    <cfRule type="cellIs" dxfId="39" priority="38" stopIfTrue="1" operator="equal">
      <formula>"Napkin Hs"</formula>
    </cfRule>
  </conditionalFormatting>
  <conditionalFormatting sqref="C147">
    <cfRule type="cellIs" dxfId="38" priority="37" stopIfTrue="1" operator="equal">
      <formula>"Towel"</formula>
    </cfRule>
  </conditionalFormatting>
  <conditionalFormatting sqref="B147:C147">
    <cfRule type="cellIs" dxfId="37" priority="29" stopIfTrue="1" operator="equal">
      <formula>"Towel"</formula>
    </cfRule>
    <cfRule type="cellIs" dxfId="36" priority="30" stopIfTrue="1" operator="equal">
      <formula>"Napkin Hs"</formula>
    </cfRule>
  </conditionalFormatting>
  <conditionalFormatting sqref="C147">
    <cfRule type="cellIs" dxfId="35" priority="28" stopIfTrue="1" operator="equal">
      <formula>"Napkin Hs"</formula>
    </cfRule>
  </conditionalFormatting>
  <conditionalFormatting sqref="C147">
    <cfRule type="cellIs" dxfId="34" priority="27" stopIfTrue="1" operator="equal">
      <formula>"Towel"</formula>
    </cfRule>
  </conditionalFormatting>
  <conditionalFormatting sqref="C147">
    <cfRule type="cellIs" dxfId="33" priority="25" stopIfTrue="1" operator="equal">
      <formula>"Towel"</formula>
    </cfRule>
    <cfRule type="cellIs" dxfId="32" priority="26" stopIfTrue="1" operator="equal">
      <formula>"Napkin Hs"</formula>
    </cfRule>
  </conditionalFormatting>
  <conditionalFormatting sqref="B147:C147">
    <cfRule type="cellIs" dxfId="31" priority="23" stopIfTrue="1" operator="equal">
      <formula>"Towel"</formula>
    </cfRule>
    <cfRule type="cellIs" dxfId="30" priority="24" stopIfTrue="1" operator="equal">
      <formula>"Napkin Hs"</formula>
    </cfRule>
  </conditionalFormatting>
  <conditionalFormatting sqref="C147">
    <cfRule type="cellIs" dxfId="29" priority="21" stopIfTrue="1" operator="equal">
      <formula>"Towel"</formula>
    </cfRule>
    <cfRule type="cellIs" dxfId="28" priority="22" stopIfTrue="1" operator="equal">
      <formula>"Napkin Hs"</formula>
    </cfRule>
  </conditionalFormatting>
  <conditionalFormatting sqref="C147">
    <cfRule type="cellIs" dxfId="27" priority="19" stopIfTrue="1" operator="equal">
      <formula>"Towel"</formula>
    </cfRule>
    <cfRule type="cellIs" dxfId="26" priority="20" stopIfTrue="1" operator="equal">
      <formula>"Napkin Hs"</formula>
    </cfRule>
  </conditionalFormatting>
  <conditionalFormatting sqref="C147">
    <cfRule type="cellIs" dxfId="25" priority="13" stopIfTrue="1" operator="equal">
      <formula>"Towel"</formula>
    </cfRule>
    <cfRule type="cellIs" dxfId="24" priority="14" stopIfTrue="1" operator="equal">
      <formula>"Napkin Hs"</formula>
    </cfRule>
  </conditionalFormatting>
  <conditionalFormatting sqref="B147">
    <cfRule type="cellIs" dxfId="23" priority="3" stopIfTrue="1" operator="equal">
      <formula>"Towel"</formula>
    </cfRule>
    <cfRule type="cellIs" dxfId="22" priority="4" stopIfTrue="1" operator="equal">
      <formula>"Napkin Hs"</formula>
    </cfRule>
  </conditionalFormatting>
  <conditionalFormatting sqref="C147">
    <cfRule type="cellIs" dxfId="21" priority="7" stopIfTrue="1" operator="equal">
      <formula>"Towel"</formula>
    </cfRule>
    <cfRule type="cellIs" dxfId="20" priority="8" stopIfTrue="1" operator="equal">
      <formula>"Napkin Hs"</formula>
    </cfRule>
  </conditionalFormatting>
  <conditionalFormatting sqref="C147">
    <cfRule type="cellIs" dxfId="19" priority="17" stopIfTrue="1" operator="equal">
      <formula>"Towel"</formula>
    </cfRule>
    <cfRule type="cellIs" dxfId="18" priority="18" stopIfTrue="1" operator="equal">
      <formula>"Napkin Hs"</formula>
    </cfRule>
  </conditionalFormatting>
  <conditionalFormatting sqref="B147">
    <cfRule type="cellIs" dxfId="17" priority="5" stopIfTrue="1" operator="equal">
      <formula>"Towel"</formula>
    </cfRule>
    <cfRule type="cellIs" dxfId="16" priority="6" stopIfTrue="1" operator="equal">
      <formula>"Napkin Hs"</formula>
    </cfRule>
  </conditionalFormatting>
  <conditionalFormatting sqref="C147">
    <cfRule type="cellIs" dxfId="15" priority="16" stopIfTrue="1" operator="equal">
      <formula>"Napkin Hs"</formula>
    </cfRule>
  </conditionalFormatting>
  <conditionalFormatting sqref="C147">
    <cfRule type="cellIs" dxfId="14" priority="15" stopIfTrue="1" operator="equal">
      <formula>"Towel"</formula>
    </cfRule>
  </conditionalFormatting>
  <conditionalFormatting sqref="C147">
    <cfRule type="cellIs" dxfId="13" priority="11" stopIfTrue="1" operator="equal">
      <formula>"Towel"</formula>
    </cfRule>
    <cfRule type="cellIs" dxfId="12" priority="12" stopIfTrue="1" operator="equal">
      <formula>"Napkin Hs"</formula>
    </cfRule>
  </conditionalFormatting>
  <conditionalFormatting sqref="C147">
    <cfRule type="cellIs" dxfId="11" priority="10" stopIfTrue="1" operator="equal">
      <formula>"Napkin Hs"</formula>
    </cfRule>
  </conditionalFormatting>
  <conditionalFormatting sqref="C147">
    <cfRule type="cellIs" dxfId="10" priority="9" stopIfTrue="1" operator="equal">
      <formula>"Towel"</formula>
    </cfRule>
  </conditionalFormatting>
  <conditionalFormatting sqref="C147">
    <cfRule type="cellIs" dxfId="9" priority="2" stopIfTrue="1" operator="equal">
      <formula>"Napkin Hs"</formula>
    </cfRule>
  </conditionalFormatting>
  <conditionalFormatting sqref="C147">
    <cfRule type="cellIs" dxfId="8" priority="1" stopIfTrue="1" operator="equal">
      <formula>"Napkin Hs"</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KD9" activePane="bottomRight" state="frozen"/>
      <selection pane="topRight" activeCell="E1" sqref="E1"/>
      <selection pane="bottomLeft" activeCell="A9" sqref="A9"/>
      <selection pane="bottomRight" activeCell="KV40" sqref="KV40"/>
    </sheetView>
  </sheetViews>
  <sheetFormatPr defaultColWidth="10.42578125" defaultRowHeight="15" customHeight="1"/>
  <cols>
    <col min="1" max="1" width="8.140625" style="260" customWidth="1"/>
    <col min="2" max="2" width="13.5703125" style="260" customWidth="1"/>
    <col min="3" max="3" width="13.28515625" style="261" customWidth="1"/>
    <col min="4" max="4" width="11.140625" style="261" customWidth="1"/>
    <col min="5" max="5" width="11" style="262" customWidth="1"/>
    <col min="6" max="23" width="12.42578125" style="507" customWidth="1"/>
    <col min="24" max="41" width="12.42578125" style="507" hidden="1" customWidth="1"/>
    <col min="42" max="44" width="12.42578125" style="507" customWidth="1"/>
    <col min="45" max="47" width="12.42578125" style="507" hidden="1" customWidth="1"/>
    <col min="48" max="86" width="12.42578125" style="507" customWidth="1"/>
    <col min="87" max="104" width="12.42578125" style="507" hidden="1" customWidth="1"/>
    <col min="105" max="107" width="12.42578125" style="507" customWidth="1"/>
    <col min="108" max="128" width="12.42578125" style="507" hidden="1" customWidth="1"/>
    <col min="129" max="269" width="12.42578125" style="507" customWidth="1"/>
    <col min="270" max="303" width="5.5703125" style="507" customWidth="1"/>
    <col min="304" max="304" width="8.7109375" style="507" customWidth="1"/>
    <col min="305" max="305" width="7.7109375" style="507" customWidth="1"/>
    <col min="306" max="306" width="21" style="507" bestFit="1" customWidth="1"/>
    <col min="307" max="307" width="19.85546875" style="507" bestFit="1" customWidth="1"/>
    <col min="308" max="16384" width="10.42578125" style="260"/>
  </cols>
  <sheetData>
    <row r="1" spans="1:308" ht="15" customHeight="1">
      <c r="A1" s="465"/>
      <c r="B1" s="257"/>
      <c r="C1" s="258"/>
      <c r="D1" s="258"/>
      <c r="E1" s="259"/>
    </row>
    <row r="2" spans="1:308" ht="15" customHeight="1">
      <c r="A2" s="465"/>
      <c r="B2" s="466"/>
      <c r="C2" s="467"/>
      <c r="D2" s="467"/>
      <c r="E2" s="468"/>
    </row>
    <row r="3" spans="1:308" ht="15" customHeight="1">
      <c r="A3" s="469"/>
      <c r="B3" s="466"/>
      <c r="C3" s="467"/>
      <c r="D3" s="467"/>
      <c r="E3" s="468"/>
    </row>
    <row r="4" spans="1:308" ht="15" customHeight="1">
      <c r="A4" s="470" t="s">
        <v>294</v>
      </c>
      <c r="B4" s="466"/>
      <c r="C4" s="467"/>
      <c r="D4" s="467"/>
      <c r="E4" s="468"/>
    </row>
    <row r="5" spans="1:308" ht="15" customHeight="1" thickBot="1">
      <c r="A5" s="466"/>
      <c r="B5" s="466"/>
      <c r="C5" s="467"/>
      <c r="D5" s="467"/>
      <c r="E5" s="468"/>
    </row>
    <row r="6" spans="1:308" ht="15" customHeight="1">
      <c r="A6" s="716" t="s">
        <v>30</v>
      </c>
      <c r="B6" s="716" t="s">
        <v>5</v>
      </c>
      <c r="C6" s="716" t="s">
        <v>6</v>
      </c>
      <c r="D6" s="719" t="s">
        <v>42</v>
      </c>
      <c r="E6" s="722" t="s">
        <v>40</v>
      </c>
      <c r="F6" s="734" t="s">
        <v>313</v>
      </c>
      <c r="G6" s="734"/>
      <c r="H6" s="734"/>
      <c r="I6" s="734"/>
      <c r="J6" s="734"/>
      <c r="K6" s="734"/>
      <c r="L6" s="734"/>
      <c r="M6" s="734"/>
      <c r="N6" s="734"/>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4"/>
      <c r="AT6" s="734"/>
      <c r="AU6" s="734"/>
      <c r="AV6" s="734"/>
      <c r="AW6" s="734"/>
      <c r="AX6" s="734"/>
      <c r="AY6" s="734"/>
      <c r="AZ6" s="734"/>
      <c r="BA6" s="734"/>
      <c r="BB6" s="734"/>
      <c r="BC6" s="734"/>
      <c r="BD6" s="734"/>
      <c r="BE6" s="734"/>
      <c r="BF6" s="734"/>
      <c r="BG6" s="734"/>
      <c r="BH6" s="734"/>
      <c r="BI6" s="734"/>
      <c r="BJ6" s="734"/>
      <c r="BK6" s="734"/>
      <c r="BL6" s="734"/>
      <c r="BM6" s="734"/>
      <c r="BN6" s="734"/>
      <c r="BO6" s="734"/>
      <c r="BP6" s="734"/>
      <c r="BQ6" s="734"/>
      <c r="BR6" s="734"/>
      <c r="BS6" s="734"/>
      <c r="BT6" s="734"/>
      <c r="BU6" s="734"/>
      <c r="BV6" s="734"/>
      <c r="BW6" s="734"/>
      <c r="BX6" s="734"/>
      <c r="BY6" s="734"/>
      <c r="BZ6" s="734"/>
      <c r="CA6" s="734"/>
      <c r="CB6" s="734"/>
      <c r="CC6" s="734"/>
      <c r="CD6" s="734"/>
      <c r="CE6" s="734"/>
      <c r="CF6" s="734"/>
      <c r="CG6" s="734"/>
      <c r="CH6" s="734"/>
      <c r="CI6" s="734"/>
      <c r="CJ6" s="734"/>
      <c r="CK6" s="734"/>
      <c r="CL6" s="734"/>
      <c r="CM6" s="734"/>
      <c r="CN6" s="734"/>
      <c r="CO6" s="734"/>
      <c r="CP6" s="734"/>
      <c r="CQ6" s="734"/>
      <c r="CR6" s="734"/>
      <c r="CS6" s="734"/>
      <c r="CT6" s="734"/>
      <c r="CU6" s="734"/>
      <c r="CV6" s="734"/>
      <c r="CW6" s="734"/>
      <c r="CX6" s="734"/>
      <c r="CY6" s="734"/>
      <c r="CZ6" s="734"/>
      <c r="DA6" s="734"/>
      <c r="DB6" s="734"/>
      <c r="DC6" s="734"/>
      <c r="DD6" s="734"/>
      <c r="DE6" s="734"/>
      <c r="DF6" s="734"/>
      <c r="DG6" s="734"/>
      <c r="DH6" s="734"/>
      <c r="DI6" s="734"/>
      <c r="DJ6" s="734"/>
      <c r="DK6" s="734"/>
      <c r="DL6" s="734"/>
      <c r="DM6" s="734"/>
      <c r="DN6" s="734"/>
      <c r="DO6" s="734"/>
      <c r="DP6" s="734"/>
      <c r="DQ6" s="734"/>
      <c r="DR6" s="734"/>
      <c r="DS6" s="734"/>
      <c r="DT6" s="734"/>
      <c r="DU6" s="734"/>
      <c r="DV6" s="734"/>
      <c r="DW6" s="734"/>
      <c r="DX6" s="734"/>
      <c r="DY6" s="734"/>
      <c r="DZ6" s="734"/>
      <c r="EA6" s="734"/>
      <c r="EB6" s="734"/>
      <c r="EC6" s="734"/>
      <c r="ED6" s="734"/>
      <c r="EE6" s="734"/>
      <c r="EF6" s="734"/>
      <c r="EG6" s="734"/>
      <c r="EH6" s="734"/>
      <c r="EI6" s="734"/>
      <c r="EJ6" s="734"/>
      <c r="EK6" s="734"/>
      <c r="EL6" s="734"/>
      <c r="EM6" s="734"/>
      <c r="EN6" s="734"/>
      <c r="EO6" s="734"/>
      <c r="EP6" s="734"/>
      <c r="EQ6" s="734"/>
      <c r="ER6" s="734"/>
      <c r="ES6" s="734"/>
      <c r="ET6" s="734"/>
      <c r="EU6" s="734"/>
      <c r="EV6" s="734"/>
      <c r="EW6" s="734"/>
      <c r="EX6" s="734"/>
      <c r="EY6" s="734"/>
      <c r="EZ6" s="734"/>
      <c r="FA6" s="734"/>
      <c r="FB6" s="734"/>
      <c r="FC6" s="734"/>
      <c r="FD6" s="734"/>
      <c r="FE6" s="734"/>
      <c r="FF6" s="734"/>
      <c r="FG6" s="734"/>
      <c r="FH6" s="734"/>
      <c r="FI6" s="734"/>
      <c r="FJ6" s="734"/>
      <c r="FK6" s="734"/>
      <c r="FL6" s="734"/>
      <c r="FM6" s="734"/>
      <c r="FN6" s="734"/>
      <c r="FO6" s="734"/>
      <c r="FP6" s="734"/>
      <c r="FQ6" s="734"/>
      <c r="FR6" s="734"/>
      <c r="FS6" s="734"/>
      <c r="FT6" s="734"/>
      <c r="FU6" s="734"/>
      <c r="FV6" s="734"/>
      <c r="FW6" s="734"/>
      <c r="FX6" s="734"/>
      <c r="FY6" s="734"/>
      <c r="FZ6" s="734"/>
      <c r="GA6" s="734"/>
      <c r="GB6" s="734"/>
      <c r="GC6" s="735"/>
      <c r="GD6" s="736" t="s">
        <v>314</v>
      </c>
      <c r="GE6" s="737"/>
      <c r="GF6" s="737"/>
      <c r="GG6" s="737"/>
      <c r="GH6" s="737"/>
      <c r="GI6" s="737"/>
      <c r="GJ6" s="737"/>
      <c r="GK6" s="737"/>
      <c r="GL6" s="737"/>
      <c r="GM6" s="737"/>
      <c r="GN6" s="737"/>
      <c r="GO6" s="737"/>
      <c r="GP6" s="737"/>
      <c r="GQ6" s="737"/>
      <c r="GR6" s="737"/>
      <c r="GS6" s="737"/>
      <c r="GT6" s="737"/>
      <c r="GU6" s="737"/>
      <c r="GV6" s="737"/>
      <c r="GW6" s="737"/>
      <c r="GX6" s="737"/>
      <c r="GY6" s="737"/>
      <c r="GZ6" s="737"/>
      <c r="HA6" s="737"/>
      <c r="HB6" s="737"/>
      <c r="HC6" s="737"/>
      <c r="HD6" s="737"/>
      <c r="HE6" s="737"/>
      <c r="HF6" s="737"/>
      <c r="HG6" s="737"/>
      <c r="HH6" s="737"/>
      <c r="HI6" s="737"/>
      <c r="HJ6" s="737"/>
      <c r="HK6" s="737"/>
      <c r="HL6" s="737"/>
      <c r="HM6" s="737"/>
      <c r="HN6" s="737"/>
      <c r="HO6" s="737"/>
      <c r="HP6" s="737"/>
      <c r="HQ6" s="737"/>
      <c r="HR6" s="737"/>
      <c r="HS6" s="737"/>
      <c r="HT6" s="737"/>
      <c r="HU6" s="737"/>
      <c r="HV6" s="737"/>
      <c r="HW6" s="737"/>
      <c r="HX6" s="737"/>
      <c r="HY6" s="737"/>
      <c r="HZ6" s="737"/>
      <c r="IA6" s="737"/>
      <c r="IB6" s="737"/>
      <c r="IC6" s="737"/>
      <c r="ID6" s="737"/>
      <c r="IE6" s="737"/>
      <c r="IF6" s="737"/>
      <c r="IG6" s="737"/>
      <c r="IH6" s="737"/>
      <c r="II6" s="737"/>
      <c r="IJ6" s="737"/>
      <c r="IK6" s="737"/>
      <c r="IL6" s="737"/>
      <c r="IM6" s="737"/>
      <c r="IN6" s="737"/>
      <c r="IO6" s="737"/>
      <c r="IP6" s="737"/>
      <c r="IQ6" s="737"/>
      <c r="IR6" s="737"/>
      <c r="IS6" s="737"/>
      <c r="IT6" s="737"/>
      <c r="IU6" s="737"/>
      <c r="IV6" s="737"/>
      <c r="IW6" s="737"/>
      <c r="IX6" s="737"/>
      <c r="IY6" s="737"/>
      <c r="IZ6" s="737"/>
      <c r="JA6" s="737"/>
      <c r="JB6" s="737"/>
      <c r="JC6" s="737"/>
      <c r="JD6" s="737"/>
      <c r="JE6" s="737"/>
      <c r="JF6" s="737"/>
      <c r="JG6" s="737"/>
      <c r="JH6" s="737"/>
      <c r="JI6" s="737"/>
      <c r="JJ6" s="737"/>
      <c r="JK6" s="737"/>
      <c r="JL6" s="737"/>
      <c r="JM6" s="737"/>
      <c r="JN6" s="737"/>
      <c r="JO6" s="737"/>
      <c r="JP6" s="737"/>
      <c r="JQ6" s="737"/>
      <c r="JR6" s="737"/>
      <c r="JS6" s="737"/>
      <c r="JT6" s="737"/>
      <c r="JU6" s="737"/>
      <c r="JV6" s="737"/>
      <c r="JW6" s="737"/>
      <c r="JX6" s="737"/>
      <c r="JY6" s="737"/>
      <c r="JZ6" s="737"/>
      <c r="KA6" s="737"/>
      <c r="KB6" s="737"/>
      <c r="KC6" s="737"/>
      <c r="KD6" s="737"/>
      <c r="KE6" s="737"/>
      <c r="KF6" s="737"/>
      <c r="KG6" s="737"/>
      <c r="KH6" s="737"/>
      <c r="KI6" s="737"/>
      <c r="KJ6" s="737"/>
      <c r="KK6" s="737"/>
      <c r="KL6" s="737"/>
      <c r="KM6" s="737"/>
      <c r="KN6" s="737"/>
      <c r="KO6" s="737"/>
      <c r="KP6" s="737"/>
      <c r="KQ6" s="737"/>
      <c r="KR6" s="737"/>
      <c r="KS6" s="738"/>
      <c r="KT6" s="739" t="s">
        <v>315</v>
      </c>
      <c r="KU6" s="739" t="s">
        <v>314</v>
      </c>
    </row>
    <row r="7" spans="1:308" ht="15" customHeight="1">
      <c r="A7" s="717"/>
      <c r="B7" s="717"/>
      <c r="C7" s="717"/>
      <c r="D7" s="720"/>
      <c r="E7" s="723"/>
      <c r="F7" s="730" t="s">
        <v>316</v>
      </c>
      <c r="G7" s="730"/>
      <c r="H7" s="726"/>
      <c r="I7" s="725" t="s">
        <v>317</v>
      </c>
      <c r="J7" s="730"/>
      <c r="K7" s="726"/>
      <c r="L7" s="725" t="s">
        <v>318</v>
      </c>
      <c r="M7" s="730"/>
      <c r="N7" s="726"/>
      <c r="O7" s="725" t="s">
        <v>319</v>
      </c>
      <c r="P7" s="730"/>
      <c r="Q7" s="726"/>
      <c r="R7" s="725" t="s">
        <v>320</v>
      </c>
      <c r="S7" s="730"/>
      <c r="T7" s="726"/>
      <c r="U7" s="725" t="s">
        <v>322</v>
      </c>
      <c r="V7" s="730"/>
      <c r="W7" s="726"/>
      <c r="X7" s="725" t="s">
        <v>321</v>
      </c>
      <c r="Y7" s="730"/>
      <c r="Z7" s="726"/>
      <c r="AA7" s="725" t="s">
        <v>322</v>
      </c>
      <c r="AB7" s="730"/>
      <c r="AC7" s="726"/>
      <c r="AD7" s="725" t="s">
        <v>323</v>
      </c>
      <c r="AE7" s="730"/>
      <c r="AF7" s="726"/>
      <c r="AG7" s="725" t="s">
        <v>324</v>
      </c>
      <c r="AH7" s="730"/>
      <c r="AI7" s="726"/>
      <c r="AJ7" s="725" t="s">
        <v>325</v>
      </c>
      <c r="AK7" s="730"/>
      <c r="AL7" s="726"/>
      <c r="AM7" s="725" t="s">
        <v>326</v>
      </c>
      <c r="AN7" s="730"/>
      <c r="AO7" s="726"/>
      <c r="AP7" s="725" t="s">
        <v>326</v>
      </c>
      <c r="AQ7" s="730"/>
      <c r="AR7" s="726"/>
      <c r="AS7" s="725" t="s">
        <v>327</v>
      </c>
      <c r="AT7" s="730"/>
      <c r="AU7" s="726"/>
      <c r="AV7" s="725" t="s">
        <v>328</v>
      </c>
      <c r="AW7" s="730"/>
      <c r="AX7" s="726"/>
      <c r="AY7" s="727" t="s">
        <v>329</v>
      </c>
      <c r="AZ7" s="728"/>
      <c r="BA7" s="728"/>
      <c r="BB7" s="727" t="s">
        <v>330</v>
      </c>
      <c r="BC7" s="728"/>
      <c r="BD7" s="729"/>
      <c r="BE7" s="727" t="s">
        <v>331</v>
      </c>
      <c r="BF7" s="728"/>
      <c r="BG7" s="728"/>
      <c r="BH7" s="727" t="s">
        <v>332</v>
      </c>
      <c r="BI7" s="728"/>
      <c r="BJ7" s="729"/>
      <c r="BK7" s="727" t="s">
        <v>333</v>
      </c>
      <c r="BL7" s="728"/>
      <c r="BM7" s="728"/>
      <c r="BN7" s="727" t="s">
        <v>334</v>
      </c>
      <c r="BO7" s="728"/>
      <c r="BP7" s="729"/>
      <c r="BQ7" s="727" t="s">
        <v>299</v>
      </c>
      <c r="BR7" s="728"/>
      <c r="BS7" s="728"/>
      <c r="BT7" s="727" t="s">
        <v>335</v>
      </c>
      <c r="BU7" s="728"/>
      <c r="BV7" s="729"/>
      <c r="BW7" s="727" t="s">
        <v>336</v>
      </c>
      <c r="BX7" s="728"/>
      <c r="BY7" s="728"/>
      <c r="BZ7" s="727" t="s">
        <v>337</v>
      </c>
      <c r="CA7" s="728"/>
      <c r="CB7" s="729"/>
      <c r="CC7" s="727" t="s">
        <v>338</v>
      </c>
      <c r="CD7" s="728"/>
      <c r="CE7" s="728"/>
      <c r="CF7" s="727" t="s">
        <v>339</v>
      </c>
      <c r="CG7" s="728"/>
      <c r="CH7" s="729"/>
      <c r="CI7" s="727" t="s">
        <v>340</v>
      </c>
      <c r="CJ7" s="728"/>
      <c r="CK7" s="728"/>
      <c r="CL7" s="727" t="s">
        <v>341</v>
      </c>
      <c r="CM7" s="728"/>
      <c r="CN7" s="729"/>
      <c r="CO7" s="727" t="s">
        <v>342</v>
      </c>
      <c r="CP7" s="728"/>
      <c r="CQ7" s="728"/>
      <c r="CR7" s="727" t="s">
        <v>343</v>
      </c>
      <c r="CS7" s="728"/>
      <c r="CT7" s="729"/>
      <c r="CU7" s="727" t="s">
        <v>298</v>
      </c>
      <c r="CV7" s="728"/>
      <c r="CW7" s="728"/>
      <c r="CX7" s="727" t="s">
        <v>344</v>
      </c>
      <c r="CY7" s="728"/>
      <c r="CZ7" s="729"/>
      <c r="DA7" s="727" t="s">
        <v>345</v>
      </c>
      <c r="DB7" s="728"/>
      <c r="DC7" s="728"/>
      <c r="DD7" s="727" t="s">
        <v>346</v>
      </c>
      <c r="DE7" s="728"/>
      <c r="DF7" s="729"/>
      <c r="DG7" s="727" t="s">
        <v>347</v>
      </c>
      <c r="DH7" s="728"/>
      <c r="DI7" s="728"/>
      <c r="DJ7" s="727" t="s">
        <v>348</v>
      </c>
      <c r="DK7" s="728"/>
      <c r="DL7" s="729"/>
      <c r="DM7" s="727" t="s">
        <v>349</v>
      </c>
      <c r="DN7" s="728"/>
      <c r="DO7" s="728"/>
      <c r="DP7" s="727" t="s">
        <v>350</v>
      </c>
      <c r="DQ7" s="728"/>
      <c r="DR7" s="729"/>
      <c r="DS7" s="727" t="s">
        <v>351</v>
      </c>
      <c r="DT7" s="728"/>
      <c r="DU7" s="728"/>
      <c r="DV7" s="727" t="s">
        <v>352</v>
      </c>
      <c r="DW7" s="728"/>
      <c r="DX7" s="729"/>
      <c r="DY7" s="727" t="s">
        <v>353</v>
      </c>
      <c r="DZ7" s="728"/>
      <c r="EA7" s="728"/>
      <c r="EB7" s="727" t="s">
        <v>389</v>
      </c>
      <c r="EC7" s="728"/>
      <c r="ED7" s="729"/>
      <c r="EE7" s="727" t="s">
        <v>470</v>
      </c>
      <c r="EF7" s="728"/>
      <c r="EG7" s="728"/>
      <c r="EH7" s="727" t="s">
        <v>469</v>
      </c>
      <c r="EI7" s="728"/>
      <c r="EJ7" s="729"/>
      <c r="EK7" s="727" t="s">
        <v>789</v>
      </c>
      <c r="EL7" s="728"/>
      <c r="EM7" s="728"/>
      <c r="EN7" s="727"/>
      <c r="EO7" s="728"/>
      <c r="EP7" s="729"/>
      <c r="EQ7" s="727"/>
      <c r="ER7" s="728"/>
      <c r="ES7" s="728"/>
      <c r="ET7" s="727"/>
      <c r="EU7" s="728"/>
      <c r="EV7" s="729"/>
      <c r="EW7" s="727"/>
      <c r="EX7" s="728"/>
      <c r="EY7" s="728"/>
      <c r="EZ7" s="727"/>
      <c r="FA7" s="728"/>
      <c r="FB7" s="729"/>
      <c r="FC7" s="727"/>
      <c r="FD7" s="728"/>
      <c r="FE7" s="728"/>
      <c r="FF7" s="727"/>
      <c r="FG7" s="728"/>
      <c r="FH7" s="729"/>
      <c r="FI7" s="727"/>
      <c r="FJ7" s="728"/>
      <c r="FK7" s="728"/>
      <c r="FL7" s="727"/>
      <c r="FM7" s="728"/>
      <c r="FN7" s="729"/>
      <c r="FO7" s="727"/>
      <c r="FP7" s="728"/>
      <c r="FQ7" s="728"/>
      <c r="FR7" s="727"/>
      <c r="FS7" s="728"/>
      <c r="FT7" s="729"/>
      <c r="FU7" s="727"/>
      <c r="FV7" s="728"/>
      <c r="FW7" s="728"/>
      <c r="FX7" s="727"/>
      <c r="FY7" s="728"/>
      <c r="FZ7" s="729"/>
      <c r="GA7" s="727"/>
      <c r="GB7" s="728"/>
      <c r="GC7" s="728"/>
      <c r="GD7" s="727" t="s">
        <v>354</v>
      </c>
      <c r="GE7" s="728"/>
      <c r="GF7" s="729"/>
      <c r="GG7" s="727" t="s">
        <v>355</v>
      </c>
      <c r="GH7" s="728"/>
      <c r="GI7" s="728"/>
      <c r="GJ7" s="727" t="s">
        <v>356</v>
      </c>
      <c r="GK7" s="728"/>
      <c r="GL7" s="729"/>
      <c r="GM7" s="727" t="s">
        <v>295</v>
      </c>
      <c r="GN7" s="728"/>
      <c r="GO7" s="728"/>
      <c r="GP7" s="727" t="s">
        <v>357</v>
      </c>
      <c r="GQ7" s="728"/>
      <c r="GR7" s="729"/>
      <c r="GS7" s="727" t="s">
        <v>358</v>
      </c>
      <c r="GT7" s="728"/>
      <c r="GU7" s="728"/>
      <c r="GV7" s="727" t="s">
        <v>359</v>
      </c>
      <c r="GW7" s="728"/>
      <c r="GX7" s="729"/>
      <c r="GY7" s="727" t="s">
        <v>360</v>
      </c>
      <c r="GZ7" s="728"/>
      <c r="HA7" s="728"/>
      <c r="HB7" s="727" t="s">
        <v>337</v>
      </c>
      <c r="HC7" s="728"/>
      <c r="HD7" s="729"/>
      <c r="HE7" s="727" t="s">
        <v>352</v>
      </c>
      <c r="HF7" s="728"/>
      <c r="HG7" s="728"/>
      <c r="HH7" s="727" t="s">
        <v>351</v>
      </c>
      <c r="HI7" s="728"/>
      <c r="HJ7" s="729"/>
      <c r="HK7" s="727" t="s">
        <v>334</v>
      </c>
      <c r="HL7" s="728"/>
      <c r="HM7" s="728"/>
      <c r="HN7" s="727" t="s">
        <v>297</v>
      </c>
      <c r="HO7" s="728"/>
      <c r="HP7" s="729"/>
      <c r="HQ7" s="727" t="s">
        <v>298</v>
      </c>
      <c r="HR7" s="728"/>
      <c r="HS7" s="728"/>
      <c r="HT7" s="727" t="s">
        <v>361</v>
      </c>
      <c r="HU7" s="728"/>
      <c r="HV7" s="729"/>
      <c r="HW7" s="727" t="s">
        <v>362</v>
      </c>
      <c r="HX7" s="728"/>
      <c r="HY7" s="728"/>
      <c r="HZ7" s="727" t="s">
        <v>363</v>
      </c>
      <c r="IA7" s="728"/>
      <c r="IB7" s="729"/>
      <c r="IC7" s="727" t="s">
        <v>364</v>
      </c>
      <c r="ID7" s="728"/>
      <c r="IE7" s="728"/>
      <c r="IF7" s="727" t="s">
        <v>365</v>
      </c>
      <c r="IG7" s="728"/>
      <c r="IH7" s="729"/>
      <c r="II7" s="740" t="s">
        <v>339</v>
      </c>
      <c r="IJ7" s="740"/>
      <c r="IK7" s="740"/>
      <c r="IL7" s="727" t="s">
        <v>342</v>
      </c>
      <c r="IM7" s="728"/>
      <c r="IN7" s="729"/>
      <c r="IO7" s="727" t="s">
        <v>343</v>
      </c>
      <c r="IP7" s="728"/>
      <c r="IQ7" s="728"/>
      <c r="IR7" s="727" t="s">
        <v>338</v>
      </c>
      <c r="IS7" s="728"/>
      <c r="IT7" s="729"/>
      <c r="IU7" s="727" t="s">
        <v>366</v>
      </c>
      <c r="IV7" s="728"/>
      <c r="IW7" s="728"/>
      <c r="IX7" s="727" t="s">
        <v>345</v>
      </c>
      <c r="IY7" s="728"/>
      <c r="IZ7" s="729"/>
      <c r="JA7" s="727" t="s">
        <v>367</v>
      </c>
      <c r="JB7" s="728"/>
      <c r="JC7" s="728"/>
      <c r="JD7" s="727" t="s">
        <v>368</v>
      </c>
      <c r="JE7" s="728"/>
      <c r="JF7" s="729"/>
      <c r="JG7" s="727" t="s">
        <v>296</v>
      </c>
      <c r="JH7" s="728"/>
      <c r="JI7" s="728"/>
      <c r="JJ7" s="727" t="s">
        <v>790</v>
      </c>
      <c r="JK7" s="728"/>
      <c r="JL7" s="729"/>
      <c r="JM7" s="727"/>
      <c r="JN7" s="728"/>
      <c r="JO7" s="728"/>
      <c r="JP7" s="727"/>
      <c r="JQ7" s="728"/>
      <c r="JR7" s="729"/>
      <c r="JS7" s="727"/>
      <c r="JT7" s="728"/>
      <c r="JU7" s="728"/>
      <c r="JV7" s="727"/>
      <c r="JW7" s="728"/>
      <c r="JX7" s="729"/>
      <c r="JY7" s="727"/>
      <c r="JZ7" s="728"/>
      <c r="KA7" s="728"/>
      <c r="KB7" s="727"/>
      <c r="KC7" s="728"/>
      <c r="KD7" s="729"/>
      <c r="KE7" s="727"/>
      <c r="KF7" s="728"/>
      <c r="KG7" s="728"/>
      <c r="KH7" s="727"/>
      <c r="KI7" s="728"/>
      <c r="KJ7" s="729"/>
      <c r="KK7" s="727"/>
      <c r="KL7" s="728"/>
      <c r="KM7" s="728"/>
      <c r="KN7" s="727"/>
      <c r="KO7" s="728"/>
      <c r="KP7" s="729"/>
      <c r="KQ7" s="740"/>
      <c r="KR7" s="740"/>
      <c r="KS7" s="740"/>
      <c r="KT7" s="739"/>
      <c r="KU7" s="739"/>
    </row>
    <row r="8" spans="1:308" ht="15" customHeight="1">
      <c r="A8" s="717"/>
      <c r="B8" s="717"/>
      <c r="C8" s="717"/>
      <c r="D8" s="720"/>
      <c r="E8" s="723"/>
      <c r="F8" s="730" t="s">
        <v>145</v>
      </c>
      <c r="G8" s="726"/>
      <c r="H8" s="508" t="s">
        <v>369</v>
      </c>
      <c r="I8" s="725" t="s">
        <v>145</v>
      </c>
      <c r="J8" s="726"/>
      <c r="K8" s="508" t="s">
        <v>369</v>
      </c>
      <c r="L8" s="725" t="s">
        <v>145</v>
      </c>
      <c r="M8" s="726"/>
      <c r="N8" s="508" t="s">
        <v>369</v>
      </c>
      <c r="O8" s="725" t="s">
        <v>145</v>
      </c>
      <c r="P8" s="726"/>
      <c r="Q8" s="508" t="s">
        <v>369</v>
      </c>
      <c r="R8" s="725" t="s">
        <v>145</v>
      </c>
      <c r="S8" s="726"/>
      <c r="T8" s="508" t="s">
        <v>369</v>
      </c>
      <c r="U8" s="725" t="s">
        <v>145</v>
      </c>
      <c r="V8" s="726"/>
      <c r="W8" s="508" t="s">
        <v>369</v>
      </c>
      <c r="X8" s="725" t="s">
        <v>145</v>
      </c>
      <c r="Y8" s="726"/>
      <c r="Z8" s="508" t="s">
        <v>369</v>
      </c>
      <c r="AA8" s="725" t="s">
        <v>145</v>
      </c>
      <c r="AB8" s="726"/>
      <c r="AC8" s="508" t="s">
        <v>369</v>
      </c>
      <c r="AD8" s="725" t="s">
        <v>145</v>
      </c>
      <c r="AE8" s="726"/>
      <c r="AF8" s="508" t="s">
        <v>369</v>
      </c>
      <c r="AG8" s="725" t="s">
        <v>145</v>
      </c>
      <c r="AH8" s="726"/>
      <c r="AI8" s="508" t="s">
        <v>369</v>
      </c>
      <c r="AJ8" s="725" t="s">
        <v>145</v>
      </c>
      <c r="AK8" s="726"/>
      <c r="AL8" s="508" t="s">
        <v>369</v>
      </c>
      <c r="AM8" s="725" t="s">
        <v>145</v>
      </c>
      <c r="AN8" s="726"/>
      <c r="AO8" s="508" t="s">
        <v>369</v>
      </c>
      <c r="AP8" s="725" t="s">
        <v>145</v>
      </c>
      <c r="AQ8" s="726"/>
      <c r="AR8" s="508" t="s">
        <v>369</v>
      </c>
      <c r="AS8" s="725" t="s">
        <v>145</v>
      </c>
      <c r="AT8" s="726"/>
      <c r="AU8" s="508" t="s">
        <v>369</v>
      </c>
      <c r="AV8" s="725" t="s">
        <v>145</v>
      </c>
      <c r="AW8" s="726"/>
      <c r="AX8" s="508" t="s">
        <v>369</v>
      </c>
      <c r="AY8" s="725" t="s">
        <v>145</v>
      </c>
      <c r="AZ8" s="726"/>
      <c r="BA8" s="508" t="s">
        <v>369</v>
      </c>
      <c r="BB8" s="725" t="s">
        <v>145</v>
      </c>
      <c r="BC8" s="726"/>
      <c r="BD8" s="508" t="s">
        <v>369</v>
      </c>
      <c r="BE8" s="725" t="s">
        <v>145</v>
      </c>
      <c r="BF8" s="726"/>
      <c r="BG8" s="508" t="s">
        <v>369</v>
      </c>
      <c r="BH8" s="725" t="s">
        <v>145</v>
      </c>
      <c r="BI8" s="726"/>
      <c r="BJ8" s="508" t="s">
        <v>369</v>
      </c>
      <c r="BK8" s="725" t="s">
        <v>145</v>
      </c>
      <c r="BL8" s="726"/>
      <c r="BM8" s="508" t="s">
        <v>369</v>
      </c>
      <c r="BN8" s="725" t="s">
        <v>145</v>
      </c>
      <c r="BO8" s="726"/>
      <c r="BP8" s="508" t="s">
        <v>369</v>
      </c>
      <c r="BQ8" s="725" t="s">
        <v>145</v>
      </c>
      <c r="BR8" s="726"/>
      <c r="BS8" s="508" t="s">
        <v>369</v>
      </c>
      <c r="BT8" s="725" t="s">
        <v>145</v>
      </c>
      <c r="BU8" s="726"/>
      <c r="BV8" s="508" t="s">
        <v>369</v>
      </c>
      <c r="BW8" s="725" t="s">
        <v>145</v>
      </c>
      <c r="BX8" s="726"/>
      <c r="BY8" s="508" t="s">
        <v>369</v>
      </c>
      <c r="BZ8" s="725" t="s">
        <v>145</v>
      </c>
      <c r="CA8" s="726"/>
      <c r="CB8" s="508" t="s">
        <v>369</v>
      </c>
      <c r="CC8" s="725" t="s">
        <v>145</v>
      </c>
      <c r="CD8" s="726"/>
      <c r="CE8" s="508" t="s">
        <v>369</v>
      </c>
      <c r="CF8" s="725" t="s">
        <v>145</v>
      </c>
      <c r="CG8" s="726"/>
      <c r="CH8" s="508" t="s">
        <v>369</v>
      </c>
      <c r="CI8" s="725" t="s">
        <v>145</v>
      </c>
      <c r="CJ8" s="726"/>
      <c r="CK8" s="508" t="s">
        <v>369</v>
      </c>
      <c r="CL8" s="725" t="s">
        <v>145</v>
      </c>
      <c r="CM8" s="726"/>
      <c r="CN8" s="508" t="s">
        <v>369</v>
      </c>
      <c r="CO8" s="725" t="s">
        <v>145</v>
      </c>
      <c r="CP8" s="726"/>
      <c r="CQ8" s="508" t="s">
        <v>369</v>
      </c>
      <c r="CR8" s="725" t="s">
        <v>145</v>
      </c>
      <c r="CS8" s="726"/>
      <c r="CT8" s="508" t="s">
        <v>369</v>
      </c>
      <c r="CU8" s="725" t="s">
        <v>145</v>
      </c>
      <c r="CV8" s="726"/>
      <c r="CW8" s="508" t="s">
        <v>369</v>
      </c>
      <c r="CX8" s="725" t="s">
        <v>145</v>
      </c>
      <c r="CY8" s="726"/>
      <c r="CZ8" s="508" t="s">
        <v>369</v>
      </c>
      <c r="DA8" s="725" t="s">
        <v>145</v>
      </c>
      <c r="DB8" s="726"/>
      <c r="DC8" s="508" t="s">
        <v>369</v>
      </c>
      <c r="DD8" s="725" t="s">
        <v>145</v>
      </c>
      <c r="DE8" s="726"/>
      <c r="DF8" s="508" t="s">
        <v>369</v>
      </c>
      <c r="DG8" s="725" t="s">
        <v>145</v>
      </c>
      <c r="DH8" s="726"/>
      <c r="DI8" s="508" t="s">
        <v>369</v>
      </c>
      <c r="DJ8" s="725" t="s">
        <v>145</v>
      </c>
      <c r="DK8" s="726"/>
      <c r="DL8" s="508" t="s">
        <v>369</v>
      </c>
      <c r="DM8" s="725" t="s">
        <v>145</v>
      </c>
      <c r="DN8" s="726"/>
      <c r="DO8" s="508" t="s">
        <v>369</v>
      </c>
      <c r="DP8" s="725" t="s">
        <v>145</v>
      </c>
      <c r="DQ8" s="726"/>
      <c r="DR8" s="508" t="s">
        <v>369</v>
      </c>
      <c r="DS8" s="725" t="s">
        <v>145</v>
      </c>
      <c r="DT8" s="726"/>
      <c r="DU8" s="508" t="s">
        <v>369</v>
      </c>
      <c r="DV8" s="725" t="s">
        <v>145</v>
      </c>
      <c r="DW8" s="726"/>
      <c r="DX8" s="508" t="s">
        <v>369</v>
      </c>
      <c r="DY8" s="725" t="s">
        <v>145</v>
      </c>
      <c r="DZ8" s="726"/>
      <c r="EA8" s="508" t="s">
        <v>369</v>
      </c>
      <c r="EB8" s="725" t="s">
        <v>145</v>
      </c>
      <c r="EC8" s="726"/>
      <c r="ED8" s="508" t="s">
        <v>369</v>
      </c>
      <c r="EE8" s="725" t="s">
        <v>145</v>
      </c>
      <c r="EF8" s="726"/>
      <c r="EG8" s="508" t="s">
        <v>369</v>
      </c>
      <c r="EH8" s="725" t="s">
        <v>145</v>
      </c>
      <c r="EI8" s="726"/>
      <c r="EJ8" s="508" t="s">
        <v>369</v>
      </c>
      <c r="EK8" s="725" t="s">
        <v>145</v>
      </c>
      <c r="EL8" s="726"/>
      <c r="EM8" s="508" t="s">
        <v>369</v>
      </c>
      <c r="EN8" s="725" t="s">
        <v>145</v>
      </c>
      <c r="EO8" s="726"/>
      <c r="EP8" s="508" t="s">
        <v>369</v>
      </c>
      <c r="EQ8" s="725" t="s">
        <v>145</v>
      </c>
      <c r="ER8" s="726"/>
      <c r="ES8" s="508" t="s">
        <v>369</v>
      </c>
      <c r="ET8" s="725" t="s">
        <v>145</v>
      </c>
      <c r="EU8" s="726"/>
      <c r="EV8" s="508" t="s">
        <v>369</v>
      </c>
      <c r="EW8" s="725" t="s">
        <v>145</v>
      </c>
      <c r="EX8" s="726"/>
      <c r="EY8" s="508" t="s">
        <v>369</v>
      </c>
      <c r="EZ8" s="725" t="s">
        <v>145</v>
      </c>
      <c r="FA8" s="726"/>
      <c r="FB8" s="508" t="s">
        <v>369</v>
      </c>
      <c r="FC8" s="725" t="s">
        <v>145</v>
      </c>
      <c r="FD8" s="726"/>
      <c r="FE8" s="508" t="s">
        <v>369</v>
      </c>
      <c r="FF8" s="725" t="s">
        <v>145</v>
      </c>
      <c r="FG8" s="726"/>
      <c r="FH8" s="508" t="s">
        <v>369</v>
      </c>
      <c r="FI8" s="725" t="s">
        <v>145</v>
      </c>
      <c r="FJ8" s="726"/>
      <c r="FK8" s="508" t="s">
        <v>369</v>
      </c>
      <c r="FL8" s="725" t="s">
        <v>145</v>
      </c>
      <c r="FM8" s="726"/>
      <c r="FN8" s="508" t="s">
        <v>369</v>
      </c>
      <c r="FO8" s="725" t="s">
        <v>145</v>
      </c>
      <c r="FP8" s="726"/>
      <c r="FQ8" s="508" t="s">
        <v>369</v>
      </c>
      <c r="FR8" s="725" t="s">
        <v>145</v>
      </c>
      <c r="FS8" s="726"/>
      <c r="FT8" s="508" t="s">
        <v>369</v>
      </c>
      <c r="FU8" s="725" t="s">
        <v>145</v>
      </c>
      <c r="FV8" s="726"/>
      <c r="FW8" s="508" t="s">
        <v>369</v>
      </c>
      <c r="FX8" s="725" t="s">
        <v>145</v>
      </c>
      <c r="FY8" s="726"/>
      <c r="FZ8" s="508" t="s">
        <v>369</v>
      </c>
      <c r="GA8" s="725" t="s">
        <v>145</v>
      </c>
      <c r="GB8" s="726"/>
      <c r="GC8" s="508" t="s">
        <v>369</v>
      </c>
      <c r="GD8" s="725" t="s">
        <v>145</v>
      </c>
      <c r="GE8" s="726"/>
      <c r="GF8" s="508" t="s">
        <v>369</v>
      </c>
      <c r="GG8" s="725" t="s">
        <v>145</v>
      </c>
      <c r="GH8" s="726"/>
      <c r="GI8" s="508" t="s">
        <v>369</v>
      </c>
      <c r="GJ8" s="725" t="s">
        <v>145</v>
      </c>
      <c r="GK8" s="726"/>
      <c r="GL8" s="508" t="s">
        <v>369</v>
      </c>
      <c r="GM8" s="725" t="s">
        <v>145</v>
      </c>
      <c r="GN8" s="726"/>
      <c r="GO8" s="508" t="s">
        <v>369</v>
      </c>
      <c r="GP8" s="725" t="s">
        <v>145</v>
      </c>
      <c r="GQ8" s="726"/>
      <c r="GR8" s="508" t="s">
        <v>369</v>
      </c>
      <c r="GS8" s="725" t="s">
        <v>145</v>
      </c>
      <c r="GT8" s="726"/>
      <c r="GU8" s="508" t="s">
        <v>369</v>
      </c>
      <c r="GV8" s="725" t="s">
        <v>145</v>
      </c>
      <c r="GW8" s="726"/>
      <c r="GX8" s="508" t="s">
        <v>369</v>
      </c>
      <c r="GY8" s="725" t="s">
        <v>145</v>
      </c>
      <c r="GZ8" s="726"/>
      <c r="HA8" s="508" t="s">
        <v>369</v>
      </c>
      <c r="HB8" s="725" t="s">
        <v>145</v>
      </c>
      <c r="HC8" s="726"/>
      <c r="HD8" s="508" t="s">
        <v>369</v>
      </c>
      <c r="HE8" s="725" t="s">
        <v>145</v>
      </c>
      <c r="HF8" s="726"/>
      <c r="HG8" s="508" t="s">
        <v>369</v>
      </c>
      <c r="HH8" s="725" t="s">
        <v>145</v>
      </c>
      <c r="HI8" s="726"/>
      <c r="HJ8" s="508" t="s">
        <v>369</v>
      </c>
      <c r="HK8" s="725" t="s">
        <v>145</v>
      </c>
      <c r="HL8" s="726"/>
      <c r="HM8" s="508" t="s">
        <v>369</v>
      </c>
      <c r="HN8" s="725" t="s">
        <v>145</v>
      </c>
      <c r="HO8" s="726"/>
      <c r="HP8" s="508" t="s">
        <v>369</v>
      </c>
      <c r="HQ8" s="725" t="s">
        <v>145</v>
      </c>
      <c r="HR8" s="726"/>
      <c r="HS8" s="508" t="s">
        <v>369</v>
      </c>
      <c r="HT8" s="725" t="s">
        <v>145</v>
      </c>
      <c r="HU8" s="726"/>
      <c r="HV8" s="508" t="s">
        <v>369</v>
      </c>
      <c r="HW8" s="725" t="s">
        <v>145</v>
      </c>
      <c r="HX8" s="726"/>
      <c r="HY8" s="508" t="s">
        <v>369</v>
      </c>
      <c r="HZ8" s="725" t="s">
        <v>145</v>
      </c>
      <c r="IA8" s="726"/>
      <c r="IB8" s="508" t="s">
        <v>369</v>
      </c>
      <c r="IC8" s="725" t="s">
        <v>145</v>
      </c>
      <c r="ID8" s="726"/>
      <c r="IE8" s="508" t="s">
        <v>369</v>
      </c>
      <c r="IF8" s="725" t="s">
        <v>145</v>
      </c>
      <c r="IG8" s="726"/>
      <c r="IH8" s="508" t="s">
        <v>369</v>
      </c>
      <c r="II8" s="740" t="s">
        <v>145</v>
      </c>
      <c r="IJ8" s="740"/>
      <c r="IK8" s="509" t="s">
        <v>369</v>
      </c>
      <c r="IL8" s="725" t="s">
        <v>145</v>
      </c>
      <c r="IM8" s="726"/>
      <c r="IN8" s="508" t="s">
        <v>369</v>
      </c>
      <c r="IO8" s="725" t="s">
        <v>145</v>
      </c>
      <c r="IP8" s="726"/>
      <c r="IQ8" s="508" t="s">
        <v>369</v>
      </c>
      <c r="IR8" s="725" t="s">
        <v>145</v>
      </c>
      <c r="IS8" s="726"/>
      <c r="IT8" s="508" t="s">
        <v>369</v>
      </c>
      <c r="IU8" s="725" t="s">
        <v>145</v>
      </c>
      <c r="IV8" s="726"/>
      <c r="IW8" s="508" t="s">
        <v>369</v>
      </c>
      <c r="IX8" s="725" t="s">
        <v>145</v>
      </c>
      <c r="IY8" s="726"/>
      <c r="IZ8" s="508" t="s">
        <v>369</v>
      </c>
      <c r="JA8" s="725" t="s">
        <v>145</v>
      </c>
      <c r="JB8" s="726"/>
      <c r="JC8" s="508" t="s">
        <v>369</v>
      </c>
      <c r="JD8" s="725" t="s">
        <v>145</v>
      </c>
      <c r="JE8" s="726"/>
      <c r="JF8" s="508" t="s">
        <v>369</v>
      </c>
      <c r="JG8" s="725" t="s">
        <v>145</v>
      </c>
      <c r="JH8" s="726"/>
      <c r="JI8" s="508" t="s">
        <v>369</v>
      </c>
      <c r="JJ8" s="725" t="s">
        <v>145</v>
      </c>
      <c r="JK8" s="726"/>
      <c r="JL8" s="508" t="s">
        <v>369</v>
      </c>
      <c r="JM8" s="725" t="s">
        <v>145</v>
      </c>
      <c r="JN8" s="726"/>
      <c r="JO8" s="508" t="s">
        <v>369</v>
      </c>
      <c r="JP8" s="725" t="s">
        <v>145</v>
      </c>
      <c r="JQ8" s="726"/>
      <c r="JR8" s="508" t="s">
        <v>369</v>
      </c>
      <c r="JS8" s="725" t="s">
        <v>145</v>
      </c>
      <c r="JT8" s="726"/>
      <c r="JU8" s="508" t="s">
        <v>369</v>
      </c>
      <c r="JV8" s="725" t="s">
        <v>145</v>
      </c>
      <c r="JW8" s="726"/>
      <c r="JX8" s="508" t="s">
        <v>369</v>
      </c>
      <c r="JY8" s="725" t="s">
        <v>145</v>
      </c>
      <c r="JZ8" s="726"/>
      <c r="KA8" s="508" t="s">
        <v>369</v>
      </c>
      <c r="KB8" s="725" t="s">
        <v>145</v>
      </c>
      <c r="KC8" s="726"/>
      <c r="KD8" s="508" t="s">
        <v>369</v>
      </c>
      <c r="KE8" s="725" t="s">
        <v>145</v>
      </c>
      <c r="KF8" s="726"/>
      <c r="KG8" s="508" t="s">
        <v>369</v>
      </c>
      <c r="KH8" s="725" t="s">
        <v>145</v>
      </c>
      <c r="KI8" s="726"/>
      <c r="KJ8" s="508" t="s">
        <v>369</v>
      </c>
      <c r="KK8" s="725" t="s">
        <v>145</v>
      </c>
      <c r="KL8" s="726"/>
      <c r="KM8" s="508" t="s">
        <v>369</v>
      </c>
      <c r="KN8" s="725" t="s">
        <v>145</v>
      </c>
      <c r="KO8" s="726"/>
      <c r="KP8" s="508" t="s">
        <v>369</v>
      </c>
      <c r="KQ8" s="740" t="s">
        <v>145</v>
      </c>
      <c r="KR8" s="740"/>
      <c r="KS8" s="509" t="s">
        <v>369</v>
      </c>
      <c r="KT8" s="739"/>
      <c r="KU8" s="739"/>
    </row>
    <row r="9" spans="1:308" ht="15" customHeight="1" thickBot="1">
      <c r="A9" s="718"/>
      <c r="B9" s="718"/>
      <c r="C9" s="718"/>
      <c r="D9" s="721"/>
      <c r="E9" s="724"/>
      <c r="F9" s="546" t="s">
        <v>146</v>
      </c>
      <c r="G9" s="510" t="s">
        <v>41</v>
      </c>
      <c r="H9" s="511"/>
      <c r="I9" s="510" t="s">
        <v>146</v>
      </c>
      <c r="J9" s="510" t="s">
        <v>41</v>
      </c>
      <c r="K9" s="511"/>
      <c r="L9" s="510" t="s">
        <v>146</v>
      </c>
      <c r="M9" s="510" t="s">
        <v>41</v>
      </c>
      <c r="N9" s="511"/>
      <c r="O9" s="510" t="s">
        <v>146</v>
      </c>
      <c r="P9" s="510" t="s">
        <v>41</v>
      </c>
      <c r="Q9" s="511"/>
      <c r="R9" s="510" t="s">
        <v>146</v>
      </c>
      <c r="S9" s="510" t="s">
        <v>41</v>
      </c>
      <c r="T9" s="511"/>
      <c r="U9" s="510" t="s">
        <v>146</v>
      </c>
      <c r="V9" s="510" t="s">
        <v>41</v>
      </c>
      <c r="W9" s="511"/>
      <c r="X9" s="510" t="s">
        <v>146</v>
      </c>
      <c r="Y9" s="510" t="s">
        <v>41</v>
      </c>
      <c r="Z9" s="511"/>
      <c r="AA9" s="510" t="s">
        <v>146</v>
      </c>
      <c r="AB9" s="510" t="s">
        <v>41</v>
      </c>
      <c r="AC9" s="511"/>
      <c r="AD9" s="510" t="s">
        <v>146</v>
      </c>
      <c r="AE9" s="510" t="s">
        <v>41</v>
      </c>
      <c r="AF9" s="511"/>
      <c r="AG9" s="510" t="s">
        <v>146</v>
      </c>
      <c r="AH9" s="510" t="s">
        <v>41</v>
      </c>
      <c r="AI9" s="511"/>
      <c r="AJ9" s="510" t="s">
        <v>146</v>
      </c>
      <c r="AK9" s="510" t="s">
        <v>41</v>
      </c>
      <c r="AL9" s="511"/>
      <c r="AM9" s="510" t="s">
        <v>146</v>
      </c>
      <c r="AN9" s="510" t="s">
        <v>41</v>
      </c>
      <c r="AO9" s="511"/>
      <c r="AP9" s="510" t="s">
        <v>146</v>
      </c>
      <c r="AQ9" s="510" t="s">
        <v>41</v>
      </c>
      <c r="AR9" s="511"/>
      <c r="AS9" s="510" t="s">
        <v>146</v>
      </c>
      <c r="AT9" s="510" t="s">
        <v>41</v>
      </c>
      <c r="AU9" s="511"/>
      <c r="AV9" s="510" t="s">
        <v>146</v>
      </c>
      <c r="AW9" s="510" t="s">
        <v>41</v>
      </c>
      <c r="AX9" s="511"/>
      <c r="AY9" s="510" t="s">
        <v>146</v>
      </c>
      <c r="AZ9" s="510" t="s">
        <v>41</v>
      </c>
      <c r="BA9" s="511"/>
      <c r="BB9" s="510" t="s">
        <v>146</v>
      </c>
      <c r="BC9" s="510" t="s">
        <v>41</v>
      </c>
      <c r="BD9" s="511"/>
      <c r="BE9" s="510" t="s">
        <v>146</v>
      </c>
      <c r="BF9" s="510" t="s">
        <v>41</v>
      </c>
      <c r="BG9" s="511"/>
      <c r="BH9" s="510" t="s">
        <v>146</v>
      </c>
      <c r="BI9" s="510" t="s">
        <v>41</v>
      </c>
      <c r="BJ9" s="511"/>
      <c r="BK9" s="510" t="s">
        <v>146</v>
      </c>
      <c r="BL9" s="510" t="s">
        <v>41</v>
      </c>
      <c r="BM9" s="511"/>
      <c r="BN9" s="510" t="s">
        <v>146</v>
      </c>
      <c r="BO9" s="510" t="s">
        <v>41</v>
      </c>
      <c r="BP9" s="511"/>
      <c r="BQ9" s="510" t="s">
        <v>146</v>
      </c>
      <c r="BR9" s="510" t="s">
        <v>41</v>
      </c>
      <c r="BS9" s="511"/>
      <c r="BT9" s="510" t="s">
        <v>146</v>
      </c>
      <c r="BU9" s="510" t="s">
        <v>41</v>
      </c>
      <c r="BV9" s="511"/>
      <c r="BW9" s="510" t="s">
        <v>146</v>
      </c>
      <c r="BX9" s="510" t="s">
        <v>41</v>
      </c>
      <c r="BY9" s="511"/>
      <c r="BZ9" s="510" t="s">
        <v>146</v>
      </c>
      <c r="CA9" s="510" t="s">
        <v>41</v>
      </c>
      <c r="CB9" s="511"/>
      <c r="CC9" s="510" t="s">
        <v>146</v>
      </c>
      <c r="CD9" s="510" t="s">
        <v>41</v>
      </c>
      <c r="CE9" s="511"/>
      <c r="CF9" s="510" t="s">
        <v>146</v>
      </c>
      <c r="CG9" s="510" t="s">
        <v>41</v>
      </c>
      <c r="CH9" s="511"/>
      <c r="CI9" s="510" t="s">
        <v>146</v>
      </c>
      <c r="CJ9" s="510" t="s">
        <v>41</v>
      </c>
      <c r="CK9" s="511"/>
      <c r="CL9" s="510" t="s">
        <v>146</v>
      </c>
      <c r="CM9" s="510" t="s">
        <v>41</v>
      </c>
      <c r="CN9" s="511"/>
      <c r="CO9" s="510" t="s">
        <v>146</v>
      </c>
      <c r="CP9" s="510" t="s">
        <v>41</v>
      </c>
      <c r="CQ9" s="511"/>
      <c r="CR9" s="510" t="s">
        <v>146</v>
      </c>
      <c r="CS9" s="510" t="s">
        <v>41</v>
      </c>
      <c r="CT9" s="511"/>
      <c r="CU9" s="510" t="s">
        <v>146</v>
      </c>
      <c r="CV9" s="510" t="s">
        <v>41</v>
      </c>
      <c r="CW9" s="511"/>
      <c r="CX9" s="510" t="s">
        <v>146</v>
      </c>
      <c r="CY9" s="510" t="s">
        <v>41</v>
      </c>
      <c r="CZ9" s="511"/>
      <c r="DA9" s="510" t="s">
        <v>146</v>
      </c>
      <c r="DB9" s="510" t="s">
        <v>41</v>
      </c>
      <c r="DC9" s="511"/>
      <c r="DD9" s="510" t="s">
        <v>146</v>
      </c>
      <c r="DE9" s="510" t="s">
        <v>41</v>
      </c>
      <c r="DF9" s="511"/>
      <c r="DG9" s="510" t="s">
        <v>146</v>
      </c>
      <c r="DH9" s="510" t="s">
        <v>41</v>
      </c>
      <c r="DI9" s="511"/>
      <c r="DJ9" s="510" t="s">
        <v>146</v>
      </c>
      <c r="DK9" s="510" t="s">
        <v>41</v>
      </c>
      <c r="DL9" s="511"/>
      <c r="DM9" s="510" t="s">
        <v>146</v>
      </c>
      <c r="DN9" s="510" t="s">
        <v>41</v>
      </c>
      <c r="DO9" s="511"/>
      <c r="DP9" s="510" t="s">
        <v>146</v>
      </c>
      <c r="DQ9" s="510" t="s">
        <v>41</v>
      </c>
      <c r="DR9" s="511"/>
      <c r="DS9" s="510" t="s">
        <v>146</v>
      </c>
      <c r="DT9" s="510" t="s">
        <v>41</v>
      </c>
      <c r="DU9" s="511"/>
      <c r="DV9" s="510" t="s">
        <v>146</v>
      </c>
      <c r="DW9" s="510" t="s">
        <v>41</v>
      </c>
      <c r="DX9" s="511"/>
      <c r="DY9" s="510" t="s">
        <v>146</v>
      </c>
      <c r="DZ9" s="510" t="s">
        <v>41</v>
      </c>
      <c r="EA9" s="511"/>
      <c r="EB9" s="510" t="s">
        <v>146</v>
      </c>
      <c r="EC9" s="510" t="s">
        <v>41</v>
      </c>
      <c r="ED9" s="508"/>
      <c r="EE9" s="510" t="s">
        <v>146</v>
      </c>
      <c r="EF9" s="510" t="s">
        <v>41</v>
      </c>
      <c r="EG9" s="511"/>
      <c r="EH9" s="510" t="s">
        <v>146</v>
      </c>
      <c r="EI9" s="510" t="s">
        <v>41</v>
      </c>
      <c r="EJ9" s="511"/>
      <c r="EK9" s="510" t="s">
        <v>146</v>
      </c>
      <c r="EL9" s="510" t="s">
        <v>41</v>
      </c>
      <c r="EM9" s="511"/>
      <c r="EN9" s="510" t="s">
        <v>146</v>
      </c>
      <c r="EO9" s="510" t="s">
        <v>41</v>
      </c>
      <c r="EP9" s="511"/>
      <c r="EQ9" s="510" t="s">
        <v>146</v>
      </c>
      <c r="ER9" s="510" t="s">
        <v>41</v>
      </c>
      <c r="ES9" s="511"/>
      <c r="ET9" s="510" t="s">
        <v>146</v>
      </c>
      <c r="EU9" s="510" t="s">
        <v>41</v>
      </c>
      <c r="EV9" s="511"/>
      <c r="EW9" s="510" t="s">
        <v>146</v>
      </c>
      <c r="EX9" s="510" t="s">
        <v>41</v>
      </c>
      <c r="EY9" s="511"/>
      <c r="EZ9" s="510" t="s">
        <v>146</v>
      </c>
      <c r="FA9" s="510" t="s">
        <v>41</v>
      </c>
      <c r="FB9" s="511"/>
      <c r="FC9" s="510" t="s">
        <v>146</v>
      </c>
      <c r="FD9" s="510" t="s">
        <v>41</v>
      </c>
      <c r="FE9" s="511"/>
      <c r="FF9" s="510" t="s">
        <v>146</v>
      </c>
      <c r="FG9" s="510" t="s">
        <v>41</v>
      </c>
      <c r="FH9" s="511"/>
      <c r="FI9" s="510" t="s">
        <v>146</v>
      </c>
      <c r="FJ9" s="510" t="s">
        <v>41</v>
      </c>
      <c r="FK9" s="511"/>
      <c r="FL9" s="510" t="s">
        <v>146</v>
      </c>
      <c r="FM9" s="510" t="s">
        <v>41</v>
      </c>
      <c r="FN9" s="511"/>
      <c r="FO9" s="510" t="s">
        <v>146</v>
      </c>
      <c r="FP9" s="510" t="s">
        <v>41</v>
      </c>
      <c r="FQ9" s="511"/>
      <c r="FR9" s="510" t="s">
        <v>146</v>
      </c>
      <c r="FS9" s="510" t="s">
        <v>41</v>
      </c>
      <c r="FT9" s="511"/>
      <c r="FU9" s="510" t="s">
        <v>146</v>
      </c>
      <c r="FV9" s="510" t="s">
        <v>41</v>
      </c>
      <c r="FW9" s="511"/>
      <c r="FX9" s="510" t="s">
        <v>146</v>
      </c>
      <c r="FY9" s="510" t="s">
        <v>41</v>
      </c>
      <c r="FZ9" s="511"/>
      <c r="GA9" s="510" t="s">
        <v>146</v>
      </c>
      <c r="GB9" s="510" t="s">
        <v>41</v>
      </c>
      <c r="GC9" s="511"/>
      <c r="GD9" s="510" t="s">
        <v>146</v>
      </c>
      <c r="GE9" s="510" t="s">
        <v>41</v>
      </c>
      <c r="GF9" s="511"/>
      <c r="GG9" s="510" t="s">
        <v>146</v>
      </c>
      <c r="GH9" s="510" t="s">
        <v>41</v>
      </c>
      <c r="GI9" s="511"/>
      <c r="GJ9" s="510" t="s">
        <v>146</v>
      </c>
      <c r="GK9" s="510" t="s">
        <v>41</v>
      </c>
      <c r="GL9" s="511"/>
      <c r="GM9" s="510" t="s">
        <v>146</v>
      </c>
      <c r="GN9" s="510" t="s">
        <v>41</v>
      </c>
      <c r="GO9" s="511"/>
      <c r="GP9" s="510" t="s">
        <v>146</v>
      </c>
      <c r="GQ9" s="510" t="s">
        <v>41</v>
      </c>
      <c r="GR9" s="511"/>
      <c r="GS9" s="510" t="s">
        <v>146</v>
      </c>
      <c r="GT9" s="510" t="s">
        <v>41</v>
      </c>
      <c r="GU9" s="511"/>
      <c r="GV9" s="510" t="s">
        <v>146</v>
      </c>
      <c r="GW9" s="510" t="s">
        <v>41</v>
      </c>
      <c r="GX9" s="511"/>
      <c r="GY9" s="510" t="s">
        <v>146</v>
      </c>
      <c r="GZ9" s="510" t="s">
        <v>41</v>
      </c>
      <c r="HA9" s="511"/>
      <c r="HB9" s="510" t="s">
        <v>146</v>
      </c>
      <c r="HC9" s="510" t="s">
        <v>41</v>
      </c>
      <c r="HD9" s="511"/>
      <c r="HE9" s="510" t="s">
        <v>146</v>
      </c>
      <c r="HF9" s="510" t="s">
        <v>41</v>
      </c>
      <c r="HG9" s="511"/>
      <c r="HH9" s="510" t="s">
        <v>146</v>
      </c>
      <c r="HI9" s="510" t="s">
        <v>41</v>
      </c>
      <c r="HJ9" s="511"/>
      <c r="HK9" s="510" t="s">
        <v>146</v>
      </c>
      <c r="HL9" s="510" t="s">
        <v>41</v>
      </c>
      <c r="HM9" s="511"/>
      <c r="HN9" s="510" t="s">
        <v>146</v>
      </c>
      <c r="HO9" s="510" t="s">
        <v>41</v>
      </c>
      <c r="HP9" s="511"/>
      <c r="HQ9" s="510" t="s">
        <v>146</v>
      </c>
      <c r="HR9" s="510" t="s">
        <v>41</v>
      </c>
      <c r="HS9" s="511"/>
      <c r="HT9" s="510" t="s">
        <v>146</v>
      </c>
      <c r="HU9" s="510" t="s">
        <v>41</v>
      </c>
      <c r="HV9" s="511"/>
      <c r="HW9" s="510" t="s">
        <v>146</v>
      </c>
      <c r="HX9" s="510" t="s">
        <v>41</v>
      </c>
      <c r="HY9" s="511"/>
      <c r="HZ9" s="510" t="s">
        <v>146</v>
      </c>
      <c r="IA9" s="510" t="s">
        <v>41</v>
      </c>
      <c r="IB9" s="511"/>
      <c r="IC9" s="510" t="s">
        <v>146</v>
      </c>
      <c r="ID9" s="510" t="s">
        <v>41</v>
      </c>
      <c r="IE9" s="511"/>
      <c r="IF9" s="510" t="s">
        <v>146</v>
      </c>
      <c r="IG9" s="510" t="s">
        <v>41</v>
      </c>
      <c r="IH9" s="511"/>
      <c r="II9" s="510" t="s">
        <v>146</v>
      </c>
      <c r="IJ9" s="510" t="s">
        <v>41</v>
      </c>
      <c r="IK9" s="511"/>
      <c r="IL9" s="510" t="s">
        <v>146</v>
      </c>
      <c r="IM9" s="510" t="s">
        <v>41</v>
      </c>
      <c r="IN9" s="511"/>
      <c r="IO9" s="510" t="s">
        <v>146</v>
      </c>
      <c r="IP9" s="510" t="s">
        <v>41</v>
      </c>
      <c r="IQ9" s="511"/>
      <c r="IR9" s="510" t="s">
        <v>146</v>
      </c>
      <c r="IS9" s="510" t="s">
        <v>41</v>
      </c>
      <c r="IT9" s="511"/>
      <c r="IU9" s="510" t="s">
        <v>146</v>
      </c>
      <c r="IV9" s="510" t="s">
        <v>41</v>
      </c>
      <c r="IW9" s="511"/>
      <c r="IX9" s="510" t="s">
        <v>146</v>
      </c>
      <c r="IY9" s="510" t="s">
        <v>41</v>
      </c>
      <c r="IZ9" s="511"/>
      <c r="JA9" s="510" t="s">
        <v>146</v>
      </c>
      <c r="JB9" s="510" t="s">
        <v>41</v>
      </c>
      <c r="JC9" s="511"/>
      <c r="JD9" s="510" t="s">
        <v>146</v>
      </c>
      <c r="JE9" s="510" t="s">
        <v>41</v>
      </c>
      <c r="JF9" s="511"/>
      <c r="JG9" s="510" t="s">
        <v>146</v>
      </c>
      <c r="JH9" s="510" t="s">
        <v>41</v>
      </c>
      <c r="JI9" s="511"/>
      <c r="JJ9" s="510" t="s">
        <v>146</v>
      </c>
      <c r="JK9" s="510" t="s">
        <v>41</v>
      </c>
      <c r="JL9" s="511" t="s">
        <v>396</v>
      </c>
      <c r="JM9" s="510" t="s">
        <v>146</v>
      </c>
      <c r="JN9" s="510" t="s">
        <v>41</v>
      </c>
      <c r="JO9" s="511" t="s">
        <v>396</v>
      </c>
      <c r="JP9" s="510" t="s">
        <v>146</v>
      </c>
      <c r="JQ9" s="510" t="s">
        <v>41</v>
      </c>
      <c r="JR9" s="511" t="s">
        <v>396</v>
      </c>
      <c r="JS9" s="510" t="s">
        <v>146</v>
      </c>
      <c r="JT9" s="510" t="s">
        <v>41</v>
      </c>
      <c r="JU9" s="511" t="s">
        <v>396</v>
      </c>
      <c r="JV9" s="510" t="s">
        <v>146</v>
      </c>
      <c r="JW9" s="510" t="s">
        <v>41</v>
      </c>
      <c r="JX9" s="511" t="s">
        <v>396</v>
      </c>
      <c r="JY9" s="510" t="s">
        <v>146</v>
      </c>
      <c r="JZ9" s="510" t="s">
        <v>41</v>
      </c>
      <c r="KA9" s="511" t="s">
        <v>396</v>
      </c>
      <c r="KB9" s="510" t="s">
        <v>146</v>
      </c>
      <c r="KC9" s="510" t="s">
        <v>41</v>
      </c>
      <c r="KD9" s="511" t="s">
        <v>396</v>
      </c>
      <c r="KE9" s="510" t="s">
        <v>146</v>
      </c>
      <c r="KF9" s="510" t="s">
        <v>41</v>
      </c>
      <c r="KG9" s="511" t="s">
        <v>396</v>
      </c>
      <c r="KH9" s="510" t="s">
        <v>146</v>
      </c>
      <c r="KI9" s="510" t="s">
        <v>41</v>
      </c>
      <c r="KJ9" s="511" t="s">
        <v>396</v>
      </c>
      <c r="KK9" s="510" t="s">
        <v>146</v>
      </c>
      <c r="KL9" s="510" t="s">
        <v>41</v>
      </c>
      <c r="KM9" s="511" t="s">
        <v>396</v>
      </c>
      <c r="KN9" s="510" t="s">
        <v>146</v>
      </c>
      <c r="KO9" s="510" t="s">
        <v>41</v>
      </c>
      <c r="KP9" s="511" t="s">
        <v>396</v>
      </c>
      <c r="KQ9" s="510" t="s">
        <v>146</v>
      </c>
      <c r="KR9" s="510" t="s">
        <v>41</v>
      </c>
      <c r="KS9" s="511" t="s">
        <v>396</v>
      </c>
      <c r="KT9" s="739"/>
      <c r="KU9" s="739"/>
    </row>
    <row r="10" spans="1:308" ht="15" customHeight="1">
      <c r="A10" s="542">
        <f>+Report1!A9</f>
        <v>45931</v>
      </c>
      <c r="B10" s="543" t="str">
        <f>+Report1!B9</f>
        <v>STOP</v>
      </c>
      <c r="C10" s="544" t="str">
        <f>+Report1!C9</f>
        <v>17</v>
      </c>
      <c r="D10" s="545">
        <f>+Report1!P9</f>
        <v>0</v>
      </c>
      <c r="E10" s="547">
        <f>+Report1!R9</f>
        <v>3.3639999999999999</v>
      </c>
      <c r="F10" s="512"/>
      <c r="G10" s="513">
        <f t="shared" ref="G10:G40" si="0">+F10/$E10</f>
        <v>0</v>
      </c>
      <c r="H10" s="514">
        <f>+F10*$H$9</f>
        <v>0</v>
      </c>
      <c r="I10" s="512"/>
      <c r="J10" s="513">
        <f t="shared" ref="J10:J40" si="1">+I10/$E10</f>
        <v>0</v>
      </c>
      <c r="K10" s="514">
        <f>+I10*$H$9</f>
        <v>0</v>
      </c>
      <c r="L10" s="512"/>
      <c r="M10" s="513">
        <f t="shared" ref="M10:M40" si="2">+L10/$E10</f>
        <v>0</v>
      </c>
      <c r="N10" s="514">
        <f>+L10*$H$9</f>
        <v>0</v>
      </c>
      <c r="O10" s="512"/>
      <c r="P10" s="513">
        <f t="shared" ref="P10:P40" si="3">+O10/$E10</f>
        <v>0</v>
      </c>
      <c r="Q10" s="514">
        <f>+O10*$H$9</f>
        <v>0</v>
      </c>
      <c r="R10" s="512"/>
      <c r="S10" s="513">
        <f t="shared" ref="S10:S40" si="4">+R10/$E10</f>
        <v>0</v>
      </c>
      <c r="T10" s="514">
        <f>+R10*$H$9</f>
        <v>0</v>
      </c>
      <c r="U10" s="512">
        <v>6.2500000000000284</v>
      </c>
      <c r="V10" s="513">
        <f t="shared" ref="V10:V40" si="5">+U10/$E10</f>
        <v>1.8579072532699252</v>
      </c>
      <c r="W10" s="514">
        <f>+U10*$H$9</f>
        <v>0</v>
      </c>
      <c r="X10" s="512"/>
      <c r="Y10" s="513">
        <f t="shared" ref="Y10:Y40" si="6">+X10/$E10</f>
        <v>0</v>
      </c>
      <c r="Z10" s="514">
        <f>+X10*$H$9</f>
        <v>0</v>
      </c>
      <c r="AA10" s="512"/>
      <c r="AB10" s="513">
        <f t="shared" ref="AB10:AB40" si="7">+AA10/$E10</f>
        <v>0</v>
      </c>
      <c r="AC10" s="514">
        <f>+AA10*$H$9</f>
        <v>0</v>
      </c>
      <c r="AD10" s="512"/>
      <c r="AE10" s="513">
        <f t="shared" ref="AE10:AE40" si="8">+AD10/$E10</f>
        <v>0</v>
      </c>
      <c r="AF10" s="514">
        <f>+AD10*$H$9</f>
        <v>0</v>
      </c>
      <c r="AG10" s="512"/>
      <c r="AH10" s="513">
        <f t="shared" ref="AH10:AH40" si="9">+AG10/$E10</f>
        <v>0</v>
      </c>
      <c r="AI10" s="514">
        <f>+AG10*$H$9</f>
        <v>0</v>
      </c>
      <c r="AJ10" s="512"/>
      <c r="AK10" s="513">
        <f t="shared" ref="AK10:AK40" si="10">+AJ10/$E10</f>
        <v>0</v>
      </c>
      <c r="AL10" s="514">
        <f>+AJ10*$H$9</f>
        <v>0</v>
      </c>
      <c r="AM10" s="512"/>
      <c r="AN10" s="513">
        <f t="shared" ref="AN10:AN40" si="11">+AM10/$E10</f>
        <v>0</v>
      </c>
      <c r="AO10" s="514">
        <f>+AM10*$H$9</f>
        <v>0</v>
      </c>
      <c r="AP10" s="512"/>
      <c r="AQ10" s="513">
        <f t="shared" ref="AQ10:AQ40" si="12">+AP10/$E10</f>
        <v>0</v>
      </c>
      <c r="AR10" s="514">
        <f>+AP10*$H$9</f>
        <v>0</v>
      </c>
      <c r="AS10" s="512"/>
      <c r="AT10" s="513">
        <f t="shared" ref="AT10:AT40" si="13">+AS10/$E10</f>
        <v>0</v>
      </c>
      <c r="AU10" s="514">
        <f>+AS10*$H$9</f>
        <v>0</v>
      </c>
      <c r="AV10" s="512"/>
      <c r="AW10" s="513">
        <f t="shared" ref="AW10:AW40" si="14">+AV10/$E10</f>
        <v>0</v>
      </c>
      <c r="AX10" s="514">
        <f>+AV10*$H$9</f>
        <v>0</v>
      </c>
      <c r="AY10" s="512"/>
      <c r="AZ10" s="513">
        <f t="shared" ref="AZ10:AZ40" si="15">+AY10/$E10</f>
        <v>0</v>
      </c>
      <c r="BA10" s="514">
        <f>+AY10*$H$9</f>
        <v>0</v>
      </c>
      <c r="BB10" s="512"/>
      <c r="BC10" s="513">
        <f t="shared" ref="BC10:BC40" si="16">+BB10/$E10</f>
        <v>0</v>
      </c>
      <c r="BD10" s="514">
        <f>+BB10*$H$9</f>
        <v>0</v>
      </c>
      <c r="BE10" s="512"/>
      <c r="BF10" s="513">
        <f t="shared" ref="BF10:BF40" si="17">+BE10/$E10</f>
        <v>0</v>
      </c>
      <c r="BG10" s="514">
        <f>+BE10*$H$9</f>
        <v>0</v>
      </c>
      <c r="BH10" s="512"/>
      <c r="BI10" s="513">
        <f t="shared" ref="BI10:BI40" si="18">+BH10/$E10</f>
        <v>0</v>
      </c>
      <c r="BJ10" s="514">
        <f>+BH10*$H$9</f>
        <v>0</v>
      </c>
      <c r="BK10" s="512"/>
      <c r="BL10" s="513">
        <f t="shared" ref="BL10:BL40" si="19">+BK10/$E10</f>
        <v>0</v>
      </c>
      <c r="BM10" s="514">
        <f>+BK10*$H$9</f>
        <v>0</v>
      </c>
      <c r="BN10" s="512"/>
      <c r="BO10" s="513">
        <f t="shared" ref="BO10:BO40" si="20">+BN10/$E10</f>
        <v>0</v>
      </c>
      <c r="BP10" s="514">
        <f>+BN10*$H$9</f>
        <v>0</v>
      </c>
      <c r="BQ10" s="512"/>
      <c r="BR10" s="513">
        <f t="shared" ref="BR10:BR40" si="21">+BQ10/$E10</f>
        <v>0</v>
      </c>
      <c r="BS10" s="514">
        <f>+BQ10*$H$9</f>
        <v>0</v>
      </c>
      <c r="BT10" s="512"/>
      <c r="BU10" s="513">
        <f t="shared" ref="BU10:BU40" si="22">+BT10/$E10</f>
        <v>0</v>
      </c>
      <c r="BV10" s="514">
        <f>+BT10*$H$9</f>
        <v>0</v>
      </c>
      <c r="BW10" s="512"/>
      <c r="BX10" s="513">
        <f t="shared" ref="BX10:BX40" si="23">+BW10/$E10</f>
        <v>0</v>
      </c>
      <c r="BY10" s="514">
        <f>+BW10*$H$9</f>
        <v>0</v>
      </c>
      <c r="BZ10" s="512">
        <v>2804</v>
      </c>
      <c r="CA10" s="513">
        <f t="shared" ref="CA10:CA40" si="24">+BZ10/$E10</f>
        <v>833.53151010701549</v>
      </c>
      <c r="CB10" s="514">
        <f>+BZ10*$H$9</f>
        <v>0</v>
      </c>
      <c r="CC10" s="512"/>
      <c r="CD10" s="513">
        <f t="shared" ref="CD10:CD40" si="25">+CC10/$E10</f>
        <v>0</v>
      </c>
      <c r="CE10" s="514">
        <f>+CC10*$H$9</f>
        <v>0</v>
      </c>
      <c r="CF10" s="512"/>
      <c r="CG10" s="513">
        <f t="shared" ref="CG10:CG40" si="26">+CF10/$E10</f>
        <v>0</v>
      </c>
      <c r="CH10" s="514">
        <f>+CF10*$H$9</f>
        <v>0</v>
      </c>
      <c r="CI10" s="512"/>
      <c r="CJ10" s="513">
        <f t="shared" ref="CJ10:CJ40" si="27">+CI10/$E10</f>
        <v>0</v>
      </c>
      <c r="CK10" s="514">
        <f>+CI10*$H$9</f>
        <v>0</v>
      </c>
      <c r="CL10" s="512"/>
      <c r="CM10" s="513">
        <f t="shared" ref="CM10:CM40" si="28">+CL10/$E10</f>
        <v>0</v>
      </c>
      <c r="CN10" s="514">
        <f>+CL10*$H$9</f>
        <v>0</v>
      </c>
      <c r="CO10" s="512"/>
      <c r="CP10" s="513">
        <f t="shared" ref="CP10:CP40" si="29">+CO10/$E10</f>
        <v>0</v>
      </c>
      <c r="CQ10" s="514">
        <f>+CO10*$H$9</f>
        <v>0</v>
      </c>
      <c r="CR10" s="512"/>
      <c r="CS10" s="513">
        <f t="shared" ref="CS10:CS40" si="30">+CR10/$E10</f>
        <v>0</v>
      </c>
      <c r="CT10" s="514">
        <f>+CR10*$H$9</f>
        <v>0</v>
      </c>
      <c r="CU10" s="512"/>
      <c r="CV10" s="513">
        <f t="shared" ref="CV10:CV40" si="31">+CU10/$E10</f>
        <v>0</v>
      </c>
      <c r="CW10" s="514">
        <f>+CU10*$H$9</f>
        <v>0</v>
      </c>
      <c r="CX10" s="512"/>
      <c r="CY10" s="513">
        <f t="shared" ref="CY10:CY40" si="32">+CX10/$E10</f>
        <v>0</v>
      </c>
      <c r="CZ10" s="514">
        <f>+CX10*$H$9</f>
        <v>0</v>
      </c>
      <c r="DA10" s="512"/>
      <c r="DB10" s="513">
        <f t="shared" ref="DB10:DB40" si="33">+DA10/$E10</f>
        <v>0</v>
      </c>
      <c r="DC10" s="514">
        <f>+DA10*$H$9</f>
        <v>0</v>
      </c>
      <c r="DD10" s="512"/>
      <c r="DE10" s="513">
        <f t="shared" ref="DE10:DE40" si="34">+DD10/$E10</f>
        <v>0</v>
      </c>
      <c r="DF10" s="514">
        <f>+DD10*$H$9</f>
        <v>0</v>
      </c>
      <c r="DG10" s="512"/>
      <c r="DH10" s="513">
        <f t="shared" ref="DH10:DH40" si="35">+DG10/$E10</f>
        <v>0</v>
      </c>
      <c r="DI10" s="514">
        <v>0</v>
      </c>
      <c r="DJ10" s="512"/>
      <c r="DK10" s="513">
        <f t="shared" ref="DK10:DK40" si="36">+DJ10/$E10</f>
        <v>0</v>
      </c>
      <c r="DL10" s="514">
        <f>+DJ10*$H$9</f>
        <v>0</v>
      </c>
      <c r="DM10" s="512"/>
      <c r="DN10" s="513">
        <f t="shared" ref="DN10:DN40" si="37">+DM10/$E10</f>
        <v>0</v>
      </c>
      <c r="DO10" s="514">
        <f>+DM10*$H$9</f>
        <v>0</v>
      </c>
      <c r="DP10" s="512"/>
      <c r="DQ10" s="513">
        <f t="shared" ref="DQ10:DQ40" si="38">+DP10/$E10</f>
        <v>0</v>
      </c>
      <c r="DR10" s="514">
        <f>+DP10*$H$9</f>
        <v>0</v>
      </c>
      <c r="DS10" s="512"/>
      <c r="DT10" s="513">
        <f t="shared" ref="DT10:DT40" si="39">+DS10/$E10</f>
        <v>0</v>
      </c>
      <c r="DU10" s="514">
        <f>+DS10*$H$9</f>
        <v>0</v>
      </c>
      <c r="DV10" s="512"/>
      <c r="DW10" s="513">
        <f t="shared" ref="DW10:DW40" si="40">+DV10/$E10</f>
        <v>0</v>
      </c>
      <c r="DX10" s="514">
        <f>+DV10*$H$9</f>
        <v>0</v>
      </c>
      <c r="DY10" s="512"/>
      <c r="DZ10" s="513">
        <f t="shared" ref="DZ10:DZ40" si="41">+DY10/$E10</f>
        <v>0</v>
      </c>
      <c r="EA10" s="514">
        <f>+DY10*$H$9</f>
        <v>0</v>
      </c>
      <c r="EB10" s="512"/>
      <c r="EC10" s="513">
        <f t="shared" ref="EC10:EC40" si="42">+EB10/$E10</f>
        <v>0</v>
      </c>
      <c r="ED10" s="514">
        <f>+EB10*$H$9</f>
        <v>0</v>
      </c>
      <c r="EE10" s="512">
        <v>14.534883720930111</v>
      </c>
      <c r="EF10" s="513">
        <f t="shared" ref="EF10:EF40" si="43">+EE10/$E10</f>
        <v>4.3207145424881421</v>
      </c>
      <c r="EG10" s="514">
        <f>+EE10*$H$9</f>
        <v>0</v>
      </c>
      <c r="EH10" s="512"/>
      <c r="EI10" s="513">
        <f t="shared" ref="EI10:EI40" si="44">+EH10/$E10</f>
        <v>0</v>
      </c>
      <c r="EJ10" s="514">
        <f>+EH10*$H$9</f>
        <v>0</v>
      </c>
      <c r="EK10" s="512"/>
      <c r="EL10" s="513">
        <f t="shared" ref="EL10:EL40" si="45">+EK10/$E10</f>
        <v>0</v>
      </c>
      <c r="EM10" s="514">
        <f>+EK10*$H$9</f>
        <v>0</v>
      </c>
      <c r="EN10" s="512"/>
      <c r="EO10" s="513">
        <f t="shared" ref="EO10:EO40" si="46">+EN10/$E10</f>
        <v>0</v>
      </c>
      <c r="EP10" s="514">
        <f>+EN10*$H$9</f>
        <v>0</v>
      </c>
      <c r="EQ10" s="512"/>
      <c r="ER10" s="513">
        <f t="shared" ref="ER10:ER40" si="47">+EQ10/$E10</f>
        <v>0</v>
      </c>
      <c r="ES10" s="514">
        <f>+EQ10*$H$9</f>
        <v>0</v>
      </c>
      <c r="ET10" s="512"/>
      <c r="EU10" s="513">
        <f t="shared" ref="EU10:EU40" si="48">+ET10/$E10</f>
        <v>0</v>
      </c>
      <c r="EV10" s="514">
        <f>+ET10*$H$9</f>
        <v>0</v>
      </c>
      <c r="EW10" s="512"/>
      <c r="EX10" s="513">
        <f t="shared" ref="EX10:EX40" si="49">+EW10/$E10</f>
        <v>0</v>
      </c>
      <c r="EY10" s="514">
        <f>+EW10*$H$9</f>
        <v>0</v>
      </c>
      <c r="EZ10" s="512"/>
      <c r="FA10" s="513">
        <f t="shared" ref="FA10:FA40" si="50">+EZ10/$E10</f>
        <v>0</v>
      </c>
      <c r="FB10" s="514">
        <f>+EZ10*$H$9</f>
        <v>0</v>
      </c>
      <c r="FC10" s="512"/>
      <c r="FD10" s="513">
        <f t="shared" ref="FD10:FD40" si="51">+FC10/$E10</f>
        <v>0</v>
      </c>
      <c r="FE10" s="514">
        <f>+FC10*$H$9</f>
        <v>0</v>
      </c>
      <c r="FF10" s="512"/>
      <c r="FG10" s="513">
        <f t="shared" ref="FG10:FG40" si="52">+FF10/$E10</f>
        <v>0</v>
      </c>
      <c r="FH10" s="514">
        <f>+FF10*$H$9</f>
        <v>0</v>
      </c>
      <c r="FI10" s="512"/>
      <c r="FJ10" s="513">
        <f t="shared" ref="FJ10:FJ40" si="53">+FI10/$E10</f>
        <v>0</v>
      </c>
      <c r="FK10" s="514">
        <f>+FI10*$H$9</f>
        <v>0</v>
      </c>
      <c r="FL10" s="512"/>
      <c r="FM10" s="513">
        <f t="shared" ref="FM10:FM40" si="54">+FL10/$E10</f>
        <v>0</v>
      </c>
      <c r="FN10" s="514">
        <f>+FL10*$H$9</f>
        <v>0</v>
      </c>
      <c r="FO10" s="512"/>
      <c r="FP10" s="513">
        <f t="shared" ref="FP10:FP40" si="55">+FO10/$E10</f>
        <v>0</v>
      </c>
      <c r="FQ10" s="514">
        <f>+FO10*$H$9</f>
        <v>0</v>
      </c>
      <c r="FR10" s="512"/>
      <c r="FS10" s="513">
        <f t="shared" ref="FS10:FS40" si="56">+FR10/$E10</f>
        <v>0</v>
      </c>
      <c r="FT10" s="514">
        <f>+FR10*$H$9</f>
        <v>0</v>
      </c>
      <c r="FU10" s="512"/>
      <c r="FV10" s="513">
        <f t="shared" ref="FV10:FV40" si="57">+FU10/$E10</f>
        <v>0</v>
      </c>
      <c r="FW10" s="514">
        <f>+FU10*$H$9</f>
        <v>0</v>
      </c>
      <c r="FX10" s="512"/>
      <c r="FY10" s="513">
        <f t="shared" ref="FY10:FY40" si="58">+FX10/$E10</f>
        <v>0</v>
      </c>
      <c r="FZ10" s="514">
        <f>+FX10*$H$9</f>
        <v>0</v>
      </c>
      <c r="GA10" s="512"/>
      <c r="GB10" s="513">
        <f t="shared" ref="GB10:GB40" si="59">+GA10/$E10</f>
        <v>0</v>
      </c>
      <c r="GC10" s="514">
        <f>+GA10*$H$9</f>
        <v>0</v>
      </c>
      <c r="GD10" s="512"/>
      <c r="GE10" s="513">
        <f t="shared" ref="GE10:GE40" si="60">+GD10/$E10</f>
        <v>0</v>
      </c>
      <c r="GF10" s="514">
        <f>+GD10*$H$9</f>
        <v>0</v>
      </c>
      <c r="GG10" s="512"/>
      <c r="GH10" s="513">
        <f t="shared" ref="GH10:GH40" si="61">+GG10/$E10</f>
        <v>0</v>
      </c>
      <c r="GI10" s="514">
        <f>+GG10*$H$9</f>
        <v>0</v>
      </c>
      <c r="GJ10" s="512"/>
      <c r="GK10" s="513">
        <f t="shared" ref="GK10:GK40" si="62">+GJ10/$E10</f>
        <v>0</v>
      </c>
      <c r="GL10" s="514">
        <f>+GJ10*$H$9</f>
        <v>0</v>
      </c>
      <c r="GM10" s="512"/>
      <c r="GN10" s="513">
        <f t="shared" ref="GN10:GN40" si="63">+GM10/$E10</f>
        <v>0</v>
      </c>
      <c r="GO10" s="514">
        <f>+GM10*$H$9</f>
        <v>0</v>
      </c>
      <c r="GP10" s="512"/>
      <c r="GQ10" s="513">
        <f t="shared" ref="GQ10:GQ40" si="64">+GP10/$E10</f>
        <v>0</v>
      </c>
      <c r="GR10" s="514">
        <f>+GP10*$H$9</f>
        <v>0</v>
      </c>
      <c r="GS10" s="512"/>
      <c r="GT10" s="513">
        <f t="shared" ref="GT10:GT40" si="65">+GS10/$E10</f>
        <v>0</v>
      </c>
      <c r="GU10" s="514">
        <f>+GS10*$H$9</f>
        <v>0</v>
      </c>
      <c r="GV10" s="512"/>
      <c r="GW10" s="513">
        <f t="shared" ref="GW10:GW40" si="66">+GV10/$E10</f>
        <v>0</v>
      </c>
      <c r="GX10" s="514">
        <f>+GV10*$H$9</f>
        <v>0</v>
      </c>
      <c r="GY10" s="512"/>
      <c r="GZ10" s="513">
        <f t="shared" ref="GZ10:GZ40" si="67">+GY10/$E10</f>
        <v>0</v>
      </c>
      <c r="HA10" s="514">
        <f>+GY10*$H$9</f>
        <v>0</v>
      </c>
      <c r="HB10" s="512"/>
      <c r="HC10" s="513">
        <f t="shared" ref="HC10:HC40" si="68">+HB10/$E10</f>
        <v>0</v>
      </c>
      <c r="HD10" s="514">
        <f>+HB10*$H$9</f>
        <v>0</v>
      </c>
      <c r="HE10" s="512"/>
      <c r="HF10" s="513">
        <f t="shared" ref="HF10:HF40" si="69">+HE10/$E10</f>
        <v>0</v>
      </c>
      <c r="HG10" s="514">
        <f>+HE10*$H$9</f>
        <v>0</v>
      </c>
      <c r="HH10" s="512"/>
      <c r="HI10" s="513">
        <f t="shared" ref="HI10:HI40" si="70">+HH10/$E10</f>
        <v>0</v>
      </c>
      <c r="HJ10" s="514">
        <f>+HH10*$H$9</f>
        <v>0</v>
      </c>
      <c r="HK10" s="512"/>
      <c r="HL10" s="513">
        <f t="shared" ref="HL10:HL40" si="71">+HK10/$E10</f>
        <v>0</v>
      </c>
      <c r="HM10" s="514">
        <f>+HK10*$H$9</f>
        <v>0</v>
      </c>
      <c r="HN10" s="512"/>
      <c r="HO10" s="513">
        <f t="shared" ref="HO10:HO40" si="72">+HN10/$E10</f>
        <v>0</v>
      </c>
      <c r="HP10" s="514">
        <f>+HN10*$H$9</f>
        <v>0</v>
      </c>
      <c r="HQ10" s="512"/>
      <c r="HR10" s="513">
        <f t="shared" ref="HR10:HR40" si="73">+HQ10/$E10</f>
        <v>0</v>
      </c>
      <c r="HS10" s="514">
        <f>+HQ10*$H$9</f>
        <v>0</v>
      </c>
      <c r="HT10" s="512"/>
      <c r="HU10" s="513">
        <f t="shared" ref="HU10:HU40" si="74">+HT10/$E10</f>
        <v>0</v>
      </c>
      <c r="HV10" s="514">
        <f>+HT10*$H$9</f>
        <v>0</v>
      </c>
      <c r="HW10" s="512"/>
      <c r="HX10" s="513">
        <f t="shared" ref="HX10:HX40" si="75">+HW10/$E10</f>
        <v>0</v>
      </c>
      <c r="HY10" s="514">
        <f>+HW10*$H$9</f>
        <v>0</v>
      </c>
      <c r="HZ10" s="512"/>
      <c r="IA10" s="513">
        <f t="shared" ref="IA10:IA40" si="76">+HZ10/$E10</f>
        <v>0</v>
      </c>
      <c r="IB10" s="514">
        <f>+HZ10*$H$9</f>
        <v>0</v>
      </c>
      <c r="IC10" s="512"/>
      <c r="ID10" s="513">
        <f t="shared" ref="ID10:ID40" si="77">+IC10/$E10</f>
        <v>0</v>
      </c>
      <c r="IE10" s="514">
        <f>+IC10*$H$9</f>
        <v>0</v>
      </c>
      <c r="IF10" s="512"/>
      <c r="IG10" s="513">
        <f t="shared" ref="IG10:IG40" si="78">+IF10/$E10</f>
        <v>0</v>
      </c>
      <c r="IH10" s="514">
        <f>+IF10*$H$9</f>
        <v>0</v>
      </c>
      <c r="II10" s="512"/>
      <c r="IJ10" s="513">
        <f t="shared" ref="IJ10:IJ40" si="79">+II10/$E10</f>
        <v>0</v>
      </c>
      <c r="IK10" s="514">
        <f>+II10*$H$9</f>
        <v>0</v>
      </c>
      <c r="IL10" s="512"/>
      <c r="IM10" s="513">
        <f t="shared" ref="IM10:IM40" si="80">+IL10/$E10</f>
        <v>0</v>
      </c>
      <c r="IN10" s="514">
        <f>+IL10*$H$9</f>
        <v>0</v>
      </c>
      <c r="IO10" s="512"/>
      <c r="IP10" s="513">
        <f t="shared" ref="IP10:IP40" si="81">+IO10/$E10</f>
        <v>0</v>
      </c>
      <c r="IQ10" s="514">
        <f>+IO10*$H$9</f>
        <v>0</v>
      </c>
      <c r="IR10" s="512"/>
      <c r="IS10" s="513">
        <f t="shared" ref="IS10:IS40" si="82">+IR10/$E10</f>
        <v>0</v>
      </c>
      <c r="IT10" s="514">
        <f>+IR10*$H$9</f>
        <v>0</v>
      </c>
      <c r="IU10" s="512"/>
      <c r="IV10" s="513">
        <f t="shared" ref="IV10:IV40" si="83">+IU10/$E10</f>
        <v>0</v>
      </c>
      <c r="IW10" s="514">
        <f>+IU10*$H$9</f>
        <v>0</v>
      </c>
      <c r="IX10" s="512"/>
      <c r="IY10" s="513">
        <f t="shared" ref="IY10:IY40" si="84">+IX10/$E10</f>
        <v>0</v>
      </c>
      <c r="IZ10" s="514">
        <f>+IX10*$H$9</f>
        <v>0</v>
      </c>
      <c r="JA10" s="512"/>
      <c r="JB10" s="513">
        <f t="shared" ref="JB10:JB40" si="85">+JA10/$E10</f>
        <v>0</v>
      </c>
      <c r="JC10" s="514">
        <f>+JA10*$H$9</f>
        <v>0</v>
      </c>
      <c r="JD10" s="512"/>
      <c r="JE10" s="513">
        <f t="shared" ref="JE10:JE40" si="86">+JD10/$E10</f>
        <v>0</v>
      </c>
      <c r="JF10" s="514">
        <f>+JD10*$H$9</f>
        <v>0</v>
      </c>
      <c r="JG10" s="512"/>
      <c r="JH10" s="513">
        <f t="shared" ref="JH10:JH40" si="87">+JG10/$E10</f>
        <v>0</v>
      </c>
      <c r="JI10" s="514">
        <f>+JG10*$H$9</f>
        <v>0</v>
      </c>
      <c r="JJ10" s="512"/>
      <c r="JK10" s="514" t="str">
        <f t="shared" ref="JK10:JK40" si="88">IFERROR((JJ10/$L10),"0")</f>
        <v>0</v>
      </c>
      <c r="JL10" s="514" t="str">
        <f t="shared" ref="JL10:JL40" si="89">IFERROR(((JJ10*JL$9)/$L10),"0")</f>
        <v>0</v>
      </c>
      <c r="JM10" s="512"/>
      <c r="JN10" s="514" t="str">
        <f t="shared" ref="JN10:JN40" si="90">IFERROR((JM10/$L10),"0")</f>
        <v>0</v>
      </c>
      <c r="JO10" s="514" t="str">
        <f t="shared" ref="JO10:JO40" si="91">IFERROR(((JM10*JO$9)/$L10),"0")</f>
        <v>0</v>
      </c>
      <c r="JP10" s="512"/>
      <c r="JQ10" s="514" t="str">
        <f t="shared" ref="JQ10:JQ40" si="92">IFERROR((JP10/$L10),"0")</f>
        <v>0</v>
      </c>
      <c r="JR10" s="514" t="str">
        <f t="shared" ref="JR10:JR40" si="93">IFERROR(((JP10*JR$9)/$L10),"0")</f>
        <v>0</v>
      </c>
      <c r="JS10" s="512"/>
      <c r="JT10" s="514" t="str">
        <f t="shared" ref="JT10:JT40" si="94">IFERROR((JS10/$L10),"0")</f>
        <v>0</v>
      </c>
      <c r="JU10" s="514" t="str">
        <f t="shared" ref="JU10:JU40" si="95">IFERROR(((JS10*JU$9)/$L10),"0")</f>
        <v>0</v>
      </c>
      <c r="JV10" s="512"/>
      <c r="JW10" s="514" t="str">
        <f t="shared" ref="JW10:JW40" si="96">IFERROR((JV10/$L10),"0")</f>
        <v>0</v>
      </c>
      <c r="JX10" s="514" t="str">
        <f t="shared" ref="JX10:JX40" si="97">IFERROR(((JV10*JX$9)/$L10),"0")</f>
        <v>0</v>
      </c>
      <c r="JY10" s="512"/>
      <c r="JZ10" s="514" t="str">
        <f t="shared" ref="JZ10:JZ40" si="98">IFERROR((JY10/$L10),"0")</f>
        <v>0</v>
      </c>
      <c r="KA10" s="514" t="str">
        <f t="shared" ref="KA10:KA40" si="99">IFERROR(((JY10*KA$9)/$L10),"0")</f>
        <v>0</v>
      </c>
      <c r="KB10" s="512"/>
      <c r="KC10" s="514" t="str">
        <f t="shared" ref="KC10:KC40" si="100">IFERROR((KB10/$L10),"0")</f>
        <v>0</v>
      </c>
      <c r="KD10" s="514" t="str">
        <f t="shared" ref="KD10:KD40" si="101">IFERROR(((KB10*KD$9)/$L10),"0")</f>
        <v>0</v>
      </c>
      <c r="KE10" s="512"/>
      <c r="KF10" s="514" t="str">
        <f t="shared" ref="KF10:KF40" si="102">IFERROR((KE10/$L10),"0")</f>
        <v>0</v>
      </c>
      <c r="KG10" s="514" t="str">
        <f t="shared" ref="KG10:KG40" si="103">IFERROR(((KE10*KG$9)/$L10),"0")</f>
        <v>0</v>
      </c>
      <c r="KH10" s="512"/>
      <c r="KI10" s="514" t="str">
        <f t="shared" ref="KI10:KI40" si="104">IFERROR((KH10/$L10),"0")</f>
        <v>0</v>
      </c>
      <c r="KJ10" s="514" t="str">
        <f t="shared" ref="KJ10:KJ40" si="105">IFERROR(((KH10*KJ$9)/$L10),"0")</f>
        <v>0</v>
      </c>
      <c r="KK10" s="512"/>
      <c r="KL10" s="514" t="str">
        <f t="shared" ref="KL10:KL40" si="106">IFERROR((KK10/$L10),"0")</f>
        <v>0</v>
      </c>
      <c r="KM10" s="514" t="str">
        <f t="shared" ref="KM10:KM40" si="107">IFERROR(((KK10*KM$9)/$L10),"0")</f>
        <v>0</v>
      </c>
      <c r="KN10" s="512"/>
      <c r="KO10" s="514" t="str">
        <f t="shared" ref="KO10:KO40" si="108">IFERROR((KN10/$L10),"0")</f>
        <v>0</v>
      </c>
      <c r="KP10" s="514" t="str">
        <f t="shared" ref="KP10:KP40" si="109">IFERROR(((KN10*KP$9)/$L10),"0")</f>
        <v>0</v>
      </c>
      <c r="KQ10" s="512"/>
      <c r="KR10" s="514" t="str">
        <f t="shared" ref="KR10:KR40" si="110">IFERROR((KQ10/$L10),"0")</f>
        <v>0</v>
      </c>
      <c r="KS10" s="514" t="str">
        <f t="shared" ref="KS10:KS40" si="111">IFERROR(((KQ10*KS$9)/$L10),"0")</f>
        <v>0</v>
      </c>
      <c r="KT10" s="514">
        <f>H10+K10+N10+Q10+T10+W10+Z10+AC10+AF10+AI10+AL10+AO10+AR10+AU10+AX10+BA10+BD10+BG10+BJ10+BM10+BP10+BS10+BV10+BY10+CB10+CE10+CH10+CK10+CN10+CQ10+CT10+CW10+CZ10+DC10+DF10+DI10+DL10+DO10+DR10+DU10+DX10+EA10+ED10+EG10+EJ10+EM10+EP10+ES10+EV10+EY10+FB10+FE10+FH10+FK10+FN10+FQ10+FT10+FW10+FZ10+GC10</f>
        <v>0</v>
      </c>
      <c r="KU10" s="514">
        <f>GF10+GI10+GL10+GO10+GR10+GU10+GX10+HA10+HD10+HG10+HJ10+HM10+HP10+HS10+HV10+HY10+IB10+IE10+IH10+IK10+IN10+IQ10+IT10+IW10+IZ10+JC10+JF10+JI10+JL10+JO10+JR10+JU10+JX10++KA10+KD10+KG10+KJ10++KM10+KP10+KS10</f>
        <v>0</v>
      </c>
      <c r="KV10" s="263">
        <f t="shared" ref="KV10:KV17" si="112">+F10+I10+L10+O10+R10+U10+X10+AA10+AD10+AG10+AJ10+AM10+AP10+AS10+AV10+AY10+BB10+BE10+BH10+BK10+BN10+BQ10+BT10+BW10+BZ10+CC10+CF10+CI10+CL10+CO10+CR10+CU10+CX10+DA10+DD10+DJ10+DM10+DP10+DS10+DV10+DY10+EB10+EE10+EH10</f>
        <v>2824.7848837209303</v>
      </c>
    </row>
    <row r="11" spans="1:308" ht="15" customHeight="1">
      <c r="A11" s="471">
        <f>+A10+1</f>
        <v>45932</v>
      </c>
      <c r="B11" s="472" t="str">
        <f>+Report1!B10</f>
        <v>STOP</v>
      </c>
      <c r="C11" s="473" t="str">
        <f>+Report1!C10</f>
        <v>17</v>
      </c>
      <c r="D11" s="474">
        <f>+Report1!P10</f>
        <v>0</v>
      </c>
      <c r="E11" s="475">
        <f>+Report1!R10</f>
        <v>0</v>
      </c>
      <c r="F11" s="512"/>
      <c r="G11" s="513" t="e">
        <f t="shared" si="0"/>
        <v>#DIV/0!</v>
      </c>
      <c r="H11" s="514">
        <f t="shared" ref="H11:H40" si="113">+F11*$H$9</f>
        <v>0</v>
      </c>
      <c r="I11" s="512"/>
      <c r="J11" s="513" t="e">
        <f t="shared" si="1"/>
        <v>#DIV/0!</v>
      </c>
      <c r="K11" s="514">
        <f t="shared" ref="K11:K40" si="114">+I11*$H$9</f>
        <v>0</v>
      </c>
      <c r="L11" s="512"/>
      <c r="M11" s="513" t="e">
        <f t="shared" si="2"/>
        <v>#DIV/0!</v>
      </c>
      <c r="N11" s="514">
        <f t="shared" ref="N11:N40" si="115">+L11*$H$9</f>
        <v>0</v>
      </c>
      <c r="O11" s="512"/>
      <c r="P11" s="513" t="e">
        <f t="shared" si="3"/>
        <v>#DIV/0!</v>
      </c>
      <c r="Q11" s="514">
        <f t="shared" ref="Q11:Q40" si="116">+O11*$H$9</f>
        <v>0</v>
      </c>
      <c r="R11" s="512"/>
      <c r="S11" s="513" t="e">
        <f t="shared" si="4"/>
        <v>#DIV/0!</v>
      </c>
      <c r="T11" s="514">
        <f t="shared" ref="T11:T40" si="117">+R11*$H$9</f>
        <v>0</v>
      </c>
      <c r="U11" s="512">
        <v>6.2499999999999858</v>
      </c>
      <c r="V11" s="513" t="e">
        <f t="shared" si="5"/>
        <v>#DIV/0!</v>
      </c>
      <c r="W11" s="514">
        <f t="shared" ref="W11:W40" si="118">+U11*$H$9</f>
        <v>0</v>
      </c>
      <c r="X11" s="512"/>
      <c r="Y11" s="513" t="e">
        <f t="shared" si="6"/>
        <v>#DIV/0!</v>
      </c>
      <c r="Z11" s="514">
        <f t="shared" ref="Z11:Z40" si="119">+X11*$H$9</f>
        <v>0</v>
      </c>
      <c r="AA11" s="512"/>
      <c r="AB11" s="513" t="e">
        <f t="shared" si="7"/>
        <v>#DIV/0!</v>
      </c>
      <c r="AC11" s="514">
        <f t="shared" ref="AC11:AC40" si="120">+AA11*$H$9</f>
        <v>0</v>
      </c>
      <c r="AD11" s="512"/>
      <c r="AE11" s="513" t="e">
        <f t="shared" si="8"/>
        <v>#DIV/0!</v>
      </c>
      <c r="AF11" s="514">
        <f t="shared" ref="AF11:AF40" si="121">+AD11*$H$9</f>
        <v>0</v>
      </c>
      <c r="AG11" s="512"/>
      <c r="AH11" s="513" t="e">
        <f t="shared" si="9"/>
        <v>#DIV/0!</v>
      </c>
      <c r="AI11" s="514">
        <f t="shared" ref="AI11:AI40" si="122">+AG11*$H$9</f>
        <v>0</v>
      </c>
      <c r="AJ11" s="512"/>
      <c r="AK11" s="513" t="e">
        <f t="shared" si="10"/>
        <v>#DIV/0!</v>
      </c>
      <c r="AL11" s="514">
        <f t="shared" ref="AL11:AL40" si="123">+AJ11*$H$9</f>
        <v>0</v>
      </c>
      <c r="AM11" s="512"/>
      <c r="AN11" s="513" t="e">
        <f t="shared" si="11"/>
        <v>#DIV/0!</v>
      </c>
      <c r="AO11" s="514">
        <f t="shared" ref="AO11:AO40" si="124">+AM11*$H$9</f>
        <v>0</v>
      </c>
      <c r="AP11" s="512"/>
      <c r="AQ11" s="513" t="e">
        <f t="shared" si="12"/>
        <v>#DIV/0!</v>
      </c>
      <c r="AR11" s="514">
        <f t="shared" ref="AR11:AR40" si="125">+AP11*$H$9</f>
        <v>0</v>
      </c>
      <c r="AS11" s="512"/>
      <c r="AT11" s="513" t="e">
        <f t="shared" si="13"/>
        <v>#DIV/0!</v>
      </c>
      <c r="AU11" s="514">
        <f t="shared" ref="AU11:AU40" si="126">+AS11*$H$9</f>
        <v>0</v>
      </c>
      <c r="AV11" s="512"/>
      <c r="AW11" s="513" t="e">
        <f t="shared" si="14"/>
        <v>#DIV/0!</v>
      </c>
      <c r="AX11" s="514">
        <f t="shared" ref="AX11:AX40" si="127">+AV11*$H$9</f>
        <v>0</v>
      </c>
      <c r="AY11" s="512"/>
      <c r="AZ11" s="513" t="e">
        <f t="shared" si="15"/>
        <v>#DIV/0!</v>
      </c>
      <c r="BA11" s="514">
        <f t="shared" ref="BA11:BA40" si="128">+AY11*$H$9</f>
        <v>0</v>
      </c>
      <c r="BB11" s="512"/>
      <c r="BC11" s="513" t="e">
        <f t="shared" si="16"/>
        <v>#DIV/0!</v>
      </c>
      <c r="BD11" s="514">
        <f t="shared" ref="BD11:BD40" si="129">+BB11*$H$9</f>
        <v>0</v>
      </c>
      <c r="BE11" s="512"/>
      <c r="BF11" s="513" t="e">
        <f t="shared" si="17"/>
        <v>#DIV/0!</v>
      </c>
      <c r="BG11" s="514">
        <f t="shared" ref="BG11:BG40" si="130">+BE11*$H$9</f>
        <v>0</v>
      </c>
      <c r="BH11" s="512"/>
      <c r="BI11" s="513" t="e">
        <f t="shared" si="18"/>
        <v>#DIV/0!</v>
      </c>
      <c r="BJ11" s="514">
        <f t="shared" ref="BJ11:BJ40" si="131">+BH11*$H$9</f>
        <v>0</v>
      </c>
      <c r="BK11" s="512"/>
      <c r="BL11" s="513" t="e">
        <f t="shared" si="19"/>
        <v>#DIV/0!</v>
      </c>
      <c r="BM11" s="514">
        <f t="shared" ref="BM11:BM40" si="132">+BK11*$H$9</f>
        <v>0</v>
      </c>
      <c r="BN11" s="512"/>
      <c r="BO11" s="513" t="e">
        <f t="shared" si="20"/>
        <v>#DIV/0!</v>
      </c>
      <c r="BP11" s="514">
        <f t="shared" ref="BP11:BP40" si="133">+BN11*$H$9</f>
        <v>0</v>
      </c>
      <c r="BQ11" s="512"/>
      <c r="BR11" s="513" t="e">
        <f t="shared" si="21"/>
        <v>#DIV/0!</v>
      </c>
      <c r="BS11" s="514">
        <f t="shared" ref="BS11:BS40" si="134">+BQ11*$H$9</f>
        <v>0</v>
      </c>
      <c r="BT11" s="512"/>
      <c r="BU11" s="513" t="e">
        <f t="shared" si="22"/>
        <v>#DIV/0!</v>
      </c>
      <c r="BV11" s="514">
        <f t="shared" ref="BV11:BV40" si="135">+BT11*$H$9</f>
        <v>0</v>
      </c>
      <c r="BW11" s="512"/>
      <c r="BX11" s="513" t="e">
        <f t="shared" si="23"/>
        <v>#DIV/0!</v>
      </c>
      <c r="BY11" s="514">
        <f t="shared" ref="BY11:BY40" si="136">+BW11*$H$9</f>
        <v>0</v>
      </c>
      <c r="BZ11" s="512"/>
      <c r="CA11" s="513" t="e">
        <f t="shared" si="24"/>
        <v>#DIV/0!</v>
      </c>
      <c r="CB11" s="514">
        <f t="shared" ref="CB11:CB40" si="137">+BZ11*$H$9</f>
        <v>0</v>
      </c>
      <c r="CC11" s="512"/>
      <c r="CD11" s="513" t="e">
        <f t="shared" si="25"/>
        <v>#DIV/0!</v>
      </c>
      <c r="CE11" s="514">
        <f t="shared" ref="CE11:CE40" si="138">+CC11*$H$9</f>
        <v>0</v>
      </c>
      <c r="CF11" s="512"/>
      <c r="CG11" s="513" t="e">
        <f t="shared" si="26"/>
        <v>#DIV/0!</v>
      </c>
      <c r="CH11" s="514">
        <f t="shared" ref="CH11:CH40" si="139">+CF11*$H$9</f>
        <v>0</v>
      </c>
      <c r="CI11" s="512"/>
      <c r="CJ11" s="513" t="e">
        <f t="shared" si="27"/>
        <v>#DIV/0!</v>
      </c>
      <c r="CK11" s="514">
        <f t="shared" ref="CK11:CK40" si="140">+CI11*$H$9</f>
        <v>0</v>
      </c>
      <c r="CL11" s="512"/>
      <c r="CM11" s="513" t="e">
        <f t="shared" si="28"/>
        <v>#DIV/0!</v>
      </c>
      <c r="CN11" s="514">
        <f t="shared" ref="CN11:CN40" si="141">+CL11*$H$9</f>
        <v>0</v>
      </c>
      <c r="CO11" s="512"/>
      <c r="CP11" s="513" t="e">
        <f t="shared" si="29"/>
        <v>#DIV/0!</v>
      </c>
      <c r="CQ11" s="514">
        <f t="shared" ref="CQ11:CQ40" si="142">+CO11*$H$9</f>
        <v>0</v>
      </c>
      <c r="CR11" s="512"/>
      <c r="CS11" s="513" t="e">
        <f t="shared" si="30"/>
        <v>#DIV/0!</v>
      </c>
      <c r="CT11" s="514">
        <f t="shared" ref="CT11:CT40" si="143">+CR11*$H$9</f>
        <v>0</v>
      </c>
      <c r="CU11" s="512"/>
      <c r="CV11" s="513" t="e">
        <f t="shared" si="31"/>
        <v>#DIV/0!</v>
      </c>
      <c r="CW11" s="514">
        <f t="shared" ref="CW11:CW40" si="144">+CU11*$H$9</f>
        <v>0</v>
      </c>
      <c r="CX11" s="512"/>
      <c r="CY11" s="513" t="e">
        <f t="shared" si="32"/>
        <v>#DIV/0!</v>
      </c>
      <c r="CZ11" s="514">
        <f t="shared" ref="CZ11:CZ40" si="145">+CX11*$H$9</f>
        <v>0</v>
      </c>
      <c r="DA11" s="512"/>
      <c r="DB11" s="513" t="e">
        <f t="shared" si="33"/>
        <v>#DIV/0!</v>
      </c>
      <c r="DC11" s="514">
        <f t="shared" ref="DC11:DC40" si="146">+DA11*$H$9</f>
        <v>0</v>
      </c>
      <c r="DD11" s="512"/>
      <c r="DE11" s="513" t="e">
        <f t="shared" si="34"/>
        <v>#DIV/0!</v>
      </c>
      <c r="DF11" s="514">
        <f t="shared" ref="DF11:DF40" si="147">+DD11*$H$9</f>
        <v>0</v>
      </c>
      <c r="DG11" s="512"/>
      <c r="DH11" s="513" t="e">
        <f t="shared" si="35"/>
        <v>#DIV/0!</v>
      </c>
      <c r="DI11" s="514">
        <v>0</v>
      </c>
      <c r="DJ11" s="512"/>
      <c r="DK11" s="513" t="e">
        <f t="shared" si="36"/>
        <v>#DIV/0!</v>
      </c>
      <c r="DL11" s="514">
        <f t="shared" ref="DL11:DL40" si="148">+DJ11*$H$9</f>
        <v>0</v>
      </c>
      <c r="DM11" s="512"/>
      <c r="DN11" s="513" t="e">
        <f t="shared" si="37"/>
        <v>#DIV/0!</v>
      </c>
      <c r="DO11" s="514">
        <f t="shared" ref="DO11:DO40" si="149">+DM11*$H$9</f>
        <v>0</v>
      </c>
      <c r="DP11" s="512"/>
      <c r="DQ11" s="513" t="e">
        <f t="shared" si="38"/>
        <v>#DIV/0!</v>
      </c>
      <c r="DR11" s="514">
        <f t="shared" ref="DR11:DR40" si="150">+DP11*$H$9</f>
        <v>0</v>
      </c>
      <c r="DS11" s="512"/>
      <c r="DT11" s="513" t="e">
        <f t="shared" si="39"/>
        <v>#DIV/0!</v>
      </c>
      <c r="DU11" s="514">
        <f t="shared" ref="DU11:DU40" si="151">+DS11*$H$9</f>
        <v>0</v>
      </c>
      <c r="DV11" s="512"/>
      <c r="DW11" s="513" t="e">
        <f t="shared" si="40"/>
        <v>#DIV/0!</v>
      </c>
      <c r="DX11" s="514">
        <f t="shared" ref="DX11:DX40" si="152">+DV11*$H$9</f>
        <v>0</v>
      </c>
      <c r="DY11" s="512"/>
      <c r="DZ11" s="513" t="e">
        <f t="shared" si="41"/>
        <v>#DIV/0!</v>
      </c>
      <c r="EA11" s="514">
        <f t="shared" ref="EA11:EA40" si="153">+DY11*$H$9</f>
        <v>0</v>
      </c>
      <c r="EB11" s="512"/>
      <c r="EC11" s="513" t="e">
        <f t="shared" si="42"/>
        <v>#DIV/0!</v>
      </c>
      <c r="ED11" s="514">
        <f t="shared" ref="ED11:ED40" si="154">+EB11*$H$9</f>
        <v>0</v>
      </c>
      <c r="EE11" s="512">
        <v>14.534883720930338</v>
      </c>
      <c r="EF11" s="513" t="e">
        <f t="shared" si="43"/>
        <v>#DIV/0!</v>
      </c>
      <c r="EG11" s="514">
        <f t="shared" ref="EG11:EG40" si="155">+EE11*$H$9</f>
        <v>0</v>
      </c>
      <c r="EH11" s="512"/>
      <c r="EI11" s="513" t="e">
        <f t="shared" si="44"/>
        <v>#DIV/0!</v>
      </c>
      <c r="EJ11" s="514">
        <f t="shared" ref="EJ11:EJ40" si="156">+EH11*$H$9</f>
        <v>0</v>
      </c>
      <c r="EK11" s="512"/>
      <c r="EL11" s="513" t="e">
        <f t="shared" si="45"/>
        <v>#DIV/0!</v>
      </c>
      <c r="EM11" s="514">
        <f t="shared" ref="EM11:EM40" si="157">+EK11*$H$9</f>
        <v>0</v>
      </c>
      <c r="EN11" s="512"/>
      <c r="EO11" s="513" t="e">
        <f t="shared" si="46"/>
        <v>#DIV/0!</v>
      </c>
      <c r="EP11" s="514">
        <f t="shared" ref="EP11:EP40" si="158">+EN11*$H$9</f>
        <v>0</v>
      </c>
      <c r="EQ11" s="512"/>
      <c r="ER11" s="513" t="e">
        <f t="shared" si="47"/>
        <v>#DIV/0!</v>
      </c>
      <c r="ES11" s="514">
        <f t="shared" ref="ES11:ES40" si="159">+EQ11*$H$9</f>
        <v>0</v>
      </c>
      <c r="ET11" s="512"/>
      <c r="EU11" s="513" t="e">
        <f t="shared" si="48"/>
        <v>#DIV/0!</v>
      </c>
      <c r="EV11" s="514">
        <f t="shared" ref="EV11:EV40" si="160">+ET11*$H$9</f>
        <v>0</v>
      </c>
      <c r="EW11" s="512"/>
      <c r="EX11" s="513" t="e">
        <f t="shared" si="49"/>
        <v>#DIV/0!</v>
      </c>
      <c r="EY11" s="514">
        <f t="shared" ref="EY11:EY40" si="161">+EW11*$H$9</f>
        <v>0</v>
      </c>
      <c r="EZ11" s="512"/>
      <c r="FA11" s="513" t="e">
        <f t="shared" si="50"/>
        <v>#DIV/0!</v>
      </c>
      <c r="FB11" s="514">
        <f t="shared" ref="FB11:FB40" si="162">+EZ11*$H$9</f>
        <v>0</v>
      </c>
      <c r="FC11" s="512"/>
      <c r="FD11" s="513" t="e">
        <f t="shared" si="51"/>
        <v>#DIV/0!</v>
      </c>
      <c r="FE11" s="514">
        <f t="shared" ref="FE11:FE40" si="163">+FC11*$H$9</f>
        <v>0</v>
      </c>
      <c r="FF11" s="512"/>
      <c r="FG11" s="513" t="e">
        <f t="shared" si="52"/>
        <v>#DIV/0!</v>
      </c>
      <c r="FH11" s="514">
        <f t="shared" ref="FH11:FH40" si="164">+FF11*$H$9</f>
        <v>0</v>
      </c>
      <c r="FI11" s="512"/>
      <c r="FJ11" s="513" t="e">
        <f t="shared" si="53"/>
        <v>#DIV/0!</v>
      </c>
      <c r="FK11" s="514">
        <f t="shared" ref="FK11:FK40" si="165">+FI11*$H$9</f>
        <v>0</v>
      </c>
      <c r="FL11" s="512"/>
      <c r="FM11" s="513" t="e">
        <f t="shared" si="54"/>
        <v>#DIV/0!</v>
      </c>
      <c r="FN11" s="514">
        <f t="shared" ref="FN11:FN40" si="166">+FL11*$H$9</f>
        <v>0</v>
      </c>
      <c r="FO11" s="512"/>
      <c r="FP11" s="513" t="e">
        <f t="shared" si="55"/>
        <v>#DIV/0!</v>
      </c>
      <c r="FQ11" s="514">
        <f t="shared" ref="FQ11:FQ40" si="167">+FO11*$H$9</f>
        <v>0</v>
      </c>
      <c r="FR11" s="512"/>
      <c r="FS11" s="513" t="e">
        <f t="shared" si="56"/>
        <v>#DIV/0!</v>
      </c>
      <c r="FT11" s="514">
        <f t="shared" ref="FT11:FT40" si="168">+FR11*$H$9</f>
        <v>0</v>
      </c>
      <c r="FU11" s="512"/>
      <c r="FV11" s="513" t="e">
        <f t="shared" si="57"/>
        <v>#DIV/0!</v>
      </c>
      <c r="FW11" s="514">
        <f t="shared" ref="FW11:FW40" si="169">+FU11*$H$9</f>
        <v>0</v>
      </c>
      <c r="FX11" s="512"/>
      <c r="FY11" s="513" t="e">
        <f t="shared" si="58"/>
        <v>#DIV/0!</v>
      </c>
      <c r="FZ11" s="514">
        <f t="shared" ref="FZ11:FZ40" si="170">+FX11*$H$9</f>
        <v>0</v>
      </c>
      <c r="GA11" s="512"/>
      <c r="GB11" s="513" t="e">
        <f t="shared" si="59"/>
        <v>#DIV/0!</v>
      </c>
      <c r="GC11" s="514">
        <f t="shared" ref="GC11:GC40" si="171">+GA11*$H$9</f>
        <v>0</v>
      </c>
      <c r="GD11" s="512"/>
      <c r="GE11" s="513" t="e">
        <f t="shared" si="60"/>
        <v>#DIV/0!</v>
      </c>
      <c r="GF11" s="514">
        <f t="shared" ref="GF11:GF40" si="172">+GD11*$H$9</f>
        <v>0</v>
      </c>
      <c r="GG11" s="512"/>
      <c r="GH11" s="513" t="e">
        <f t="shared" si="61"/>
        <v>#DIV/0!</v>
      </c>
      <c r="GI11" s="514">
        <f t="shared" ref="GI11:GI40" si="173">+GG11*$H$9</f>
        <v>0</v>
      </c>
      <c r="GJ11" s="512"/>
      <c r="GK11" s="513" t="e">
        <f t="shared" si="62"/>
        <v>#DIV/0!</v>
      </c>
      <c r="GL11" s="514">
        <f t="shared" ref="GL11:GL40" si="174">+GJ11*$H$9</f>
        <v>0</v>
      </c>
      <c r="GM11" s="512"/>
      <c r="GN11" s="513" t="e">
        <f t="shared" si="63"/>
        <v>#DIV/0!</v>
      </c>
      <c r="GO11" s="514">
        <f t="shared" ref="GO11:GO40" si="175">+GM11*$H$9</f>
        <v>0</v>
      </c>
      <c r="GP11" s="512"/>
      <c r="GQ11" s="513" t="e">
        <f t="shared" si="64"/>
        <v>#DIV/0!</v>
      </c>
      <c r="GR11" s="514">
        <f t="shared" ref="GR11:GR40" si="176">+GP11*$H$9</f>
        <v>0</v>
      </c>
      <c r="GS11" s="512"/>
      <c r="GT11" s="513" t="e">
        <f t="shared" si="65"/>
        <v>#DIV/0!</v>
      </c>
      <c r="GU11" s="514">
        <f t="shared" ref="GU11:GU40" si="177">+GS11*$H$9</f>
        <v>0</v>
      </c>
      <c r="GV11" s="512"/>
      <c r="GW11" s="513" t="e">
        <f t="shared" si="66"/>
        <v>#DIV/0!</v>
      </c>
      <c r="GX11" s="514">
        <f t="shared" ref="GX11:GX40" si="178">+GV11*$H$9</f>
        <v>0</v>
      </c>
      <c r="GY11" s="512"/>
      <c r="GZ11" s="513" t="e">
        <f t="shared" si="67"/>
        <v>#DIV/0!</v>
      </c>
      <c r="HA11" s="514">
        <f t="shared" ref="HA11:HA40" si="179">+GY11*$H$9</f>
        <v>0</v>
      </c>
      <c r="HB11" s="512"/>
      <c r="HC11" s="513" t="e">
        <f t="shared" si="68"/>
        <v>#DIV/0!</v>
      </c>
      <c r="HD11" s="514">
        <f t="shared" ref="HD11:HD40" si="180">+HB11*$H$9</f>
        <v>0</v>
      </c>
      <c r="HE11" s="512"/>
      <c r="HF11" s="513" t="e">
        <f t="shared" si="69"/>
        <v>#DIV/0!</v>
      </c>
      <c r="HG11" s="514">
        <f t="shared" ref="HG11:HG40" si="181">+HE11*$H$9</f>
        <v>0</v>
      </c>
      <c r="HH11" s="512"/>
      <c r="HI11" s="513" t="e">
        <f t="shared" si="70"/>
        <v>#DIV/0!</v>
      </c>
      <c r="HJ11" s="514">
        <f t="shared" ref="HJ11:HJ40" si="182">+HH11*$H$9</f>
        <v>0</v>
      </c>
      <c r="HK11" s="512"/>
      <c r="HL11" s="513" t="e">
        <f t="shared" si="71"/>
        <v>#DIV/0!</v>
      </c>
      <c r="HM11" s="514">
        <f t="shared" ref="HM11:HM40" si="183">+HK11*$H$9</f>
        <v>0</v>
      </c>
      <c r="HN11" s="512"/>
      <c r="HO11" s="513" t="e">
        <f t="shared" si="72"/>
        <v>#DIV/0!</v>
      </c>
      <c r="HP11" s="514">
        <f t="shared" ref="HP11:HP40" si="184">+HN11*$H$9</f>
        <v>0</v>
      </c>
      <c r="HQ11" s="512"/>
      <c r="HR11" s="513" t="e">
        <f t="shared" si="73"/>
        <v>#DIV/0!</v>
      </c>
      <c r="HS11" s="514">
        <f t="shared" ref="HS11:HS40" si="185">+HQ11*$H$9</f>
        <v>0</v>
      </c>
      <c r="HT11" s="512"/>
      <c r="HU11" s="513" t="e">
        <f t="shared" si="74"/>
        <v>#DIV/0!</v>
      </c>
      <c r="HV11" s="514">
        <f t="shared" ref="HV11:HV40" si="186">+HT11*$H$9</f>
        <v>0</v>
      </c>
      <c r="HW11" s="512"/>
      <c r="HX11" s="513" t="e">
        <f t="shared" si="75"/>
        <v>#DIV/0!</v>
      </c>
      <c r="HY11" s="514">
        <f t="shared" ref="HY11:HY40" si="187">+HW11*$H$9</f>
        <v>0</v>
      </c>
      <c r="HZ11" s="512"/>
      <c r="IA11" s="513" t="e">
        <f t="shared" si="76"/>
        <v>#DIV/0!</v>
      </c>
      <c r="IB11" s="514">
        <f t="shared" ref="IB11:IB40" si="188">+HZ11*$H$9</f>
        <v>0</v>
      </c>
      <c r="IC11" s="512"/>
      <c r="ID11" s="513" t="e">
        <f t="shared" si="77"/>
        <v>#DIV/0!</v>
      </c>
      <c r="IE11" s="514">
        <f t="shared" ref="IE11:IE40" si="189">+IC11*$H$9</f>
        <v>0</v>
      </c>
      <c r="IF11" s="512"/>
      <c r="IG11" s="513" t="e">
        <f t="shared" si="78"/>
        <v>#DIV/0!</v>
      </c>
      <c r="IH11" s="514">
        <f t="shared" ref="IH11:IH40" si="190">+IF11*$H$9</f>
        <v>0</v>
      </c>
      <c r="II11" s="512"/>
      <c r="IJ11" s="513" t="e">
        <f t="shared" si="79"/>
        <v>#DIV/0!</v>
      </c>
      <c r="IK11" s="514">
        <f t="shared" ref="IK11:IK40" si="191">+II11*$H$9</f>
        <v>0</v>
      </c>
      <c r="IL11" s="512"/>
      <c r="IM11" s="513" t="e">
        <f t="shared" si="80"/>
        <v>#DIV/0!</v>
      </c>
      <c r="IN11" s="514">
        <f t="shared" ref="IN11:IN40" si="192">+IL11*$H$9</f>
        <v>0</v>
      </c>
      <c r="IO11" s="512"/>
      <c r="IP11" s="513" t="e">
        <f t="shared" si="81"/>
        <v>#DIV/0!</v>
      </c>
      <c r="IQ11" s="514">
        <f t="shared" ref="IQ11:IQ40" si="193">+IO11*$H$9</f>
        <v>0</v>
      </c>
      <c r="IR11" s="512"/>
      <c r="IS11" s="513" t="e">
        <f t="shared" si="82"/>
        <v>#DIV/0!</v>
      </c>
      <c r="IT11" s="514">
        <f t="shared" ref="IT11:IT40" si="194">+IR11*$H$9</f>
        <v>0</v>
      </c>
      <c r="IU11" s="512"/>
      <c r="IV11" s="513" t="e">
        <f t="shared" si="83"/>
        <v>#DIV/0!</v>
      </c>
      <c r="IW11" s="514">
        <f t="shared" ref="IW11:IW40" si="195">+IU11*$H$9</f>
        <v>0</v>
      </c>
      <c r="IX11" s="512"/>
      <c r="IY11" s="513" t="e">
        <f t="shared" si="84"/>
        <v>#DIV/0!</v>
      </c>
      <c r="IZ11" s="514">
        <f t="shared" ref="IZ11:IZ40" si="196">+IX11*$H$9</f>
        <v>0</v>
      </c>
      <c r="JA11" s="512"/>
      <c r="JB11" s="513" t="e">
        <f t="shared" si="85"/>
        <v>#DIV/0!</v>
      </c>
      <c r="JC11" s="514">
        <f t="shared" ref="JC11:JC40" si="197">+JA11*$H$9</f>
        <v>0</v>
      </c>
      <c r="JD11" s="512"/>
      <c r="JE11" s="513" t="e">
        <f t="shared" si="86"/>
        <v>#DIV/0!</v>
      </c>
      <c r="JF11" s="514">
        <f t="shared" ref="JF11:JF40" si="198">+JD11*$H$9</f>
        <v>0</v>
      </c>
      <c r="JG11" s="512"/>
      <c r="JH11" s="513" t="e">
        <f t="shared" si="87"/>
        <v>#DIV/0!</v>
      </c>
      <c r="JI11" s="514">
        <f t="shared" ref="JI11:JI40" si="199">+JG11*$H$9</f>
        <v>0</v>
      </c>
      <c r="JJ11" s="512"/>
      <c r="JK11" s="514" t="str">
        <f t="shared" si="88"/>
        <v>0</v>
      </c>
      <c r="JL11" s="514" t="str">
        <f t="shared" si="89"/>
        <v>0</v>
      </c>
      <c r="JM11" s="512"/>
      <c r="JN11" s="514" t="str">
        <f t="shared" si="90"/>
        <v>0</v>
      </c>
      <c r="JO11" s="514" t="str">
        <f t="shared" si="91"/>
        <v>0</v>
      </c>
      <c r="JP11" s="512"/>
      <c r="JQ11" s="514" t="str">
        <f t="shared" si="92"/>
        <v>0</v>
      </c>
      <c r="JR11" s="514" t="str">
        <f t="shared" si="93"/>
        <v>0</v>
      </c>
      <c r="JS11" s="512"/>
      <c r="JT11" s="514" t="str">
        <f t="shared" si="94"/>
        <v>0</v>
      </c>
      <c r="JU11" s="514" t="str">
        <f t="shared" si="95"/>
        <v>0</v>
      </c>
      <c r="JV11" s="512"/>
      <c r="JW11" s="514" t="str">
        <f t="shared" si="96"/>
        <v>0</v>
      </c>
      <c r="JX11" s="514" t="str">
        <f t="shared" si="97"/>
        <v>0</v>
      </c>
      <c r="JY11" s="512"/>
      <c r="JZ11" s="514" t="str">
        <f t="shared" si="98"/>
        <v>0</v>
      </c>
      <c r="KA11" s="514" t="str">
        <f t="shared" si="99"/>
        <v>0</v>
      </c>
      <c r="KB11" s="512"/>
      <c r="KC11" s="514" t="str">
        <f t="shared" si="100"/>
        <v>0</v>
      </c>
      <c r="KD11" s="514" t="str">
        <f t="shared" si="101"/>
        <v>0</v>
      </c>
      <c r="KE11" s="512"/>
      <c r="KF11" s="514" t="str">
        <f t="shared" si="102"/>
        <v>0</v>
      </c>
      <c r="KG11" s="514" t="str">
        <f t="shared" si="103"/>
        <v>0</v>
      </c>
      <c r="KH11" s="512"/>
      <c r="KI11" s="514" t="str">
        <f t="shared" si="104"/>
        <v>0</v>
      </c>
      <c r="KJ11" s="514" t="str">
        <f t="shared" si="105"/>
        <v>0</v>
      </c>
      <c r="KK11" s="512"/>
      <c r="KL11" s="514" t="str">
        <f t="shared" si="106"/>
        <v>0</v>
      </c>
      <c r="KM11" s="514" t="str">
        <f t="shared" si="107"/>
        <v>0</v>
      </c>
      <c r="KN11" s="512"/>
      <c r="KO11" s="514" t="str">
        <f t="shared" si="108"/>
        <v>0</v>
      </c>
      <c r="KP11" s="514" t="str">
        <f t="shared" si="109"/>
        <v>0</v>
      </c>
      <c r="KQ11" s="512"/>
      <c r="KR11" s="514" t="str">
        <f t="shared" si="110"/>
        <v>0</v>
      </c>
      <c r="KS11" s="514" t="str">
        <f t="shared" si="111"/>
        <v>0</v>
      </c>
      <c r="KT11" s="514">
        <f>H11+K11+N11+Q11+T11+W11+Z11+AC11+AF11+AI11+AL11+AO11+AR11+AU11+AX11+BA11+BD11+BG11+BJ11+BM11+BP11+BS11+BV11+BY11+CB11+CE11+CH11+CK11+CN11+CQ11+CT11+CW11+CZ11+DC11+DF11+DI11+DL11+DO11+DR11+DU11+DX11+EA11+ED11+EG11+EJ11+EM11+EP11+ES11+EV11+EY11+FB11+FE11+FH11+FK11+FN11+FQ11+FT11+FW11+FZ11+GC11</f>
        <v>0</v>
      </c>
      <c r="KU11" s="514">
        <f>GF11+GI11+GL11+GO11+GR11+GU11+GX11+HA11+HD11+HG11+HJ11+HM11+HP11+HS11+HV11+HY11+IB11+IE11+IH11+IK11+IN11+IQ11+IT11+IW11+IZ11+JC11+JF11+JI11+JL11+JO11+JR11+JU11+JX11++KA11+KD11+KG11+KJ11++KM11+KP11+KS11</f>
        <v>0</v>
      </c>
      <c r="KV11" s="263">
        <f t="shared" si="112"/>
        <v>20.784883720930324</v>
      </c>
    </row>
    <row r="12" spans="1:308" ht="15" customHeight="1">
      <c r="A12" s="471">
        <f t="shared" ref="A12:A40" si="200">+A11+1</f>
        <v>45933</v>
      </c>
      <c r="B12" s="472" t="str">
        <f>+Report1!B11</f>
        <v>STOP</v>
      </c>
      <c r="C12" s="473" t="str">
        <f>+Report1!C11</f>
        <v>17</v>
      </c>
      <c r="D12" s="474">
        <f>+Report1!P11</f>
        <v>0</v>
      </c>
      <c r="E12" s="475">
        <f>+Report1!R11</f>
        <v>0</v>
      </c>
      <c r="F12" s="512"/>
      <c r="G12" s="513" t="e">
        <f t="shared" si="0"/>
        <v>#DIV/0!</v>
      </c>
      <c r="H12" s="514">
        <f t="shared" si="113"/>
        <v>0</v>
      </c>
      <c r="I12" s="512"/>
      <c r="J12" s="513" t="e">
        <f t="shared" si="1"/>
        <v>#DIV/0!</v>
      </c>
      <c r="K12" s="514">
        <f t="shared" si="114"/>
        <v>0</v>
      </c>
      <c r="L12" s="512"/>
      <c r="M12" s="513" t="e">
        <f t="shared" si="2"/>
        <v>#DIV/0!</v>
      </c>
      <c r="N12" s="514">
        <f t="shared" si="115"/>
        <v>0</v>
      </c>
      <c r="O12" s="512"/>
      <c r="P12" s="513" t="e">
        <f t="shared" si="3"/>
        <v>#DIV/0!</v>
      </c>
      <c r="Q12" s="514">
        <f t="shared" si="116"/>
        <v>0</v>
      </c>
      <c r="R12" s="512"/>
      <c r="S12" s="513" t="e">
        <f t="shared" si="4"/>
        <v>#DIV/0!</v>
      </c>
      <c r="T12" s="514">
        <f t="shared" si="117"/>
        <v>0</v>
      </c>
      <c r="U12" s="512">
        <v>7.8125000000000142</v>
      </c>
      <c r="V12" s="513" t="e">
        <f t="shared" si="5"/>
        <v>#DIV/0!</v>
      </c>
      <c r="W12" s="514">
        <f t="shared" si="118"/>
        <v>0</v>
      </c>
      <c r="X12" s="512"/>
      <c r="Y12" s="513" t="e">
        <f t="shared" si="6"/>
        <v>#DIV/0!</v>
      </c>
      <c r="Z12" s="514">
        <f t="shared" si="119"/>
        <v>0</v>
      </c>
      <c r="AA12" s="512"/>
      <c r="AB12" s="513" t="e">
        <f t="shared" si="7"/>
        <v>#DIV/0!</v>
      </c>
      <c r="AC12" s="514">
        <f t="shared" si="120"/>
        <v>0</v>
      </c>
      <c r="AD12" s="512"/>
      <c r="AE12" s="513" t="e">
        <f t="shared" si="8"/>
        <v>#DIV/0!</v>
      </c>
      <c r="AF12" s="514">
        <f t="shared" si="121"/>
        <v>0</v>
      </c>
      <c r="AG12" s="512"/>
      <c r="AH12" s="513" t="e">
        <f t="shared" si="9"/>
        <v>#DIV/0!</v>
      </c>
      <c r="AI12" s="514">
        <f t="shared" si="122"/>
        <v>0</v>
      </c>
      <c r="AJ12" s="512"/>
      <c r="AK12" s="513" t="e">
        <f t="shared" si="10"/>
        <v>#DIV/0!</v>
      </c>
      <c r="AL12" s="514">
        <f t="shared" si="123"/>
        <v>0</v>
      </c>
      <c r="AM12" s="512"/>
      <c r="AN12" s="513" t="e">
        <f t="shared" si="11"/>
        <v>#DIV/0!</v>
      </c>
      <c r="AO12" s="514">
        <f t="shared" si="124"/>
        <v>0</v>
      </c>
      <c r="AP12" s="512"/>
      <c r="AQ12" s="513" t="e">
        <f t="shared" si="12"/>
        <v>#DIV/0!</v>
      </c>
      <c r="AR12" s="514">
        <f t="shared" si="125"/>
        <v>0</v>
      </c>
      <c r="AS12" s="512"/>
      <c r="AT12" s="513" t="e">
        <f t="shared" si="13"/>
        <v>#DIV/0!</v>
      </c>
      <c r="AU12" s="514">
        <f t="shared" si="126"/>
        <v>0</v>
      </c>
      <c r="AV12" s="512"/>
      <c r="AW12" s="513" t="e">
        <f t="shared" si="14"/>
        <v>#DIV/0!</v>
      </c>
      <c r="AX12" s="514">
        <f t="shared" si="127"/>
        <v>0</v>
      </c>
      <c r="AY12" s="512"/>
      <c r="AZ12" s="513" t="e">
        <f t="shared" si="15"/>
        <v>#DIV/0!</v>
      </c>
      <c r="BA12" s="514">
        <f t="shared" si="128"/>
        <v>0</v>
      </c>
      <c r="BB12" s="512"/>
      <c r="BC12" s="513" t="e">
        <f t="shared" si="16"/>
        <v>#DIV/0!</v>
      </c>
      <c r="BD12" s="514">
        <f t="shared" si="129"/>
        <v>0</v>
      </c>
      <c r="BE12" s="512"/>
      <c r="BF12" s="513" t="e">
        <f t="shared" si="17"/>
        <v>#DIV/0!</v>
      </c>
      <c r="BG12" s="514">
        <f t="shared" si="130"/>
        <v>0</v>
      </c>
      <c r="BH12" s="512"/>
      <c r="BI12" s="513" t="e">
        <f t="shared" si="18"/>
        <v>#DIV/0!</v>
      </c>
      <c r="BJ12" s="514">
        <f t="shared" si="131"/>
        <v>0</v>
      </c>
      <c r="BK12" s="512"/>
      <c r="BL12" s="513" t="e">
        <f t="shared" si="19"/>
        <v>#DIV/0!</v>
      </c>
      <c r="BM12" s="514">
        <f t="shared" si="132"/>
        <v>0</v>
      </c>
      <c r="BN12" s="512"/>
      <c r="BO12" s="513" t="e">
        <f t="shared" si="20"/>
        <v>#DIV/0!</v>
      </c>
      <c r="BP12" s="514">
        <f t="shared" si="133"/>
        <v>0</v>
      </c>
      <c r="BQ12" s="512"/>
      <c r="BR12" s="513" t="e">
        <f t="shared" si="21"/>
        <v>#DIV/0!</v>
      </c>
      <c r="BS12" s="514">
        <f t="shared" si="134"/>
        <v>0</v>
      </c>
      <c r="BT12" s="512"/>
      <c r="BU12" s="513" t="e">
        <f t="shared" si="22"/>
        <v>#DIV/0!</v>
      </c>
      <c r="BV12" s="514">
        <f t="shared" si="135"/>
        <v>0</v>
      </c>
      <c r="BW12" s="512"/>
      <c r="BX12" s="513" t="e">
        <f t="shared" si="23"/>
        <v>#DIV/0!</v>
      </c>
      <c r="BY12" s="514">
        <f t="shared" si="136"/>
        <v>0</v>
      </c>
      <c r="BZ12" s="512"/>
      <c r="CA12" s="513" t="e">
        <f t="shared" si="24"/>
        <v>#DIV/0!</v>
      </c>
      <c r="CB12" s="514">
        <f t="shared" si="137"/>
        <v>0</v>
      </c>
      <c r="CC12" s="512"/>
      <c r="CD12" s="513" t="e">
        <f t="shared" si="25"/>
        <v>#DIV/0!</v>
      </c>
      <c r="CE12" s="514">
        <f t="shared" si="138"/>
        <v>0</v>
      </c>
      <c r="CF12" s="512"/>
      <c r="CG12" s="513" t="e">
        <f t="shared" si="26"/>
        <v>#DIV/0!</v>
      </c>
      <c r="CH12" s="514">
        <f t="shared" si="139"/>
        <v>0</v>
      </c>
      <c r="CI12" s="512"/>
      <c r="CJ12" s="513" t="e">
        <f t="shared" si="27"/>
        <v>#DIV/0!</v>
      </c>
      <c r="CK12" s="514">
        <f t="shared" si="140"/>
        <v>0</v>
      </c>
      <c r="CL12" s="512"/>
      <c r="CM12" s="513" t="e">
        <f t="shared" si="28"/>
        <v>#DIV/0!</v>
      </c>
      <c r="CN12" s="514">
        <f t="shared" si="141"/>
        <v>0</v>
      </c>
      <c r="CO12" s="512"/>
      <c r="CP12" s="513" t="e">
        <f t="shared" si="29"/>
        <v>#DIV/0!</v>
      </c>
      <c r="CQ12" s="514">
        <f t="shared" si="142"/>
        <v>0</v>
      </c>
      <c r="CR12" s="512"/>
      <c r="CS12" s="513" t="e">
        <f t="shared" si="30"/>
        <v>#DIV/0!</v>
      </c>
      <c r="CT12" s="514">
        <f t="shared" si="143"/>
        <v>0</v>
      </c>
      <c r="CU12" s="512"/>
      <c r="CV12" s="513" t="e">
        <f t="shared" si="31"/>
        <v>#DIV/0!</v>
      </c>
      <c r="CW12" s="514">
        <f t="shared" si="144"/>
        <v>0</v>
      </c>
      <c r="CX12" s="512"/>
      <c r="CY12" s="513" t="e">
        <f t="shared" si="32"/>
        <v>#DIV/0!</v>
      </c>
      <c r="CZ12" s="514">
        <f t="shared" si="145"/>
        <v>0</v>
      </c>
      <c r="DA12" s="512"/>
      <c r="DB12" s="513" t="e">
        <f t="shared" si="33"/>
        <v>#DIV/0!</v>
      </c>
      <c r="DC12" s="514">
        <f t="shared" si="146"/>
        <v>0</v>
      </c>
      <c r="DD12" s="512"/>
      <c r="DE12" s="513" t="e">
        <f t="shared" si="34"/>
        <v>#DIV/0!</v>
      </c>
      <c r="DF12" s="514">
        <f t="shared" si="147"/>
        <v>0</v>
      </c>
      <c r="DG12" s="512"/>
      <c r="DH12" s="513" t="e">
        <f t="shared" si="35"/>
        <v>#DIV/0!</v>
      </c>
      <c r="DI12" s="514">
        <v>0</v>
      </c>
      <c r="DJ12" s="512"/>
      <c r="DK12" s="513" t="e">
        <f t="shared" si="36"/>
        <v>#DIV/0!</v>
      </c>
      <c r="DL12" s="514">
        <f t="shared" si="148"/>
        <v>0</v>
      </c>
      <c r="DM12" s="512"/>
      <c r="DN12" s="513" t="e">
        <f t="shared" si="37"/>
        <v>#DIV/0!</v>
      </c>
      <c r="DO12" s="514">
        <f t="shared" si="149"/>
        <v>0</v>
      </c>
      <c r="DP12" s="512"/>
      <c r="DQ12" s="513" t="e">
        <f t="shared" si="38"/>
        <v>#DIV/0!</v>
      </c>
      <c r="DR12" s="514">
        <f t="shared" si="150"/>
        <v>0</v>
      </c>
      <c r="DS12" s="512"/>
      <c r="DT12" s="513" t="e">
        <f t="shared" si="39"/>
        <v>#DIV/0!</v>
      </c>
      <c r="DU12" s="514">
        <f t="shared" si="151"/>
        <v>0</v>
      </c>
      <c r="DV12" s="512"/>
      <c r="DW12" s="513" t="e">
        <f t="shared" si="40"/>
        <v>#DIV/0!</v>
      </c>
      <c r="DX12" s="514">
        <f t="shared" si="152"/>
        <v>0</v>
      </c>
      <c r="DY12" s="512"/>
      <c r="DZ12" s="513" t="e">
        <f t="shared" si="41"/>
        <v>#DIV/0!</v>
      </c>
      <c r="EA12" s="514">
        <f t="shared" si="153"/>
        <v>0</v>
      </c>
      <c r="EB12" s="512"/>
      <c r="EC12" s="513" t="e">
        <f t="shared" si="42"/>
        <v>#DIV/0!</v>
      </c>
      <c r="ED12" s="514">
        <f t="shared" si="154"/>
        <v>0</v>
      </c>
      <c r="EE12" s="512">
        <v>14.534883720930225</v>
      </c>
      <c r="EF12" s="513" t="e">
        <f t="shared" si="43"/>
        <v>#DIV/0!</v>
      </c>
      <c r="EG12" s="514">
        <f t="shared" si="155"/>
        <v>0</v>
      </c>
      <c r="EH12" s="512"/>
      <c r="EI12" s="513" t="e">
        <f t="shared" si="44"/>
        <v>#DIV/0!</v>
      </c>
      <c r="EJ12" s="514">
        <f t="shared" si="156"/>
        <v>0</v>
      </c>
      <c r="EK12" s="512"/>
      <c r="EL12" s="513" t="e">
        <f t="shared" si="45"/>
        <v>#DIV/0!</v>
      </c>
      <c r="EM12" s="514">
        <f t="shared" si="157"/>
        <v>0</v>
      </c>
      <c r="EN12" s="512"/>
      <c r="EO12" s="513" t="e">
        <f t="shared" si="46"/>
        <v>#DIV/0!</v>
      </c>
      <c r="EP12" s="514">
        <f t="shared" si="158"/>
        <v>0</v>
      </c>
      <c r="EQ12" s="512"/>
      <c r="ER12" s="513" t="e">
        <f t="shared" si="47"/>
        <v>#DIV/0!</v>
      </c>
      <c r="ES12" s="514">
        <f t="shared" si="159"/>
        <v>0</v>
      </c>
      <c r="ET12" s="512"/>
      <c r="EU12" s="513" t="e">
        <f t="shared" si="48"/>
        <v>#DIV/0!</v>
      </c>
      <c r="EV12" s="514">
        <f t="shared" si="160"/>
        <v>0</v>
      </c>
      <c r="EW12" s="512"/>
      <c r="EX12" s="513" t="e">
        <f t="shared" si="49"/>
        <v>#DIV/0!</v>
      </c>
      <c r="EY12" s="514">
        <f t="shared" si="161"/>
        <v>0</v>
      </c>
      <c r="EZ12" s="512"/>
      <c r="FA12" s="513" t="e">
        <f t="shared" si="50"/>
        <v>#DIV/0!</v>
      </c>
      <c r="FB12" s="514">
        <f t="shared" si="162"/>
        <v>0</v>
      </c>
      <c r="FC12" s="512"/>
      <c r="FD12" s="513" t="e">
        <f t="shared" si="51"/>
        <v>#DIV/0!</v>
      </c>
      <c r="FE12" s="514">
        <f t="shared" si="163"/>
        <v>0</v>
      </c>
      <c r="FF12" s="512"/>
      <c r="FG12" s="513" t="e">
        <f t="shared" si="52"/>
        <v>#DIV/0!</v>
      </c>
      <c r="FH12" s="514">
        <f t="shared" si="164"/>
        <v>0</v>
      </c>
      <c r="FI12" s="512"/>
      <c r="FJ12" s="513" t="e">
        <f t="shared" si="53"/>
        <v>#DIV/0!</v>
      </c>
      <c r="FK12" s="514">
        <f t="shared" si="165"/>
        <v>0</v>
      </c>
      <c r="FL12" s="512"/>
      <c r="FM12" s="513" t="e">
        <f t="shared" si="54"/>
        <v>#DIV/0!</v>
      </c>
      <c r="FN12" s="514">
        <f t="shared" si="166"/>
        <v>0</v>
      </c>
      <c r="FO12" s="512"/>
      <c r="FP12" s="513" t="e">
        <f t="shared" si="55"/>
        <v>#DIV/0!</v>
      </c>
      <c r="FQ12" s="514">
        <f t="shared" si="167"/>
        <v>0</v>
      </c>
      <c r="FR12" s="512"/>
      <c r="FS12" s="513" t="e">
        <f t="shared" si="56"/>
        <v>#DIV/0!</v>
      </c>
      <c r="FT12" s="514">
        <f t="shared" si="168"/>
        <v>0</v>
      </c>
      <c r="FU12" s="512"/>
      <c r="FV12" s="513" t="e">
        <f t="shared" si="57"/>
        <v>#DIV/0!</v>
      </c>
      <c r="FW12" s="514">
        <f t="shared" si="169"/>
        <v>0</v>
      </c>
      <c r="FX12" s="512"/>
      <c r="FY12" s="513" t="e">
        <f t="shared" si="58"/>
        <v>#DIV/0!</v>
      </c>
      <c r="FZ12" s="514">
        <f t="shared" si="170"/>
        <v>0</v>
      </c>
      <c r="GA12" s="512"/>
      <c r="GB12" s="513" t="e">
        <f t="shared" si="59"/>
        <v>#DIV/0!</v>
      </c>
      <c r="GC12" s="514">
        <f t="shared" si="171"/>
        <v>0</v>
      </c>
      <c r="GD12" s="512"/>
      <c r="GE12" s="513" t="e">
        <f t="shared" si="60"/>
        <v>#DIV/0!</v>
      </c>
      <c r="GF12" s="514">
        <f t="shared" si="172"/>
        <v>0</v>
      </c>
      <c r="GG12" s="512"/>
      <c r="GH12" s="513" t="e">
        <f t="shared" si="61"/>
        <v>#DIV/0!</v>
      </c>
      <c r="GI12" s="514">
        <f t="shared" si="173"/>
        <v>0</v>
      </c>
      <c r="GJ12" s="512"/>
      <c r="GK12" s="513" t="e">
        <f t="shared" si="62"/>
        <v>#DIV/0!</v>
      </c>
      <c r="GL12" s="514">
        <f t="shared" si="174"/>
        <v>0</v>
      </c>
      <c r="GM12" s="512"/>
      <c r="GN12" s="513" t="e">
        <f t="shared" si="63"/>
        <v>#DIV/0!</v>
      </c>
      <c r="GO12" s="514">
        <f t="shared" si="175"/>
        <v>0</v>
      </c>
      <c r="GP12" s="512"/>
      <c r="GQ12" s="513" t="e">
        <f t="shared" si="64"/>
        <v>#DIV/0!</v>
      </c>
      <c r="GR12" s="514">
        <f t="shared" si="176"/>
        <v>0</v>
      </c>
      <c r="GS12" s="512"/>
      <c r="GT12" s="513" t="e">
        <f t="shared" si="65"/>
        <v>#DIV/0!</v>
      </c>
      <c r="GU12" s="514">
        <f t="shared" si="177"/>
        <v>0</v>
      </c>
      <c r="GV12" s="512"/>
      <c r="GW12" s="513" t="e">
        <f t="shared" si="66"/>
        <v>#DIV/0!</v>
      </c>
      <c r="GX12" s="514">
        <f t="shared" si="178"/>
        <v>0</v>
      </c>
      <c r="GY12" s="512"/>
      <c r="GZ12" s="513" t="e">
        <f t="shared" si="67"/>
        <v>#DIV/0!</v>
      </c>
      <c r="HA12" s="514">
        <f t="shared" si="179"/>
        <v>0</v>
      </c>
      <c r="HB12" s="512"/>
      <c r="HC12" s="513" t="e">
        <f t="shared" si="68"/>
        <v>#DIV/0!</v>
      </c>
      <c r="HD12" s="514">
        <f t="shared" si="180"/>
        <v>0</v>
      </c>
      <c r="HE12" s="512"/>
      <c r="HF12" s="513" t="e">
        <f t="shared" si="69"/>
        <v>#DIV/0!</v>
      </c>
      <c r="HG12" s="514">
        <f t="shared" si="181"/>
        <v>0</v>
      </c>
      <c r="HH12" s="512"/>
      <c r="HI12" s="513" t="e">
        <f t="shared" si="70"/>
        <v>#DIV/0!</v>
      </c>
      <c r="HJ12" s="514">
        <f t="shared" si="182"/>
        <v>0</v>
      </c>
      <c r="HK12" s="512"/>
      <c r="HL12" s="513" t="e">
        <f t="shared" si="71"/>
        <v>#DIV/0!</v>
      </c>
      <c r="HM12" s="514">
        <f t="shared" si="183"/>
        <v>0</v>
      </c>
      <c r="HN12" s="512"/>
      <c r="HO12" s="513" t="e">
        <f t="shared" si="72"/>
        <v>#DIV/0!</v>
      </c>
      <c r="HP12" s="514">
        <f t="shared" si="184"/>
        <v>0</v>
      </c>
      <c r="HQ12" s="512"/>
      <c r="HR12" s="513" t="e">
        <f t="shared" si="73"/>
        <v>#DIV/0!</v>
      </c>
      <c r="HS12" s="514">
        <f t="shared" si="185"/>
        <v>0</v>
      </c>
      <c r="HT12" s="512"/>
      <c r="HU12" s="513" t="e">
        <f t="shared" si="74"/>
        <v>#DIV/0!</v>
      </c>
      <c r="HV12" s="514">
        <f t="shared" si="186"/>
        <v>0</v>
      </c>
      <c r="HW12" s="512"/>
      <c r="HX12" s="513" t="e">
        <f t="shared" si="75"/>
        <v>#DIV/0!</v>
      </c>
      <c r="HY12" s="514">
        <f t="shared" si="187"/>
        <v>0</v>
      </c>
      <c r="HZ12" s="512"/>
      <c r="IA12" s="513" t="e">
        <f t="shared" si="76"/>
        <v>#DIV/0!</v>
      </c>
      <c r="IB12" s="514">
        <f t="shared" si="188"/>
        <v>0</v>
      </c>
      <c r="IC12" s="512"/>
      <c r="ID12" s="513" t="e">
        <f t="shared" si="77"/>
        <v>#DIV/0!</v>
      </c>
      <c r="IE12" s="514">
        <f t="shared" si="189"/>
        <v>0</v>
      </c>
      <c r="IF12" s="512"/>
      <c r="IG12" s="513" t="e">
        <f t="shared" si="78"/>
        <v>#DIV/0!</v>
      </c>
      <c r="IH12" s="514">
        <f t="shared" si="190"/>
        <v>0</v>
      </c>
      <c r="II12" s="512"/>
      <c r="IJ12" s="513" t="e">
        <f t="shared" si="79"/>
        <v>#DIV/0!</v>
      </c>
      <c r="IK12" s="514">
        <f t="shared" si="191"/>
        <v>0</v>
      </c>
      <c r="IL12" s="512"/>
      <c r="IM12" s="513" t="e">
        <f t="shared" si="80"/>
        <v>#DIV/0!</v>
      </c>
      <c r="IN12" s="514">
        <f t="shared" si="192"/>
        <v>0</v>
      </c>
      <c r="IO12" s="512"/>
      <c r="IP12" s="513" t="e">
        <f t="shared" si="81"/>
        <v>#DIV/0!</v>
      </c>
      <c r="IQ12" s="514">
        <f t="shared" si="193"/>
        <v>0</v>
      </c>
      <c r="IR12" s="512"/>
      <c r="IS12" s="513" t="e">
        <f t="shared" si="82"/>
        <v>#DIV/0!</v>
      </c>
      <c r="IT12" s="514">
        <f t="shared" si="194"/>
        <v>0</v>
      </c>
      <c r="IU12" s="512"/>
      <c r="IV12" s="513" t="e">
        <f t="shared" si="83"/>
        <v>#DIV/0!</v>
      </c>
      <c r="IW12" s="514">
        <f t="shared" si="195"/>
        <v>0</v>
      </c>
      <c r="IX12" s="512"/>
      <c r="IY12" s="513" t="e">
        <f t="shared" si="84"/>
        <v>#DIV/0!</v>
      </c>
      <c r="IZ12" s="514">
        <f t="shared" si="196"/>
        <v>0</v>
      </c>
      <c r="JA12" s="512"/>
      <c r="JB12" s="513" t="e">
        <f t="shared" si="85"/>
        <v>#DIV/0!</v>
      </c>
      <c r="JC12" s="514">
        <f t="shared" si="197"/>
        <v>0</v>
      </c>
      <c r="JD12" s="512"/>
      <c r="JE12" s="513" t="e">
        <f t="shared" si="86"/>
        <v>#DIV/0!</v>
      </c>
      <c r="JF12" s="514">
        <f t="shared" si="198"/>
        <v>0</v>
      </c>
      <c r="JG12" s="512"/>
      <c r="JH12" s="513" t="e">
        <f t="shared" si="87"/>
        <v>#DIV/0!</v>
      </c>
      <c r="JI12" s="514">
        <f t="shared" si="199"/>
        <v>0</v>
      </c>
      <c r="JJ12" s="512"/>
      <c r="JK12" s="514" t="str">
        <f t="shared" si="88"/>
        <v>0</v>
      </c>
      <c r="JL12" s="514" t="str">
        <f t="shared" si="89"/>
        <v>0</v>
      </c>
      <c r="JM12" s="512"/>
      <c r="JN12" s="514" t="str">
        <f t="shared" si="90"/>
        <v>0</v>
      </c>
      <c r="JO12" s="514" t="str">
        <f t="shared" si="91"/>
        <v>0</v>
      </c>
      <c r="JP12" s="512"/>
      <c r="JQ12" s="514" t="str">
        <f t="shared" si="92"/>
        <v>0</v>
      </c>
      <c r="JR12" s="514" t="str">
        <f t="shared" si="93"/>
        <v>0</v>
      </c>
      <c r="JS12" s="512"/>
      <c r="JT12" s="514" t="str">
        <f t="shared" si="94"/>
        <v>0</v>
      </c>
      <c r="JU12" s="514" t="str">
        <f t="shared" si="95"/>
        <v>0</v>
      </c>
      <c r="JV12" s="512"/>
      <c r="JW12" s="514" t="str">
        <f t="shared" si="96"/>
        <v>0</v>
      </c>
      <c r="JX12" s="514" t="str">
        <f t="shared" si="97"/>
        <v>0</v>
      </c>
      <c r="JY12" s="512"/>
      <c r="JZ12" s="514" t="str">
        <f t="shared" si="98"/>
        <v>0</v>
      </c>
      <c r="KA12" s="514" t="str">
        <f t="shared" si="99"/>
        <v>0</v>
      </c>
      <c r="KB12" s="512"/>
      <c r="KC12" s="514" t="str">
        <f t="shared" si="100"/>
        <v>0</v>
      </c>
      <c r="KD12" s="514" t="str">
        <f t="shared" si="101"/>
        <v>0</v>
      </c>
      <c r="KE12" s="512"/>
      <c r="KF12" s="514" t="str">
        <f t="shared" si="102"/>
        <v>0</v>
      </c>
      <c r="KG12" s="514" t="str">
        <f t="shared" si="103"/>
        <v>0</v>
      </c>
      <c r="KH12" s="512"/>
      <c r="KI12" s="514" t="str">
        <f t="shared" si="104"/>
        <v>0</v>
      </c>
      <c r="KJ12" s="514" t="str">
        <f t="shared" si="105"/>
        <v>0</v>
      </c>
      <c r="KK12" s="512"/>
      <c r="KL12" s="514" t="str">
        <f t="shared" si="106"/>
        <v>0</v>
      </c>
      <c r="KM12" s="514" t="str">
        <f t="shared" si="107"/>
        <v>0</v>
      </c>
      <c r="KN12" s="512"/>
      <c r="KO12" s="514" t="str">
        <f t="shared" si="108"/>
        <v>0</v>
      </c>
      <c r="KP12" s="514" t="str">
        <f t="shared" si="109"/>
        <v>0</v>
      </c>
      <c r="KQ12" s="512"/>
      <c r="KR12" s="514" t="str">
        <f t="shared" si="110"/>
        <v>0</v>
      </c>
      <c r="KS12" s="514" t="str">
        <f t="shared" si="111"/>
        <v>0</v>
      </c>
      <c r="KT12" s="514">
        <f t="shared" ref="KT12:KT42" si="201">H12+K12+N12+Q12+T12+W12+Z12+AC12+AF12+AI12+AL12+AO12+AR12+AU12+AX12+BA12+BD12+BG12+BJ12+BM12+BP12+BS12+BV12+BY12+CB12+CE12+CH12+CK12+CN12+CQ12+CT12+CW12+CZ12+DC12+DF12+DI12+DL12+DO12+DR12+DU12+DX12+EA12+ED12+EG12+EJ12+EM12+EP12+ES12+EV12+EY12+FB12+FE12+FH12+FK12+FN12+FQ12+FT12+FW12+FZ12+GC12</f>
        <v>0</v>
      </c>
      <c r="KU12" s="514">
        <f t="shared" ref="KU12:KU42" si="202">GF12+GI12+GL12+GO12+GR12+GU12+GX12+HA12+HD12+HG12+HJ12+HM12+HP12+HS12+HV12+HY12+IB12+IE12+IH12+IK12+IN12+IQ12+IT12+IW12+IZ12+JC12+JF12+JI12+JL12+JO12+JR12+JU12+JX12++KA12+KD12+KG12+KJ12++KM12+KP12+KS12</f>
        <v>0</v>
      </c>
      <c r="KV12" s="263">
        <f t="shared" si="112"/>
        <v>22.347383720930239</v>
      </c>
    </row>
    <row r="13" spans="1:308" ht="15" customHeight="1">
      <c r="A13" s="471">
        <f t="shared" si="200"/>
        <v>45934</v>
      </c>
      <c r="B13" s="472" t="str">
        <f>+Report1!B12</f>
        <v>STOP</v>
      </c>
      <c r="C13" s="473" t="str">
        <f>+Report1!C12</f>
        <v>17</v>
      </c>
      <c r="D13" s="474">
        <f>+Report1!P12</f>
        <v>0</v>
      </c>
      <c r="E13" s="475">
        <f>+Report1!R12</f>
        <v>0</v>
      </c>
      <c r="F13" s="512"/>
      <c r="G13" s="513" t="e">
        <f t="shared" si="0"/>
        <v>#DIV/0!</v>
      </c>
      <c r="H13" s="514">
        <f t="shared" si="113"/>
        <v>0</v>
      </c>
      <c r="I13" s="512"/>
      <c r="J13" s="513" t="e">
        <f t="shared" si="1"/>
        <v>#DIV/0!</v>
      </c>
      <c r="K13" s="514">
        <f t="shared" si="114"/>
        <v>0</v>
      </c>
      <c r="L13" s="512"/>
      <c r="M13" s="513" t="e">
        <f t="shared" si="2"/>
        <v>#DIV/0!</v>
      </c>
      <c r="N13" s="514">
        <f t="shared" si="115"/>
        <v>0</v>
      </c>
      <c r="O13" s="512"/>
      <c r="P13" s="513" t="e">
        <f t="shared" si="3"/>
        <v>#DIV/0!</v>
      </c>
      <c r="Q13" s="514">
        <f t="shared" si="116"/>
        <v>0</v>
      </c>
      <c r="R13" s="512"/>
      <c r="S13" s="513" t="e">
        <f t="shared" si="4"/>
        <v>#DIV/0!</v>
      </c>
      <c r="T13" s="514">
        <f t="shared" si="117"/>
        <v>0</v>
      </c>
      <c r="U13" s="512">
        <v>6.25</v>
      </c>
      <c r="V13" s="513" t="e">
        <f t="shared" si="5"/>
        <v>#DIV/0!</v>
      </c>
      <c r="W13" s="514">
        <f t="shared" si="118"/>
        <v>0</v>
      </c>
      <c r="X13" s="512"/>
      <c r="Y13" s="513" t="e">
        <f t="shared" si="6"/>
        <v>#DIV/0!</v>
      </c>
      <c r="Z13" s="514">
        <f t="shared" si="119"/>
        <v>0</v>
      </c>
      <c r="AA13" s="512"/>
      <c r="AB13" s="513" t="e">
        <f t="shared" si="7"/>
        <v>#DIV/0!</v>
      </c>
      <c r="AC13" s="514">
        <f t="shared" si="120"/>
        <v>0</v>
      </c>
      <c r="AD13" s="512"/>
      <c r="AE13" s="513" t="e">
        <f t="shared" si="8"/>
        <v>#DIV/0!</v>
      </c>
      <c r="AF13" s="514">
        <f t="shared" si="121"/>
        <v>0</v>
      </c>
      <c r="AG13" s="512"/>
      <c r="AH13" s="513" t="e">
        <f t="shared" si="9"/>
        <v>#DIV/0!</v>
      </c>
      <c r="AI13" s="514">
        <f t="shared" si="122"/>
        <v>0</v>
      </c>
      <c r="AJ13" s="512"/>
      <c r="AK13" s="513" t="e">
        <f t="shared" si="10"/>
        <v>#DIV/0!</v>
      </c>
      <c r="AL13" s="514">
        <f t="shared" si="123"/>
        <v>0</v>
      </c>
      <c r="AM13" s="512"/>
      <c r="AN13" s="513" t="e">
        <f t="shared" si="11"/>
        <v>#DIV/0!</v>
      </c>
      <c r="AO13" s="514">
        <f t="shared" si="124"/>
        <v>0</v>
      </c>
      <c r="AP13" s="512"/>
      <c r="AQ13" s="513" t="e">
        <f t="shared" si="12"/>
        <v>#DIV/0!</v>
      </c>
      <c r="AR13" s="514">
        <f t="shared" si="125"/>
        <v>0</v>
      </c>
      <c r="AS13" s="512"/>
      <c r="AT13" s="513" t="e">
        <f t="shared" si="13"/>
        <v>#DIV/0!</v>
      </c>
      <c r="AU13" s="514">
        <f t="shared" si="126"/>
        <v>0</v>
      </c>
      <c r="AV13" s="512"/>
      <c r="AW13" s="513" t="e">
        <f t="shared" si="14"/>
        <v>#DIV/0!</v>
      </c>
      <c r="AX13" s="514">
        <f t="shared" si="127"/>
        <v>0</v>
      </c>
      <c r="AY13" s="512"/>
      <c r="AZ13" s="513" t="e">
        <f t="shared" si="15"/>
        <v>#DIV/0!</v>
      </c>
      <c r="BA13" s="514">
        <f t="shared" si="128"/>
        <v>0</v>
      </c>
      <c r="BB13" s="512"/>
      <c r="BC13" s="513" t="e">
        <f t="shared" si="16"/>
        <v>#DIV/0!</v>
      </c>
      <c r="BD13" s="514">
        <f t="shared" si="129"/>
        <v>0</v>
      </c>
      <c r="BE13" s="512"/>
      <c r="BF13" s="513" t="e">
        <f t="shared" si="17"/>
        <v>#DIV/0!</v>
      </c>
      <c r="BG13" s="514">
        <f t="shared" si="130"/>
        <v>0</v>
      </c>
      <c r="BH13" s="512"/>
      <c r="BI13" s="513" t="e">
        <f t="shared" si="18"/>
        <v>#DIV/0!</v>
      </c>
      <c r="BJ13" s="514">
        <f t="shared" si="131"/>
        <v>0</v>
      </c>
      <c r="BK13" s="512"/>
      <c r="BL13" s="513" t="e">
        <f t="shared" si="19"/>
        <v>#DIV/0!</v>
      </c>
      <c r="BM13" s="514">
        <f t="shared" si="132"/>
        <v>0</v>
      </c>
      <c r="BN13" s="512"/>
      <c r="BO13" s="513" t="e">
        <f t="shared" si="20"/>
        <v>#DIV/0!</v>
      </c>
      <c r="BP13" s="514">
        <f t="shared" si="133"/>
        <v>0</v>
      </c>
      <c r="BQ13" s="512"/>
      <c r="BR13" s="513" t="e">
        <f t="shared" si="21"/>
        <v>#DIV/0!</v>
      </c>
      <c r="BS13" s="514">
        <f t="shared" si="134"/>
        <v>0</v>
      </c>
      <c r="BT13" s="512"/>
      <c r="BU13" s="513" t="e">
        <f t="shared" si="22"/>
        <v>#DIV/0!</v>
      </c>
      <c r="BV13" s="514">
        <f t="shared" si="135"/>
        <v>0</v>
      </c>
      <c r="BW13" s="512"/>
      <c r="BX13" s="513" t="e">
        <f t="shared" si="23"/>
        <v>#DIV/0!</v>
      </c>
      <c r="BY13" s="514">
        <f t="shared" si="136"/>
        <v>0</v>
      </c>
      <c r="BZ13" s="512"/>
      <c r="CA13" s="513" t="e">
        <f t="shared" si="24"/>
        <v>#DIV/0!</v>
      </c>
      <c r="CB13" s="514">
        <f t="shared" si="137"/>
        <v>0</v>
      </c>
      <c r="CC13" s="512"/>
      <c r="CD13" s="513" t="e">
        <f t="shared" si="25"/>
        <v>#DIV/0!</v>
      </c>
      <c r="CE13" s="514">
        <f t="shared" si="138"/>
        <v>0</v>
      </c>
      <c r="CF13" s="512"/>
      <c r="CG13" s="513" t="e">
        <f t="shared" si="26"/>
        <v>#DIV/0!</v>
      </c>
      <c r="CH13" s="514">
        <f t="shared" si="139"/>
        <v>0</v>
      </c>
      <c r="CI13" s="512"/>
      <c r="CJ13" s="513" t="e">
        <f t="shared" si="27"/>
        <v>#DIV/0!</v>
      </c>
      <c r="CK13" s="514">
        <f t="shared" si="140"/>
        <v>0</v>
      </c>
      <c r="CL13" s="512"/>
      <c r="CM13" s="513" t="e">
        <f t="shared" si="28"/>
        <v>#DIV/0!</v>
      </c>
      <c r="CN13" s="514">
        <f t="shared" si="141"/>
        <v>0</v>
      </c>
      <c r="CO13" s="512"/>
      <c r="CP13" s="513" t="e">
        <f t="shared" si="29"/>
        <v>#DIV/0!</v>
      </c>
      <c r="CQ13" s="514">
        <f t="shared" si="142"/>
        <v>0</v>
      </c>
      <c r="CR13" s="512"/>
      <c r="CS13" s="513" t="e">
        <f t="shared" si="30"/>
        <v>#DIV/0!</v>
      </c>
      <c r="CT13" s="514">
        <f t="shared" si="143"/>
        <v>0</v>
      </c>
      <c r="CU13" s="512"/>
      <c r="CV13" s="513" t="e">
        <f t="shared" si="31"/>
        <v>#DIV/0!</v>
      </c>
      <c r="CW13" s="514">
        <f t="shared" si="144"/>
        <v>0</v>
      </c>
      <c r="CX13" s="512"/>
      <c r="CY13" s="513" t="e">
        <f t="shared" si="32"/>
        <v>#DIV/0!</v>
      </c>
      <c r="CZ13" s="514">
        <f t="shared" si="145"/>
        <v>0</v>
      </c>
      <c r="DA13" s="512"/>
      <c r="DB13" s="513" t="e">
        <f t="shared" si="33"/>
        <v>#DIV/0!</v>
      </c>
      <c r="DC13" s="514">
        <f t="shared" si="146"/>
        <v>0</v>
      </c>
      <c r="DD13" s="512"/>
      <c r="DE13" s="513" t="e">
        <f t="shared" si="34"/>
        <v>#DIV/0!</v>
      </c>
      <c r="DF13" s="514">
        <f t="shared" si="147"/>
        <v>0</v>
      </c>
      <c r="DG13" s="512"/>
      <c r="DH13" s="513" t="e">
        <f t="shared" si="35"/>
        <v>#DIV/0!</v>
      </c>
      <c r="DI13" s="514">
        <v>0</v>
      </c>
      <c r="DJ13" s="512"/>
      <c r="DK13" s="513" t="e">
        <f t="shared" si="36"/>
        <v>#DIV/0!</v>
      </c>
      <c r="DL13" s="514">
        <f t="shared" si="148"/>
        <v>0</v>
      </c>
      <c r="DM13" s="512"/>
      <c r="DN13" s="513" t="e">
        <f t="shared" si="37"/>
        <v>#DIV/0!</v>
      </c>
      <c r="DO13" s="514">
        <f t="shared" si="149"/>
        <v>0</v>
      </c>
      <c r="DP13" s="512"/>
      <c r="DQ13" s="513" t="e">
        <f t="shared" si="38"/>
        <v>#DIV/0!</v>
      </c>
      <c r="DR13" s="514">
        <f t="shared" si="150"/>
        <v>0</v>
      </c>
      <c r="DS13" s="512"/>
      <c r="DT13" s="513" t="e">
        <f t="shared" si="39"/>
        <v>#DIV/0!</v>
      </c>
      <c r="DU13" s="514">
        <f t="shared" si="151"/>
        <v>0</v>
      </c>
      <c r="DV13" s="512"/>
      <c r="DW13" s="513" t="e">
        <f t="shared" si="40"/>
        <v>#DIV/0!</v>
      </c>
      <c r="DX13" s="514">
        <f t="shared" si="152"/>
        <v>0</v>
      </c>
      <c r="DY13" s="512"/>
      <c r="DZ13" s="513" t="e">
        <f t="shared" si="41"/>
        <v>#DIV/0!</v>
      </c>
      <c r="EA13" s="514">
        <f t="shared" si="153"/>
        <v>0</v>
      </c>
      <c r="EB13" s="512"/>
      <c r="EC13" s="513" t="e">
        <f t="shared" si="42"/>
        <v>#DIV/0!</v>
      </c>
      <c r="ED13" s="514">
        <f t="shared" si="154"/>
        <v>0</v>
      </c>
      <c r="EE13" s="512">
        <v>10.90116279069764</v>
      </c>
      <c r="EF13" s="513" t="e">
        <f t="shared" si="43"/>
        <v>#DIV/0!</v>
      </c>
      <c r="EG13" s="514">
        <f t="shared" si="155"/>
        <v>0</v>
      </c>
      <c r="EH13" s="512"/>
      <c r="EI13" s="513" t="e">
        <f t="shared" si="44"/>
        <v>#DIV/0!</v>
      </c>
      <c r="EJ13" s="514">
        <f t="shared" si="156"/>
        <v>0</v>
      </c>
      <c r="EK13" s="512"/>
      <c r="EL13" s="513" t="e">
        <f t="shared" si="45"/>
        <v>#DIV/0!</v>
      </c>
      <c r="EM13" s="514">
        <f t="shared" si="157"/>
        <v>0</v>
      </c>
      <c r="EN13" s="512"/>
      <c r="EO13" s="513" t="e">
        <f t="shared" si="46"/>
        <v>#DIV/0!</v>
      </c>
      <c r="EP13" s="514">
        <f t="shared" si="158"/>
        <v>0</v>
      </c>
      <c r="EQ13" s="512"/>
      <c r="ER13" s="513" t="e">
        <f t="shared" si="47"/>
        <v>#DIV/0!</v>
      </c>
      <c r="ES13" s="514">
        <f t="shared" si="159"/>
        <v>0</v>
      </c>
      <c r="ET13" s="512"/>
      <c r="EU13" s="513" t="e">
        <f t="shared" si="48"/>
        <v>#DIV/0!</v>
      </c>
      <c r="EV13" s="514">
        <f t="shared" si="160"/>
        <v>0</v>
      </c>
      <c r="EW13" s="512"/>
      <c r="EX13" s="513" t="e">
        <f t="shared" si="49"/>
        <v>#DIV/0!</v>
      </c>
      <c r="EY13" s="514">
        <f t="shared" si="161"/>
        <v>0</v>
      </c>
      <c r="EZ13" s="512"/>
      <c r="FA13" s="513" t="e">
        <f t="shared" si="50"/>
        <v>#DIV/0!</v>
      </c>
      <c r="FB13" s="514">
        <f t="shared" si="162"/>
        <v>0</v>
      </c>
      <c r="FC13" s="512"/>
      <c r="FD13" s="513" t="e">
        <f t="shared" si="51"/>
        <v>#DIV/0!</v>
      </c>
      <c r="FE13" s="514">
        <f t="shared" si="163"/>
        <v>0</v>
      </c>
      <c r="FF13" s="512"/>
      <c r="FG13" s="513" t="e">
        <f t="shared" si="52"/>
        <v>#DIV/0!</v>
      </c>
      <c r="FH13" s="514">
        <f t="shared" si="164"/>
        <v>0</v>
      </c>
      <c r="FI13" s="512"/>
      <c r="FJ13" s="513" t="e">
        <f t="shared" si="53"/>
        <v>#DIV/0!</v>
      </c>
      <c r="FK13" s="514">
        <f t="shared" si="165"/>
        <v>0</v>
      </c>
      <c r="FL13" s="512"/>
      <c r="FM13" s="513" t="e">
        <f t="shared" si="54"/>
        <v>#DIV/0!</v>
      </c>
      <c r="FN13" s="514">
        <f t="shared" si="166"/>
        <v>0</v>
      </c>
      <c r="FO13" s="512"/>
      <c r="FP13" s="513" t="e">
        <f t="shared" si="55"/>
        <v>#DIV/0!</v>
      </c>
      <c r="FQ13" s="514">
        <f t="shared" si="167"/>
        <v>0</v>
      </c>
      <c r="FR13" s="512"/>
      <c r="FS13" s="513" t="e">
        <f t="shared" si="56"/>
        <v>#DIV/0!</v>
      </c>
      <c r="FT13" s="514">
        <f t="shared" si="168"/>
        <v>0</v>
      </c>
      <c r="FU13" s="512"/>
      <c r="FV13" s="513" t="e">
        <f t="shared" si="57"/>
        <v>#DIV/0!</v>
      </c>
      <c r="FW13" s="514">
        <f t="shared" si="169"/>
        <v>0</v>
      </c>
      <c r="FX13" s="512"/>
      <c r="FY13" s="513" t="e">
        <f t="shared" si="58"/>
        <v>#DIV/0!</v>
      </c>
      <c r="FZ13" s="514">
        <f t="shared" si="170"/>
        <v>0</v>
      </c>
      <c r="GA13" s="512"/>
      <c r="GB13" s="513" t="e">
        <f t="shared" si="59"/>
        <v>#DIV/0!</v>
      </c>
      <c r="GC13" s="514">
        <f t="shared" si="171"/>
        <v>0</v>
      </c>
      <c r="GD13" s="512"/>
      <c r="GE13" s="513" t="e">
        <f t="shared" si="60"/>
        <v>#DIV/0!</v>
      </c>
      <c r="GF13" s="514">
        <f t="shared" si="172"/>
        <v>0</v>
      </c>
      <c r="GG13" s="512"/>
      <c r="GH13" s="513" t="e">
        <f t="shared" si="61"/>
        <v>#DIV/0!</v>
      </c>
      <c r="GI13" s="514">
        <f t="shared" si="173"/>
        <v>0</v>
      </c>
      <c r="GJ13" s="512"/>
      <c r="GK13" s="513" t="e">
        <f t="shared" si="62"/>
        <v>#DIV/0!</v>
      </c>
      <c r="GL13" s="514">
        <f t="shared" si="174"/>
        <v>0</v>
      </c>
      <c r="GM13" s="512"/>
      <c r="GN13" s="513" t="e">
        <f t="shared" si="63"/>
        <v>#DIV/0!</v>
      </c>
      <c r="GO13" s="514">
        <f t="shared" si="175"/>
        <v>0</v>
      </c>
      <c r="GP13" s="512"/>
      <c r="GQ13" s="513" t="e">
        <f t="shared" si="64"/>
        <v>#DIV/0!</v>
      </c>
      <c r="GR13" s="514">
        <f t="shared" si="176"/>
        <v>0</v>
      </c>
      <c r="GS13" s="512"/>
      <c r="GT13" s="513" t="e">
        <f t="shared" si="65"/>
        <v>#DIV/0!</v>
      </c>
      <c r="GU13" s="514">
        <f t="shared" si="177"/>
        <v>0</v>
      </c>
      <c r="GV13" s="512"/>
      <c r="GW13" s="513" t="e">
        <f t="shared" si="66"/>
        <v>#DIV/0!</v>
      </c>
      <c r="GX13" s="514">
        <f t="shared" si="178"/>
        <v>0</v>
      </c>
      <c r="GY13" s="512"/>
      <c r="GZ13" s="513" t="e">
        <f t="shared" si="67"/>
        <v>#DIV/0!</v>
      </c>
      <c r="HA13" s="514">
        <f t="shared" si="179"/>
        <v>0</v>
      </c>
      <c r="HB13" s="512"/>
      <c r="HC13" s="513" t="e">
        <f t="shared" si="68"/>
        <v>#DIV/0!</v>
      </c>
      <c r="HD13" s="514">
        <f t="shared" si="180"/>
        <v>0</v>
      </c>
      <c r="HE13" s="512"/>
      <c r="HF13" s="513" t="e">
        <f t="shared" si="69"/>
        <v>#DIV/0!</v>
      </c>
      <c r="HG13" s="514">
        <f t="shared" si="181"/>
        <v>0</v>
      </c>
      <c r="HH13" s="512"/>
      <c r="HI13" s="513" t="e">
        <f t="shared" si="70"/>
        <v>#DIV/0!</v>
      </c>
      <c r="HJ13" s="514">
        <f t="shared" si="182"/>
        <v>0</v>
      </c>
      <c r="HK13" s="512"/>
      <c r="HL13" s="513" t="e">
        <f t="shared" si="71"/>
        <v>#DIV/0!</v>
      </c>
      <c r="HM13" s="514">
        <f t="shared" si="183"/>
        <v>0</v>
      </c>
      <c r="HN13" s="512"/>
      <c r="HO13" s="513" t="e">
        <f t="shared" si="72"/>
        <v>#DIV/0!</v>
      </c>
      <c r="HP13" s="514">
        <f t="shared" si="184"/>
        <v>0</v>
      </c>
      <c r="HQ13" s="512"/>
      <c r="HR13" s="513" t="e">
        <f t="shared" si="73"/>
        <v>#DIV/0!</v>
      </c>
      <c r="HS13" s="514">
        <f t="shared" si="185"/>
        <v>0</v>
      </c>
      <c r="HT13" s="512"/>
      <c r="HU13" s="513" t="e">
        <f t="shared" si="74"/>
        <v>#DIV/0!</v>
      </c>
      <c r="HV13" s="514">
        <f t="shared" si="186"/>
        <v>0</v>
      </c>
      <c r="HW13" s="512"/>
      <c r="HX13" s="513" t="e">
        <f t="shared" si="75"/>
        <v>#DIV/0!</v>
      </c>
      <c r="HY13" s="514">
        <f t="shared" si="187"/>
        <v>0</v>
      </c>
      <c r="HZ13" s="512"/>
      <c r="IA13" s="513" t="e">
        <f t="shared" si="76"/>
        <v>#DIV/0!</v>
      </c>
      <c r="IB13" s="514">
        <f t="shared" si="188"/>
        <v>0</v>
      </c>
      <c r="IC13" s="512"/>
      <c r="ID13" s="513" t="e">
        <f t="shared" si="77"/>
        <v>#DIV/0!</v>
      </c>
      <c r="IE13" s="514">
        <f t="shared" si="189"/>
        <v>0</v>
      </c>
      <c r="IF13" s="512"/>
      <c r="IG13" s="513" t="e">
        <f t="shared" si="78"/>
        <v>#DIV/0!</v>
      </c>
      <c r="IH13" s="514">
        <f t="shared" si="190"/>
        <v>0</v>
      </c>
      <c r="II13" s="512"/>
      <c r="IJ13" s="513" t="e">
        <f t="shared" si="79"/>
        <v>#DIV/0!</v>
      </c>
      <c r="IK13" s="514">
        <f t="shared" si="191"/>
        <v>0</v>
      </c>
      <c r="IL13" s="512"/>
      <c r="IM13" s="513" t="e">
        <f t="shared" si="80"/>
        <v>#DIV/0!</v>
      </c>
      <c r="IN13" s="514">
        <f t="shared" si="192"/>
        <v>0</v>
      </c>
      <c r="IO13" s="512"/>
      <c r="IP13" s="513" t="e">
        <f t="shared" si="81"/>
        <v>#DIV/0!</v>
      </c>
      <c r="IQ13" s="514">
        <f t="shared" si="193"/>
        <v>0</v>
      </c>
      <c r="IR13" s="512"/>
      <c r="IS13" s="513" t="e">
        <f t="shared" si="82"/>
        <v>#DIV/0!</v>
      </c>
      <c r="IT13" s="514">
        <f t="shared" si="194"/>
        <v>0</v>
      </c>
      <c r="IU13" s="512"/>
      <c r="IV13" s="513" t="e">
        <f t="shared" si="83"/>
        <v>#DIV/0!</v>
      </c>
      <c r="IW13" s="514">
        <f t="shared" si="195"/>
        <v>0</v>
      </c>
      <c r="IX13" s="512"/>
      <c r="IY13" s="513" t="e">
        <f t="shared" si="84"/>
        <v>#DIV/0!</v>
      </c>
      <c r="IZ13" s="514">
        <f t="shared" si="196"/>
        <v>0</v>
      </c>
      <c r="JA13" s="512"/>
      <c r="JB13" s="513" t="e">
        <f t="shared" si="85"/>
        <v>#DIV/0!</v>
      </c>
      <c r="JC13" s="514">
        <f t="shared" si="197"/>
        <v>0</v>
      </c>
      <c r="JD13" s="512"/>
      <c r="JE13" s="513" t="e">
        <f t="shared" si="86"/>
        <v>#DIV/0!</v>
      </c>
      <c r="JF13" s="514">
        <f t="shared" si="198"/>
        <v>0</v>
      </c>
      <c r="JG13" s="512"/>
      <c r="JH13" s="513" t="e">
        <f t="shared" si="87"/>
        <v>#DIV/0!</v>
      </c>
      <c r="JI13" s="514">
        <f t="shared" si="199"/>
        <v>0</v>
      </c>
      <c r="JJ13" s="512"/>
      <c r="JK13" s="514" t="str">
        <f t="shared" si="88"/>
        <v>0</v>
      </c>
      <c r="JL13" s="514" t="str">
        <f t="shared" si="89"/>
        <v>0</v>
      </c>
      <c r="JM13" s="512"/>
      <c r="JN13" s="514" t="str">
        <f t="shared" si="90"/>
        <v>0</v>
      </c>
      <c r="JO13" s="514" t="str">
        <f t="shared" si="91"/>
        <v>0</v>
      </c>
      <c r="JP13" s="512"/>
      <c r="JQ13" s="514" t="str">
        <f t="shared" si="92"/>
        <v>0</v>
      </c>
      <c r="JR13" s="514" t="str">
        <f t="shared" si="93"/>
        <v>0</v>
      </c>
      <c r="JS13" s="512"/>
      <c r="JT13" s="514" t="str">
        <f t="shared" si="94"/>
        <v>0</v>
      </c>
      <c r="JU13" s="514" t="str">
        <f t="shared" si="95"/>
        <v>0</v>
      </c>
      <c r="JV13" s="512"/>
      <c r="JW13" s="514" t="str">
        <f t="shared" si="96"/>
        <v>0</v>
      </c>
      <c r="JX13" s="514" t="str">
        <f t="shared" si="97"/>
        <v>0</v>
      </c>
      <c r="JY13" s="512"/>
      <c r="JZ13" s="514" t="str">
        <f t="shared" si="98"/>
        <v>0</v>
      </c>
      <c r="KA13" s="514" t="str">
        <f t="shared" si="99"/>
        <v>0</v>
      </c>
      <c r="KB13" s="512"/>
      <c r="KC13" s="514" t="str">
        <f t="shared" si="100"/>
        <v>0</v>
      </c>
      <c r="KD13" s="514" t="str">
        <f t="shared" si="101"/>
        <v>0</v>
      </c>
      <c r="KE13" s="512"/>
      <c r="KF13" s="514" t="str">
        <f t="shared" si="102"/>
        <v>0</v>
      </c>
      <c r="KG13" s="514" t="str">
        <f t="shared" si="103"/>
        <v>0</v>
      </c>
      <c r="KH13" s="512"/>
      <c r="KI13" s="514" t="str">
        <f t="shared" si="104"/>
        <v>0</v>
      </c>
      <c r="KJ13" s="514" t="str">
        <f t="shared" si="105"/>
        <v>0</v>
      </c>
      <c r="KK13" s="512"/>
      <c r="KL13" s="514" t="str">
        <f t="shared" si="106"/>
        <v>0</v>
      </c>
      <c r="KM13" s="514" t="str">
        <f t="shared" si="107"/>
        <v>0</v>
      </c>
      <c r="KN13" s="512"/>
      <c r="KO13" s="514" t="str">
        <f t="shared" si="108"/>
        <v>0</v>
      </c>
      <c r="KP13" s="514" t="str">
        <f t="shared" si="109"/>
        <v>0</v>
      </c>
      <c r="KQ13" s="512"/>
      <c r="KR13" s="514" t="str">
        <f t="shared" si="110"/>
        <v>0</v>
      </c>
      <c r="KS13" s="514" t="str">
        <f t="shared" si="111"/>
        <v>0</v>
      </c>
      <c r="KT13" s="514">
        <f t="shared" si="201"/>
        <v>0</v>
      </c>
      <c r="KU13" s="514">
        <f t="shared" si="202"/>
        <v>0</v>
      </c>
      <c r="KV13" s="263">
        <f t="shared" si="112"/>
        <v>17.15116279069764</v>
      </c>
    </row>
    <row r="14" spans="1:308" ht="15" customHeight="1">
      <c r="A14" s="471">
        <f t="shared" si="200"/>
        <v>45935</v>
      </c>
      <c r="B14" s="472" t="str">
        <f>+Report1!B13</f>
        <v>STOP</v>
      </c>
      <c r="C14" s="473" t="str">
        <f>+Report1!C13</f>
        <v>17</v>
      </c>
      <c r="D14" s="474">
        <f>+Report1!P13</f>
        <v>0</v>
      </c>
      <c r="E14" s="475">
        <f>+Report1!R13</f>
        <v>0</v>
      </c>
      <c r="F14" s="512"/>
      <c r="G14" s="513" t="e">
        <f t="shared" si="0"/>
        <v>#DIV/0!</v>
      </c>
      <c r="H14" s="514">
        <f t="shared" si="113"/>
        <v>0</v>
      </c>
      <c r="I14" s="512"/>
      <c r="J14" s="513" t="e">
        <f t="shared" si="1"/>
        <v>#DIV/0!</v>
      </c>
      <c r="K14" s="514">
        <f t="shared" si="114"/>
        <v>0</v>
      </c>
      <c r="L14" s="512"/>
      <c r="M14" s="513" t="e">
        <f t="shared" si="2"/>
        <v>#DIV/0!</v>
      </c>
      <c r="N14" s="514">
        <f t="shared" si="115"/>
        <v>0</v>
      </c>
      <c r="O14" s="512"/>
      <c r="P14" s="513" t="e">
        <f t="shared" si="3"/>
        <v>#DIV/0!</v>
      </c>
      <c r="Q14" s="514">
        <f t="shared" si="116"/>
        <v>0</v>
      </c>
      <c r="R14" s="512"/>
      <c r="S14" s="513" t="e">
        <f t="shared" si="4"/>
        <v>#DIV/0!</v>
      </c>
      <c r="T14" s="514">
        <f t="shared" si="117"/>
        <v>0</v>
      </c>
      <c r="U14" s="512">
        <v>6.25</v>
      </c>
      <c r="V14" s="513" t="e">
        <f t="shared" si="5"/>
        <v>#DIV/0!</v>
      </c>
      <c r="W14" s="514">
        <f t="shared" si="118"/>
        <v>0</v>
      </c>
      <c r="X14" s="512"/>
      <c r="Y14" s="513" t="e">
        <f t="shared" si="6"/>
        <v>#DIV/0!</v>
      </c>
      <c r="Z14" s="514">
        <f t="shared" si="119"/>
        <v>0</v>
      </c>
      <c r="AA14" s="512"/>
      <c r="AB14" s="513" t="e">
        <f t="shared" si="7"/>
        <v>#DIV/0!</v>
      </c>
      <c r="AC14" s="514">
        <f t="shared" si="120"/>
        <v>0</v>
      </c>
      <c r="AD14" s="512"/>
      <c r="AE14" s="513" t="e">
        <f t="shared" si="8"/>
        <v>#DIV/0!</v>
      </c>
      <c r="AF14" s="514">
        <f t="shared" si="121"/>
        <v>0</v>
      </c>
      <c r="AG14" s="512"/>
      <c r="AH14" s="513" t="e">
        <f t="shared" si="9"/>
        <v>#DIV/0!</v>
      </c>
      <c r="AI14" s="514">
        <f t="shared" si="122"/>
        <v>0</v>
      </c>
      <c r="AJ14" s="512"/>
      <c r="AK14" s="513" t="e">
        <f t="shared" si="10"/>
        <v>#DIV/0!</v>
      </c>
      <c r="AL14" s="514">
        <f t="shared" si="123"/>
        <v>0</v>
      </c>
      <c r="AM14" s="512"/>
      <c r="AN14" s="513" t="e">
        <f t="shared" si="11"/>
        <v>#DIV/0!</v>
      </c>
      <c r="AO14" s="514">
        <f t="shared" si="124"/>
        <v>0</v>
      </c>
      <c r="AP14" s="512"/>
      <c r="AQ14" s="513" t="e">
        <f t="shared" si="12"/>
        <v>#DIV/0!</v>
      </c>
      <c r="AR14" s="514">
        <f t="shared" si="125"/>
        <v>0</v>
      </c>
      <c r="AS14" s="512"/>
      <c r="AT14" s="513" t="e">
        <f t="shared" si="13"/>
        <v>#DIV/0!</v>
      </c>
      <c r="AU14" s="514">
        <f t="shared" si="126"/>
        <v>0</v>
      </c>
      <c r="AV14" s="512"/>
      <c r="AW14" s="513" t="e">
        <f t="shared" si="14"/>
        <v>#DIV/0!</v>
      </c>
      <c r="AX14" s="514">
        <f t="shared" si="127"/>
        <v>0</v>
      </c>
      <c r="AY14" s="512"/>
      <c r="AZ14" s="513" t="e">
        <f t="shared" si="15"/>
        <v>#DIV/0!</v>
      </c>
      <c r="BA14" s="514">
        <f t="shared" si="128"/>
        <v>0</v>
      </c>
      <c r="BB14" s="512"/>
      <c r="BC14" s="513" t="e">
        <f t="shared" si="16"/>
        <v>#DIV/0!</v>
      </c>
      <c r="BD14" s="514">
        <f t="shared" si="129"/>
        <v>0</v>
      </c>
      <c r="BE14" s="512"/>
      <c r="BF14" s="513" t="e">
        <f t="shared" si="17"/>
        <v>#DIV/0!</v>
      </c>
      <c r="BG14" s="514">
        <f t="shared" si="130"/>
        <v>0</v>
      </c>
      <c r="BH14" s="512"/>
      <c r="BI14" s="513" t="e">
        <f t="shared" si="18"/>
        <v>#DIV/0!</v>
      </c>
      <c r="BJ14" s="514">
        <f t="shared" si="131"/>
        <v>0</v>
      </c>
      <c r="BK14" s="512"/>
      <c r="BL14" s="513" t="e">
        <f t="shared" si="19"/>
        <v>#DIV/0!</v>
      </c>
      <c r="BM14" s="514">
        <f t="shared" si="132"/>
        <v>0</v>
      </c>
      <c r="BN14" s="512"/>
      <c r="BO14" s="513" t="e">
        <f t="shared" si="20"/>
        <v>#DIV/0!</v>
      </c>
      <c r="BP14" s="514">
        <f t="shared" si="133"/>
        <v>0</v>
      </c>
      <c r="BQ14" s="512"/>
      <c r="BR14" s="513" t="e">
        <f t="shared" si="21"/>
        <v>#DIV/0!</v>
      </c>
      <c r="BS14" s="514">
        <f t="shared" si="134"/>
        <v>0</v>
      </c>
      <c r="BT14" s="512"/>
      <c r="BU14" s="513" t="e">
        <f t="shared" si="22"/>
        <v>#DIV/0!</v>
      </c>
      <c r="BV14" s="514">
        <f t="shared" si="135"/>
        <v>0</v>
      </c>
      <c r="BW14" s="512"/>
      <c r="BX14" s="513" t="e">
        <f t="shared" si="23"/>
        <v>#DIV/0!</v>
      </c>
      <c r="BY14" s="514">
        <f t="shared" si="136"/>
        <v>0</v>
      </c>
      <c r="BZ14" s="512"/>
      <c r="CA14" s="513" t="e">
        <f t="shared" si="24"/>
        <v>#DIV/0!</v>
      </c>
      <c r="CB14" s="514">
        <f t="shared" si="137"/>
        <v>0</v>
      </c>
      <c r="CC14" s="512"/>
      <c r="CD14" s="513" t="e">
        <f t="shared" si="25"/>
        <v>#DIV/0!</v>
      </c>
      <c r="CE14" s="514">
        <f t="shared" si="138"/>
        <v>0</v>
      </c>
      <c r="CF14" s="512"/>
      <c r="CG14" s="513" t="e">
        <f t="shared" si="26"/>
        <v>#DIV/0!</v>
      </c>
      <c r="CH14" s="514">
        <f t="shared" si="139"/>
        <v>0</v>
      </c>
      <c r="CI14" s="512"/>
      <c r="CJ14" s="513" t="e">
        <f t="shared" si="27"/>
        <v>#DIV/0!</v>
      </c>
      <c r="CK14" s="514">
        <f t="shared" si="140"/>
        <v>0</v>
      </c>
      <c r="CL14" s="512"/>
      <c r="CM14" s="513" t="e">
        <f t="shared" si="28"/>
        <v>#DIV/0!</v>
      </c>
      <c r="CN14" s="514">
        <f t="shared" si="141"/>
        <v>0</v>
      </c>
      <c r="CO14" s="512"/>
      <c r="CP14" s="513" t="e">
        <f t="shared" si="29"/>
        <v>#DIV/0!</v>
      </c>
      <c r="CQ14" s="514">
        <f t="shared" si="142"/>
        <v>0</v>
      </c>
      <c r="CR14" s="512"/>
      <c r="CS14" s="513" t="e">
        <f t="shared" si="30"/>
        <v>#DIV/0!</v>
      </c>
      <c r="CT14" s="514">
        <f t="shared" si="143"/>
        <v>0</v>
      </c>
      <c r="CU14" s="512"/>
      <c r="CV14" s="513" t="e">
        <f t="shared" si="31"/>
        <v>#DIV/0!</v>
      </c>
      <c r="CW14" s="514">
        <f t="shared" si="144"/>
        <v>0</v>
      </c>
      <c r="CX14" s="512"/>
      <c r="CY14" s="513" t="e">
        <f t="shared" si="32"/>
        <v>#DIV/0!</v>
      </c>
      <c r="CZ14" s="514">
        <f t="shared" si="145"/>
        <v>0</v>
      </c>
      <c r="DA14" s="512"/>
      <c r="DB14" s="513" t="e">
        <f t="shared" si="33"/>
        <v>#DIV/0!</v>
      </c>
      <c r="DC14" s="514">
        <f t="shared" si="146"/>
        <v>0</v>
      </c>
      <c r="DD14" s="512"/>
      <c r="DE14" s="513" t="e">
        <f t="shared" si="34"/>
        <v>#DIV/0!</v>
      </c>
      <c r="DF14" s="514">
        <f t="shared" si="147"/>
        <v>0</v>
      </c>
      <c r="DG14" s="512"/>
      <c r="DH14" s="513" t="e">
        <f t="shared" si="35"/>
        <v>#DIV/0!</v>
      </c>
      <c r="DI14" s="514">
        <v>0</v>
      </c>
      <c r="DJ14" s="512"/>
      <c r="DK14" s="513" t="e">
        <f t="shared" si="36"/>
        <v>#DIV/0!</v>
      </c>
      <c r="DL14" s="514">
        <f t="shared" si="148"/>
        <v>0</v>
      </c>
      <c r="DM14" s="512"/>
      <c r="DN14" s="513" t="e">
        <f t="shared" si="37"/>
        <v>#DIV/0!</v>
      </c>
      <c r="DO14" s="514">
        <f t="shared" si="149"/>
        <v>0</v>
      </c>
      <c r="DP14" s="512"/>
      <c r="DQ14" s="513" t="e">
        <f t="shared" si="38"/>
        <v>#DIV/0!</v>
      </c>
      <c r="DR14" s="514">
        <f t="shared" si="150"/>
        <v>0</v>
      </c>
      <c r="DS14" s="512"/>
      <c r="DT14" s="513" t="e">
        <f t="shared" si="39"/>
        <v>#DIV/0!</v>
      </c>
      <c r="DU14" s="514">
        <f t="shared" si="151"/>
        <v>0</v>
      </c>
      <c r="DV14" s="512"/>
      <c r="DW14" s="513" t="e">
        <f t="shared" si="40"/>
        <v>#DIV/0!</v>
      </c>
      <c r="DX14" s="514">
        <f t="shared" si="152"/>
        <v>0</v>
      </c>
      <c r="DY14" s="512"/>
      <c r="DZ14" s="513" t="e">
        <f t="shared" si="41"/>
        <v>#DIV/0!</v>
      </c>
      <c r="EA14" s="514">
        <f t="shared" si="153"/>
        <v>0</v>
      </c>
      <c r="EB14" s="512"/>
      <c r="EC14" s="513" t="e">
        <f t="shared" si="42"/>
        <v>#DIV/0!</v>
      </c>
      <c r="ED14" s="514">
        <f t="shared" si="154"/>
        <v>0</v>
      </c>
      <c r="EE14" s="512">
        <v>10.90116279069764</v>
      </c>
      <c r="EF14" s="513" t="e">
        <f t="shared" si="43"/>
        <v>#DIV/0!</v>
      </c>
      <c r="EG14" s="514">
        <f t="shared" si="155"/>
        <v>0</v>
      </c>
      <c r="EH14" s="512"/>
      <c r="EI14" s="513" t="e">
        <f t="shared" si="44"/>
        <v>#DIV/0!</v>
      </c>
      <c r="EJ14" s="514">
        <f t="shared" si="156"/>
        <v>0</v>
      </c>
      <c r="EK14" s="512"/>
      <c r="EL14" s="513" t="e">
        <f t="shared" si="45"/>
        <v>#DIV/0!</v>
      </c>
      <c r="EM14" s="514">
        <f t="shared" si="157"/>
        <v>0</v>
      </c>
      <c r="EN14" s="512"/>
      <c r="EO14" s="513" t="e">
        <f t="shared" si="46"/>
        <v>#DIV/0!</v>
      </c>
      <c r="EP14" s="514">
        <f t="shared" si="158"/>
        <v>0</v>
      </c>
      <c r="EQ14" s="512"/>
      <c r="ER14" s="513" t="e">
        <f t="shared" si="47"/>
        <v>#DIV/0!</v>
      </c>
      <c r="ES14" s="514">
        <f t="shared" si="159"/>
        <v>0</v>
      </c>
      <c r="ET14" s="512"/>
      <c r="EU14" s="513" t="e">
        <f t="shared" si="48"/>
        <v>#DIV/0!</v>
      </c>
      <c r="EV14" s="514">
        <f t="shared" si="160"/>
        <v>0</v>
      </c>
      <c r="EW14" s="512"/>
      <c r="EX14" s="513" t="e">
        <f t="shared" si="49"/>
        <v>#DIV/0!</v>
      </c>
      <c r="EY14" s="514">
        <f t="shared" si="161"/>
        <v>0</v>
      </c>
      <c r="EZ14" s="512"/>
      <c r="FA14" s="513" t="e">
        <f t="shared" si="50"/>
        <v>#DIV/0!</v>
      </c>
      <c r="FB14" s="514">
        <f t="shared" si="162"/>
        <v>0</v>
      </c>
      <c r="FC14" s="512"/>
      <c r="FD14" s="513" t="e">
        <f t="shared" si="51"/>
        <v>#DIV/0!</v>
      </c>
      <c r="FE14" s="514">
        <f t="shared" si="163"/>
        <v>0</v>
      </c>
      <c r="FF14" s="512"/>
      <c r="FG14" s="513" t="e">
        <f t="shared" si="52"/>
        <v>#DIV/0!</v>
      </c>
      <c r="FH14" s="514">
        <f t="shared" si="164"/>
        <v>0</v>
      </c>
      <c r="FI14" s="512"/>
      <c r="FJ14" s="513" t="e">
        <f t="shared" si="53"/>
        <v>#DIV/0!</v>
      </c>
      <c r="FK14" s="514">
        <f t="shared" si="165"/>
        <v>0</v>
      </c>
      <c r="FL14" s="512"/>
      <c r="FM14" s="513" t="e">
        <f t="shared" si="54"/>
        <v>#DIV/0!</v>
      </c>
      <c r="FN14" s="514">
        <f t="shared" si="166"/>
        <v>0</v>
      </c>
      <c r="FO14" s="512"/>
      <c r="FP14" s="513" t="e">
        <f t="shared" si="55"/>
        <v>#DIV/0!</v>
      </c>
      <c r="FQ14" s="514">
        <f t="shared" si="167"/>
        <v>0</v>
      </c>
      <c r="FR14" s="512"/>
      <c r="FS14" s="513" t="e">
        <f t="shared" si="56"/>
        <v>#DIV/0!</v>
      </c>
      <c r="FT14" s="514">
        <f t="shared" si="168"/>
        <v>0</v>
      </c>
      <c r="FU14" s="512"/>
      <c r="FV14" s="513" t="e">
        <f t="shared" si="57"/>
        <v>#DIV/0!</v>
      </c>
      <c r="FW14" s="514">
        <f t="shared" si="169"/>
        <v>0</v>
      </c>
      <c r="FX14" s="512"/>
      <c r="FY14" s="513" t="e">
        <f t="shared" si="58"/>
        <v>#DIV/0!</v>
      </c>
      <c r="FZ14" s="514">
        <f t="shared" si="170"/>
        <v>0</v>
      </c>
      <c r="GA14" s="512"/>
      <c r="GB14" s="513" t="e">
        <f t="shared" si="59"/>
        <v>#DIV/0!</v>
      </c>
      <c r="GC14" s="514">
        <f t="shared" si="171"/>
        <v>0</v>
      </c>
      <c r="GD14" s="512"/>
      <c r="GE14" s="513" t="e">
        <f t="shared" si="60"/>
        <v>#DIV/0!</v>
      </c>
      <c r="GF14" s="514">
        <f t="shared" si="172"/>
        <v>0</v>
      </c>
      <c r="GG14" s="512"/>
      <c r="GH14" s="513" t="e">
        <f t="shared" si="61"/>
        <v>#DIV/0!</v>
      </c>
      <c r="GI14" s="514">
        <f t="shared" si="173"/>
        <v>0</v>
      </c>
      <c r="GJ14" s="512"/>
      <c r="GK14" s="513" t="e">
        <f t="shared" si="62"/>
        <v>#DIV/0!</v>
      </c>
      <c r="GL14" s="514">
        <f t="shared" si="174"/>
        <v>0</v>
      </c>
      <c r="GM14" s="512"/>
      <c r="GN14" s="513" t="e">
        <f t="shared" si="63"/>
        <v>#DIV/0!</v>
      </c>
      <c r="GO14" s="514">
        <f t="shared" si="175"/>
        <v>0</v>
      </c>
      <c r="GP14" s="512"/>
      <c r="GQ14" s="513" t="e">
        <f t="shared" si="64"/>
        <v>#DIV/0!</v>
      </c>
      <c r="GR14" s="514">
        <f t="shared" si="176"/>
        <v>0</v>
      </c>
      <c r="GS14" s="512"/>
      <c r="GT14" s="513" t="e">
        <f t="shared" si="65"/>
        <v>#DIV/0!</v>
      </c>
      <c r="GU14" s="514">
        <f t="shared" si="177"/>
        <v>0</v>
      </c>
      <c r="GV14" s="512"/>
      <c r="GW14" s="513" t="e">
        <f t="shared" si="66"/>
        <v>#DIV/0!</v>
      </c>
      <c r="GX14" s="514">
        <f t="shared" si="178"/>
        <v>0</v>
      </c>
      <c r="GY14" s="512"/>
      <c r="GZ14" s="513" t="e">
        <f t="shared" si="67"/>
        <v>#DIV/0!</v>
      </c>
      <c r="HA14" s="514">
        <f t="shared" si="179"/>
        <v>0</v>
      </c>
      <c r="HB14" s="512"/>
      <c r="HC14" s="513" t="e">
        <f t="shared" si="68"/>
        <v>#DIV/0!</v>
      </c>
      <c r="HD14" s="514">
        <f t="shared" si="180"/>
        <v>0</v>
      </c>
      <c r="HE14" s="512"/>
      <c r="HF14" s="513" t="e">
        <f t="shared" si="69"/>
        <v>#DIV/0!</v>
      </c>
      <c r="HG14" s="514">
        <f t="shared" si="181"/>
        <v>0</v>
      </c>
      <c r="HH14" s="512"/>
      <c r="HI14" s="513" t="e">
        <f t="shared" si="70"/>
        <v>#DIV/0!</v>
      </c>
      <c r="HJ14" s="514">
        <f t="shared" si="182"/>
        <v>0</v>
      </c>
      <c r="HK14" s="512"/>
      <c r="HL14" s="513" t="e">
        <f t="shared" si="71"/>
        <v>#DIV/0!</v>
      </c>
      <c r="HM14" s="514">
        <f t="shared" si="183"/>
        <v>0</v>
      </c>
      <c r="HN14" s="512"/>
      <c r="HO14" s="513" t="e">
        <f t="shared" si="72"/>
        <v>#DIV/0!</v>
      </c>
      <c r="HP14" s="514">
        <f t="shared" si="184"/>
        <v>0</v>
      </c>
      <c r="HQ14" s="512"/>
      <c r="HR14" s="513" t="e">
        <f t="shared" si="73"/>
        <v>#DIV/0!</v>
      </c>
      <c r="HS14" s="514">
        <f t="shared" si="185"/>
        <v>0</v>
      </c>
      <c r="HT14" s="512"/>
      <c r="HU14" s="513" t="e">
        <f t="shared" si="74"/>
        <v>#DIV/0!</v>
      </c>
      <c r="HV14" s="514">
        <f t="shared" si="186"/>
        <v>0</v>
      </c>
      <c r="HW14" s="512"/>
      <c r="HX14" s="513" t="e">
        <f t="shared" si="75"/>
        <v>#DIV/0!</v>
      </c>
      <c r="HY14" s="514">
        <f t="shared" si="187"/>
        <v>0</v>
      </c>
      <c r="HZ14" s="512"/>
      <c r="IA14" s="513" t="e">
        <f t="shared" si="76"/>
        <v>#DIV/0!</v>
      </c>
      <c r="IB14" s="514">
        <f t="shared" si="188"/>
        <v>0</v>
      </c>
      <c r="IC14" s="512"/>
      <c r="ID14" s="513" t="e">
        <f t="shared" si="77"/>
        <v>#DIV/0!</v>
      </c>
      <c r="IE14" s="514">
        <f t="shared" si="189"/>
        <v>0</v>
      </c>
      <c r="IF14" s="512"/>
      <c r="IG14" s="513" t="e">
        <f t="shared" si="78"/>
        <v>#DIV/0!</v>
      </c>
      <c r="IH14" s="514">
        <f t="shared" si="190"/>
        <v>0</v>
      </c>
      <c r="II14" s="512"/>
      <c r="IJ14" s="513" t="e">
        <f t="shared" si="79"/>
        <v>#DIV/0!</v>
      </c>
      <c r="IK14" s="514">
        <f t="shared" si="191"/>
        <v>0</v>
      </c>
      <c r="IL14" s="512"/>
      <c r="IM14" s="513" t="e">
        <f t="shared" si="80"/>
        <v>#DIV/0!</v>
      </c>
      <c r="IN14" s="514">
        <f t="shared" si="192"/>
        <v>0</v>
      </c>
      <c r="IO14" s="512"/>
      <c r="IP14" s="513" t="e">
        <f t="shared" si="81"/>
        <v>#DIV/0!</v>
      </c>
      <c r="IQ14" s="514">
        <f t="shared" si="193"/>
        <v>0</v>
      </c>
      <c r="IR14" s="512"/>
      <c r="IS14" s="513" t="e">
        <f t="shared" si="82"/>
        <v>#DIV/0!</v>
      </c>
      <c r="IT14" s="514">
        <f t="shared" si="194"/>
        <v>0</v>
      </c>
      <c r="IU14" s="512"/>
      <c r="IV14" s="513" t="e">
        <f t="shared" si="83"/>
        <v>#DIV/0!</v>
      </c>
      <c r="IW14" s="514">
        <f t="shared" si="195"/>
        <v>0</v>
      </c>
      <c r="IX14" s="512"/>
      <c r="IY14" s="513" t="e">
        <f t="shared" si="84"/>
        <v>#DIV/0!</v>
      </c>
      <c r="IZ14" s="514">
        <f t="shared" si="196"/>
        <v>0</v>
      </c>
      <c r="JA14" s="512"/>
      <c r="JB14" s="513" t="e">
        <f t="shared" si="85"/>
        <v>#DIV/0!</v>
      </c>
      <c r="JC14" s="514">
        <f t="shared" si="197"/>
        <v>0</v>
      </c>
      <c r="JD14" s="512"/>
      <c r="JE14" s="513" t="e">
        <f t="shared" si="86"/>
        <v>#DIV/0!</v>
      </c>
      <c r="JF14" s="514">
        <f t="shared" si="198"/>
        <v>0</v>
      </c>
      <c r="JG14" s="512"/>
      <c r="JH14" s="513" t="e">
        <f t="shared" si="87"/>
        <v>#DIV/0!</v>
      </c>
      <c r="JI14" s="514">
        <f t="shared" si="199"/>
        <v>0</v>
      </c>
      <c r="JJ14" s="512"/>
      <c r="JK14" s="514" t="str">
        <f t="shared" si="88"/>
        <v>0</v>
      </c>
      <c r="JL14" s="514" t="str">
        <f t="shared" si="89"/>
        <v>0</v>
      </c>
      <c r="JM14" s="512"/>
      <c r="JN14" s="514" t="str">
        <f t="shared" si="90"/>
        <v>0</v>
      </c>
      <c r="JO14" s="514" t="str">
        <f t="shared" si="91"/>
        <v>0</v>
      </c>
      <c r="JP14" s="512"/>
      <c r="JQ14" s="514" t="str">
        <f t="shared" si="92"/>
        <v>0</v>
      </c>
      <c r="JR14" s="514" t="str">
        <f t="shared" si="93"/>
        <v>0</v>
      </c>
      <c r="JS14" s="512"/>
      <c r="JT14" s="514" t="str">
        <f t="shared" si="94"/>
        <v>0</v>
      </c>
      <c r="JU14" s="514" t="str">
        <f t="shared" si="95"/>
        <v>0</v>
      </c>
      <c r="JV14" s="512"/>
      <c r="JW14" s="514" t="str">
        <f t="shared" si="96"/>
        <v>0</v>
      </c>
      <c r="JX14" s="514" t="str">
        <f t="shared" si="97"/>
        <v>0</v>
      </c>
      <c r="JY14" s="512"/>
      <c r="JZ14" s="514" t="str">
        <f t="shared" si="98"/>
        <v>0</v>
      </c>
      <c r="KA14" s="514" t="str">
        <f t="shared" si="99"/>
        <v>0</v>
      </c>
      <c r="KB14" s="512"/>
      <c r="KC14" s="514" t="str">
        <f t="shared" si="100"/>
        <v>0</v>
      </c>
      <c r="KD14" s="514" t="str">
        <f t="shared" si="101"/>
        <v>0</v>
      </c>
      <c r="KE14" s="512"/>
      <c r="KF14" s="514" t="str">
        <f t="shared" si="102"/>
        <v>0</v>
      </c>
      <c r="KG14" s="514" t="str">
        <f t="shared" si="103"/>
        <v>0</v>
      </c>
      <c r="KH14" s="512"/>
      <c r="KI14" s="514" t="str">
        <f t="shared" si="104"/>
        <v>0</v>
      </c>
      <c r="KJ14" s="514" t="str">
        <f t="shared" si="105"/>
        <v>0</v>
      </c>
      <c r="KK14" s="512"/>
      <c r="KL14" s="514" t="str">
        <f t="shared" si="106"/>
        <v>0</v>
      </c>
      <c r="KM14" s="514" t="str">
        <f t="shared" si="107"/>
        <v>0</v>
      </c>
      <c r="KN14" s="512"/>
      <c r="KO14" s="514" t="str">
        <f t="shared" si="108"/>
        <v>0</v>
      </c>
      <c r="KP14" s="514" t="str">
        <f t="shared" si="109"/>
        <v>0</v>
      </c>
      <c r="KQ14" s="512"/>
      <c r="KR14" s="514" t="str">
        <f t="shared" si="110"/>
        <v>0</v>
      </c>
      <c r="KS14" s="514" t="str">
        <f t="shared" si="111"/>
        <v>0</v>
      </c>
      <c r="KT14" s="514">
        <f t="shared" si="201"/>
        <v>0</v>
      </c>
      <c r="KU14" s="514">
        <f t="shared" si="202"/>
        <v>0</v>
      </c>
      <c r="KV14" s="263">
        <f t="shared" si="112"/>
        <v>17.15116279069764</v>
      </c>
    </row>
    <row r="15" spans="1:308" ht="15" customHeight="1">
      <c r="A15" s="471">
        <f t="shared" si="200"/>
        <v>45936</v>
      </c>
      <c r="B15" s="472" t="str">
        <f>+Report1!B14</f>
        <v>STOP</v>
      </c>
      <c r="C15" s="473" t="str">
        <f>+Report1!C14</f>
        <v>17</v>
      </c>
      <c r="D15" s="474">
        <f>+Report1!P14</f>
        <v>0</v>
      </c>
      <c r="E15" s="475">
        <f>+Report1!R14</f>
        <v>0</v>
      </c>
      <c r="F15" s="512"/>
      <c r="G15" s="513" t="e">
        <f t="shared" si="0"/>
        <v>#DIV/0!</v>
      </c>
      <c r="H15" s="514">
        <f t="shared" si="113"/>
        <v>0</v>
      </c>
      <c r="I15" s="512"/>
      <c r="J15" s="513" t="e">
        <f t="shared" si="1"/>
        <v>#DIV/0!</v>
      </c>
      <c r="K15" s="514">
        <f t="shared" si="114"/>
        <v>0</v>
      </c>
      <c r="L15" s="512"/>
      <c r="M15" s="513" t="e">
        <f t="shared" si="2"/>
        <v>#DIV/0!</v>
      </c>
      <c r="N15" s="514">
        <f t="shared" si="115"/>
        <v>0</v>
      </c>
      <c r="O15" s="512"/>
      <c r="P15" s="513" t="e">
        <f t="shared" si="3"/>
        <v>#DIV/0!</v>
      </c>
      <c r="Q15" s="514">
        <f t="shared" si="116"/>
        <v>0</v>
      </c>
      <c r="R15" s="512"/>
      <c r="S15" s="513" t="e">
        <f t="shared" si="4"/>
        <v>#DIV/0!</v>
      </c>
      <c r="T15" s="514">
        <f t="shared" si="117"/>
        <v>0</v>
      </c>
      <c r="U15" s="512">
        <v>6.25</v>
      </c>
      <c r="V15" s="513" t="e">
        <f t="shared" si="5"/>
        <v>#DIV/0!</v>
      </c>
      <c r="W15" s="514">
        <f t="shared" si="118"/>
        <v>0</v>
      </c>
      <c r="X15" s="512"/>
      <c r="Y15" s="513" t="e">
        <f t="shared" si="6"/>
        <v>#DIV/0!</v>
      </c>
      <c r="Z15" s="514">
        <f t="shared" si="119"/>
        <v>0</v>
      </c>
      <c r="AA15" s="512"/>
      <c r="AB15" s="513" t="e">
        <f t="shared" si="7"/>
        <v>#DIV/0!</v>
      </c>
      <c r="AC15" s="514">
        <f t="shared" si="120"/>
        <v>0</v>
      </c>
      <c r="AD15" s="512"/>
      <c r="AE15" s="513" t="e">
        <f t="shared" si="8"/>
        <v>#DIV/0!</v>
      </c>
      <c r="AF15" s="514">
        <f t="shared" si="121"/>
        <v>0</v>
      </c>
      <c r="AG15" s="512"/>
      <c r="AH15" s="513" t="e">
        <f t="shared" si="9"/>
        <v>#DIV/0!</v>
      </c>
      <c r="AI15" s="514">
        <f t="shared" si="122"/>
        <v>0</v>
      </c>
      <c r="AJ15" s="512"/>
      <c r="AK15" s="513" t="e">
        <f t="shared" si="10"/>
        <v>#DIV/0!</v>
      </c>
      <c r="AL15" s="514">
        <f t="shared" si="123"/>
        <v>0</v>
      </c>
      <c r="AM15" s="512"/>
      <c r="AN15" s="513" t="e">
        <f t="shared" si="11"/>
        <v>#DIV/0!</v>
      </c>
      <c r="AO15" s="514">
        <f t="shared" si="124"/>
        <v>0</v>
      </c>
      <c r="AP15" s="512"/>
      <c r="AQ15" s="513" t="e">
        <f t="shared" si="12"/>
        <v>#DIV/0!</v>
      </c>
      <c r="AR15" s="514">
        <f t="shared" si="125"/>
        <v>0</v>
      </c>
      <c r="AS15" s="512"/>
      <c r="AT15" s="513" t="e">
        <f t="shared" si="13"/>
        <v>#DIV/0!</v>
      </c>
      <c r="AU15" s="514">
        <f t="shared" si="126"/>
        <v>0</v>
      </c>
      <c r="AV15" s="512"/>
      <c r="AW15" s="513" t="e">
        <f t="shared" si="14"/>
        <v>#DIV/0!</v>
      </c>
      <c r="AX15" s="514">
        <f t="shared" si="127"/>
        <v>0</v>
      </c>
      <c r="AY15" s="512"/>
      <c r="AZ15" s="513" t="e">
        <f t="shared" si="15"/>
        <v>#DIV/0!</v>
      </c>
      <c r="BA15" s="514">
        <f t="shared" si="128"/>
        <v>0</v>
      </c>
      <c r="BB15" s="512"/>
      <c r="BC15" s="513" t="e">
        <f t="shared" si="16"/>
        <v>#DIV/0!</v>
      </c>
      <c r="BD15" s="514">
        <f t="shared" si="129"/>
        <v>0</v>
      </c>
      <c r="BE15" s="512"/>
      <c r="BF15" s="513" t="e">
        <f t="shared" si="17"/>
        <v>#DIV/0!</v>
      </c>
      <c r="BG15" s="514">
        <f t="shared" si="130"/>
        <v>0</v>
      </c>
      <c r="BH15" s="512"/>
      <c r="BI15" s="513" t="e">
        <f t="shared" si="18"/>
        <v>#DIV/0!</v>
      </c>
      <c r="BJ15" s="514">
        <f t="shared" si="131"/>
        <v>0</v>
      </c>
      <c r="BK15" s="512"/>
      <c r="BL15" s="513" t="e">
        <f t="shared" si="19"/>
        <v>#DIV/0!</v>
      </c>
      <c r="BM15" s="514">
        <f t="shared" si="132"/>
        <v>0</v>
      </c>
      <c r="BN15" s="512"/>
      <c r="BO15" s="513" t="e">
        <f t="shared" si="20"/>
        <v>#DIV/0!</v>
      </c>
      <c r="BP15" s="514">
        <f t="shared" si="133"/>
        <v>0</v>
      </c>
      <c r="BQ15" s="512"/>
      <c r="BR15" s="513" t="e">
        <f t="shared" si="21"/>
        <v>#DIV/0!</v>
      </c>
      <c r="BS15" s="514">
        <f t="shared" si="134"/>
        <v>0</v>
      </c>
      <c r="BT15" s="512"/>
      <c r="BU15" s="513" t="e">
        <f t="shared" si="22"/>
        <v>#DIV/0!</v>
      </c>
      <c r="BV15" s="514">
        <f t="shared" si="135"/>
        <v>0</v>
      </c>
      <c r="BW15" s="512"/>
      <c r="BX15" s="513" t="e">
        <f t="shared" si="23"/>
        <v>#DIV/0!</v>
      </c>
      <c r="BY15" s="514">
        <f t="shared" si="136"/>
        <v>0</v>
      </c>
      <c r="BZ15" s="512"/>
      <c r="CA15" s="513" t="e">
        <f t="shared" si="24"/>
        <v>#DIV/0!</v>
      </c>
      <c r="CB15" s="514">
        <f t="shared" si="137"/>
        <v>0</v>
      </c>
      <c r="CC15" s="512"/>
      <c r="CD15" s="513" t="e">
        <f t="shared" si="25"/>
        <v>#DIV/0!</v>
      </c>
      <c r="CE15" s="514">
        <f t="shared" si="138"/>
        <v>0</v>
      </c>
      <c r="CF15" s="512"/>
      <c r="CG15" s="513" t="e">
        <f t="shared" si="26"/>
        <v>#DIV/0!</v>
      </c>
      <c r="CH15" s="514">
        <f t="shared" si="139"/>
        <v>0</v>
      </c>
      <c r="CI15" s="512"/>
      <c r="CJ15" s="513" t="e">
        <f t="shared" si="27"/>
        <v>#DIV/0!</v>
      </c>
      <c r="CK15" s="514">
        <f t="shared" si="140"/>
        <v>0</v>
      </c>
      <c r="CL15" s="512"/>
      <c r="CM15" s="513" t="e">
        <f t="shared" si="28"/>
        <v>#DIV/0!</v>
      </c>
      <c r="CN15" s="514">
        <f t="shared" si="141"/>
        <v>0</v>
      </c>
      <c r="CO15" s="512"/>
      <c r="CP15" s="513" t="e">
        <f t="shared" si="29"/>
        <v>#DIV/0!</v>
      </c>
      <c r="CQ15" s="514">
        <f t="shared" si="142"/>
        <v>0</v>
      </c>
      <c r="CR15" s="512"/>
      <c r="CS15" s="513" t="e">
        <f t="shared" si="30"/>
        <v>#DIV/0!</v>
      </c>
      <c r="CT15" s="514">
        <f t="shared" si="143"/>
        <v>0</v>
      </c>
      <c r="CU15" s="512"/>
      <c r="CV15" s="513" t="e">
        <f t="shared" si="31"/>
        <v>#DIV/0!</v>
      </c>
      <c r="CW15" s="514">
        <f t="shared" si="144"/>
        <v>0</v>
      </c>
      <c r="CX15" s="512"/>
      <c r="CY15" s="513" t="e">
        <f t="shared" si="32"/>
        <v>#DIV/0!</v>
      </c>
      <c r="CZ15" s="514">
        <f t="shared" si="145"/>
        <v>0</v>
      </c>
      <c r="DA15" s="512"/>
      <c r="DB15" s="513" t="e">
        <f t="shared" si="33"/>
        <v>#DIV/0!</v>
      </c>
      <c r="DC15" s="514">
        <f t="shared" si="146"/>
        <v>0</v>
      </c>
      <c r="DD15" s="512"/>
      <c r="DE15" s="513" t="e">
        <f t="shared" si="34"/>
        <v>#DIV/0!</v>
      </c>
      <c r="DF15" s="514">
        <f t="shared" si="147"/>
        <v>0</v>
      </c>
      <c r="DG15" s="512"/>
      <c r="DH15" s="513" t="e">
        <f t="shared" si="35"/>
        <v>#DIV/0!</v>
      </c>
      <c r="DI15" s="514">
        <f t="shared" ref="DI15:DI40" si="203">+DG15*$H$9</f>
        <v>0</v>
      </c>
      <c r="DJ15" s="512"/>
      <c r="DK15" s="513" t="e">
        <f t="shared" si="36"/>
        <v>#DIV/0!</v>
      </c>
      <c r="DL15" s="514">
        <f t="shared" si="148"/>
        <v>0</v>
      </c>
      <c r="DM15" s="512"/>
      <c r="DN15" s="513" t="e">
        <f t="shared" si="37"/>
        <v>#DIV/0!</v>
      </c>
      <c r="DO15" s="514">
        <f t="shared" si="149"/>
        <v>0</v>
      </c>
      <c r="DP15" s="512"/>
      <c r="DQ15" s="513" t="e">
        <f t="shared" si="38"/>
        <v>#DIV/0!</v>
      </c>
      <c r="DR15" s="514">
        <f t="shared" si="150"/>
        <v>0</v>
      </c>
      <c r="DS15" s="512"/>
      <c r="DT15" s="513" t="e">
        <f t="shared" si="39"/>
        <v>#DIV/0!</v>
      </c>
      <c r="DU15" s="514">
        <f t="shared" si="151"/>
        <v>0</v>
      </c>
      <c r="DV15" s="512"/>
      <c r="DW15" s="513" t="e">
        <f t="shared" si="40"/>
        <v>#DIV/0!</v>
      </c>
      <c r="DX15" s="514">
        <f t="shared" si="152"/>
        <v>0</v>
      </c>
      <c r="DY15" s="512"/>
      <c r="DZ15" s="513" t="e">
        <f t="shared" si="41"/>
        <v>#DIV/0!</v>
      </c>
      <c r="EA15" s="514">
        <f t="shared" si="153"/>
        <v>0</v>
      </c>
      <c r="EB15" s="512"/>
      <c r="EC15" s="513" t="e">
        <f t="shared" si="42"/>
        <v>#DIV/0!</v>
      </c>
      <c r="ED15" s="514">
        <f t="shared" si="154"/>
        <v>0</v>
      </c>
      <c r="EE15" s="512">
        <v>7.2674418604651692</v>
      </c>
      <c r="EF15" s="513" t="e">
        <f t="shared" si="43"/>
        <v>#DIV/0!</v>
      </c>
      <c r="EG15" s="514">
        <f t="shared" si="155"/>
        <v>0</v>
      </c>
      <c r="EH15" s="512"/>
      <c r="EI15" s="513" t="e">
        <f t="shared" si="44"/>
        <v>#DIV/0!</v>
      </c>
      <c r="EJ15" s="514">
        <f t="shared" si="156"/>
        <v>0</v>
      </c>
      <c r="EK15" s="512"/>
      <c r="EL15" s="513" t="e">
        <f t="shared" si="45"/>
        <v>#DIV/0!</v>
      </c>
      <c r="EM15" s="514">
        <f t="shared" si="157"/>
        <v>0</v>
      </c>
      <c r="EN15" s="512"/>
      <c r="EO15" s="513" t="e">
        <f t="shared" si="46"/>
        <v>#DIV/0!</v>
      </c>
      <c r="EP15" s="514">
        <f t="shared" si="158"/>
        <v>0</v>
      </c>
      <c r="EQ15" s="512"/>
      <c r="ER15" s="513" t="e">
        <f t="shared" si="47"/>
        <v>#DIV/0!</v>
      </c>
      <c r="ES15" s="514">
        <f t="shared" si="159"/>
        <v>0</v>
      </c>
      <c r="ET15" s="512"/>
      <c r="EU15" s="513" t="e">
        <f t="shared" si="48"/>
        <v>#DIV/0!</v>
      </c>
      <c r="EV15" s="514">
        <f t="shared" si="160"/>
        <v>0</v>
      </c>
      <c r="EW15" s="512"/>
      <c r="EX15" s="513" t="e">
        <f t="shared" si="49"/>
        <v>#DIV/0!</v>
      </c>
      <c r="EY15" s="514">
        <f t="shared" si="161"/>
        <v>0</v>
      </c>
      <c r="EZ15" s="512"/>
      <c r="FA15" s="513" t="e">
        <f t="shared" si="50"/>
        <v>#DIV/0!</v>
      </c>
      <c r="FB15" s="514">
        <f t="shared" si="162"/>
        <v>0</v>
      </c>
      <c r="FC15" s="512"/>
      <c r="FD15" s="513" t="e">
        <f t="shared" si="51"/>
        <v>#DIV/0!</v>
      </c>
      <c r="FE15" s="514">
        <f t="shared" si="163"/>
        <v>0</v>
      </c>
      <c r="FF15" s="512"/>
      <c r="FG15" s="513" t="e">
        <f t="shared" si="52"/>
        <v>#DIV/0!</v>
      </c>
      <c r="FH15" s="514">
        <f t="shared" si="164"/>
        <v>0</v>
      </c>
      <c r="FI15" s="512"/>
      <c r="FJ15" s="513" t="e">
        <f t="shared" si="53"/>
        <v>#DIV/0!</v>
      </c>
      <c r="FK15" s="514">
        <f t="shared" si="165"/>
        <v>0</v>
      </c>
      <c r="FL15" s="512"/>
      <c r="FM15" s="513" t="e">
        <f t="shared" si="54"/>
        <v>#DIV/0!</v>
      </c>
      <c r="FN15" s="514">
        <f t="shared" si="166"/>
        <v>0</v>
      </c>
      <c r="FO15" s="512"/>
      <c r="FP15" s="513" t="e">
        <f t="shared" si="55"/>
        <v>#DIV/0!</v>
      </c>
      <c r="FQ15" s="514">
        <f t="shared" si="167"/>
        <v>0</v>
      </c>
      <c r="FR15" s="512"/>
      <c r="FS15" s="513" t="e">
        <f t="shared" si="56"/>
        <v>#DIV/0!</v>
      </c>
      <c r="FT15" s="514">
        <f t="shared" si="168"/>
        <v>0</v>
      </c>
      <c r="FU15" s="512"/>
      <c r="FV15" s="513" t="e">
        <f t="shared" si="57"/>
        <v>#DIV/0!</v>
      </c>
      <c r="FW15" s="514">
        <f t="shared" si="169"/>
        <v>0</v>
      </c>
      <c r="FX15" s="512"/>
      <c r="FY15" s="513" t="e">
        <f t="shared" si="58"/>
        <v>#DIV/0!</v>
      </c>
      <c r="FZ15" s="514">
        <f t="shared" si="170"/>
        <v>0</v>
      </c>
      <c r="GA15" s="512"/>
      <c r="GB15" s="513" t="e">
        <f t="shared" si="59"/>
        <v>#DIV/0!</v>
      </c>
      <c r="GC15" s="514">
        <f t="shared" si="171"/>
        <v>0</v>
      </c>
      <c r="GD15" s="512"/>
      <c r="GE15" s="513" t="e">
        <f t="shared" si="60"/>
        <v>#DIV/0!</v>
      </c>
      <c r="GF15" s="514">
        <f t="shared" si="172"/>
        <v>0</v>
      </c>
      <c r="GG15" s="512"/>
      <c r="GH15" s="513" t="e">
        <f t="shared" si="61"/>
        <v>#DIV/0!</v>
      </c>
      <c r="GI15" s="514">
        <f t="shared" si="173"/>
        <v>0</v>
      </c>
      <c r="GJ15" s="512"/>
      <c r="GK15" s="513" t="e">
        <f t="shared" si="62"/>
        <v>#DIV/0!</v>
      </c>
      <c r="GL15" s="514">
        <f t="shared" si="174"/>
        <v>0</v>
      </c>
      <c r="GM15" s="512"/>
      <c r="GN15" s="513" t="e">
        <f t="shared" si="63"/>
        <v>#DIV/0!</v>
      </c>
      <c r="GO15" s="514">
        <f t="shared" si="175"/>
        <v>0</v>
      </c>
      <c r="GP15" s="512"/>
      <c r="GQ15" s="513" t="e">
        <f t="shared" si="64"/>
        <v>#DIV/0!</v>
      </c>
      <c r="GR15" s="514">
        <f t="shared" si="176"/>
        <v>0</v>
      </c>
      <c r="GS15" s="512"/>
      <c r="GT15" s="513" t="e">
        <f t="shared" si="65"/>
        <v>#DIV/0!</v>
      </c>
      <c r="GU15" s="514">
        <f t="shared" si="177"/>
        <v>0</v>
      </c>
      <c r="GV15" s="512"/>
      <c r="GW15" s="513" t="e">
        <f t="shared" si="66"/>
        <v>#DIV/0!</v>
      </c>
      <c r="GX15" s="514">
        <f t="shared" si="178"/>
        <v>0</v>
      </c>
      <c r="GY15" s="512"/>
      <c r="GZ15" s="513" t="e">
        <f t="shared" si="67"/>
        <v>#DIV/0!</v>
      </c>
      <c r="HA15" s="514">
        <f t="shared" si="179"/>
        <v>0</v>
      </c>
      <c r="HB15" s="512"/>
      <c r="HC15" s="513" t="e">
        <f t="shared" si="68"/>
        <v>#DIV/0!</v>
      </c>
      <c r="HD15" s="514">
        <f t="shared" si="180"/>
        <v>0</v>
      </c>
      <c r="HE15" s="512"/>
      <c r="HF15" s="513" t="e">
        <f t="shared" si="69"/>
        <v>#DIV/0!</v>
      </c>
      <c r="HG15" s="514">
        <f t="shared" si="181"/>
        <v>0</v>
      </c>
      <c r="HH15" s="512"/>
      <c r="HI15" s="513" t="e">
        <f t="shared" si="70"/>
        <v>#DIV/0!</v>
      </c>
      <c r="HJ15" s="514">
        <f t="shared" si="182"/>
        <v>0</v>
      </c>
      <c r="HK15" s="512"/>
      <c r="HL15" s="513" t="e">
        <f t="shared" si="71"/>
        <v>#DIV/0!</v>
      </c>
      <c r="HM15" s="514">
        <f t="shared" si="183"/>
        <v>0</v>
      </c>
      <c r="HN15" s="512"/>
      <c r="HO15" s="513" t="e">
        <f t="shared" si="72"/>
        <v>#DIV/0!</v>
      </c>
      <c r="HP15" s="514">
        <f t="shared" si="184"/>
        <v>0</v>
      </c>
      <c r="HQ15" s="512"/>
      <c r="HR15" s="513" t="e">
        <f t="shared" si="73"/>
        <v>#DIV/0!</v>
      </c>
      <c r="HS15" s="514">
        <f t="shared" si="185"/>
        <v>0</v>
      </c>
      <c r="HT15" s="512"/>
      <c r="HU15" s="513" t="e">
        <f t="shared" si="74"/>
        <v>#DIV/0!</v>
      </c>
      <c r="HV15" s="514">
        <f t="shared" si="186"/>
        <v>0</v>
      </c>
      <c r="HW15" s="512"/>
      <c r="HX15" s="513" t="e">
        <f t="shared" si="75"/>
        <v>#DIV/0!</v>
      </c>
      <c r="HY15" s="514">
        <f t="shared" si="187"/>
        <v>0</v>
      </c>
      <c r="HZ15" s="512"/>
      <c r="IA15" s="513" t="e">
        <f t="shared" si="76"/>
        <v>#DIV/0!</v>
      </c>
      <c r="IB15" s="514">
        <f t="shared" si="188"/>
        <v>0</v>
      </c>
      <c r="IC15" s="512"/>
      <c r="ID15" s="513" t="e">
        <f t="shared" si="77"/>
        <v>#DIV/0!</v>
      </c>
      <c r="IE15" s="514">
        <f t="shared" si="189"/>
        <v>0</v>
      </c>
      <c r="IF15" s="512"/>
      <c r="IG15" s="513" t="e">
        <f t="shared" si="78"/>
        <v>#DIV/0!</v>
      </c>
      <c r="IH15" s="514">
        <f t="shared" si="190"/>
        <v>0</v>
      </c>
      <c r="II15" s="512"/>
      <c r="IJ15" s="513" t="e">
        <f t="shared" si="79"/>
        <v>#DIV/0!</v>
      </c>
      <c r="IK15" s="514">
        <f t="shared" si="191"/>
        <v>0</v>
      </c>
      <c r="IL15" s="512"/>
      <c r="IM15" s="513" t="e">
        <f t="shared" si="80"/>
        <v>#DIV/0!</v>
      </c>
      <c r="IN15" s="514">
        <f t="shared" si="192"/>
        <v>0</v>
      </c>
      <c r="IO15" s="512"/>
      <c r="IP15" s="513" t="e">
        <f t="shared" si="81"/>
        <v>#DIV/0!</v>
      </c>
      <c r="IQ15" s="514">
        <f t="shared" si="193"/>
        <v>0</v>
      </c>
      <c r="IR15" s="512"/>
      <c r="IS15" s="513" t="e">
        <f t="shared" si="82"/>
        <v>#DIV/0!</v>
      </c>
      <c r="IT15" s="514">
        <f t="shared" si="194"/>
        <v>0</v>
      </c>
      <c r="IU15" s="512"/>
      <c r="IV15" s="513" t="e">
        <f t="shared" si="83"/>
        <v>#DIV/0!</v>
      </c>
      <c r="IW15" s="514">
        <f t="shared" si="195"/>
        <v>0</v>
      </c>
      <c r="IX15" s="512"/>
      <c r="IY15" s="513" t="e">
        <f t="shared" si="84"/>
        <v>#DIV/0!</v>
      </c>
      <c r="IZ15" s="514">
        <f t="shared" si="196"/>
        <v>0</v>
      </c>
      <c r="JA15" s="512"/>
      <c r="JB15" s="513" t="e">
        <f t="shared" si="85"/>
        <v>#DIV/0!</v>
      </c>
      <c r="JC15" s="514">
        <f t="shared" si="197"/>
        <v>0</v>
      </c>
      <c r="JD15" s="512"/>
      <c r="JE15" s="513" t="e">
        <f t="shared" si="86"/>
        <v>#DIV/0!</v>
      </c>
      <c r="JF15" s="514">
        <f t="shared" si="198"/>
        <v>0</v>
      </c>
      <c r="JG15" s="512"/>
      <c r="JH15" s="513" t="e">
        <f t="shared" si="87"/>
        <v>#DIV/0!</v>
      </c>
      <c r="JI15" s="514">
        <f t="shared" si="199"/>
        <v>0</v>
      </c>
      <c r="JJ15" s="512"/>
      <c r="JK15" s="514" t="str">
        <f t="shared" si="88"/>
        <v>0</v>
      </c>
      <c r="JL15" s="514" t="str">
        <f t="shared" si="89"/>
        <v>0</v>
      </c>
      <c r="JM15" s="512"/>
      <c r="JN15" s="514" t="str">
        <f t="shared" si="90"/>
        <v>0</v>
      </c>
      <c r="JO15" s="514" t="str">
        <f t="shared" si="91"/>
        <v>0</v>
      </c>
      <c r="JP15" s="512"/>
      <c r="JQ15" s="514" t="str">
        <f t="shared" si="92"/>
        <v>0</v>
      </c>
      <c r="JR15" s="514" t="str">
        <f t="shared" si="93"/>
        <v>0</v>
      </c>
      <c r="JS15" s="512"/>
      <c r="JT15" s="514" t="str">
        <f t="shared" si="94"/>
        <v>0</v>
      </c>
      <c r="JU15" s="514" t="str">
        <f t="shared" si="95"/>
        <v>0</v>
      </c>
      <c r="JV15" s="512"/>
      <c r="JW15" s="514" t="str">
        <f t="shared" si="96"/>
        <v>0</v>
      </c>
      <c r="JX15" s="514" t="str">
        <f t="shared" si="97"/>
        <v>0</v>
      </c>
      <c r="JY15" s="512"/>
      <c r="JZ15" s="514" t="str">
        <f t="shared" si="98"/>
        <v>0</v>
      </c>
      <c r="KA15" s="514" t="str">
        <f t="shared" si="99"/>
        <v>0</v>
      </c>
      <c r="KB15" s="512"/>
      <c r="KC15" s="514" t="str">
        <f t="shared" si="100"/>
        <v>0</v>
      </c>
      <c r="KD15" s="514" t="str">
        <f t="shared" si="101"/>
        <v>0</v>
      </c>
      <c r="KE15" s="512"/>
      <c r="KF15" s="514" t="str">
        <f t="shared" si="102"/>
        <v>0</v>
      </c>
      <c r="KG15" s="514" t="str">
        <f t="shared" si="103"/>
        <v>0</v>
      </c>
      <c r="KH15" s="512"/>
      <c r="KI15" s="514" t="str">
        <f t="shared" si="104"/>
        <v>0</v>
      </c>
      <c r="KJ15" s="514" t="str">
        <f t="shared" si="105"/>
        <v>0</v>
      </c>
      <c r="KK15" s="512"/>
      <c r="KL15" s="514" t="str">
        <f t="shared" si="106"/>
        <v>0</v>
      </c>
      <c r="KM15" s="514" t="str">
        <f t="shared" si="107"/>
        <v>0</v>
      </c>
      <c r="KN15" s="512"/>
      <c r="KO15" s="514" t="str">
        <f t="shared" si="108"/>
        <v>0</v>
      </c>
      <c r="KP15" s="514" t="str">
        <f t="shared" si="109"/>
        <v>0</v>
      </c>
      <c r="KQ15" s="512"/>
      <c r="KR15" s="514" t="str">
        <f t="shared" si="110"/>
        <v>0</v>
      </c>
      <c r="KS15" s="514" t="str">
        <f t="shared" si="111"/>
        <v>0</v>
      </c>
      <c r="KT15" s="514">
        <f t="shared" si="201"/>
        <v>0</v>
      </c>
      <c r="KU15" s="514">
        <f t="shared" si="202"/>
        <v>0</v>
      </c>
      <c r="KV15" s="263">
        <f t="shared" si="112"/>
        <v>13.517441860465169</v>
      </c>
    </row>
    <row r="16" spans="1:308" ht="15" customHeight="1">
      <c r="A16" s="471">
        <f t="shared" si="200"/>
        <v>45937</v>
      </c>
      <c r="B16" s="472" t="str">
        <f>+Report1!B15</f>
        <v>STOP</v>
      </c>
      <c r="C16" s="473" t="str">
        <f>+Report1!C15</f>
        <v>17</v>
      </c>
      <c r="D16" s="474">
        <f>+Report1!P15</f>
        <v>0</v>
      </c>
      <c r="E16" s="475">
        <f>+Report1!R15</f>
        <v>0</v>
      </c>
      <c r="F16" s="512"/>
      <c r="G16" s="513" t="e">
        <f t="shared" si="0"/>
        <v>#DIV/0!</v>
      </c>
      <c r="H16" s="514">
        <f t="shared" si="113"/>
        <v>0</v>
      </c>
      <c r="I16" s="512"/>
      <c r="J16" s="513" t="e">
        <f t="shared" si="1"/>
        <v>#DIV/0!</v>
      </c>
      <c r="K16" s="514">
        <f t="shared" si="114"/>
        <v>0</v>
      </c>
      <c r="L16" s="512"/>
      <c r="M16" s="513" t="e">
        <f t="shared" si="2"/>
        <v>#DIV/0!</v>
      </c>
      <c r="N16" s="514">
        <f t="shared" si="115"/>
        <v>0</v>
      </c>
      <c r="O16" s="512"/>
      <c r="P16" s="513" t="e">
        <f t="shared" si="3"/>
        <v>#DIV/0!</v>
      </c>
      <c r="Q16" s="514">
        <f t="shared" si="116"/>
        <v>0</v>
      </c>
      <c r="R16" s="512"/>
      <c r="S16" s="513" t="e">
        <f t="shared" si="4"/>
        <v>#DIV/0!</v>
      </c>
      <c r="T16" s="514">
        <f t="shared" si="117"/>
        <v>0</v>
      </c>
      <c r="U16" s="512">
        <v>6.2499999999999858</v>
      </c>
      <c r="V16" s="513" t="e">
        <f t="shared" si="5"/>
        <v>#DIV/0!</v>
      </c>
      <c r="W16" s="514">
        <f t="shared" si="118"/>
        <v>0</v>
      </c>
      <c r="X16" s="512"/>
      <c r="Y16" s="513" t="e">
        <f t="shared" si="6"/>
        <v>#DIV/0!</v>
      </c>
      <c r="Z16" s="514">
        <f t="shared" si="119"/>
        <v>0</v>
      </c>
      <c r="AA16" s="512"/>
      <c r="AB16" s="513" t="e">
        <f t="shared" si="7"/>
        <v>#DIV/0!</v>
      </c>
      <c r="AC16" s="514">
        <f t="shared" si="120"/>
        <v>0</v>
      </c>
      <c r="AD16" s="512"/>
      <c r="AE16" s="513" t="e">
        <f t="shared" si="8"/>
        <v>#DIV/0!</v>
      </c>
      <c r="AF16" s="514">
        <f t="shared" si="121"/>
        <v>0</v>
      </c>
      <c r="AG16" s="512"/>
      <c r="AH16" s="513" t="e">
        <f t="shared" si="9"/>
        <v>#DIV/0!</v>
      </c>
      <c r="AI16" s="514">
        <f t="shared" si="122"/>
        <v>0</v>
      </c>
      <c r="AJ16" s="512"/>
      <c r="AK16" s="513" t="e">
        <f t="shared" si="10"/>
        <v>#DIV/0!</v>
      </c>
      <c r="AL16" s="514">
        <f t="shared" si="123"/>
        <v>0</v>
      </c>
      <c r="AM16" s="512"/>
      <c r="AN16" s="513" t="e">
        <f t="shared" si="11"/>
        <v>#DIV/0!</v>
      </c>
      <c r="AO16" s="514">
        <f t="shared" si="124"/>
        <v>0</v>
      </c>
      <c r="AP16" s="512"/>
      <c r="AQ16" s="513" t="e">
        <f t="shared" si="12"/>
        <v>#DIV/0!</v>
      </c>
      <c r="AR16" s="514">
        <f t="shared" si="125"/>
        <v>0</v>
      </c>
      <c r="AS16" s="512"/>
      <c r="AT16" s="513" t="e">
        <f t="shared" si="13"/>
        <v>#DIV/0!</v>
      </c>
      <c r="AU16" s="514">
        <f t="shared" si="126"/>
        <v>0</v>
      </c>
      <c r="AV16" s="512"/>
      <c r="AW16" s="513" t="e">
        <f t="shared" si="14"/>
        <v>#DIV/0!</v>
      </c>
      <c r="AX16" s="514">
        <f t="shared" si="127"/>
        <v>0</v>
      </c>
      <c r="AY16" s="512"/>
      <c r="AZ16" s="513" t="e">
        <f t="shared" si="15"/>
        <v>#DIV/0!</v>
      </c>
      <c r="BA16" s="514">
        <f t="shared" si="128"/>
        <v>0</v>
      </c>
      <c r="BB16" s="512"/>
      <c r="BC16" s="513" t="e">
        <f t="shared" si="16"/>
        <v>#DIV/0!</v>
      </c>
      <c r="BD16" s="514">
        <f t="shared" si="129"/>
        <v>0</v>
      </c>
      <c r="BE16" s="512"/>
      <c r="BF16" s="513" t="e">
        <f t="shared" si="17"/>
        <v>#DIV/0!</v>
      </c>
      <c r="BG16" s="514">
        <f t="shared" si="130"/>
        <v>0</v>
      </c>
      <c r="BH16" s="512"/>
      <c r="BI16" s="513" t="e">
        <f t="shared" si="18"/>
        <v>#DIV/0!</v>
      </c>
      <c r="BJ16" s="514">
        <f t="shared" si="131"/>
        <v>0</v>
      </c>
      <c r="BK16" s="512"/>
      <c r="BL16" s="513" t="e">
        <f t="shared" si="19"/>
        <v>#DIV/0!</v>
      </c>
      <c r="BM16" s="514">
        <f t="shared" si="132"/>
        <v>0</v>
      </c>
      <c r="BN16" s="512"/>
      <c r="BO16" s="513" t="e">
        <f t="shared" si="20"/>
        <v>#DIV/0!</v>
      </c>
      <c r="BP16" s="514">
        <f t="shared" si="133"/>
        <v>0</v>
      </c>
      <c r="BQ16" s="512"/>
      <c r="BR16" s="513" t="e">
        <f t="shared" si="21"/>
        <v>#DIV/0!</v>
      </c>
      <c r="BS16" s="514">
        <f t="shared" si="134"/>
        <v>0</v>
      </c>
      <c r="BT16" s="512"/>
      <c r="BU16" s="513" t="e">
        <f t="shared" si="22"/>
        <v>#DIV/0!</v>
      </c>
      <c r="BV16" s="514">
        <f t="shared" si="135"/>
        <v>0</v>
      </c>
      <c r="BW16" s="512"/>
      <c r="BX16" s="513" t="e">
        <f t="shared" si="23"/>
        <v>#DIV/0!</v>
      </c>
      <c r="BY16" s="514">
        <f t="shared" si="136"/>
        <v>0</v>
      </c>
      <c r="BZ16" s="512"/>
      <c r="CA16" s="513" t="e">
        <f t="shared" si="24"/>
        <v>#DIV/0!</v>
      </c>
      <c r="CB16" s="514">
        <f t="shared" si="137"/>
        <v>0</v>
      </c>
      <c r="CC16" s="512"/>
      <c r="CD16" s="513" t="e">
        <f t="shared" si="25"/>
        <v>#DIV/0!</v>
      </c>
      <c r="CE16" s="514">
        <f t="shared" si="138"/>
        <v>0</v>
      </c>
      <c r="CF16" s="512"/>
      <c r="CG16" s="513" t="e">
        <f t="shared" si="26"/>
        <v>#DIV/0!</v>
      </c>
      <c r="CH16" s="514">
        <f t="shared" si="139"/>
        <v>0</v>
      </c>
      <c r="CI16" s="512"/>
      <c r="CJ16" s="513" t="e">
        <f t="shared" si="27"/>
        <v>#DIV/0!</v>
      </c>
      <c r="CK16" s="514">
        <f t="shared" si="140"/>
        <v>0</v>
      </c>
      <c r="CL16" s="512"/>
      <c r="CM16" s="513" t="e">
        <f t="shared" si="28"/>
        <v>#DIV/0!</v>
      </c>
      <c r="CN16" s="514">
        <f t="shared" si="141"/>
        <v>0</v>
      </c>
      <c r="CO16" s="512"/>
      <c r="CP16" s="513" t="e">
        <f t="shared" si="29"/>
        <v>#DIV/0!</v>
      </c>
      <c r="CQ16" s="514">
        <f t="shared" si="142"/>
        <v>0</v>
      </c>
      <c r="CR16" s="512"/>
      <c r="CS16" s="513" t="e">
        <f t="shared" si="30"/>
        <v>#DIV/0!</v>
      </c>
      <c r="CT16" s="514">
        <f t="shared" si="143"/>
        <v>0</v>
      </c>
      <c r="CU16" s="512"/>
      <c r="CV16" s="513" t="e">
        <f t="shared" si="31"/>
        <v>#DIV/0!</v>
      </c>
      <c r="CW16" s="514">
        <f t="shared" si="144"/>
        <v>0</v>
      </c>
      <c r="CX16" s="512"/>
      <c r="CY16" s="513" t="e">
        <f t="shared" si="32"/>
        <v>#DIV/0!</v>
      </c>
      <c r="CZ16" s="514">
        <f t="shared" si="145"/>
        <v>0</v>
      </c>
      <c r="DA16" s="512"/>
      <c r="DB16" s="513" t="e">
        <f t="shared" si="33"/>
        <v>#DIV/0!</v>
      </c>
      <c r="DC16" s="514">
        <f t="shared" si="146"/>
        <v>0</v>
      </c>
      <c r="DD16" s="512"/>
      <c r="DE16" s="513" t="e">
        <f t="shared" si="34"/>
        <v>#DIV/0!</v>
      </c>
      <c r="DF16" s="514">
        <f t="shared" si="147"/>
        <v>0</v>
      </c>
      <c r="DG16" s="512"/>
      <c r="DH16" s="513" t="e">
        <f t="shared" si="35"/>
        <v>#DIV/0!</v>
      </c>
      <c r="DI16" s="514">
        <f t="shared" si="203"/>
        <v>0</v>
      </c>
      <c r="DJ16" s="512"/>
      <c r="DK16" s="513" t="e">
        <f t="shared" si="36"/>
        <v>#DIV/0!</v>
      </c>
      <c r="DL16" s="514">
        <f t="shared" si="148"/>
        <v>0</v>
      </c>
      <c r="DM16" s="512"/>
      <c r="DN16" s="513" t="e">
        <f t="shared" si="37"/>
        <v>#DIV/0!</v>
      </c>
      <c r="DO16" s="514">
        <f t="shared" si="149"/>
        <v>0</v>
      </c>
      <c r="DP16" s="512"/>
      <c r="DQ16" s="513" t="e">
        <f t="shared" si="38"/>
        <v>#DIV/0!</v>
      </c>
      <c r="DR16" s="514">
        <f t="shared" si="150"/>
        <v>0</v>
      </c>
      <c r="DS16" s="512"/>
      <c r="DT16" s="513" t="e">
        <f t="shared" si="39"/>
        <v>#DIV/0!</v>
      </c>
      <c r="DU16" s="514">
        <f t="shared" si="151"/>
        <v>0</v>
      </c>
      <c r="DV16" s="512"/>
      <c r="DW16" s="513" t="e">
        <f t="shared" si="40"/>
        <v>#DIV/0!</v>
      </c>
      <c r="DX16" s="514">
        <f t="shared" si="152"/>
        <v>0</v>
      </c>
      <c r="DY16" s="512"/>
      <c r="DZ16" s="513" t="e">
        <f t="shared" si="41"/>
        <v>#DIV/0!</v>
      </c>
      <c r="EA16" s="514">
        <f t="shared" si="153"/>
        <v>0</v>
      </c>
      <c r="EB16" s="512"/>
      <c r="EC16" s="513" t="e">
        <f t="shared" si="42"/>
        <v>#DIV/0!</v>
      </c>
      <c r="ED16" s="514">
        <f t="shared" si="154"/>
        <v>0</v>
      </c>
      <c r="EE16" s="512">
        <v>14.534883720930225</v>
      </c>
      <c r="EF16" s="513" t="e">
        <f t="shared" si="43"/>
        <v>#DIV/0!</v>
      </c>
      <c r="EG16" s="514">
        <f t="shared" si="155"/>
        <v>0</v>
      </c>
      <c r="EH16" s="512"/>
      <c r="EI16" s="513" t="e">
        <f t="shared" si="44"/>
        <v>#DIV/0!</v>
      </c>
      <c r="EJ16" s="514">
        <f t="shared" si="156"/>
        <v>0</v>
      </c>
      <c r="EK16" s="512"/>
      <c r="EL16" s="513" t="e">
        <f t="shared" si="45"/>
        <v>#DIV/0!</v>
      </c>
      <c r="EM16" s="514">
        <f t="shared" si="157"/>
        <v>0</v>
      </c>
      <c r="EN16" s="512"/>
      <c r="EO16" s="513" t="e">
        <f t="shared" si="46"/>
        <v>#DIV/0!</v>
      </c>
      <c r="EP16" s="514">
        <f t="shared" si="158"/>
        <v>0</v>
      </c>
      <c r="EQ16" s="512"/>
      <c r="ER16" s="513" t="e">
        <f t="shared" si="47"/>
        <v>#DIV/0!</v>
      </c>
      <c r="ES16" s="514">
        <f t="shared" si="159"/>
        <v>0</v>
      </c>
      <c r="ET16" s="512"/>
      <c r="EU16" s="513" t="e">
        <f t="shared" si="48"/>
        <v>#DIV/0!</v>
      </c>
      <c r="EV16" s="514">
        <f t="shared" si="160"/>
        <v>0</v>
      </c>
      <c r="EW16" s="512"/>
      <c r="EX16" s="513" t="e">
        <f t="shared" si="49"/>
        <v>#DIV/0!</v>
      </c>
      <c r="EY16" s="514">
        <f t="shared" si="161"/>
        <v>0</v>
      </c>
      <c r="EZ16" s="512"/>
      <c r="FA16" s="513" t="e">
        <f t="shared" si="50"/>
        <v>#DIV/0!</v>
      </c>
      <c r="FB16" s="514">
        <f t="shared" si="162"/>
        <v>0</v>
      </c>
      <c r="FC16" s="512"/>
      <c r="FD16" s="513" t="e">
        <f t="shared" si="51"/>
        <v>#DIV/0!</v>
      </c>
      <c r="FE16" s="514">
        <f t="shared" si="163"/>
        <v>0</v>
      </c>
      <c r="FF16" s="512"/>
      <c r="FG16" s="513" t="e">
        <f t="shared" si="52"/>
        <v>#DIV/0!</v>
      </c>
      <c r="FH16" s="514">
        <f t="shared" si="164"/>
        <v>0</v>
      </c>
      <c r="FI16" s="512"/>
      <c r="FJ16" s="513" t="e">
        <f t="shared" si="53"/>
        <v>#DIV/0!</v>
      </c>
      <c r="FK16" s="514">
        <f t="shared" si="165"/>
        <v>0</v>
      </c>
      <c r="FL16" s="512"/>
      <c r="FM16" s="513" t="e">
        <f t="shared" si="54"/>
        <v>#DIV/0!</v>
      </c>
      <c r="FN16" s="514">
        <f t="shared" si="166"/>
        <v>0</v>
      </c>
      <c r="FO16" s="512"/>
      <c r="FP16" s="513" t="e">
        <f t="shared" si="55"/>
        <v>#DIV/0!</v>
      </c>
      <c r="FQ16" s="514">
        <f t="shared" si="167"/>
        <v>0</v>
      </c>
      <c r="FR16" s="512"/>
      <c r="FS16" s="513" t="e">
        <f t="shared" si="56"/>
        <v>#DIV/0!</v>
      </c>
      <c r="FT16" s="514">
        <f t="shared" si="168"/>
        <v>0</v>
      </c>
      <c r="FU16" s="512"/>
      <c r="FV16" s="513" t="e">
        <f t="shared" si="57"/>
        <v>#DIV/0!</v>
      </c>
      <c r="FW16" s="514">
        <f t="shared" si="169"/>
        <v>0</v>
      </c>
      <c r="FX16" s="512"/>
      <c r="FY16" s="513" t="e">
        <f t="shared" si="58"/>
        <v>#DIV/0!</v>
      </c>
      <c r="FZ16" s="514">
        <f t="shared" si="170"/>
        <v>0</v>
      </c>
      <c r="GA16" s="512"/>
      <c r="GB16" s="513" t="e">
        <f t="shared" si="59"/>
        <v>#DIV/0!</v>
      </c>
      <c r="GC16" s="514">
        <f t="shared" si="171"/>
        <v>0</v>
      </c>
      <c r="GD16" s="512"/>
      <c r="GE16" s="513" t="e">
        <f t="shared" si="60"/>
        <v>#DIV/0!</v>
      </c>
      <c r="GF16" s="514">
        <f t="shared" si="172"/>
        <v>0</v>
      </c>
      <c r="GG16" s="512"/>
      <c r="GH16" s="513" t="e">
        <f t="shared" si="61"/>
        <v>#DIV/0!</v>
      </c>
      <c r="GI16" s="514">
        <f t="shared" si="173"/>
        <v>0</v>
      </c>
      <c r="GJ16" s="512"/>
      <c r="GK16" s="513" t="e">
        <f t="shared" si="62"/>
        <v>#DIV/0!</v>
      </c>
      <c r="GL16" s="514">
        <f t="shared" si="174"/>
        <v>0</v>
      </c>
      <c r="GM16" s="512"/>
      <c r="GN16" s="513" t="e">
        <f t="shared" si="63"/>
        <v>#DIV/0!</v>
      </c>
      <c r="GO16" s="514">
        <f t="shared" si="175"/>
        <v>0</v>
      </c>
      <c r="GP16" s="512"/>
      <c r="GQ16" s="513" t="e">
        <f t="shared" si="64"/>
        <v>#DIV/0!</v>
      </c>
      <c r="GR16" s="514">
        <f t="shared" si="176"/>
        <v>0</v>
      </c>
      <c r="GS16" s="512"/>
      <c r="GT16" s="513" t="e">
        <f t="shared" si="65"/>
        <v>#DIV/0!</v>
      </c>
      <c r="GU16" s="514">
        <f t="shared" si="177"/>
        <v>0</v>
      </c>
      <c r="GV16" s="512"/>
      <c r="GW16" s="513" t="e">
        <f t="shared" si="66"/>
        <v>#DIV/0!</v>
      </c>
      <c r="GX16" s="514">
        <f t="shared" si="178"/>
        <v>0</v>
      </c>
      <c r="GY16" s="512"/>
      <c r="GZ16" s="513" t="e">
        <f t="shared" si="67"/>
        <v>#DIV/0!</v>
      </c>
      <c r="HA16" s="514">
        <f t="shared" si="179"/>
        <v>0</v>
      </c>
      <c r="HB16" s="512"/>
      <c r="HC16" s="513" t="e">
        <f t="shared" si="68"/>
        <v>#DIV/0!</v>
      </c>
      <c r="HD16" s="514">
        <f t="shared" si="180"/>
        <v>0</v>
      </c>
      <c r="HE16" s="512"/>
      <c r="HF16" s="513" t="e">
        <f t="shared" si="69"/>
        <v>#DIV/0!</v>
      </c>
      <c r="HG16" s="514">
        <f t="shared" si="181"/>
        <v>0</v>
      </c>
      <c r="HH16" s="512"/>
      <c r="HI16" s="513" t="e">
        <f t="shared" si="70"/>
        <v>#DIV/0!</v>
      </c>
      <c r="HJ16" s="514">
        <f t="shared" si="182"/>
        <v>0</v>
      </c>
      <c r="HK16" s="512"/>
      <c r="HL16" s="513" t="e">
        <f t="shared" si="71"/>
        <v>#DIV/0!</v>
      </c>
      <c r="HM16" s="514">
        <f t="shared" si="183"/>
        <v>0</v>
      </c>
      <c r="HN16" s="512"/>
      <c r="HO16" s="513" t="e">
        <f t="shared" si="72"/>
        <v>#DIV/0!</v>
      </c>
      <c r="HP16" s="514">
        <f t="shared" si="184"/>
        <v>0</v>
      </c>
      <c r="HQ16" s="512"/>
      <c r="HR16" s="513" t="e">
        <f t="shared" si="73"/>
        <v>#DIV/0!</v>
      </c>
      <c r="HS16" s="514">
        <f t="shared" si="185"/>
        <v>0</v>
      </c>
      <c r="HT16" s="512"/>
      <c r="HU16" s="513" t="e">
        <f t="shared" si="74"/>
        <v>#DIV/0!</v>
      </c>
      <c r="HV16" s="514">
        <f t="shared" si="186"/>
        <v>0</v>
      </c>
      <c r="HW16" s="512"/>
      <c r="HX16" s="513" t="e">
        <f t="shared" si="75"/>
        <v>#DIV/0!</v>
      </c>
      <c r="HY16" s="514">
        <f t="shared" si="187"/>
        <v>0</v>
      </c>
      <c r="HZ16" s="512"/>
      <c r="IA16" s="513" t="e">
        <f t="shared" si="76"/>
        <v>#DIV/0!</v>
      </c>
      <c r="IB16" s="514">
        <f t="shared" si="188"/>
        <v>0</v>
      </c>
      <c r="IC16" s="512"/>
      <c r="ID16" s="513" t="e">
        <f t="shared" si="77"/>
        <v>#DIV/0!</v>
      </c>
      <c r="IE16" s="514">
        <f t="shared" si="189"/>
        <v>0</v>
      </c>
      <c r="IF16" s="512"/>
      <c r="IG16" s="513" t="e">
        <f t="shared" si="78"/>
        <v>#DIV/0!</v>
      </c>
      <c r="IH16" s="514">
        <f t="shared" si="190"/>
        <v>0</v>
      </c>
      <c r="II16" s="512"/>
      <c r="IJ16" s="513" t="e">
        <f t="shared" si="79"/>
        <v>#DIV/0!</v>
      </c>
      <c r="IK16" s="514">
        <f t="shared" si="191"/>
        <v>0</v>
      </c>
      <c r="IL16" s="512"/>
      <c r="IM16" s="513" t="e">
        <f t="shared" si="80"/>
        <v>#DIV/0!</v>
      </c>
      <c r="IN16" s="514">
        <f t="shared" si="192"/>
        <v>0</v>
      </c>
      <c r="IO16" s="512"/>
      <c r="IP16" s="513" t="e">
        <f t="shared" si="81"/>
        <v>#DIV/0!</v>
      </c>
      <c r="IQ16" s="514">
        <f t="shared" si="193"/>
        <v>0</v>
      </c>
      <c r="IR16" s="512"/>
      <c r="IS16" s="513" t="e">
        <f t="shared" si="82"/>
        <v>#DIV/0!</v>
      </c>
      <c r="IT16" s="514">
        <f t="shared" si="194"/>
        <v>0</v>
      </c>
      <c r="IU16" s="512"/>
      <c r="IV16" s="513" t="e">
        <f t="shared" si="83"/>
        <v>#DIV/0!</v>
      </c>
      <c r="IW16" s="514">
        <f t="shared" si="195"/>
        <v>0</v>
      </c>
      <c r="IX16" s="512"/>
      <c r="IY16" s="513" t="e">
        <f t="shared" si="84"/>
        <v>#DIV/0!</v>
      </c>
      <c r="IZ16" s="514">
        <f t="shared" si="196"/>
        <v>0</v>
      </c>
      <c r="JA16" s="512"/>
      <c r="JB16" s="513" t="e">
        <f t="shared" si="85"/>
        <v>#DIV/0!</v>
      </c>
      <c r="JC16" s="514">
        <f t="shared" si="197"/>
        <v>0</v>
      </c>
      <c r="JD16" s="512"/>
      <c r="JE16" s="513" t="e">
        <f t="shared" si="86"/>
        <v>#DIV/0!</v>
      </c>
      <c r="JF16" s="514">
        <f t="shared" si="198"/>
        <v>0</v>
      </c>
      <c r="JG16" s="512"/>
      <c r="JH16" s="513" t="e">
        <f t="shared" si="87"/>
        <v>#DIV/0!</v>
      </c>
      <c r="JI16" s="514">
        <f t="shared" si="199"/>
        <v>0</v>
      </c>
      <c r="JJ16" s="512"/>
      <c r="JK16" s="514" t="str">
        <f t="shared" si="88"/>
        <v>0</v>
      </c>
      <c r="JL16" s="514" t="str">
        <f t="shared" si="89"/>
        <v>0</v>
      </c>
      <c r="JM16" s="512"/>
      <c r="JN16" s="514" t="str">
        <f t="shared" si="90"/>
        <v>0</v>
      </c>
      <c r="JO16" s="514" t="str">
        <f t="shared" si="91"/>
        <v>0</v>
      </c>
      <c r="JP16" s="512"/>
      <c r="JQ16" s="514" t="str">
        <f t="shared" si="92"/>
        <v>0</v>
      </c>
      <c r="JR16" s="514" t="str">
        <f t="shared" si="93"/>
        <v>0</v>
      </c>
      <c r="JS16" s="512"/>
      <c r="JT16" s="514" t="str">
        <f t="shared" si="94"/>
        <v>0</v>
      </c>
      <c r="JU16" s="514" t="str">
        <f t="shared" si="95"/>
        <v>0</v>
      </c>
      <c r="JV16" s="512"/>
      <c r="JW16" s="514" t="str">
        <f t="shared" si="96"/>
        <v>0</v>
      </c>
      <c r="JX16" s="514" t="str">
        <f t="shared" si="97"/>
        <v>0</v>
      </c>
      <c r="JY16" s="512"/>
      <c r="JZ16" s="514" t="str">
        <f t="shared" si="98"/>
        <v>0</v>
      </c>
      <c r="KA16" s="514" t="str">
        <f t="shared" si="99"/>
        <v>0</v>
      </c>
      <c r="KB16" s="512"/>
      <c r="KC16" s="514" t="str">
        <f t="shared" si="100"/>
        <v>0</v>
      </c>
      <c r="KD16" s="514" t="str">
        <f t="shared" si="101"/>
        <v>0</v>
      </c>
      <c r="KE16" s="512"/>
      <c r="KF16" s="514" t="str">
        <f t="shared" si="102"/>
        <v>0</v>
      </c>
      <c r="KG16" s="514" t="str">
        <f t="shared" si="103"/>
        <v>0</v>
      </c>
      <c r="KH16" s="512"/>
      <c r="KI16" s="514" t="str">
        <f t="shared" si="104"/>
        <v>0</v>
      </c>
      <c r="KJ16" s="514" t="str">
        <f t="shared" si="105"/>
        <v>0</v>
      </c>
      <c r="KK16" s="512"/>
      <c r="KL16" s="514" t="str">
        <f t="shared" si="106"/>
        <v>0</v>
      </c>
      <c r="KM16" s="514" t="str">
        <f t="shared" si="107"/>
        <v>0</v>
      </c>
      <c r="KN16" s="512"/>
      <c r="KO16" s="514" t="str">
        <f t="shared" si="108"/>
        <v>0</v>
      </c>
      <c r="KP16" s="514" t="str">
        <f t="shared" si="109"/>
        <v>0</v>
      </c>
      <c r="KQ16" s="512"/>
      <c r="KR16" s="514" t="str">
        <f t="shared" si="110"/>
        <v>0</v>
      </c>
      <c r="KS16" s="514" t="str">
        <f t="shared" si="111"/>
        <v>0</v>
      </c>
      <c r="KT16" s="514">
        <f t="shared" si="201"/>
        <v>0</v>
      </c>
      <c r="KU16" s="514">
        <f t="shared" si="202"/>
        <v>0</v>
      </c>
      <c r="KV16" s="263">
        <f t="shared" si="112"/>
        <v>20.78488372093021</v>
      </c>
    </row>
    <row r="17" spans="1:308" ht="15" customHeight="1">
      <c r="A17" s="471">
        <f t="shared" si="200"/>
        <v>45938</v>
      </c>
      <c r="B17" s="472" t="str">
        <f>+Report1!B16</f>
        <v>STOP</v>
      </c>
      <c r="C17" s="473" t="str">
        <f>+Report1!C16</f>
        <v>17</v>
      </c>
      <c r="D17" s="474">
        <f>+Report1!P16</f>
        <v>0</v>
      </c>
      <c r="E17" s="475">
        <f>+Report1!R16</f>
        <v>0</v>
      </c>
      <c r="F17" s="512"/>
      <c r="G17" s="513" t="e">
        <f t="shared" si="0"/>
        <v>#DIV/0!</v>
      </c>
      <c r="H17" s="514">
        <f t="shared" si="113"/>
        <v>0</v>
      </c>
      <c r="I17" s="512"/>
      <c r="J17" s="513" t="e">
        <f t="shared" si="1"/>
        <v>#DIV/0!</v>
      </c>
      <c r="K17" s="514">
        <f t="shared" si="114"/>
        <v>0</v>
      </c>
      <c r="L17" s="512"/>
      <c r="M17" s="513" t="e">
        <f t="shared" si="2"/>
        <v>#DIV/0!</v>
      </c>
      <c r="N17" s="514">
        <f t="shared" si="115"/>
        <v>0</v>
      </c>
      <c r="O17" s="512"/>
      <c r="P17" s="513" t="e">
        <f t="shared" si="3"/>
        <v>#DIV/0!</v>
      </c>
      <c r="Q17" s="514">
        <f t="shared" si="116"/>
        <v>0</v>
      </c>
      <c r="R17" s="512"/>
      <c r="S17" s="513" t="e">
        <f t="shared" si="4"/>
        <v>#DIV/0!</v>
      </c>
      <c r="T17" s="514">
        <f t="shared" si="117"/>
        <v>0</v>
      </c>
      <c r="U17" s="512">
        <v>6.25</v>
      </c>
      <c r="V17" s="513" t="e">
        <f t="shared" si="5"/>
        <v>#DIV/0!</v>
      </c>
      <c r="W17" s="514">
        <f t="shared" si="118"/>
        <v>0</v>
      </c>
      <c r="X17" s="512"/>
      <c r="Y17" s="513" t="e">
        <f t="shared" si="6"/>
        <v>#DIV/0!</v>
      </c>
      <c r="Z17" s="514">
        <f t="shared" si="119"/>
        <v>0</v>
      </c>
      <c r="AA17" s="512"/>
      <c r="AB17" s="513" t="e">
        <f t="shared" si="7"/>
        <v>#DIV/0!</v>
      </c>
      <c r="AC17" s="514">
        <f t="shared" si="120"/>
        <v>0</v>
      </c>
      <c r="AD17" s="512"/>
      <c r="AE17" s="513" t="e">
        <f t="shared" si="8"/>
        <v>#DIV/0!</v>
      </c>
      <c r="AF17" s="514">
        <f t="shared" si="121"/>
        <v>0</v>
      </c>
      <c r="AG17" s="512"/>
      <c r="AH17" s="513" t="e">
        <f t="shared" si="9"/>
        <v>#DIV/0!</v>
      </c>
      <c r="AI17" s="514">
        <f t="shared" si="122"/>
        <v>0</v>
      </c>
      <c r="AJ17" s="512"/>
      <c r="AK17" s="513" t="e">
        <f t="shared" si="10"/>
        <v>#DIV/0!</v>
      </c>
      <c r="AL17" s="514">
        <f t="shared" si="123"/>
        <v>0</v>
      </c>
      <c r="AM17" s="512"/>
      <c r="AN17" s="513" t="e">
        <f t="shared" si="11"/>
        <v>#DIV/0!</v>
      </c>
      <c r="AO17" s="514">
        <f t="shared" si="124"/>
        <v>0</v>
      </c>
      <c r="AP17" s="512"/>
      <c r="AQ17" s="513" t="e">
        <f t="shared" si="12"/>
        <v>#DIV/0!</v>
      </c>
      <c r="AR17" s="514">
        <f t="shared" si="125"/>
        <v>0</v>
      </c>
      <c r="AS17" s="512"/>
      <c r="AT17" s="513" t="e">
        <f t="shared" si="13"/>
        <v>#DIV/0!</v>
      </c>
      <c r="AU17" s="514">
        <f t="shared" si="126"/>
        <v>0</v>
      </c>
      <c r="AV17" s="512"/>
      <c r="AW17" s="513" t="e">
        <f t="shared" si="14"/>
        <v>#DIV/0!</v>
      </c>
      <c r="AX17" s="514">
        <f t="shared" si="127"/>
        <v>0</v>
      </c>
      <c r="AY17" s="512"/>
      <c r="AZ17" s="513" t="e">
        <f t="shared" si="15"/>
        <v>#DIV/0!</v>
      </c>
      <c r="BA17" s="514">
        <f t="shared" si="128"/>
        <v>0</v>
      </c>
      <c r="BB17" s="512"/>
      <c r="BC17" s="513" t="e">
        <f t="shared" si="16"/>
        <v>#DIV/0!</v>
      </c>
      <c r="BD17" s="514">
        <f t="shared" si="129"/>
        <v>0</v>
      </c>
      <c r="BE17" s="512"/>
      <c r="BF17" s="513" t="e">
        <f t="shared" si="17"/>
        <v>#DIV/0!</v>
      </c>
      <c r="BG17" s="514">
        <f t="shared" si="130"/>
        <v>0</v>
      </c>
      <c r="BH17" s="512"/>
      <c r="BI17" s="513" t="e">
        <f t="shared" si="18"/>
        <v>#DIV/0!</v>
      </c>
      <c r="BJ17" s="514">
        <f t="shared" si="131"/>
        <v>0</v>
      </c>
      <c r="BK17" s="512"/>
      <c r="BL17" s="513" t="e">
        <f t="shared" si="19"/>
        <v>#DIV/0!</v>
      </c>
      <c r="BM17" s="514">
        <f t="shared" si="132"/>
        <v>0</v>
      </c>
      <c r="BN17" s="512"/>
      <c r="BO17" s="513" t="e">
        <f t="shared" si="20"/>
        <v>#DIV/0!</v>
      </c>
      <c r="BP17" s="514">
        <f t="shared" si="133"/>
        <v>0</v>
      </c>
      <c r="BQ17" s="512"/>
      <c r="BR17" s="513" t="e">
        <f t="shared" si="21"/>
        <v>#DIV/0!</v>
      </c>
      <c r="BS17" s="514">
        <f t="shared" si="134"/>
        <v>0</v>
      </c>
      <c r="BT17" s="512"/>
      <c r="BU17" s="513" t="e">
        <f t="shared" si="22"/>
        <v>#DIV/0!</v>
      </c>
      <c r="BV17" s="514">
        <f t="shared" si="135"/>
        <v>0</v>
      </c>
      <c r="BW17" s="512"/>
      <c r="BX17" s="513" t="e">
        <f t="shared" si="23"/>
        <v>#DIV/0!</v>
      </c>
      <c r="BY17" s="514">
        <f t="shared" si="136"/>
        <v>0</v>
      </c>
      <c r="BZ17" s="512">
        <v>259.3604651162791</v>
      </c>
      <c r="CA17" s="513" t="e">
        <f t="shared" si="24"/>
        <v>#DIV/0!</v>
      </c>
      <c r="CB17" s="514">
        <f t="shared" si="137"/>
        <v>0</v>
      </c>
      <c r="CC17" s="512"/>
      <c r="CD17" s="513" t="e">
        <f t="shared" si="25"/>
        <v>#DIV/0!</v>
      </c>
      <c r="CE17" s="514">
        <f t="shared" si="138"/>
        <v>0</v>
      </c>
      <c r="CF17" s="512"/>
      <c r="CG17" s="513" t="e">
        <f t="shared" si="26"/>
        <v>#DIV/0!</v>
      </c>
      <c r="CH17" s="514">
        <f t="shared" si="139"/>
        <v>0</v>
      </c>
      <c r="CI17" s="512"/>
      <c r="CJ17" s="513" t="e">
        <f t="shared" si="27"/>
        <v>#DIV/0!</v>
      </c>
      <c r="CK17" s="514">
        <f t="shared" si="140"/>
        <v>0</v>
      </c>
      <c r="CL17" s="512"/>
      <c r="CM17" s="513" t="e">
        <f t="shared" si="28"/>
        <v>#DIV/0!</v>
      </c>
      <c r="CN17" s="514">
        <f t="shared" si="141"/>
        <v>0</v>
      </c>
      <c r="CO17" s="512"/>
      <c r="CP17" s="513" t="e">
        <f t="shared" si="29"/>
        <v>#DIV/0!</v>
      </c>
      <c r="CQ17" s="514">
        <f t="shared" si="142"/>
        <v>0</v>
      </c>
      <c r="CR17" s="512"/>
      <c r="CS17" s="513" t="e">
        <f t="shared" si="30"/>
        <v>#DIV/0!</v>
      </c>
      <c r="CT17" s="514">
        <f t="shared" si="143"/>
        <v>0</v>
      </c>
      <c r="CU17" s="512"/>
      <c r="CV17" s="513" t="e">
        <f t="shared" si="31"/>
        <v>#DIV/0!</v>
      </c>
      <c r="CW17" s="514">
        <f t="shared" si="144"/>
        <v>0</v>
      </c>
      <c r="CX17" s="512"/>
      <c r="CY17" s="513" t="e">
        <f t="shared" si="32"/>
        <v>#DIV/0!</v>
      </c>
      <c r="CZ17" s="514">
        <f t="shared" si="145"/>
        <v>0</v>
      </c>
      <c r="DA17" s="512"/>
      <c r="DB17" s="513" t="e">
        <f t="shared" si="33"/>
        <v>#DIV/0!</v>
      </c>
      <c r="DC17" s="514">
        <f t="shared" si="146"/>
        <v>0</v>
      </c>
      <c r="DD17" s="512"/>
      <c r="DE17" s="513" t="e">
        <f t="shared" si="34"/>
        <v>#DIV/0!</v>
      </c>
      <c r="DF17" s="514">
        <f t="shared" si="147"/>
        <v>0</v>
      </c>
      <c r="DG17" s="512"/>
      <c r="DH17" s="513" t="e">
        <f t="shared" si="35"/>
        <v>#DIV/0!</v>
      </c>
      <c r="DI17" s="514">
        <f t="shared" si="203"/>
        <v>0</v>
      </c>
      <c r="DJ17" s="512"/>
      <c r="DK17" s="513" t="e">
        <f t="shared" si="36"/>
        <v>#DIV/0!</v>
      </c>
      <c r="DL17" s="514">
        <f t="shared" si="148"/>
        <v>0</v>
      </c>
      <c r="DM17" s="512"/>
      <c r="DN17" s="513" t="e">
        <f t="shared" si="37"/>
        <v>#DIV/0!</v>
      </c>
      <c r="DO17" s="514">
        <f t="shared" si="149"/>
        <v>0</v>
      </c>
      <c r="DP17" s="512"/>
      <c r="DQ17" s="513" t="e">
        <f t="shared" si="38"/>
        <v>#DIV/0!</v>
      </c>
      <c r="DR17" s="514">
        <f t="shared" si="150"/>
        <v>0</v>
      </c>
      <c r="DS17" s="512"/>
      <c r="DT17" s="513" t="e">
        <f t="shared" si="39"/>
        <v>#DIV/0!</v>
      </c>
      <c r="DU17" s="514">
        <f t="shared" si="151"/>
        <v>0</v>
      </c>
      <c r="DV17" s="512"/>
      <c r="DW17" s="513" t="e">
        <f t="shared" si="40"/>
        <v>#DIV/0!</v>
      </c>
      <c r="DX17" s="514">
        <f t="shared" si="152"/>
        <v>0</v>
      </c>
      <c r="DY17" s="512"/>
      <c r="DZ17" s="513" t="e">
        <f t="shared" si="41"/>
        <v>#DIV/0!</v>
      </c>
      <c r="EA17" s="514">
        <f t="shared" si="153"/>
        <v>0</v>
      </c>
      <c r="EB17" s="512"/>
      <c r="EC17" s="513" t="e">
        <f t="shared" si="42"/>
        <v>#DIV/0!</v>
      </c>
      <c r="ED17" s="514">
        <f t="shared" si="154"/>
        <v>0</v>
      </c>
      <c r="EE17" s="512">
        <v>14.534883720930225</v>
      </c>
      <c r="EF17" s="513" t="e">
        <f t="shared" si="43"/>
        <v>#DIV/0!</v>
      </c>
      <c r="EG17" s="514">
        <f t="shared" si="155"/>
        <v>0</v>
      </c>
      <c r="EH17" s="512"/>
      <c r="EI17" s="513" t="e">
        <f t="shared" si="44"/>
        <v>#DIV/0!</v>
      </c>
      <c r="EJ17" s="514">
        <f t="shared" si="156"/>
        <v>0</v>
      </c>
      <c r="EK17" s="512"/>
      <c r="EL17" s="513" t="e">
        <f t="shared" si="45"/>
        <v>#DIV/0!</v>
      </c>
      <c r="EM17" s="514">
        <f t="shared" si="157"/>
        <v>0</v>
      </c>
      <c r="EN17" s="512"/>
      <c r="EO17" s="513" t="e">
        <f t="shared" si="46"/>
        <v>#DIV/0!</v>
      </c>
      <c r="EP17" s="514">
        <f t="shared" si="158"/>
        <v>0</v>
      </c>
      <c r="EQ17" s="512"/>
      <c r="ER17" s="513" t="e">
        <f t="shared" si="47"/>
        <v>#DIV/0!</v>
      </c>
      <c r="ES17" s="514">
        <f t="shared" si="159"/>
        <v>0</v>
      </c>
      <c r="ET17" s="512"/>
      <c r="EU17" s="513" t="e">
        <f t="shared" si="48"/>
        <v>#DIV/0!</v>
      </c>
      <c r="EV17" s="514">
        <f t="shared" si="160"/>
        <v>0</v>
      </c>
      <c r="EW17" s="512"/>
      <c r="EX17" s="513" t="e">
        <f t="shared" si="49"/>
        <v>#DIV/0!</v>
      </c>
      <c r="EY17" s="514">
        <f t="shared" si="161"/>
        <v>0</v>
      </c>
      <c r="EZ17" s="512"/>
      <c r="FA17" s="513" t="e">
        <f t="shared" si="50"/>
        <v>#DIV/0!</v>
      </c>
      <c r="FB17" s="514">
        <f t="shared" si="162"/>
        <v>0</v>
      </c>
      <c r="FC17" s="512"/>
      <c r="FD17" s="513" t="e">
        <f t="shared" si="51"/>
        <v>#DIV/0!</v>
      </c>
      <c r="FE17" s="514">
        <f t="shared" si="163"/>
        <v>0</v>
      </c>
      <c r="FF17" s="512"/>
      <c r="FG17" s="513" t="e">
        <f t="shared" si="52"/>
        <v>#DIV/0!</v>
      </c>
      <c r="FH17" s="514">
        <f t="shared" si="164"/>
        <v>0</v>
      </c>
      <c r="FI17" s="512"/>
      <c r="FJ17" s="513" t="e">
        <f t="shared" si="53"/>
        <v>#DIV/0!</v>
      </c>
      <c r="FK17" s="514">
        <f t="shared" si="165"/>
        <v>0</v>
      </c>
      <c r="FL17" s="512"/>
      <c r="FM17" s="513" t="e">
        <f t="shared" si="54"/>
        <v>#DIV/0!</v>
      </c>
      <c r="FN17" s="514">
        <f t="shared" si="166"/>
        <v>0</v>
      </c>
      <c r="FO17" s="512"/>
      <c r="FP17" s="513" t="e">
        <f t="shared" si="55"/>
        <v>#DIV/0!</v>
      </c>
      <c r="FQ17" s="514">
        <f t="shared" si="167"/>
        <v>0</v>
      </c>
      <c r="FR17" s="512"/>
      <c r="FS17" s="513" t="e">
        <f t="shared" si="56"/>
        <v>#DIV/0!</v>
      </c>
      <c r="FT17" s="514">
        <f t="shared" si="168"/>
        <v>0</v>
      </c>
      <c r="FU17" s="512"/>
      <c r="FV17" s="513" t="e">
        <f t="shared" si="57"/>
        <v>#DIV/0!</v>
      </c>
      <c r="FW17" s="514">
        <f t="shared" si="169"/>
        <v>0</v>
      </c>
      <c r="FX17" s="512"/>
      <c r="FY17" s="513" t="e">
        <f t="shared" si="58"/>
        <v>#DIV/0!</v>
      </c>
      <c r="FZ17" s="514">
        <f t="shared" si="170"/>
        <v>0</v>
      </c>
      <c r="GA17" s="512"/>
      <c r="GB17" s="513" t="e">
        <f t="shared" si="59"/>
        <v>#DIV/0!</v>
      </c>
      <c r="GC17" s="514">
        <f t="shared" si="171"/>
        <v>0</v>
      </c>
      <c r="GD17" s="512"/>
      <c r="GE17" s="513" t="e">
        <f t="shared" si="60"/>
        <v>#DIV/0!</v>
      </c>
      <c r="GF17" s="514">
        <f t="shared" si="172"/>
        <v>0</v>
      </c>
      <c r="GG17" s="512"/>
      <c r="GH17" s="513" t="e">
        <f t="shared" si="61"/>
        <v>#DIV/0!</v>
      </c>
      <c r="GI17" s="514">
        <f t="shared" si="173"/>
        <v>0</v>
      </c>
      <c r="GJ17" s="512"/>
      <c r="GK17" s="513" t="e">
        <f t="shared" si="62"/>
        <v>#DIV/0!</v>
      </c>
      <c r="GL17" s="514">
        <f t="shared" si="174"/>
        <v>0</v>
      </c>
      <c r="GM17" s="512"/>
      <c r="GN17" s="513" t="e">
        <f t="shared" si="63"/>
        <v>#DIV/0!</v>
      </c>
      <c r="GO17" s="514">
        <f t="shared" si="175"/>
        <v>0</v>
      </c>
      <c r="GP17" s="512"/>
      <c r="GQ17" s="513" t="e">
        <f t="shared" si="64"/>
        <v>#DIV/0!</v>
      </c>
      <c r="GR17" s="514">
        <f t="shared" si="176"/>
        <v>0</v>
      </c>
      <c r="GS17" s="512"/>
      <c r="GT17" s="513" t="e">
        <f t="shared" si="65"/>
        <v>#DIV/0!</v>
      </c>
      <c r="GU17" s="514">
        <f t="shared" si="177"/>
        <v>0</v>
      </c>
      <c r="GV17" s="512"/>
      <c r="GW17" s="513" t="e">
        <f t="shared" si="66"/>
        <v>#DIV/0!</v>
      </c>
      <c r="GX17" s="514">
        <f t="shared" si="178"/>
        <v>0</v>
      </c>
      <c r="GY17" s="512"/>
      <c r="GZ17" s="513" t="e">
        <f t="shared" si="67"/>
        <v>#DIV/0!</v>
      </c>
      <c r="HA17" s="514">
        <f t="shared" si="179"/>
        <v>0</v>
      </c>
      <c r="HB17" s="512"/>
      <c r="HC17" s="513" t="e">
        <f t="shared" si="68"/>
        <v>#DIV/0!</v>
      </c>
      <c r="HD17" s="514">
        <f t="shared" si="180"/>
        <v>0</v>
      </c>
      <c r="HE17" s="512"/>
      <c r="HF17" s="513" t="e">
        <f t="shared" si="69"/>
        <v>#DIV/0!</v>
      </c>
      <c r="HG17" s="514">
        <f t="shared" si="181"/>
        <v>0</v>
      </c>
      <c r="HH17" s="512"/>
      <c r="HI17" s="513" t="e">
        <f t="shared" si="70"/>
        <v>#DIV/0!</v>
      </c>
      <c r="HJ17" s="514">
        <f t="shared" si="182"/>
        <v>0</v>
      </c>
      <c r="HK17" s="512"/>
      <c r="HL17" s="513" t="e">
        <f t="shared" si="71"/>
        <v>#DIV/0!</v>
      </c>
      <c r="HM17" s="514">
        <f t="shared" si="183"/>
        <v>0</v>
      </c>
      <c r="HN17" s="512"/>
      <c r="HO17" s="513" t="e">
        <f t="shared" si="72"/>
        <v>#DIV/0!</v>
      </c>
      <c r="HP17" s="514">
        <f t="shared" si="184"/>
        <v>0</v>
      </c>
      <c r="HQ17" s="512"/>
      <c r="HR17" s="513" t="e">
        <f t="shared" si="73"/>
        <v>#DIV/0!</v>
      </c>
      <c r="HS17" s="514">
        <f t="shared" si="185"/>
        <v>0</v>
      </c>
      <c r="HT17" s="512"/>
      <c r="HU17" s="513" t="e">
        <f t="shared" si="74"/>
        <v>#DIV/0!</v>
      </c>
      <c r="HV17" s="514">
        <f t="shared" si="186"/>
        <v>0</v>
      </c>
      <c r="HW17" s="512"/>
      <c r="HX17" s="513" t="e">
        <f t="shared" si="75"/>
        <v>#DIV/0!</v>
      </c>
      <c r="HY17" s="514">
        <f t="shared" si="187"/>
        <v>0</v>
      </c>
      <c r="HZ17" s="512"/>
      <c r="IA17" s="513" t="e">
        <f t="shared" si="76"/>
        <v>#DIV/0!</v>
      </c>
      <c r="IB17" s="514">
        <f t="shared" si="188"/>
        <v>0</v>
      </c>
      <c r="IC17" s="512"/>
      <c r="ID17" s="513" t="e">
        <f t="shared" si="77"/>
        <v>#DIV/0!</v>
      </c>
      <c r="IE17" s="514">
        <f t="shared" si="189"/>
        <v>0</v>
      </c>
      <c r="IF17" s="512"/>
      <c r="IG17" s="513" t="e">
        <f t="shared" si="78"/>
        <v>#DIV/0!</v>
      </c>
      <c r="IH17" s="514">
        <f t="shared" si="190"/>
        <v>0</v>
      </c>
      <c r="II17" s="512"/>
      <c r="IJ17" s="513" t="e">
        <f t="shared" si="79"/>
        <v>#DIV/0!</v>
      </c>
      <c r="IK17" s="514">
        <f t="shared" si="191"/>
        <v>0</v>
      </c>
      <c r="IL17" s="512"/>
      <c r="IM17" s="513" t="e">
        <f t="shared" si="80"/>
        <v>#DIV/0!</v>
      </c>
      <c r="IN17" s="514">
        <f t="shared" si="192"/>
        <v>0</v>
      </c>
      <c r="IO17" s="512"/>
      <c r="IP17" s="513" t="e">
        <f t="shared" si="81"/>
        <v>#DIV/0!</v>
      </c>
      <c r="IQ17" s="514">
        <f t="shared" si="193"/>
        <v>0</v>
      </c>
      <c r="IR17" s="512"/>
      <c r="IS17" s="513" t="e">
        <f t="shared" si="82"/>
        <v>#DIV/0!</v>
      </c>
      <c r="IT17" s="514">
        <f t="shared" si="194"/>
        <v>0</v>
      </c>
      <c r="IU17" s="512"/>
      <c r="IV17" s="513" t="e">
        <f t="shared" si="83"/>
        <v>#DIV/0!</v>
      </c>
      <c r="IW17" s="514">
        <f t="shared" si="195"/>
        <v>0</v>
      </c>
      <c r="IX17" s="512"/>
      <c r="IY17" s="513" t="e">
        <f t="shared" si="84"/>
        <v>#DIV/0!</v>
      </c>
      <c r="IZ17" s="514">
        <f t="shared" si="196"/>
        <v>0</v>
      </c>
      <c r="JA17" s="512"/>
      <c r="JB17" s="513" t="e">
        <f t="shared" si="85"/>
        <v>#DIV/0!</v>
      </c>
      <c r="JC17" s="514">
        <f t="shared" si="197"/>
        <v>0</v>
      </c>
      <c r="JD17" s="512"/>
      <c r="JE17" s="513" t="e">
        <f t="shared" si="86"/>
        <v>#DIV/0!</v>
      </c>
      <c r="JF17" s="514">
        <f t="shared" si="198"/>
        <v>0</v>
      </c>
      <c r="JG17" s="512"/>
      <c r="JH17" s="513" t="e">
        <f t="shared" si="87"/>
        <v>#DIV/0!</v>
      </c>
      <c r="JI17" s="514">
        <f t="shared" si="199"/>
        <v>0</v>
      </c>
      <c r="JJ17" s="512"/>
      <c r="JK17" s="514" t="str">
        <f t="shared" si="88"/>
        <v>0</v>
      </c>
      <c r="JL17" s="514" t="str">
        <f t="shared" si="89"/>
        <v>0</v>
      </c>
      <c r="JM17" s="512"/>
      <c r="JN17" s="514" t="str">
        <f t="shared" si="90"/>
        <v>0</v>
      </c>
      <c r="JO17" s="514" t="str">
        <f t="shared" si="91"/>
        <v>0</v>
      </c>
      <c r="JP17" s="512"/>
      <c r="JQ17" s="514" t="str">
        <f t="shared" si="92"/>
        <v>0</v>
      </c>
      <c r="JR17" s="514" t="str">
        <f t="shared" si="93"/>
        <v>0</v>
      </c>
      <c r="JS17" s="512"/>
      <c r="JT17" s="514" t="str">
        <f t="shared" si="94"/>
        <v>0</v>
      </c>
      <c r="JU17" s="514" t="str">
        <f t="shared" si="95"/>
        <v>0</v>
      </c>
      <c r="JV17" s="512"/>
      <c r="JW17" s="514" t="str">
        <f t="shared" si="96"/>
        <v>0</v>
      </c>
      <c r="JX17" s="514" t="str">
        <f t="shared" si="97"/>
        <v>0</v>
      </c>
      <c r="JY17" s="512"/>
      <c r="JZ17" s="514" t="str">
        <f t="shared" si="98"/>
        <v>0</v>
      </c>
      <c r="KA17" s="514" t="str">
        <f t="shared" si="99"/>
        <v>0</v>
      </c>
      <c r="KB17" s="512"/>
      <c r="KC17" s="514" t="str">
        <f t="shared" si="100"/>
        <v>0</v>
      </c>
      <c r="KD17" s="514" t="str">
        <f t="shared" si="101"/>
        <v>0</v>
      </c>
      <c r="KE17" s="512"/>
      <c r="KF17" s="514" t="str">
        <f t="shared" si="102"/>
        <v>0</v>
      </c>
      <c r="KG17" s="514" t="str">
        <f t="shared" si="103"/>
        <v>0</v>
      </c>
      <c r="KH17" s="512"/>
      <c r="KI17" s="514" t="str">
        <f t="shared" si="104"/>
        <v>0</v>
      </c>
      <c r="KJ17" s="514" t="str">
        <f t="shared" si="105"/>
        <v>0</v>
      </c>
      <c r="KK17" s="512"/>
      <c r="KL17" s="514" t="str">
        <f t="shared" si="106"/>
        <v>0</v>
      </c>
      <c r="KM17" s="514" t="str">
        <f t="shared" si="107"/>
        <v>0</v>
      </c>
      <c r="KN17" s="512"/>
      <c r="KO17" s="514" t="str">
        <f t="shared" si="108"/>
        <v>0</v>
      </c>
      <c r="KP17" s="514" t="str">
        <f t="shared" si="109"/>
        <v>0</v>
      </c>
      <c r="KQ17" s="512"/>
      <c r="KR17" s="514" t="str">
        <f t="shared" si="110"/>
        <v>0</v>
      </c>
      <c r="KS17" s="514" t="str">
        <f t="shared" si="111"/>
        <v>0</v>
      </c>
      <c r="KT17" s="514">
        <f t="shared" si="201"/>
        <v>0</v>
      </c>
      <c r="KU17" s="514">
        <f t="shared" si="202"/>
        <v>0</v>
      </c>
      <c r="KV17" s="263">
        <f t="shared" si="112"/>
        <v>280.14534883720933</v>
      </c>
    </row>
    <row r="18" spans="1:308" ht="15" customHeight="1">
      <c r="A18" s="471">
        <f t="shared" si="200"/>
        <v>45939</v>
      </c>
      <c r="B18" s="472" t="str">
        <f>+Report1!B17</f>
        <v>Toilet</v>
      </c>
      <c r="C18" s="473" t="str">
        <f>+Report1!C17</f>
        <v>14/14,5</v>
      </c>
      <c r="D18" s="474">
        <f>+Report1!P17</f>
        <v>22.434999999999999</v>
      </c>
      <c r="E18" s="475">
        <f>+Report1!R17</f>
        <v>17.867000000000001</v>
      </c>
      <c r="F18" s="512"/>
      <c r="G18" s="513">
        <f t="shared" si="0"/>
        <v>0</v>
      </c>
      <c r="H18" s="514">
        <f t="shared" si="113"/>
        <v>0</v>
      </c>
      <c r="I18" s="512"/>
      <c r="J18" s="513">
        <f t="shared" si="1"/>
        <v>0</v>
      </c>
      <c r="K18" s="514">
        <f t="shared" si="114"/>
        <v>0</v>
      </c>
      <c r="L18" s="512"/>
      <c r="M18" s="513">
        <f t="shared" si="2"/>
        <v>0</v>
      </c>
      <c r="N18" s="514">
        <f t="shared" si="115"/>
        <v>0</v>
      </c>
      <c r="O18" s="512">
        <v>12</v>
      </c>
      <c r="P18" s="513">
        <f t="shared" si="3"/>
        <v>0.67162926064812223</v>
      </c>
      <c r="Q18" s="514">
        <f t="shared" si="116"/>
        <v>0</v>
      </c>
      <c r="R18" s="512">
        <v>15.375</v>
      </c>
      <c r="S18" s="513">
        <f t="shared" si="4"/>
        <v>0.86052499020540663</v>
      </c>
      <c r="T18" s="514">
        <f t="shared" si="117"/>
        <v>0</v>
      </c>
      <c r="U18" s="512">
        <v>6.25</v>
      </c>
      <c r="V18" s="513">
        <f t="shared" si="5"/>
        <v>0.34980690658756364</v>
      </c>
      <c r="W18" s="514">
        <f t="shared" si="118"/>
        <v>0</v>
      </c>
      <c r="X18" s="512"/>
      <c r="Y18" s="513">
        <f t="shared" si="6"/>
        <v>0</v>
      </c>
      <c r="Z18" s="514">
        <f t="shared" si="119"/>
        <v>0</v>
      </c>
      <c r="AA18" s="512"/>
      <c r="AB18" s="513">
        <f t="shared" si="7"/>
        <v>0</v>
      </c>
      <c r="AC18" s="514">
        <f t="shared" si="120"/>
        <v>0</v>
      </c>
      <c r="AD18" s="512"/>
      <c r="AE18" s="513">
        <f t="shared" si="8"/>
        <v>0</v>
      </c>
      <c r="AF18" s="514">
        <f t="shared" si="121"/>
        <v>0</v>
      </c>
      <c r="AG18" s="512"/>
      <c r="AH18" s="513">
        <f t="shared" si="9"/>
        <v>0</v>
      </c>
      <c r="AI18" s="514">
        <f t="shared" si="122"/>
        <v>0</v>
      </c>
      <c r="AJ18" s="512"/>
      <c r="AK18" s="513">
        <f t="shared" si="10"/>
        <v>0</v>
      </c>
      <c r="AL18" s="514">
        <f t="shared" si="123"/>
        <v>0</v>
      </c>
      <c r="AM18" s="512"/>
      <c r="AN18" s="513">
        <f t="shared" si="11"/>
        <v>0</v>
      </c>
      <c r="AO18" s="514">
        <f t="shared" si="124"/>
        <v>0</v>
      </c>
      <c r="AP18" s="512">
        <v>23.65384615384616</v>
      </c>
      <c r="AQ18" s="513">
        <f t="shared" si="12"/>
        <v>1.3238846003160105</v>
      </c>
      <c r="AR18" s="514">
        <f t="shared" si="125"/>
        <v>0</v>
      </c>
      <c r="AS18" s="512"/>
      <c r="AT18" s="513">
        <f t="shared" si="13"/>
        <v>0</v>
      </c>
      <c r="AU18" s="514">
        <f t="shared" si="126"/>
        <v>0</v>
      </c>
      <c r="AV18" s="512">
        <v>2.7749999999999773</v>
      </c>
      <c r="AW18" s="513">
        <f t="shared" si="14"/>
        <v>0.15531426652487698</v>
      </c>
      <c r="AX18" s="514">
        <f t="shared" si="127"/>
        <v>0</v>
      </c>
      <c r="AY18" s="512">
        <v>28</v>
      </c>
      <c r="AZ18" s="513">
        <f t="shared" si="15"/>
        <v>1.5671349415122851</v>
      </c>
      <c r="BA18" s="514">
        <f t="shared" si="128"/>
        <v>0</v>
      </c>
      <c r="BB18" s="512"/>
      <c r="BC18" s="513">
        <f t="shared" si="16"/>
        <v>0</v>
      </c>
      <c r="BD18" s="514">
        <f t="shared" si="129"/>
        <v>0</v>
      </c>
      <c r="BE18" s="512"/>
      <c r="BF18" s="513">
        <f t="shared" si="17"/>
        <v>0</v>
      </c>
      <c r="BG18" s="514">
        <f t="shared" si="130"/>
        <v>0</v>
      </c>
      <c r="BH18" s="512"/>
      <c r="BI18" s="513">
        <f t="shared" si="18"/>
        <v>0</v>
      </c>
      <c r="BJ18" s="514">
        <f t="shared" si="131"/>
        <v>0</v>
      </c>
      <c r="BK18" s="512"/>
      <c r="BL18" s="513">
        <f t="shared" si="19"/>
        <v>0</v>
      </c>
      <c r="BM18" s="514">
        <f t="shared" si="132"/>
        <v>0</v>
      </c>
      <c r="BN18" s="512"/>
      <c r="BO18" s="513">
        <f t="shared" si="20"/>
        <v>0</v>
      </c>
      <c r="BP18" s="514">
        <f t="shared" si="133"/>
        <v>0</v>
      </c>
      <c r="BQ18" s="512"/>
      <c r="BR18" s="513">
        <f t="shared" si="21"/>
        <v>0</v>
      </c>
      <c r="BS18" s="514">
        <f t="shared" si="134"/>
        <v>0</v>
      </c>
      <c r="BT18" s="512"/>
      <c r="BU18" s="513">
        <f t="shared" si="22"/>
        <v>0</v>
      </c>
      <c r="BV18" s="514">
        <f t="shared" si="135"/>
        <v>0</v>
      </c>
      <c r="BW18" s="512"/>
      <c r="BX18" s="513">
        <f t="shared" si="23"/>
        <v>0</v>
      </c>
      <c r="BY18" s="514">
        <f t="shared" si="136"/>
        <v>0</v>
      </c>
      <c r="BZ18" s="512"/>
      <c r="CA18" s="513">
        <f t="shared" si="24"/>
        <v>0</v>
      </c>
      <c r="CB18" s="514">
        <f t="shared" si="137"/>
        <v>0</v>
      </c>
      <c r="CC18" s="512"/>
      <c r="CD18" s="513">
        <f t="shared" si="25"/>
        <v>0</v>
      </c>
      <c r="CE18" s="514">
        <f t="shared" si="138"/>
        <v>0</v>
      </c>
      <c r="CF18" s="512">
        <v>7</v>
      </c>
      <c r="CG18" s="513">
        <f t="shared" si="26"/>
        <v>0.39178373537807126</v>
      </c>
      <c r="CH18" s="514">
        <f t="shared" si="139"/>
        <v>0</v>
      </c>
      <c r="CI18" s="512"/>
      <c r="CJ18" s="513">
        <f t="shared" si="27"/>
        <v>0</v>
      </c>
      <c r="CK18" s="514">
        <f t="shared" si="140"/>
        <v>0</v>
      </c>
      <c r="CL18" s="512"/>
      <c r="CM18" s="513">
        <f t="shared" si="28"/>
        <v>0</v>
      </c>
      <c r="CN18" s="514">
        <f t="shared" si="141"/>
        <v>0</v>
      </c>
      <c r="CO18" s="512"/>
      <c r="CP18" s="513">
        <f t="shared" si="29"/>
        <v>0</v>
      </c>
      <c r="CQ18" s="514">
        <f t="shared" si="142"/>
        <v>0</v>
      </c>
      <c r="CR18" s="512"/>
      <c r="CS18" s="513">
        <f t="shared" si="30"/>
        <v>0</v>
      </c>
      <c r="CT18" s="514">
        <f t="shared" si="143"/>
        <v>0</v>
      </c>
      <c r="CU18" s="512"/>
      <c r="CV18" s="513">
        <f t="shared" si="31"/>
        <v>0</v>
      </c>
      <c r="CW18" s="514">
        <f t="shared" si="144"/>
        <v>0</v>
      </c>
      <c r="CX18" s="512"/>
      <c r="CY18" s="513">
        <f t="shared" si="32"/>
        <v>0</v>
      </c>
      <c r="CZ18" s="514">
        <f t="shared" si="145"/>
        <v>0</v>
      </c>
      <c r="DA18" s="512">
        <v>116.27906976744191</v>
      </c>
      <c r="DB18" s="513">
        <f t="shared" si="33"/>
        <v>6.5080354713965356</v>
      </c>
      <c r="DC18" s="514">
        <f t="shared" si="146"/>
        <v>0</v>
      </c>
      <c r="DD18" s="512"/>
      <c r="DE18" s="513">
        <f t="shared" si="34"/>
        <v>0</v>
      </c>
      <c r="DF18" s="514">
        <f t="shared" si="147"/>
        <v>0</v>
      </c>
      <c r="DG18" s="512"/>
      <c r="DH18" s="513">
        <f t="shared" si="35"/>
        <v>0</v>
      </c>
      <c r="DI18" s="514">
        <f t="shared" si="203"/>
        <v>0</v>
      </c>
      <c r="DJ18" s="512"/>
      <c r="DK18" s="513">
        <f t="shared" si="36"/>
        <v>0</v>
      </c>
      <c r="DL18" s="514">
        <f t="shared" si="148"/>
        <v>0</v>
      </c>
      <c r="DM18" s="512"/>
      <c r="DN18" s="513">
        <f t="shared" si="37"/>
        <v>0</v>
      </c>
      <c r="DO18" s="514">
        <f t="shared" si="149"/>
        <v>0</v>
      </c>
      <c r="DP18" s="512"/>
      <c r="DQ18" s="513">
        <f t="shared" si="38"/>
        <v>0</v>
      </c>
      <c r="DR18" s="514">
        <f t="shared" si="150"/>
        <v>0</v>
      </c>
      <c r="DS18" s="512"/>
      <c r="DT18" s="513">
        <f t="shared" si="39"/>
        <v>0</v>
      </c>
      <c r="DU18" s="514">
        <f t="shared" si="151"/>
        <v>0</v>
      </c>
      <c r="DV18" s="512"/>
      <c r="DW18" s="513">
        <f t="shared" si="40"/>
        <v>0</v>
      </c>
      <c r="DX18" s="514">
        <f t="shared" si="152"/>
        <v>0</v>
      </c>
      <c r="DY18" s="512">
        <v>17.25</v>
      </c>
      <c r="DZ18" s="513">
        <f t="shared" si="41"/>
        <v>0.96546706218167566</v>
      </c>
      <c r="EA18" s="514">
        <f t="shared" si="153"/>
        <v>0</v>
      </c>
      <c r="EB18" s="512">
        <v>46.96470588235286</v>
      </c>
      <c r="EC18" s="513">
        <f t="shared" si="42"/>
        <v>2.6285725573600973</v>
      </c>
      <c r="ED18" s="514">
        <f t="shared" si="154"/>
        <v>0</v>
      </c>
      <c r="EE18" s="512">
        <v>14.534883720930281</v>
      </c>
      <c r="EF18" s="513">
        <f t="shared" si="43"/>
        <v>0.81350443392456939</v>
      </c>
      <c r="EG18" s="514">
        <f t="shared" si="155"/>
        <v>0</v>
      </c>
      <c r="EH18" s="512">
        <v>3</v>
      </c>
      <c r="EI18" s="513">
        <f t="shared" si="44"/>
        <v>0.16790731516203056</v>
      </c>
      <c r="EJ18" s="514">
        <f t="shared" si="156"/>
        <v>0</v>
      </c>
      <c r="EK18" s="512"/>
      <c r="EL18" s="513">
        <f t="shared" si="45"/>
        <v>0</v>
      </c>
      <c r="EM18" s="514">
        <f t="shared" si="157"/>
        <v>0</v>
      </c>
      <c r="EN18" s="512"/>
      <c r="EO18" s="513">
        <f t="shared" si="46"/>
        <v>0</v>
      </c>
      <c r="EP18" s="514">
        <f t="shared" si="158"/>
        <v>0</v>
      </c>
      <c r="EQ18" s="512"/>
      <c r="ER18" s="513">
        <f t="shared" si="47"/>
        <v>0</v>
      </c>
      <c r="ES18" s="514">
        <f t="shared" si="159"/>
        <v>0</v>
      </c>
      <c r="ET18" s="512"/>
      <c r="EU18" s="513">
        <f t="shared" si="48"/>
        <v>0</v>
      </c>
      <c r="EV18" s="514">
        <f t="shared" si="160"/>
        <v>0</v>
      </c>
      <c r="EW18" s="512"/>
      <c r="EX18" s="513">
        <f t="shared" si="49"/>
        <v>0</v>
      </c>
      <c r="EY18" s="514">
        <f t="shared" si="161"/>
        <v>0</v>
      </c>
      <c r="EZ18" s="512"/>
      <c r="FA18" s="513">
        <f t="shared" si="50"/>
        <v>0</v>
      </c>
      <c r="FB18" s="514">
        <f t="shared" si="162"/>
        <v>0</v>
      </c>
      <c r="FC18" s="512"/>
      <c r="FD18" s="513">
        <f t="shared" si="51"/>
        <v>0</v>
      </c>
      <c r="FE18" s="514">
        <f t="shared" si="163"/>
        <v>0</v>
      </c>
      <c r="FF18" s="512"/>
      <c r="FG18" s="513">
        <f t="shared" si="52"/>
        <v>0</v>
      </c>
      <c r="FH18" s="514">
        <f t="shared" si="164"/>
        <v>0</v>
      </c>
      <c r="FI18" s="512"/>
      <c r="FJ18" s="513">
        <f t="shared" si="53"/>
        <v>0</v>
      </c>
      <c r="FK18" s="514">
        <f t="shared" si="165"/>
        <v>0</v>
      </c>
      <c r="FL18" s="512"/>
      <c r="FM18" s="513">
        <f t="shared" si="54"/>
        <v>0</v>
      </c>
      <c r="FN18" s="514">
        <f t="shared" si="166"/>
        <v>0</v>
      </c>
      <c r="FO18" s="512"/>
      <c r="FP18" s="513">
        <f t="shared" si="55"/>
        <v>0</v>
      </c>
      <c r="FQ18" s="514">
        <f t="shared" si="167"/>
        <v>0</v>
      </c>
      <c r="FR18" s="512"/>
      <c r="FS18" s="513">
        <f t="shared" si="56"/>
        <v>0</v>
      </c>
      <c r="FT18" s="514">
        <f t="shared" si="168"/>
        <v>0</v>
      </c>
      <c r="FU18" s="512"/>
      <c r="FV18" s="513">
        <f t="shared" si="57"/>
        <v>0</v>
      </c>
      <c r="FW18" s="514">
        <f t="shared" si="169"/>
        <v>0</v>
      </c>
      <c r="FX18" s="512"/>
      <c r="FY18" s="513">
        <f t="shared" si="58"/>
        <v>0</v>
      </c>
      <c r="FZ18" s="514">
        <f t="shared" si="170"/>
        <v>0</v>
      </c>
      <c r="GA18" s="512"/>
      <c r="GB18" s="513">
        <f t="shared" si="59"/>
        <v>0</v>
      </c>
      <c r="GC18" s="514">
        <f t="shared" si="171"/>
        <v>0</v>
      </c>
      <c r="GD18" s="512"/>
      <c r="GE18" s="513">
        <f t="shared" si="60"/>
        <v>0</v>
      </c>
      <c r="GF18" s="514">
        <f t="shared" si="172"/>
        <v>0</v>
      </c>
      <c r="GG18" s="512"/>
      <c r="GH18" s="513">
        <f t="shared" si="61"/>
        <v>0</v>
      </c>
      <c r="GI18" s="514">
        <f t="shared" si="173"/>
        <v>0</v>
      </c>
      <c r="GJ18" s="512"/>
      <c r="GK18" s="513">
        <f t="shared" si="62"/>
        <v>0</v>
      </c>
      <c r="GL18" s="514">
        <f t="shared" si="174"/>
        <v>0</v>
      </c>
      <c r="GM18" s="512"/>
      <c r="GN18" s="513">
        <f t="shared" si="63"/>
        <v>0</v>
      </c>
      <c r="GO18" s="514">
        <f t="shared" si="175"/>
        <v>0</v>
      </c>
      <c r="GP18" s="512"/>
      <c r="GQ18" s="513">
        <f t="shared" si="64"/>
        <v>0</v>
      </c>
      <c r="GR18" s="514">
        <f t="shared" si="176"/>
        <v>0</v>
      </c>
      <c r="GS18" s="512"/>
      <c r="GT18" s="513">
        <f t="shared" si="65"/>
        <v>0</v>
      </c>
      <c r="GU18" s="514">
        <f t="shared" si="177"/>
        <v>0</v>
      </c>
      <c r="GV18" s="512"/>
      <c r="GW18" s="513">
        <f t="shared" si="66"/>
        <v>0</v>
      </c>
      <c r="GX18" s="514">
        <f t="shared" si="178"/>
        <v>0</v>
      </c>
      <c r="GY18" s="512"/>
      <c r="GZ18" s="513">
        <f t="shared" si="67"/>
        <v>0</v>
      </c>
      <c r="HA18" s="514">
        <f t="shared" si="179"/>
        <v>0</v>
      </c>
      <c r="HB18" s="512"/>
      <c r="HC18" s="513">
        <f t="shared" si="68"/>
        <v>0</v>
      </c>
      <c r="HD18" s="514">
        <f t="shared" si="180"/>
        <v>0</v>
      </c>
      <c r="HE18" s="512"/>
      <c r="HF18" s="513">
        <f t="shared" si="69"/>
        <v>0</v>
      </c>
      <c r="HG18" s="514">
        <f t="shared" si="181"/>
        <v>0</v>
      </c>
      <c r="HH18" s="512"/>
      <c r="HI18" s="513">
        <f t="shared" si="70"/>
        <v>0</v>
      </c>
      <c r="HJ18" s="514">
        <f t="shared" si="182"/>
        <v>0</v>
      </c>
      <c r="HK18" s="512"/>
      <c r="HL18" s="513">
        <f t="shared" si="71"/>
        <v>0</v>
      </c>
      <c r="HM18" s="514">
        <f t="shared" si="183"/>
        <v>0</v>
      </c>
      <c r="HN18" s="512"/>
      <c r="HO18" s="513">
        <f t="shared" si="72"/>
        <v>0</v>
      </c>
      <c r="HP18" s="514">
        <f t="shared" si="184"/>
        <v>0</v>
      </c>
      <c r="HQ18" s="512"/>
      <c r="HR18" s="513">
        <f t="shared" si="73"/>
        <v>0</v>
      </c>
      <c r="HS18" s="514">
        <f t="shared" si="185"/>
        <v>0</v>
      </c>
      <c r="HT18" s="512"/>
      <c r="HU18" s="513">
        <f t="shared" si="74"/>
        <v>0</v>
      </c>
      <c r="HV18" s="514">
        <f t="shared" si="186"/>
        <v>0</v>
      </c>
      <c r="HW18" s="512"/>
      <c r="HX18" s="513">
        <f t="shared" si="75"/>
        <v>0</v>
      </c>
      <c r="HY18" s="514">
        <f t="shared" si="187"/>
        <v>0</v>
      </c>
      <c r="HZ18" s="512"/>
      <c r="IA18" s="513">
        <f t="shared" si="76"/>
        <v>0</v>
      </c>
      <c r="IB18" s="514">
        <f t="shared" si="188"/>
        <v>0</v>
      </c>
      <c r="IC18" s="512"/>
      <c r="ID18" s="513">
        <f t="shared" si="77"/>
        <v>0</v>
      </c>
      <c r="IE18" s="514">
        <f t="shared" si="189"/>
        <v>0</v>
      </c>
      <c r="IF18" s="512"/>
      <c r="IG18" s="513">
        <f t="shared" si="78"/>
        <v>0</v>
      </c>
      <c r="IH18" s="514">
        <f t="shared" si="190"/>
        <v>0</v>
      </c>
      <c r="II18" s="512"/>
      <c r="IJ18" s="513">
        <f t="shared" si="79"/>
        <v>0</v>
      </c>
      <c r="IK18" s="514">
        <f t="shared" si="191"/>
        <v>0</v>
      </c>
      <c r="IL18" s="512"/>
      <c r="IM18" s="513">
        <f t="shared" si="80"/>
        <v>0</v>
      </c>
      <c r="IN18" s="514">
        <f t="shared" si="192"/>
        <v>0</v>
      </c>
      <c r="IO18" s="512"/>
      <c r="IP18" s="513">
        <f t="shared" si="81"/>
        <v>0</v>
      </c>
      <c r="IQ18" s="514">
        <f t="shared" si="193"/>
        <v>0</v>
      </c>
      <c r="IR18" s="512"/>
      <c r="IS18" s="513">
        <f t="shared" si="82"/>
        <v>0</v>
      </c>
      <c r="IT18" s="514">
        <f t="shared" si="194"/>
        <v>0</v>
      </c>
      <c r="IU18" s="512"/>
      <c r="IV18" s="513">
        <f t="shared" si="83"/>
        <v>0</v>
      </c>
      <c r="IW18" s="514">
        <f t="shared" si="195"/>
        <v>0</v>
      </c>
      <c r="IX18" s="512"/>
      <c r="IY18" s="513">
        <f t="shared" si="84"/>
        <v>0</v>
      </c>
      <c r="IZ18" s="514">
        <f t="shared" si="196"/>
        <v>0</v>
      </c>
      <c r="JA18" s="512"/>
      <c r="JB18" s="513">
        <f t="shared" si="85"/>
        <v>0</v>
      </c>
      <c r="JC18" s="514">
        <f t="shared" si="197"/>
        <v>0</v>
      </c>
      <c r="JD18" s="512"/>
      <c r="JE18" s="513">
        <f t="shared" si="86"/>
        <v>0</v>
      </c>
      <c r="JF18" s="514">
        <f t="shared" si="198"/>
        <v>0</v>
      </c>
      <c r="JG18" s="512"/>
      <c r="JH18" s="513">
        <f t="shared" si="87"/>
        <v>0</v>
      </c>
      <c r="JI18" s="514">
        <f t="shared" si="199"/>
        <v>0</v>
      </c>
      <c r="JJ18" s="512"/>
      <c r="JK18" s="514" t="str">
        <f t="shared" si="88"/>
        <v>0</v>
      </c>
      <c r="JL18" s="514" t="str">
        <f t="shared" si="89"/>
        <v>0</v>
      </c>
      <c r="JM18" s="512"/>
      <c r="JN18" s="514" t="str">
        <f t="shared" si="90"/>
        <v>0</v>
      </c>
      <c r="JO18" s="514" t="str">
        <f t="shared" si="91"/>
        <v>0</v>
      </c>
      <c r="JP18" s="512"/>
      <c r="JQ18" s="514" t="str">
        <f t="shared" si="92"/>
        <v>0</v>
      </c>
      <c r="JR18" s="514" t="str">
        <f t="shared" si="93"/>
        <v>0</v>
      </c>
      <c r="JS18" s="512"/>
      <c r="JT18" s="514" t="str">
        <f t="shared" si="94"/>
        <v>0</v>
      </c>
      <c r="JU18" s="514" t="str">
        <f t="shared" si="95"/>
        <v>0</v>
      </c>
      <c r="JV18" s="512"/>
      <c r="JW18" s="514" t="str">
        <f t="shared" si="96"/>
        <v>0</v>
      </c>
      <c r="JX18" s="514" t="str">
        <f t="shared" si="97"/>
        <v>0</v>
      </c>
      <c r="JY18" s="512"/>
      <c r="JZ18" s="514" t="str">
        <f t="shared" si="98"/>
        <v>0</v>
      </c>
      <c r="KA18" s="514" t="str">
        <f t="shared" si="99"/>
        <v>0</v>
      </c>
      <c r="KB18" s="512"/>
      <c r="KC18" s="514" t="str">
        <f t="shared" si="100"/>
        <v>0</v>
      </c>
      <c r="KD18" s="514" t="str">
        <f t="shared" si="101"/>
        <v>0</v>
      </c>
      <c r="KE18" s="512"/>
      <c r="KF18" s="514" t="str">
        <f t="shared" si="102"/>
        <v>0</v>
      </c>
      <c r="KG18" s="514" t="str">
        <f t="shared" si="103"/>
        <v>0</v>
      </c>
      <c r="KH18" s="512"/>
      <c r="KI18" s="514" t="str">
        <f t="shared" si="104"/>
        <v>0</v>
      </c>
      <c r="KJ18" s="514" t="str">
        <f t="shared" si="105"/>
        <v>0</v>
      </c>
      <c r="KK18" s="512"/>
      <c r="KL18" s="514" t="str">
        <f t="shared" si="106"/>
        <v>0</v>
      </c>
      <c r="KM18" s="514" t="str">
        <f t="shared" si="107"/>
        <v>0</v>
      </c>
      <c r="KN18" s="512"/>
      <c r="KO18" s="514" t="str">
        <f t="shared" si="108"/>
        <v>0</v>
      </c>
      <c r="KP18" s="514" t="str">
        <f t="shared" si="109"/>
        <v>0</v>
      </c>
      <c r="KQ18" s="512"/>
      <c r="KR18" s="514" t="str">
        <f t="shared" si="110"/>
        <v>0</v>
      </c>
      <c r="KS18" s="514" t="str">
        <f t="shared" si="111"/>
        <v>0</v>
      </c>
      <c r="KT18" s="514">
        <f t="shared" si="201"/>
        <v>0</v>
      </c>
      <c r="KU18" s="514">
        <f t="shared" si="202"/>
        <v>0</v>
      </c>
      <c r="KV18" s="263">
        <f>+F18+I18+L18+O18+R18+U18+X18+AA18+AD18+AG18+AJ18+AM18+AP18+AS18+AV18+AY18+BB18+BE18+BH18+BK18+BN18+BQ18+BT18+BW18+BZ18+CC18+CF18+CI18+CL18+CO18+CR18+CU18+CX18+DA18+DD18+DJ18+DM18+DP18+DS18+DV18+DY18+EB18+EE18+EH18</f>
        <v>293.08250552457122</v>
      </c>
    </row>
    <row r="19" spans="1:308" ht="15" customHeight="1">
      <c r="A19" s="471">
        <f t="shared" si="200"/>
        <v>45940</v>
      </c>
      <c r="B19" s="472" t="str">
        <f>+Report1!B18</f>
        <v>Toilet</v>
      </c>
      <c r="C19" s="473" t="str">
        <f>+Report1!C18</f>
        <v>14,5</v>
      </c>
      <c r="D19" s="474">
        <f>+Report1!P18</f>
        <v>42.66</v>
      </c>
      <c r="E19" s="475">
        <f>+Report1!R18</f>
        <v>38.145000000000003</v>
      </c>
      <c r="F19" s="512"/>
      <c r="G19" s="513">
        <f t="shared" si="0"/>
        <v>0</v>
      </c>
      <c r="H19" s="514">
        <f t="shared" si="113"/>
        <v>0</v>
      </c>
      <c r="I19" s="512"/>
      <c r="J19" s="513">
        <f t="shared" si="1"/>
        <v>0</v>
      </c>
      <c r="K19" s="514">
        <f t="shared" si="114"/>
        <v>0</v>
      </c>
      <c r="L19" s="512"/>
      <c r="M19" s="513">
        <f t="shared" si="2"/>
        <v>0</v>
      </c>
      <c r="N19" s="514">
        <f t="shared" si="115"/>
        <v>0</v>
      </c>
      <c r="O19" s="512">
        <v>24</v>
      </c>
      <c r="P19" s="513">
        <f t="shared" si="3"/>
        <v>0.62917813605977191</v>
      </c>
      <c r="Q19" s="514">
        <f t="shared" si="116"/>
        <v>0</v>
      </c>
      <c r="R19" s="512">
        <v>12.812499999999972</v>
      </c>
      <c r="S19" s="513">
        <f t="shared" si="4"/>
        <v>0.3358893695110754</v>
      </c>
      <c r="T19" s="514">
        <f t="shared" si="117"/>
        <v>0</v>
      </c>
      <c r="U19" s="512">
        <v>6.2500000000000142</v>
      </c>
      <c r="V19" s="513">
        <f t="shared" si="5"/>
        <v>0.16384847293223262</v>
      </c>
      <c r="W19" s="514">
        <f t="shared" si="118"/>
        <v>0</v>
      </c>
      <c r="X19" s="512"/>
      <c r="Y19" s="513">
        <f t="shared" si="6"/>
        <v>0</v>
      </c>
      <c r="Z19" s="514">
        <f t="shared" si="119"/>
        <v>0</v>
      </c>
      <c r="AA19" s="512"/>
      <c r="AB19" s="513">
        <f t="shared" si="7"/>
        <v>0</v>
      </c>
      <c r="AC19" s="514">
        <f t="shared" si="120"/>
        <v>0</v>
      </c>
      <c r="AD19" s="512"/>
      <c r="AE19" s="513">
        <f t="shared" si="8"/>
        <v>0</v>
      </c>
      <c r="AF19" s="514">
        <f t="shared" si="121"/>
        <v>0</v>
      </c>
      <c r="AG19" s="512"/>
      <c r="AH19" s="513">
        <f t="shared" si="9"/>
        <v>0</v>
      </c>
      <c r="AI19" s="514">
        <f t="shared" si="122"/>
        <v>0</v>
      </c>
      <c r="AJ19" s="512"/>
      <c r="AK19" s="513">
        <f t="shared" si="10"/>
        <v>0</v>
      </c>
      <c r="AL19" s="514">
        <f t="shared" si="123"/>
        <v>0</v>
      </c>
      <c r="AM19" s="512"/>
      <c r="AN19" s="513">
        <f t="shared" si="11"/>
        <v>0</v>
      </c>
      <c r="AO19" s="514">
        <f t="shared" si="124"/>
        <v>0</v>
      </c>
      <c r="AP19" s="512">
        <v>42.051282051282101</v>
      </c>
      <c r="AQ19" s="513">
        <f t="shared" si="12"/>
        <v>1.1024061358312256</v>
      </c>
      <c r="AR19" s="514">
        <f t="shared" si="125"/>
        <v>0</v>
      </c>
      <c r="AS19" s="512"/>
      <c r="AT19" s="513">
        <f t="shared" si="13"/>
        <v>0</v>
      </c>
      <c r="AU19" s="514">
        <f t="shared" si="126"/>
        <v>0</v>
      </c>
      <c r="AV19" s="512">
        <v>8.3250000000000171</v>
      </c>
      <c r="AW19" s="513">
        <f t="shared" si="14"/>
        <v>0.21824616594573382</v>
      </c>
      <c r="AX19" s="514">
        <f t="shared" si="127"/>
        <v>0</v>
      </c>
      <c r="AY19" s="512">
        <v>30.333333333333371</v>
      </c>
      <c r="AZ19" s="513">
        <f t="shared" si="15"/>
        <v>0.79521125529776826</v>
      </c>
      <c r="BA19" s="514">
        <f t="shared" si="128"/>
        <v>0</v>
      </c>
      <c r="BB19" s="512"/>
      <c r="BC19" s="513">
        <f t="shared" si="16"/>
        <v>0</v>
      </c>
      <c r="BD19" s="514">
        <f t="shared" si="129"/>
        <v>0</v>
      </c>
      <c r="BE19" s="512"/>
      <c r="BF19" s="513">
        <f t="shared" si="17"/>
        <v>0</v>
      </c>
      <c r="BG19" s="514">
        <f t="shared" si="130"/>
        <v>0</v>
      </c>
      <c r="BH19" s="512"/>
      <c r="BI19" s="513">
        <f t="shared" si="18"/>
        <v>0</v>
      </c>
      <c r="BJ19" s="514">
        <f t="shared" si="131"/>
        <v>0</v>
      </c>
      <c r="BK19" s="512"/>
      <c r="BL19" s="513">
        <f t="shared" si="19"/>
        <v>0</v>
      </c>
      <c r="BM19" s="514">
        <f t="shared" si="132"/>
        <v>0</v>
      </c>
      <c r="BN19" s="512"/>
      <c r="BO19" s="513">
        <f t="shared" si="20"/>
        <v>0</v>
      </c>
      <c r="BP19" s="514">
        <f t="shared" si="133"/>
        <v>0</v>
      </c>
      <c r="BQ19" s="512"/>
      <c r="BR19" s="513">
        <f t="shared" si="21"/>
        <v>0</v>
      </c>
      <c r="BS19" s="514">
        <f t="shared" si="134"/>
        <v>0</v>
      </c>
      <c r="BT19" s="512"/>
      <c r="BU19" s="513">
        <f t="shared" si="22"/>
        <v>0</v>
      </c>
      <c r="BV19" s="514">
        <f t="shared" si="135"/>
        <v>0</v>
      </c>
      <c r="BW19" s="512"/>
      <c r="BX19" s="513">
        <f t="shared" si="23"/>
        <v>0</v>
      </c>
      <c r="BY19" s="514">
        <f t="shared" si="136"/>
        <v>0</v>
      </c>
      <c r="BZ19" s="512"/>
      <c r="CA19" s="513">
        <f t="shared" si="24"/>
        <v>0</v>
      </c>
      <c r="CB19" s="514">
        <f t="shared" si="137"/>
        <v>0</v>
      </c>
      <c r="CC19" s="512"/>
      <c r="CD19" s="513">
        <f t="shared" si="25"/>
        <v>0</v>
      </c>
      <c r="CE19" s="514">
        <f t="shared" si="138"/>
        <v>0</v>
      </c>
      <c r="CF19" s="512">
        <v>7</v>
      </c>
      <c r="CG19" s="513">
        <f t="shared" si="26"/>
        <v>0.18351028968410013</v>
      </c>
      <c r="CH19" s="514">
        <f t="shared" si="139"/>
        <v>0</v>
      </c>
      <c r="CI19" s="512"/>
      <c r="CJ19" s="513">
        <f t="shared" si="27"/>
        <v>0</v>
      </c>
      <c r="CK19" s="514">
        <f t="shared" si="140"/>
        <v>0</v>
      </c>
      <c r="CL19" s="512"/>
      <c r="CM19" s="513">
        <f t="shared" si="28"/>
        <v>0</v>
      </c>
      <c r="CN19" s="514">
        <f t="shared" si="141"/>
        <v>0</v>
      </c>
      <c r="CO19" s="512"/>
      <c r="CP19" s="513">
        <f t="shared" si="29"/>
        <v>0</v>
      </c>
      <c r="CQ19" s="514">
        <f t="shared" si="142"/>
        <v>0</v>
      </c>
      <c r="CR19" s="512"/>
      <c r="CS19" s="513">
        <f t="shared" si="30"/>
        <v>0</v>
      </c>
      <c r="CT19" s="514">
        <f t="shared" si="143"/>
        <v>0</v>
      </c>
      <c r="CU19" s="512"/>
      <c r="CV19" s="513">
        <f t="shared" si="31"/>
        <v>0</v>
      </c>
      <c r="CW19" s="514">
        <f t="shared" si="144"/>
        <v>0</v>
      </c>
      <c r="CX19" s="512"/>
      <c r="CY19" s="513">
        <f t="shared" si="32"/>
        <v>0</v>
      </c>
      <c r="CZ19" s="514">
        <f t="shared" si="145"/>
        <v>0</v>
      </c>
      <c r="DA19" s="512">
        <v>130.81395348837208</v>
      </c>
      <c r="DB19" s="513">
        <f t="shared" si="33"/>
        <v>3.4293866427676516</v>
      </c>
      <c r="DC19" s="514">
        <f t="shared" si="146"/>
        <v>0</v>
      </c>
      <c r="DD19" s="512"/>
      <c r="DE19" s="513">
        <f t="shared" si="34"/>
        <v>0</v>
      </c>
      <c r="DF19" s="514">
        <f t="shared" si="147"/>
        <v>0</v>
      </c>
      <c r="DG19" s="512"/>
      <c r="DH19" s="513">
        <f t="shared" si="35"/>
        <v>0</v>
      </c>
      <c r="DI19" s="514">
        <f t="shared" si="203"/>
        <v>0</v>
      </c>
      <c r="DJ19" s="512"/>
      <c r="DK19" s="513">
        <f t="shared" si="36"/>
        <v>0</v>
      </c>
      <c r="DL19" s="514">
        <f t="shared" si="148"/>
        <v>0</v>
      </c>
      <c r="DM19" s="512"/>
      <c r="DN19" s="513">
        <f t="shared" si="37"/>
        <v>0</v>
      </c>
      <c r="DO19" s="514">
        <f t="shared" si="149"/>
        <v>0</v>
      </c>
      <c r="DP19" s="512"/>
      <c r="DQ19" s="513">
        <f t="shared" si="38"/>
        <v>0</v>
      </c>
      <c r="DR19" s="514">
        <f t="shared" si="150"/>
        <v>0</v>
      </c>
      <c r="DS19" s="512"/>
      <c r="DT19" s="513">
        <f t="shared" si="39"/>
        <v>0</v>
      </c>
      <c r="DU19" s="514">
        <f t="shared" si="151"/>
        <v>0</v>
      </c>
      <c r="DV19" s="512"/>
      <c r="DW19" s="513">
        <f t="shared" si="40"/>
        <v>0</v>
      </c>
      <c r="DX19" s="514">
        <f t="shared" si="152"/>
        <v>0</v>
      </c>
      <c r="DY19" s="512"/>
      <c r="DZ19" s="513">
        <f t="shared" si="41"/>
        <v>0</v>
      </c>
      <c r="EA19" s="514">
        <f t="shared" si="153"/>
        <v>0</v>
      </c>
      <c r="EB19" s="512">
        <v>82.188235294117703</v>
      </c>
      <c r="EC19" s="513">
        <f t="shared" si="42"/>
        <v>2.1546266953497888</v>
      </c>
      <c r="ED19" s="514">
        <f t="shared" si="154"/>
        <v>0</v>
      </c>
      <c r="EE19" s="512">
        <v>14.534883720930225</v>
      </c>
      <c r="EF19" s="513">
        <f t="shared" si="43"/>
        <v>0.38104296030751666</v>
      </c>
      <c r="EG19" s="514">
        <f t="shared" si="155"/>
        <v>0</v>
      </c>
      <c r="EH19" s="512">
        <v>4</v>
      </c>
      <c r="EI19" s="513">
        <f t="shared" si="44"/>
        <v>0.10486302267662864</v>
      </c>
      <c r="EJ19" s="514">
        <f t="shared" si="156"/>
        <v>0</v>
      </c>
      <c r="EK19" s="512"/>
      <c r="EL19" s="513">
        <f t="shared" si="45"/>
        <v>0</v>
      </c>
      <c r="EM19" s="514">
        <f t="shared" si="157"/>
        <v>0</v>
      </c>
      <c r="EN19" s="512"/>
      <c r="EO19" s="513">
        <f t="shared" si="46"/>
        <v>0</v>
      </c>
      <c r="EP19" s="514">
        <f t="shared" si="158"/>
        <v>0</v>
      </c>
      <c r="EQ19" s="512"/>
      <c r="ER19" s="513">
        <f t="shared" si="47"/>
        <v>0</v>
      </c>
      <c r="ES19" s="514">
        <f t="shared" si="159"/>
        <v>0</v>
      </c>
      <c r="ET19" s="512"/>
      <c r="EU19" s="513">
        <f t="shared" si="48"/>
        <v>0</v>
      </c>
      <c r="EV19" s="514">
        <f t="shared" si="160"/>
        <v>0</v>
      </c>
      <c r="EW19" s="512"/>
      <c r="EX19" s="513">
        <f t="shared" si="49"/>
        <v>0</v>
      </c>
      <c r="EY19" s="514">
        <f t="shared" si="161"/>
        <v>0</v>
      </c>
      <c r="EZ19" s="512"/>
      <c r="FA19" s="513">
        <f t="shared" si="50"/>
        <v>0</v>
      </c>
      <c r="FB19" s="514">
        <f t="shared" si="162"/>
        <v>0</v>
      </c>
      <c r="FC19" s="512"/>
      <c r="FD19" s="513">
        <f t="shared" si="51"/>
        <v>0</v>
      </c>
      <c r="FE19" s="514">
        <f t="shared" si="163"/>
        <v>0</v>
      </c>
      <c r="FF19" s="512"/>
      <c r="FG19" s="513">
        <f t="shared" si="52"/>
        <v>0</v>
      </c>
      <c r="FH19" s="514">
        <f t="shared" si="164"/>
        <v>0</v>
      </c>
      <c r="FI19" s="512"/>
      <c r="FJ19" s="513">
        <f t="shared" si="53"/>
        <v>0</v>
      </c>
      <c r="FK19" s="514">
        <f t="shared" si="165"/>
        <v>0</v>
      </c>
      <c r="FL19" s="512"/>
      <c r="FM19" s="513">
        <f t="shared" si="54"/>
        <v>0</v>
      </c>
      <c r="FN19" s="514">
        <f t="shared" si="166"/>
        <v>0</v>
      </c>
      <c r="FO19" s="512"/>
      <c r="FP19" s="513">
        <f t="shared" si="55"/>
        <v>0</v>
      </c>
      <c r="FQ19" s="514">
        <f t="shared" si="167"/>
        <v>0</v>
      </c>
      <c r="FR19" s="512"/>
      <c r="FS19" s="513">
        <f t="shared" si="56"/>
        <v>0</v>
      </c>
      <c r="FT19" s="514">
        <f t="shared" si="168"/>
        <v>0</v>
      </c>
      <c r="FU19" s="512"/>
      <c r="FV19" s="513">
        <f t="shared" si="57"/>
        <v>0</v>
      </c>
      <c r="FW19" s="514">
        <f t="shared" si="169"/>
        <v>0</v>
      </c>
      <c r="FX19" s="512"/>
      <c r="FY19" s="513">
        <f t="shared" si="58"/>
        <v>0</v>
      </c>
      <c r="FZ19" s="514">
        <f t="shared" si="170"/>
        <v>0</v>
      </c>
      <c r="GA19" s="512"/>
      <c r="GB19" s="513">
        <f t="shared" si="59"/>
        <v>0</v>
      </c>
      <c r="GC19" s="514">
        <f t="shared" si="171"/>
        <v>0</v>
      </c>
      <c r="GD19" s="512"/>
      <c r="GE19" s="513">
        <f t="shared" si="60"/>
        <v>0</v>
      </c>
      <c r="GF19" s="514">
        <f t="shared" si="172"/>
        <v>0</v>
      </c>
      <c r="GG19" s="512"/>
      <c r="GH19" s="513">
        <f t="shared" si="61"/>
        <v>0</v>
      </c>
      <c r="GI19" s="514">
        <f t="shared" si="173"/>
        <v>0</v>
      </c>
      <c r="GJ19" s="512"/>
      <c r="GK19" s="513">
        <f t="shared" si="62"/>
        <v>0</v>
      </c>
      <c r="GL19" s="514">
        <f t="shared" si="174"/>
        <v>0</v>
      </c>
      <c r="GM19" s="512"/>
      <c r="GN19" s="513">
        <f t="shared" si="63"/>
        <v>0</v>
      </c>
      <c r="GO19" s="514">
        <f t="shared" si="175"/>
        <v>0</v>
      </c>
      <c r="GP19" s="512"/>
      <c r="GQ19" s="513">
        <f t="shared" si="64"/>
        <v>0</v>
      </c>
      <c r="GR19" s="514">
        <f t="shared" si="176"/>
        <v>0</v>
      </c>
      <c r="GS19" s="512"/>
      <c r="GT19" s="513">
        <f t="shared" si="65"/>
        <v>0</v>
      </c>
      <c r="GU19" s="514">
        <f t="shared" si="177"/>
        <v>0</v>
      </c>
      <c r="GV19" s="512"/>
      <c r="GW19" s="513">
        <f t="shared" si="66"/>
        <v>0</v>
      </c>
      <c r="GX19" s="514">
        <f t="shared" si="178"/>
        <v>0</v>
      </c>
      <c r="GY19" s="512"/>
      <c r="GZ19" s="513">
        <f t="shared" si="67"/>
        <v>0</v>
      </c>
      <c r="HA19" s="514">
        <f t="shared" si="179"/>
        <v>0</v>
      </c>
      <c r="HB19" s="512"/>
      <c r="HC19" s="513">
        <f t="shared" si="68"/>
        <v>0</v>
      </c>
      <c r="HD19" s="514">
        <f t="shared" si="180"/>
        <v>0</v>
      </c>
      <c r="HE19" s="512"/>
      <c r="HF19" s="513">
        <f t="shared" si="69"/>
        <v>0</v>
      </c>
      <c r="HG19" s="514">
        <f t="shared" si="181"/>
        <v>0</v>
      </c>
      <c r="HH19" s="512"/>
      <c r="HI19" s="513">
        <f t="shared" si="70"/>
        <v>0</v>
      </c>
      <c r="HJ19" s="514">
        <f t="shared" si="182"/>
        <v>0</v>
      </c>
      <c r="HK19" s="512"/>
      <c r="HL19" s="513">
        <f t="shared" si="71"/>
        <v>0</v>
      </c>
      <c r="HM19" s="514">
        <f t="shared" si="183"/>
        <v>0</v>
      </c>
      <c r="HN19" s="512"/>
      <c r="HO19" s="513">
        <f t="shared" si="72"/>
        <v>0</v>
      </c>
      <c r="HP19" s="514">
        <f t="shared" si="184"/>
        <v>0</v>
      </c>
      <c r="HQ19" s="512"/>
      <c r="HR19" s="513">
        <f t="shared" si="73"/>
        <v>0</v>
      </c>
      <c r="HS19" s="514">
        <f t="shared" si="185"/>
        <v>0</v>
      </c>
      <c r="HT19" s="512"/>
      <c r="HU19" s="513">
        <f t="shared" si="74"/>
        <v>0</v>
      </c>
      <c r="HV19" s="514">
        <f t="shared" si="186"/>
        <v>0</v>
      </c>
      <c r="HW19" s="512"/>
      <c r="HX19" s="513">
        <f t="shared" si="75"/>
        <v>0</v>
      </c>
      <c r="HY19" s="514">
        <f t="shared" si="187"/>
        <v>0</v>
      </c>
      <c r="HZ19" s="512"/>
      <c r="IA19" s="513">
        <f t="shared" si="76"/>
        <v>0</v>
      </c>
      <c r="IB19" s="514">
        <f t="shared" si="188"/>
        <v>0</v>
      </c>
      <c r="IC19" s="512"/>
      <c r="ID19" s="513">
        <f t="shared" si="77"/>
        <v>0</v>
      </c>
      <c r="IE19" s="514">
        <f t="shared" si="189"/>
        <v>0</v>
      </c>
      <c r="IF19" s="512"/>
      <c r="IG19" s="513">
        <f t="shared" si="78"/>
        <v>0</v>
      </c>
      <c r="IH19" s="514">
        <f t="shared" si="190"/>
        <v>0</v>
      </c>
      <c r="II19" s="512"/>
      <c r="IJ19" s="513">
        <f t="shared" si="79"/>
        <v>0</v>
      </c>
      <c r="IK19" s="514">
        <f t="shared" si="191"/>
        <v>0</v>
      </c>
      <c r="IL19" s="512"/>
      <c r="IM19" s="513">
        <f t="shared" si="80"/>
        <v>0</v>
      </c>
      <c r="IN19" s="514">
        <f t="shared" si="192"/>
        <v>0</v>
      </c>
      <c r="IO19" s="512"/>
      <c r="IP19" s="513">
        <f t="shared" si="81"/>
        <v>0</v>
      </c>
      <c r="IQ19" s="514">
        <f t="shared" si="193"/>
        <v>0</v>
      </c>
      <c r="IR19" s="512"/>
      <c r="IS19" s="513">
        <f t="shared" si="82"/>
        <v>0</v>
      </c>
      <c r="IT19" s="514">
        <f t="shared" si="194"/>
        <v>0</v>
      </c>
      <c r="IU19" s="512"/>
      <c r="IV19" s="513">
        <f t="shared" si="83"/>
        <v>0</v>
      </c>
      <c r="IW19" s="514">
        <f t="shared" si="195"/>
        <v>0</v>
      </c>
      <c r="IX19" s="512"/>
      <c r="IY19" s="513">
        <f t="shared" si="84"/>
        <v>0</v>
      </c>
      <c r="IZ19" s="514">
        <f t="shared" si="196"/>
        <v>0</v>
      </c>
      <c r="JA19" s="512"/>
      <c r="JB19" s="513">
        <f t="shared" si="85"/>
        <v>0</v>
      </c>
      <c r="JC19" s="514">
        <f t="shared" si="197"/>
        <v>0</v>
      </c>
      <c r="JD19" s="512"/>
      <c r="JE19" s="513">
        <f t="shared" si="86"/>
        <v>0</v>
      </c>
      <c r="JF19" s="514">
        <f t="shared" si="198"/>
        <v>0</v>
      </c>
      <c r="JG19" s="512"/>
      <c r="JH19" s="513">
        <f t="shared" si="87"/>
        <v>0</v>
      </c>
      <c r="JI19" s="514">
        <f t="shared" si="199"/>
        <v>0</v>
      </c>
      <c r="JJ19" s="512"/>
      <c r="JK19" s="514" t="str">
        <f t="shared" si="88"/>
        <v>0</v>
      </c>
      <c r="JL19" s="514" t="str">
        <f t="shared" si="89"/>
        <v>0</v>
      </c>
      <c r="JM19" s="512"/>
      <c r="JN19" s="514" t="str">
        <f t="shared" si="90"/>
        <v>0</v>
      </c>
      <c r="JO19" s="514" t="str">
        <f t="shared" si="91"/>
        <v>0</v>
      </c>
      <c r="JP19" s="512"/>
      <c r="JQ19" s="514" t="str">
        <f t="shared" si="92"/>
        <v>0</v>
      </c>
      <c r="JR19" s="514" t="str">
        <f t="shared" si="93"/>
        <v>0</v>
      </c>
      <c r="JS19" s="512"/>
      <c r="JT19" s="514" t="str">
        <f t="shared" si="94"/>
        <v>0</v>
      </c>
      <c r="JU19" s="514" t="str">
        <f t="shared" si="95"/>
        <v>0</v>
      </c>
      <c r="JV19" s="512"/>
      <c r="JW19" s="514" t="str">
        <f t="shared" si="96"/>
        <v>0</v>
      </c>
      <c r="JX19" s="514" t="str">
        <f t="shared" si="97"/>
        <v>0</v>
      </c>
      <c r="JY19" s="512"/>
      <c r="JZ19" s="514" t="str">
        <f t="shared" si="98"/>
        <v>0</v>
      </c>
      <c r="KA19" s="514" t="str">
        <f t="shared" si="99"/>
        <v>0</v>
      </c>
      <c r="KB19" s="512"/>
      <c r="KC19" s="514" t="str">
        <f t="shared" si="100"/>
        <v>0</v>
      </c>
      <c r="KD19" s="514" t="str">
        <f t="shared" si="101"/>
        <v>0</v>
      </c>
      <c r="KE19" s="512"/>
      <c r="KF19" s="514" t="str">
        <f t="shared" si="102"/>
        <v>0</v>
      </c>
      <c r="KG19" s="514" t="str">
        <f t="shared" si="103"/>
        <v>0</v>
      </c>
      <c r="KH19" s="512"/>
      <c r="KI19" s="514" t="str">
        <f t="shared" si="104"/>
        <v>0</v>
      </c>
      <c r="KJ19" s="514" t="str">
        <f t="shared" si="105"/>
        <v>0</v>
      </c>
      <c r="KK19" s="512"/>
      <c r="KL19" s="514" t="str">
        <f t="shared" si="106"/>
        <v>0</v>
      </c>
      <c r="KM19" s="514" t="str">
        <f t="shared" si="107"/>
        <v>0</v>
      </c>
      <c r="KN19" s="512"/>
      <c r="KO19" s="514" t="str">
        <f t="shared" si="108"/>
        <v>0</v>
      </c>
      <c r="KP19" s="514" t="str">
        <f t="shared" si="109"/>
        <v>0</v>
      </c>
      <c r="KQ19" s="512"/>
      <c r="KR19" s="514" t="str">
        <f t="shared" si="110"/>
        <v>0</v>
      </c>
      <c r="KS19" s="514" t="str">
        <f t="shared" si="111"/>
        <v>0</v>
      </c>
      <c r="KT19" s="514">
        <f t="shared" si="201"/>
        <v>0</v>
      </c>
      <c r="KU19" s="514">
        <f t="shared" si="202"/>
        <v>0</v>
      </c>
      <c r="KV19" s="263">
        <f t="shared" ref="KV19:KV42" si="204">+F19+I19+L19+O19+R19+U19+X19+AA19+AD19+AG19+AJ19+AM19+AP19+AS19+AV19+AY19+BB19+BE19+BH19+BK19+BN19+BQ19+BT19+BW19+BZ19+CC19+CF19+CI19+CL19+CO19+CR19+CU19+CX19+DA19+DD19+DJ19+DM19+DP19+DS19+DV19+DY19+EB19+EE19+EH19</f>
        <v>362.30918788803547</v>
      </c>
    </row>
    <row r="20" spans="1:308" ht="15" customHeight="1">
      <c r="A20" s="471">
        <f t="shared" si="200"/>
        <v>45941</v>
      </c>
      <c r="B20" s="472" t="str">
        <f>+Report1!B19</f>
        <v>Toilet</v>
      </c>
      <c r="C20" s="473" t="str">
        <f>+Report1!C19</f>
        <v>14,5</v>
      </c>
      <c r="D20" s="474">
        <f>+Report1!P19</f>
        <v>45.096000000000004</v>
      </c>
      <c r="E20" s="475">
        <f>+Report1!R19</f>
        <v>35.463999999999999</v>
      </c>
      <c r="F20" s="512"/>
      <c r="G20" s="513">
        <f t="shared" si="0"/>
        <v>0</v>
      </c>
      <c r="H20" s="514">
        <f t="shared" si="113"/>
        <v>0</v>
      </c>
      <c r="I20" s="512"/>
      <c r="J20" s="513">
        <f t="shared" si="1"/>
        <v>0</v>
      </c>
      <c r="K20" s="514">
        <f t="shared" si="114"/>
        <v>0</v>
      </c>
      <c r="L20" s="512"/>
      <c r="M20" s="513">
        <f t="shared" si="2"/>
        <v>0</v>
      </c>
      <c r="N20" s="514">
        <f t="shared" si="115"/>
        <v>0</v>
      </c>
      <c r="O20" s="512">
        <v>18</v>
      </c>
      <c r="P20" s="513">
        <f t="shared" si="3"/>
        <v>0.50755695916986243</v>
      </c>
      <c r="Q20" s="514">
        <f t="shared" si="116"/>
        <v>0</v>
      </c>
      <c r="R20" s="512">
        <v>10.25</v>
      </c>
      <c r="S20" s="513">
        <f t="shared" si="4"/>
        <v>0.28902549063839389</v>
      </c>
      <c r="T20" s="514">
        <f t="shared" si="117"/>
        <v>0</v>
      </c>
      <c r="U20" s="512">
        <v>6.25</v>
      </c>
      <c r="V20" s="513">
        <f t="shared" si="5"/>
        <v>0.17623505526731334</v>
      </c>
      <c r="W20" s="514">
        <f t="shared" si="118"/>
        <v>0</v>
      </c>
      <c r="X20" s="512"/>
      <c r="Y20" s="513">
        <f t="shared" si="6"/>
        <v>0</v>
      </c>
      <c r="Z20" s="514">
        <f t="shared" si="119"/>
        <v>0</v>
      </c>
      <c r="AA20" s="512"/>
      <c r="AB20" s="513">
        <f t="shared" si="7"/>
        <v>0</v>
      </c>
      <c r="AC20" s="514">
        <f t="shared" si="120"/>
        <v>0</v>
      </c>
      <c r="AD20" s="512"/>
      <c r="AE20" s="513">
        <f t="shared" si="8"/>
        <v>0</v>
      </c>
      <c r="AF20" s="514">
        <f t="shared" si="121"/>
        <v>0</v>
      </c>
      <c r="AG20" s="512"/>
      <c r="AH20" s="513">
        <f t="shared" si="9"/>
        <v>0</v>
      </c>
      <c r="AI20" s="514">
        <f t="shared" si="122"/>
        <v>0</v>
      </c>
      <c r="AJ20" s="512"/>
      <c r="AK20" s="513">
        <f t="shared" si="10"/>
        <v>0</v>
      </c>
      <c r="AL20" s="514">
        <f t="shared" si="123"/>
        <v>0</v>
      </c>
      <c r="AM20" s="512"/>
      <c r="AN20" s="513">
        <f t="shared" si="11"/>
        <v>0</v>
      </c>
      <c r="AO20" s="514">
        <f t="shared" si="124"/>
        <v>0</v>
      </c>
      <c r="AP20" s="512">
        <v>41.863507692307621</v>
      </c>
      <c r="AQ20" s="513">
        <f t="shared" si="12"/>
        <v>1.1804508146939889</v>
      </c>
      <c r="AR20" s="514">
        <f t="shared" si="125"/>
        <v>0</v>
      </c>
      <c r="AS20" s="512"/>
      <c r="AT20" s="513">
        <f t="shared" si="13"/>
        <v>0</v>
      </c>
      <c r="AU20" s="514">
        <f t="shared" si="126"/>
        <v>0</v>
      </c>
      <c r="AV20" s="512">
        <v>11.099999999999994</v>
      </c>
      <c r="AW20" s="513">
        <f t="shared" si="14"/>
        <v>0.31299345815474833</v>
      </c>
      <c r="AX20" s="514">
        <f t="shared" si="127"/>
        <v>0</v>
      </c>
      <c r="AY20" s="512">
        <v>44.363466666666625</v>
      </c>
      <c r="AZ20" s="513">
        <f t="shared" si="15"/>
        <v>1.2509436799759368</v>
      </c>
      <c r="BA20" s="514">
        <f t="shared" si="128"/>
        <v>0</v>
      </c>
      <c r="BB20" s="512"/>
      <c r="BC20" s="513">
        <f t="shared" si="16"/>
        <v>0</v>
      </c>
      <c r="BD20" s="514">
        <f t="shared" si="129"/>
        <v>0</v>
      </c>
      <c r="BE20" s="512"/>
      <c r="BF20" s="513">
        <f t="shared" si="17"/>
        <v>0</v>
      </c>
      <c r="BG20" s="514">
        <f t="shared" si="130"/>
        <v>0</v>
      </c>
      <c r="BH20" s="512"/>
      <c r="BI20" s="513">
        <f t="shared" si="18"/>
        <v>0</v>
      </c>
      <c r="BJ20" s="514">
        <f t="shared" si="131"/>
        <v>0</v>
      </c>
      <c r="BK20" s="512"/>
      <c r="BL20" s="513">
        <f t="shared" si="19"/>
        <v>0</v>
      </c>
      <c r="BM20" s="514">
        <f t="shared" si="132"/>
        <v>0</v>
      </c>
      <c r="BN20" s="512"/>
      <c r="BO20" s="513">
        <f t="shared" si="20"/>
        <v>0</v>
      </c>
      <c r="BP20" s="514">
        <f t="shared" si="133"/>
        <v>0</v>
      </c>
      <c r="BQ20" s="512"/>
      <c r="BR20" s="513">
        <f t="shared" si="21"/>
        <v>0</v>
      </c>
      <c r="BS20" s="514">
        <f t="shared" si="134"/>
        <v>0</v>
      </c>
      <c r="BT20" s="512"/>
      <c r="BU20" s="513">
        <f t="shared" si="22"/>
        <v>0</v>
      </c>
      <c r="BV20" s="514">
        <f t="shared" si="135"/>
        <v>0</v>
      </c>
      <c r="BW20" s="512"/>
      <c r="BX20" s="513">
        <f t="shared" si="23"/>
        <v>0</v>
      </c>
      <c r="BY20" s="514">
        <f t="shared" si="136"/>
        <v>0</v>
      </c>
      <c r="BZ20" s="512"/>
      <c r="CA20" s="513">
        <f t="shared" si="24"/>
        <v>0</v>
      </c>
      <c r="CB20" s="514">
        <f t="shared" si="137"/>
        <v>0</v>
      </c>
      <c r="CC20" s="512"/>
      <c r="CD20" s="513">
        <f t="shared" si="25"/>
        <v>0</v>
      </c>
      <c r="CE20" s="514">
        <f t="shared" si="138"/>
        <v>0</v>
      </c>
      <c r="CF20" s="512">
        <v>7</v>
      </c>
      <c r="CG20" s="513">
        <f t="shared" si="26"/>
        <v>0.19738326189939093</v>
      </c>
      <c r="CH20" s="514">
        <f t="shared" si="139"/>
        <v>0</v>
      </c>
      <c r="CI20" s="512"/>
      <c r="CJ20" s="513">
        <f t="shared" si="27"/>
        <v>0</v>
      </c>
      <c r="CK20" s="514">
        <f t="shared" si="140"/>
        <v>0</v>
      </c>
      <c r="CL20" s="512"/>
      <c r="CM20" s="513">
        <f t="shared" si="28"/>
        <v>0</v>
      </c>
      <c r="CN20" s="514">
        <f t="shared" si="141"/>
        <v>0</v>
      </c>
      <c r="CO20" s="512"/>
      <c r="CP20" s="513">
        <f t="shared" si="29"/>
        <v>0</v>
      </c>
      <c r="CQ20" s="514">
        <f t="shared" si="142"/>
        <v>0</v>
      </c>
      <c r="CR20" s="512"/>
      <c r="CS20" s="513">
        <f t="shared" si="30"/>
        <v>0</v>
      </c>
      <c r="CT20" s="514">
        <f t="shared" si="143"/>
        <v>0</v>
      </c>
      <c r="CU20" s="512"/>
      <c r="CV20" s="513">
        <f t="shared" si="31"/>
        <v>0</v>
      </c>
      <c r="CW20" s="514">
        <f t="shared" si="144"/>
        <v>0</v>
      </c>
      <c r="CX20" s="512"/>
      <c r="CY20" s="513">
        <f t="shared" si="32"/>
        <v>0</v>
      </c>
      <c r="CZ20" s="514">
        <f t="shared" si="145"/>
        <v>0</v>
      </c>
      <c r="DA20" s="512">
        <v>135.19920930232558</v>
      </c>
      <c r="DB20" s="513">
        <f t="shared" si="33"/>
        <v>3.812294419758786</v>
      </c>
      <c r="DC20" s="514">
        <f t="shared" si="146"/>
        <v>0</v>
      </c>
      <c r="DD20" s="512"/>
      <c r="DE20" s="513">
        <f t="shared" si="34"/>
        <v>0</v>
      </c>
      <c r="DF20" s="514">
        <f t="shared" si="147"/>
        <v>0</v>
      </c>
      <c r="DG20" s="512"/>
      <c r="DH20" s="513">
        <f t="shared" si="35"/>
        <v>0</v>
      </c>
      <c r="DI20" s="514">
        <f t="shared" si="203"/>
        <v>0</v>
      </c>
      <c r="DJ20" s="512"/>
      <c r="DK20" s="513">
        <f t="shared" si="36"/>
        <v>0</v>
      </c>
      <c r="DL20" s="514">
        <f t="shared" si="148"/>
        <v>0</v>
      </c>
      <c r="DM20" s="512"/>
      <c r="DN20" s="513">
        <f t="shared" si="37"/>
        <v>0</v>
      </c>
      <c r="DO20" s="514">
        <f t="shared" si="149"/>
        <v>0</v>
      </c>
      <c r="DP20" s="512"/>
      <c r="DQ20" s="513">
        <f t="shared" si="38"/>
        <v>0</v>
      </c>
      <c r="DR20" s="514">
        <f t="shared" si="150"/>
        <v>0</v>
      </c>
      <c r="DS20" s="512"/>
      <c r="DT20" s="513">
        <f t="shared" si="39"/>
        <v>0</v>
      </c>
      <c r="DU20" s="514">
        <f t="shared" si="151"/>
        <v>0</v>
      </c>
      <c r="DV20" s="512"/>
      <c r="DW20" s="513">
        <f t="shared" si="40"/>
        <v>0</v>
      </c>
      <c r="DX20" s="514">
        <f t="shared" si="152"/>
        <v>0</v>
      </c>
      <c r="DY20" s="512"/>
      <c r="DZ20" s="513">
        <f t="shared" si="41"/>
        <v>0</v>
      </c>
      <c r="EA20" s="514">
        <f t="shared" si="153"/>
        <v>0</v>
      </c>
      <c r="EB20" s="512">
        <v>82.18823529411759</v>
      </c>
      <c r="EC20" s="513">
        <f t="shared" si="42"/>
        <v>2.3175117103010825</v>
      </c>
      <c r="ED20" s="514">
        <f t="shared" si="154"/>
        <v>0</v>
      </c>
      <c r="EE20" s="512">
        <v>14.534883720930225</v>
      </c>
      <c r="EF20" s="513">
        <f t="shared" si="43"/>
        <v>0.40984896573793778</v>
      </c>
      <c r="EG20" s="514">
        <f t="shared" si="155"/>
        <v>0</v>
      </c>
      <c r="EH20" s="512">
        <v>4</v>
      </c>
      <c r="EI20" s="513">
        <f t="shared" si="44"/>
        <v>0.11279043537108054</v>
      </c>
      <c r="EJ20" s="514">
        <f t="shared" si="156"/>
        <v>0</v>
      </c>
      <c r="EK20" s="512"/>
      <c r="EL20" s="513">
        <f t="shared" si="45"/>
        <v>0</v>
      </c>
      <c r="EM20" s="514">
        <f t="shared" si="157"/>
        <v>0</v>
      </c>
      <c r="EN20" s="512"/>
      <c r="EO20" s="513">
        <f t="shared" si="46"/>
        <v>0</v>
      </c>
      <c r="EP20" s="514">
        <f t="shared" si="158"/>
        <v>0</v>
      </c>
      <c r="EQ20" s="512"/>
      <c r="ER20" s="513">
        <f t="shared" si="47"/>
        <v>0</v>
      </c>
      <c r="ES20" s="514">
        <f t="shared" si="159"/>
        <v>0</v>
      </c>
      <c r="ET20" s="512"/>
      <c r="EU20" s="513">
        <f t="shared" si="48"/>
        <v>0</v>
      </c>
      <c r="EV20" s="514">
        <f t="shared" si="160"/>
        <v>0</v>
      </c>
      <c r="EW20" s="512"/>
      <c r="EX20" s="513">
        <f t="shared" si="49"/>
        <v>0</v>
      </c>
      <c r="EY20" s="514">
        <f t="shared" si="161"/>
        <v>0</v>
      </c>
      <c r="EZ20" s="512"/>
      <c r="FA20" s="513">
        <f t="shared" si="50"/>
        <v>0</v>
      </c>
      <c r="FB20" s="514">
        <f t="shared" si="162"/>
        <v>0</v>
      </c>
      <c r="FC20" s="512"/>
      <c r="FD20" s="513">
        <f t="shared" si="51"/>
        <v>0</v>
      </c>
      <c r="FE20" s="514">
        <f t="shared" si="163"/>
        <v>0</v>
      </c>
      <c r="FF20" s="512"/>
      <c r="FG20" s="513">
        <f t="shared" si="52"/>
        <v>0</v>
      </c>
      <c r="FH20" s="514">
        <f t="shared" si="164"/>
        <v>0</v>
      </c>
      <c r="FI20" s="512"/>
      <c r="FJ20" s="513">
        <f t="shared" si="53"/>
        <v>0</v>
      </c>
      <c r="FK20" s="514">
        <f t="shared" si="165"/>
        <v>0</v>
      </c>
      <c r="FL20" s="512"/>
      <c r="FM20" s="513">
        <f t="shared" si="54"/>
        <v>0</v>
      </c>
      <c r="FN20" s="514">
        <f t="shared" si="166"/>
        <v>0</v>
      </c>
      <c r="FO20" s="512"/>
      <c r="FP20" s="513">
        <f t="shared" si="55"/>
        <v>0</v>
      </c>
      <c r="FQ20" s="514">
        <f t="shared" si="167"/>
        <v>0</v>
      </c>
      <c r="FR20" s="512"/>
      <c r="FS20" s="513">
        <f t="shared" si="56"/>
        <v>0</v>
      </c>
      <c r="FT20" s="514">
        <f t="shared" si="168"/>
        <v>0</v>
      </c>
      <c r="FU20" s="512"/>
      <c r="FV20" s="513">
        <f t="shared" si="57"/>
        <v>0</v>
      </c>
      <c r="FW20" s="514">
        <f t="shared" si="169"/>
        <v>0</v>
      </c>
      <c r="FX20" s="512"/>
      <c r="FY20" s="513">
        <f t="shared" si="58"/>
        <v>0</v>
      </c>
      <c r="FZ20" s="514">
        <f t="shared" si="170"/>
        <v>0</v>
      </c>
      <c r="GA20" s="512"/>
      <c r="GB20" s="513">
        <f t="shared" si="59"/>
        <v>0</v>
      </c>
      <c r="GC20" s="514">
        <f t="shared" si="171"/>
        <v>0</v>
      </c>
      <c r="GD20" s="512"/>
      <c r="GE20" s="513">
        <f t="shared" si="60"/>
        <v>0</v>
      </c>
      <c r="GF20" s="514">
        <f t="shared" si="172"/>
        <v>0</v>
      </c>
      <c r="GG20" s="512"/>
      <c r="GH20" s="513">
        <f t="shared" si="61"/>
        <v>0</v>
      </c>
      <c r="GI20" s="514">
        <f t="shared" si="173"/>
        <v>0</v>
      </c>
      <c r="GJ20" s="512"/>
      <c r="GK20" s="513">
        <f t="shared" si="62"/>
        <v>0</v>
      </c>
      <c r="GL20" s="514">
        <f t="shared" si="174"/>
        <v>0</v>
      </c>
      <c r="GM20" s="512"/>
      <c r="GN20" s="513">
        <f t="shared" si="63"/>
        <v>0</v>
      </c>
      <c r="GO20" s="514">
        <f t="shared" si="175"/>
        <v>0</v>
      </c>
      <c r="GP20" s="512"/>
      <c r="GQ20" s="513">
        <f t="shared" si="64"/>
        <v>0</v>
      </c>
      <c r="GR20" s="514">
        <f t="shared" si="176"/>
        <v>0</v>
      </c>
      <c r="GS20" s="512"/>
      <c r="GT20" s="513">
        <f t="shared" si="65"/>
        <v>0</v>
      </c>
      <c r="GU20" s="514">
        <f t="shared" si="177"/>
        <v>0</v>
      </c>
      <c r="GV20" s="512"/>
      <c r="GW20" s="513">
        <f t="shared" si="66"/>
        <v>0</v>
      </c>
      <c r="GX20" s="514">
        <f t="shared" si="178"/>
        <v>0</v>
      </c>
      <c r="GY20" s="512"/>
      <c r="GZ20" s="513">
        <f t="shared" si="67"/>
        <v>0</v>
      </c>
      <c r="HA20" s="514">
        <f t="shared" si="179"/>
        <v>0</v>
      </c>
      <c r="HB20" s="512"/>
      <c r="HC20" s="513">
        <f t="shared" si="68"/>
        <v>0</v>
      </c>
      <c r="HD20" s="514">
        <f t="shared" si="180"/>
        <v>0</v>
      </c>
      <c r="HE20" s="512"/>
      <c r="HF20" s="513">
        <f t="shared" si="69"/>
        <v>0</v>
      </c>
      <c r="HG20" s="514">
        <f t="shared" si="181"/>
        <v>0</v>
      </c>
      <c r="HH20" s="512"/>
      <c r="HI20" s="513">
        <f t="shared" si="70"/>
        <v>0</v>
      </c>
      <c r="HJ20" s="514">
        <f t="shared" si="182"/>
        <v>0</v>
      </c>
      <c r="HK20" s="512"/>
      <c r="HL20" s="513">
        <f t="shared" si="71"/>
        <v>0</v>
      </c>
      <c r="HM20" s="514">
        <f t="shared" si="183"/>
        <v>0</v>
      </c>
      <c r="HN20" s="512"/>
      <c r="HO20" s="513">
        <f t="shared" si="72"/>
        <v>0</v>
      </c>
      <c r="HP20" s="514">
        <f t="shared" si="184"/>
        <v>0</v>
      </c>
      <c r="HQ20" s="512"/>
      <c r="HR20" s="513">
        <f t="shared" si="73"/>
        <v>0</v>
      </c>
      <c r="HS20" s="514">
        <f t="shared" si="185"/>
        <v>0</v>
      </c>
      <c r="HT20" s="512"/>
      <c r="HU20" s="513">
        <f t="shared" si="74"/>
        <v>0</v>
      </c>
      <c r="HV20" s="514">
        <f t="shared" si="186"/>
        <v>0</v>
      </c>
      <c r="HW20" s="512"/>
      <c r="HX20" s="513">
        <f t="shared" si="75"/>
        <v>0</v>
      </c>
      <c r="HY20" s="514">
        <f t="shared" si="187"/>
        <v>0</v>
      </c>
      <c r="HZ20" s="512"/>
      <c r="IA20" s="513">
        <f t="shared" si="76"/>
        <v>0</v>
      </c>
      <c r="IB20" s="514">
        <f t="shared" si="188"/>
        <v>0</v>
      </c>
      <c r="IC20" s="512"/>
      <c r="ID20" s="513">
        <f t="shared" si="77"/>
        <v>0</v>
      </c>
      <c r="IE20" s="514">
        <f t="shared" si="189"/>
        <v>0</v>
      </c>
      <c r="IF20" s="512"/>
      <c r="IG20" s="513">
        <f t="shared" si="78"/>
        <v>0</v>
      </c>
      <c r="IH20" s="514">
        <f t="shared" si="190"/>
        <v>0</v>
      </c>
      <c r="II20" s="512"/>
      <c r="IJ20" s="513">
        <f t="shared" si="79"/>
        <v>0</v>
      </c>
      <c r="IK20" s="514">
        <f t="shared" si="191"/>
        <v>0</v>
      </c>
      <c r="IL20" s="512"/>
      <c r="IM20" s="513">
        <f t="shared" si="80"/>
        <v>0</v>
      </c>
      <c r="IN20" s="514">
        <f t="shared" si="192"/>
        <v>0</v>
      </c>
      <c r="IO20" s="512"/>
      <c r="IP20" s="513">
        <f t="shared" si="81"/>
        <v>0</v>
      </c>
      <c r="IQ20" s="514">
        <f t="shared" si="193"/>
        <v>0</v>
      </c>
      <c r="IR20" s="512"/>
      <c r="IS20" s="513">
        <f t="shared" si="82"/>
        <v>0</v>
      </c>
      <c r="IT20" s="514">
        <f t="shared" si="194"/>
        <v>0</v>
      </c>
      <c r="IU20" s="512"/>
      <c r="IV20" s="513">
        <f t="shared" si="83"/>
        <v>0</v>
      </c>
      <c r="IW20" s="514">
        <f t="shared" si="195"/>
        <v>0</v>
      </c>
      <c r="IX20" s="512"/>
      <c r="IY20" s="513">
        <f t="shared" si="84"/>
        <v>0</v>
      </c>
      <c r="IZ20" s="514">
        <f t="shared" si="196"/>
        <v>0</v>
      </c>
      <c r="JA20" s="512"/>
      <c r="JB20" s="513">
        <f t="shared" si="85"/>
        <v>0</v>
      </c>
      <c r="JC20" s="514">
        <f t="shared" si="197"/>
        <v>0</v>
      </c>
      <c r="JD20" s="512"/>
      <c r="JE20" s="513">
        <f t="shared" si="86"/>
        <v>0</v>
      </c>
      <c r="JF20" s="514">
        <f t="shared" si="198"/>
        <v>0</v>
      </c>
      <c r="JG20" s="512"/>
      <c r="JH20" s="513">
        <f t="shared" si="87"/>
        <v>0</v>
      </c>
      <c r="JI20" s="514">
        <f t="shared" si="199"/>
        <v>0</v>
      </c>
      <c r="JJ20" s="512"/>
      <c r="JK20" s="514" t="str">
        <f t="shared" si="88"/>
        <v>0</v>
      </c>
      <c r="JL20" s="514" t="str">
        <f t="shared" si="89"/>
        <v>0</v>
      </c>
      <c r="JM20" s="512"/>
      <c r="JN20" s="514" t="str">
        <f t="shared" si="90"/>
        <v>0</v>
      </c>
      <c r="JO20" s="514" t="str">
        <f t="shared" si="91"/>
        <v>0</v>
      </c>
      <c r="JP20" s="512"/>
      <c r="JQ20" s="514" t="str">
        <f t="shared" si="92"/>
        <v>0</v>
      </c>
      <c r="JR20" s="514" t="str">
        <f t="shared" si="93"/>
        <v>0</v>
      </c>
      <c r="JS20" s="512"/>
      <c r="JT20" s="514" t="str">
        <f t="shared" si="94"/>
        <v>0</v>
      </c>
      <c r="JU20" s="514" t="str">
        <f t="shared" si="95"/>
        <v>0</v>
      </c>
      <c r="JV20" s="512"/>
      <c r="JW20" s="514" t="str">
        <f t="shared" si="96"/>
        <v>0</v>
      </c>
      <c r="JX20" s="514" t="str">
        <f t="shared" si="97"/>
        <v>0</v>
      </c>
      <c r="JY20" s="512"/>
      <c r="JZ20" s="514" t="str">
        <f t="shared" si="98"/>
        <v>0</v>
      </c>
      <c r="KA20" s="514" t="str">
        <f t="shared" si="99"/>
        <v>0</v>
      </c>
      <c r="KB20" s="512"/>
      <c r="KC20" s="514" t="str">
        <f t="shared" si="100"/>
        <v>0</v>
      </c>
      <c r="KD20" s="514" t="str">
        <f t="shared" si="101"/>
        <v>0</v>
      </c>
      <c r="KE20" s="512"/>
      <c r="KF20" s="514" t="str">
        <f t="shared" si="102"/>
        <v>0</v>
      </c>
      <c r="KG20" s="514" t="str">
        <f t="shared" si="103"/>
        <v>0</v>
      </c>
      <c r="KH20" s="512"/>
      <c r="KI20" s="514" t="str">
        <f t="shared" si="104"/>
        <v>0</v>
      </c>
      <c r="KJ20" s="514" t="str">
        <f t="shared" si="105"/>
        <v>0</v>
      </c>
      <c r="KK20" s="512"/>
      <c r="KL20" s="514" t="str">
        <f t="shared" si="106"/>
        <v>0</v>
      </c>
      <c r="KM20" s="514" t="str">
        <f t="shared" si="107"/>
        <v>0</v>
      </c>
      <c r="KN20" s="512"/>
      <c r="KO20" s="514" t="str">
        <f t="shared" si="108"/>
        <v>0</v>
      </c>
      <c r="KP20" s="514" t="str">
        <f t="shared" si="109"/>
        <v>0</v>
      </c>
      <c r="KQ20" s="512"/>
      <c r="KR20" s="514" t="str">
        <f t="shared" si="110"/>
        <v>0</v>
      </c>
      <c r="KS20" s="514" t="str">
        <f t="shared" si="111"/>
        <v>0</v>
      </c>
      <c r="KT20" s="514">
        <f t="shared" si="201"/>
        <v>0</v>
      </c>
      <c r="KU20" s="514">
        <f t="shared" si="202"/>
        <v>0</v>
      </c>
      <c r="KV20" s="263">
        <f t="shared" si="204"/>
        <v>374.74930267634761</v>
      </c>
    </row>
    <row r="21" spans="1:308" ht="15" customHeight="1">
      <c r="A21" s="471">
        <f t="shared" si="200"/>
        <v>45942</v>
      </c>
      <c r="B21" s="472" t="str">
        <f>+Report1!B20</f>
        <v>Toilet</v>
      </c>
      <c r="C21" s="473" t="str">
        <f>+Report1!C20</f>
        <v>14,5</v>
      </c>
      <c r="D21" s="474">
        <f>+Report1!P20</f>
        <v>42.670999999999999</v>
      </c>
      <c r="E21" s="475">
        <f>+Report1!R20</f>
        <v>44.765000000000001</v>
      </c>
      <c r="F21" s="512"/>
      <c r="G21" s="513">
        <f t="shared" si="0"/>
        <v>0</v>
      </c>
      <c r="H21" s="514">
        <f t="shared" si="113"/>
        <v>0</v>
      </c>
      <c r="I21" s="512"/>
      <c r="J21" s="513">
        <f t="shared" si="1"/>
        <v>0</v>
      </c>
      <c r="K21" s="514">
        <f t="shared" si="114"/>
        <v>0</v>
      </c>
      <c r="L21" s="512"/>
      <c r="M21" s="513">
        <f t="shared" si="2"/>
        <v>0</v>
      </c>
      <c r="N21" s="514">
        <f t="shared" si="115"/>
        <v>0</v>
      </c>
      <c r="O21" s="512">
        <v>18</v>
      </c>
      <c r="P21" s="513">
        <f t="shared" si="3"/>
        <v>0.40209985479727467</v>
      </c>
      <c r="Q21" s="514">
        <f t="shared" si="116"/>
        <v>0</v>
      </c>
      <c r="R21" s="512">
        <v>7.6875</v>
      </c>
      <c r="S21" s="513">
        <f t="shared" si="4"/>
        <v>0.17173014631966937</v>
      </c>
      <c r="T21" s="514">
        <f t="shared" si="117"/>
        <v>0</v>
      </c>
      <c r="U21" s="512">
        <v>6.25</v>
      </c>
      <c r="V21" s="513">
        <f t="shared" si="5"/>
        <v>0.13961800513794259</v>
      </c>
      <c r="W21" s="514">
        <f t="shared" si="118"/>
        <v>0</v>
      </c>
      <c r="X21" s="512"/>
      <c r="Y21" s="513">
        <f t="shared" si="6"/>
        <v>0</v>
      </c>
      <c r="Z21" s="514">
        <f t="shared" si="119"/>
        <v>0</v>
      </c>
      <c r="AA21" s="512"/>
      <c r="AB21" s="513">
        <f t="shared" si="7"/>
        <v>0</v>
      </c>
      <c r="AC21" s="514">
        <f t="shared" si="120"/>
        <v>0</v>
      </c>
      <c r="AD21" s="512"/>
      <c r="AE21" s="513">
        <f t="shared" si="8"/>
        <v>0</v>
      </c>
      <c r="AF21" s="514">
        <f t="shared" si="121"/>
        <v>0</v>
      </c>
      <c r="AG21" s="512"/>
      <c r="AH21" s="513">
        <f t="shared" si="9"/>
        <v>0</v>
      </c>
      <c r="AI21" s="514">
        <f t="shared" si="122"/>
        <v>0</v>
      </c>
      <c r="AJ21" s="512"/>
      <c r="AK21" s="513">
        <f t="shared" si="10"/>
        <v>0</v>
      </c>
      <c r="AL21" s="514">
        <f t="shared" si="123"/>
        <v>0</v>
      </c>
      <c r="AM21" s="512"/>
      <c r="AN21" s="513">
        <f t="shared" si="11"/>
        <v>0</v>
      </c>
      <c r="AO21" s="514">
        <f t="shared" si="124"/>
        <v>0</v>
      </c>
      <c r="AP21" s="512">
        <v>39.611400000000003</v>
      </c>
      <c r="AQ21" s="513">
        <f t="shared" si="12"/>
        <v>0.88487434379537588</v>
      </c>
      <c r="AR21" s="514">
        <f t="shared" si="125"/>
        <v>0</v>
      </c>
      <c r="AS21" s="512"/>
      <c r="AT21" s="513">
        <f t="shared" si="13"/>
        <v>0</v>
      </c>
      <c r="AU21" s="514">
        <f t="shared" si="126"/>
        <v>0</v>
      </c>
      <c r="AV21" s="512">
        <v>8.3250000000000028</v>
      </c>
      <c r="AW21" s="513">
        <f t="shared" si="14"/>
        <v>0.18597118284373959</v>
      </c>
      <c r="AX21" s="514">
        <f t="shared" si="127"/>
        <v>0</v>
      </c>
      <c r="AY21" s="512">
        <v>41.970400000000012</v>
      </c>
      <c r="AZ21" s="513">
        <f t="shared" si="15"/>
        <v>0.93757176365464112</v>
      </c>
      <c r="BA21" s="514">
        <f t="shared" si="128"/>
        <v>0</v>
      </c>
      <c r="BB21" s="512"/>
      <c r="BC21" s="513">
        <f t="shared" si="16"/>
        <v>0</v>
      </c>
      <c r="BD21" s="514">
        <f t="shared" si="129"/>
        <v>0</v>
      </c>
      <c r="BE21" s="512"/>
      <c r="BF21" s="513">
        <f t="shared" si="17"/>
        <v>0</v>
      </c>
      <c r="BG21" s="514">
        <f t="shared" si="130"/>
        <v>0</v>
      </c>
      <c r="BH21" s="512"/>
      <c r="BI21" s="513">
        <f t="shared" si="18"/>
        <v>0</v>
      </c>
      <c r="BJ21" s="514">
        <f t="shared" si="131"/>
        <v>0</v>
      </c>
      <c r="BK21" s="512"/>
      <c r="BL21" s="513">
        <f t="shared" si="19"/>
        <v>0</v>
      </c>
      <c r="BM21" s="514">
        <f t="shared" si="132"/>
        <v>0</v>
      </c>
      <c r="BN21" s="512"/>
      <c r="BO21" s="513">
        <f t="shared" si="20"/>
        <v>0</v>
      </c>
      <c r="BP21" s="514">
        <f t="shared" si="133"/>
        <v>0</v>
      </c>
      <c r="BQ21" s="512"/>
      <c r="BR21" s="513">
        <f t="shared" si="21"/>
        <v>0</v>
      </c>
      <c r="BS21" s="514">
        <f t="shared" si="134"/>
        <v>0</v>
      </c>
      <c r="BT21" s="512"/>
      <c r="BU21" s="513">
        <f t="shared" si="22"/>
        <v>0</v>
      </c>
      <c r="BV21" s="514">
        <f t="shared" si="135"/>
        <v>0</v>
      </c>
      <c r="BW21" s="512"/>
      <c r="BX21" s="513">
        <f t="shared" si="23"/>
        <v>0</v>
      </c>
      <c r="BY21" s="514">
        <f t="shared" si="136"/>
        <v>0</v>
      </c>
      <c r="BZ21" s="512"/>
      <c r="CA21" s="513">
        <f t="shared" si="24"/>
        <v>0</v>
      </c>
      <c r="CB21" s="514">
        <f t="shared" si="137"/>
        <v>0</v>
      </c>
      <c r="CC21" s="512"/>
      <c r="CD21" s="513">
        <f t="shared" si="25"/>
        <v>0</v>
      </c>
      <c r="CE21" s="514">
        <f t="shared" si="138"/>
        <v>0</v>
      </c>
      <c r="CF21" s="512">
        <v>7</v>
      </c>
      <c r="CG21" s="513">
        <f t="shared" si="26"/>
        <v>0.1563721657544957</v>
      </c>
      <c r="CH21" s="514">
        <f t="shared" si="139"/>
        <v>0</v>
      </c>
      <c r="CI21" s="512"/>
      <c r="CJ21" s="513">
        <f t="shared" si="27"/>
        <v>0</v>
      </c>
      <c r="CK21" s="514">
        <f t="shared" si="140"/>
        <v>0</v>
      </c>
      <c r="CL21" s="512"/>
      <c r="CM21" s="513">
        <f t="shared" si="28"/>
        <v>0</v>
      </c>
      <c r="CN21" s="514">
        <f t="shared" si="141"/>
        <v>0</v>
      </c>
      <c r="CO21" s="512"/>
      <c r="CP21" s="513">
        <f t="shared" si="29"/>
        <v>0</v>
      </c>
      <c r="CQ21" s="514">
        <f t="shared" si="142"/>
        <v>0</v>
      </c>
      <c r="CR21" s="512"/>
      <c r="CS21" s="513">
        <f t="shared" si="30"/>
        <v>0</v>
      </c>
      <c r="CT21" s="514">
        <f t="shared" si="143"/>
        <v>0</v>
      </c>
      <c r="CU21" s="512"/>
      <c r="CV21" s="513">
        <f t="shared" si="31"/>
        <v>0</v>
      </c>
      <c r="CW21" s="514">
        <f t="shared" si="144"/>
        <v>0</v>
      </c>
      <c r="CX21" s="512"/>
      <c r="CY21" s="513">
        <f t="shared" si="32"/>
        <v>0</v>
      </c>
      <c r="CZ21" s="514">
        <f t="shared" si="145"/>
        <v>0</v>
      </c>
      <c r="DA21" s="512">
        <v>133.69613953488374</v>
      </c>
      <c r="DB21" s="513">
        <f t="shared" si="33"/>
        <v>2.9866221274407181</v>
      </c>
      <c r="DC21" s="514">
        <f t="shared" si="146"/>
        <v>0</v>
      </c>
      <c r="DD21" s="512"/>
      <c r="DE21" s="513">
        <f t="shared" si="34"/>
        <v>0</v>
      </c>
      <c r="DF21" s="514">
        <f t="shared" si="147"/>
        <v>0</v>
      </c>
      <c r="DG21" s="512"/>
      <c r="DH21" s="513">
        <f t="shared" si="35"/>
        <v>0</v>
      </c>
      <c r="DI21" s="514">
        <f t="shared" si="203"/>
        <v>0</v>
      </c>
      <c r="DJ21" s="512"/>
      <c r="DK21" s="513">
        <f t="shared" si="36"/>
        <v>0</v>
      </c>
      <c r="DL21" s="514">
        <f t="shared" si="148"/>
        <v>0</v>
      </c>
      <c r="DM21" s="512"/>
      <c r="DN21" s="513">
        <f t="shared" si="37"/>
        <v>0</v>
      </c>
      <c r="DO21" s="514">
        <f t="shared" si="149"/>
        <v>0</v>
      </c>
      <c r="DP21" s="512"/>
      <c r="DQ21" s="513">
        <f t="shared" si="38"/>
        <v>0</v>
      </c>
      <c r="DR21" s="514">
        <f t="shared" si="150"/>
        <v>0</v>
      </c>
      <c r="DS21" s="512"/>
      <c r="DT21" s="513">
        <f t="shared" si="39"/>
        <v>0</v>
      </c>
      <c r="DU21" s="514">
        <f t="shared" si="151"/>
        <v>0</v>
      </c>
      <c r="DV21" s="512"/>
      <c r="DW21" s="513">
        <f t="shared" si="40"/>
        <v>0</v>
      </c>
      <c r="DX21" s="514">
        <f t="shared" si="152"/>
        <v>0</v>
      </c>
      <c r="DY21" s="512"/>
      <c r="DZ21" s="513">
        <f t="shared" si="41"/>
        <v>0</v>
      </c>
      <c r="EA21" s="514">
        <f t="shared" si="153"/>
        <v>0</v>
      </c>
      <c r="EB21" s="512">
        <v>70.447058823529403</v>
      </c>
      <c r="EC21" s="513">
        <f t="shared" si="42"/>
        <v>1.5737084513242354</v>
      </c>
      <c r="ED21" s="514">
        <f t="shared" si="154"/>
        <v>0</v>
      </c>
      <c r="EE21" s="512">
        <v>7.2674418604651123</v>
      </c>
      <c r="EF21" s="513">
        <f t="shared" si="43"/>
        <v>0.16234651760225874</v>
      </c>
      <c r="EG21" s="514">
        <f t="shared" si="155"/>
        <v>0</v>
      </c>
      <c r="EH21" s="512">
        <v>4</v>
      </c>
      <c r="EI21" s="513">
        <f t="shared" si="44"/>
        <v>8.9355523288283251E-2</v>
      </c>
      <c r="EJ21" s="514">
        <f t="shared" si="156"/>
        <v>0</v>
      </c>
      <c r="EK21" s="512"/>
      <c r="EL21" s="513">
        <f t="shared" si="45"/>
        <v>0</v>
      </c>
      <c r="EM21" s="514">
        <f t="shared" si="157"/>
        <v>0</v>
      </c>
      <c r="EN21" s="512"/>
      <c r="EO21" s="513">
        <f t="shared" si="46"/>
        <v>0</v>
      </c>
      <c r="EP21" s="514">
        <f t="shared" si="158"/>
        <v>0</v>
      </c>
      <c r="EQ21" s="512"/>
      <c r="ER21" s="513">
        <f t="shared" si="47"/>
        <v>0</v>
      </c>
      <c r="ES21" s="514">
        <f t="shared" si="159"/>
        <v>0</v>
      </c>
      <c r="ET21" s="512"/>
      <c r="EU21" s="513">
        <f t="shared" si="48"/>
        <v>0</v>
      </c>
      <c r="EV21" s="514">
        <f t="shared" si="160"/>
        <v>0</v>
      </c>
      <c r="EW21" s="512"/>
      <c r="EX21" s="513">
        <f t="shared" si="49"/>
        <v>0</v>
      </c>
      <c r="EY21" s="514">
        <f t="shared" si="161"/>
        <v>0</v>
      </c>
      <c r="EZ21" s="512"/>
      <c r="FA21" s="513">
        <f t="shared" si="50"/>
        <v>0</v>
      </c>
      <c r="FB21" s="514">
        <f t="shared" si="162"/>
        <v>0</v>
      </c>
      <c r="FC21" s="512"/>
      <c r="FD21" s="513">
        <f t="shared" si="51"/>
        <v>0</v>
      </c>
      <c r="FE21" s="514">
        <f t="shared" si="163"/>
        <v>0</v>
      </c>
      <c r="FF21" s="512"/>
      <c r="FG21" s="513">
        <f t="shared" si="52"/>
        <v>0</v>
      </c>
      <c r="FH21" s="514">
        <f t="shared" si="164"/>
        <v>0</v>
      </c>
      <c r="FI21" s="512"/>
      <c r="FJ21" s="513">
        <f t="shared" si="53"/>
        <v>0</v>
      </c>
      <c r="FK21" s="514">
        <f t="shared" si="165"/>
        <v>0</v>
      </c>
      <c r="FL21" s="512"/>
      <c r="FM21" s="513">
        <f t="shared" si="54"/>
        <v>0</v>
      </c>
      <c r="FN21" s="514">
        <f t="shared" si="166"/>
        <v>0</v>
      </c>
      <c r="FO21" s="512"/>
      <c r="FP21" s="513">
        <f t="shared" si="55"/>
        <v>0</v>
      </c>
      <c r="FQ21" s="514">
        <f t="shared" si="167"/>
        <v>0</v>
      </c>
      <c r="FR21" s="512"/>
      <c r="FS21" s="513">
        <f t="shared" si="56"/>
        <v>0</v>
      </c>
      <c r="FT21" s="514">
        <f t="shared" si="168"/>
        <v>0</v>
      </c>
      <c r="FU21" s="512"/>
      <c r="FV21" s="513">
        <f t="shared" si="57"/>
        <v>0</v>
      </c>
      <c r="FW21" s="514">
        <f t="shared" si="169"/>
        <v>0</v>
      </c>
      <c r="FX21" s="512"/>
      <c r="FY21" s="513">
        <f t="shared" si="58"/>
        <v>0</v>
      </c>
      <c r="FZ21" s="514">
        <f t="shared" si="170"/>
        <v>0</v>
      </c>
      <c r="GA21" s="512"/>
      <c r="GB21" s="513">
        <f t="shared" si="59"/>
        <v>0</v>
      </c>
      <c r="GC21" s="514">
        <f t="shared" si="171"/>
        <v>0</v>
      </c>
      <c r="GD21" s="512"/>
      <c r="GE21" s="513">
        <f t="shared" si="60"/>
        <v>0</v>
      </c>
      <c r="GF21" s="514">
        <f t="shared" si="172"/>
        <v>0</v>
      </c>
      <c r="GG21" s="512"/>
      <c r="GH21" s="513">
        <f t="shared" si="61"/>
        <v>0</v>
      </c>
      <c r="GI21" s="514">
        <f t="shared" si="173"/>
        <v>0</v>
      </c>
      <c r="GJ21" s="512"/>
      <c r="GK21" s="513">
        <f t="shared" si="62"/>
        <v>0</v>
      </c>
      <c r="GL21" s="514">
        <f t="shared" si="174"/>
        <v>0</v>
      </c>
      <c r="GM21" s="512"/>
      <c r="GN21" s="513">
        <f t="shared" si="63"/>
        <v>0</v>
      </c>
      <c r="GO21" s="514">
        <f t="shared" si="175"/>
        <v>0</v>
      </c>
      <c r="GP21" s="512"/>
      <c r="GQ21" s="513">
        <f t="shared" si="64"/>
        <v>0</v>
      </c>
      <c r="GR21" s="514">
        <f t="shared" si="176"/>
        <v>0</v>
      </c>
      <c r="GS21" s="512"/>
      <c r="GT21" s="513">
        <f t="shared" si="65"/>
        <v>0</v>
      </c>
      <c r="GU21" s="514">
        <f t="shared" si="177"/>
        <v>0</v>
      </c>
      <c r="GV21" s="512"/>
      <c r="GW21" s="513">
        <f t="shared" si="66"/>
        <v>0</v>
      </c>
      <c r="GX21" s="514">
        <f t="shared" si="178"/>
        <v>0</v>
      </c>
      <c r="GY21" s="512"/>
      <c r="GZ21" s="513">
        <f t="shared" si="67"/>
        <v>0</v>
      </c>
      <c r="HA21" s="514">
        <f t="shared" si="179"/>
        <v>0</v>
      </c>
      <c r="HB21" s="512"/>
      <c r="HC21" s="513">
        <f t="shared" si="68"/>
        <v>0</v>
      </c>
      <c r="HD21" s="514">
        <f t="shared" si="180"/>
        <v>0</v>
      </c>
      <c r="HE21" s="512"/>
      <c r="HF21" s="513">
        <f t="shared" si="69"/>
        <v>0</v>
      </c>
      <c r="HG21" s="514">
        <f t="shared" si="181"/>
        <v>0</v>
      </c>
      <c r="HH21" s="512"/>
      <c r="HI21" s="513">
        <f t="shared" si="70"/>
        <v>0</v>
      </c>
      <c r="HJ21" s="514">
        <f t="shared" si="182"/>
        <v>0</v>
      </c>
      <c r="HK21" s="512"/>
      <c r="HL21" s="513">
        <f t="shared" si="71"/>
        <v>0</v>
      </c>
      <c r="HM21" s="514">
        <f t="shared" si="183"/>
        <v>0</v>
      </c>
      <c r="HN21" s="512"/>
      <c r="HO21" s="513">
        <f t="shared" si="72"/>
        <v>0</v>
      </c>
      <c r="HP21" s="514">
        <f t="shared" si="184"/>
        <v>0</v>
      </c>
      <c r="HQ21" s="512"/>
      <c r="HR21" s="513">
        <f t="shared" si="73"/>
        <v>0</v>
      </c>
      <c r="HS21" s="514">
        <f t="shared" si="185"/>
        <v>0</v>
      </c>
      <c r="HT21" s="512"/>
      <c r="HU21" s="513">
        <f t="shared" si="74"/>
        <v>0</v>
      </c>
      <c r="HV21" s="514">
        <f t="shared" si="186"/>
        <v>0</v>
      </c>
      <c r="HW21" s="512"/>
      <c r="HX21" s="513">
        <f t="shared" si="75"/>
        <v>0</v>
      </c>
      <c r="HY21" s="514">
        <f t="shared" si="187"/>
        <v>0</v>
      </c>
      <c r="HZ21" s="512"/>
      <c r="IA21" s="513">
        <f t="shared" si="76"/>
        <v>0</v>
      </c>
      <c r="IB21" s="514">
        <f t="shared" si="188"/>
        <v>0</v>
      </c>
      <c r="IC21" s="512"/>
      <c r="ID21" s="513">
        <f t="shared" si="77"/>
        <v>0</v>
      </c>
      <c r="IE21" s="514">
        <f t="shared" si="189"/>
        <v>0</v>
      </c>
      <c r="IF21" s="512"/>
      <c r="IG21" s="513">
        <f t="shared" si="78"/>
        <v>0</v>
      </c>
      <c r="IH21" s="514">
        <f t="shared" si="190"/>
        <v>0</v>
      </c>
      <c r="II21" s="512"/>
      <c r="IJ21" s="513">
        <f t="shared" si="79"/>
        <v>0</v>
      </c>
      <c r="IK21" s="514">
        <f t="shared" si="191"/>
        <v>0</v>
      </c>
      <c r="IL21" s="512"/>
      <c r="IM21" s="513">
        <f t="shared" si="80"/>
        <v>0</v>
      </c>
      <c r="IN21" s="514">
        <f t="shared" si="192"/>
        <v>0</v>
      </c>
      <c r="IO21" s="512"/>
      <c r="IP21" s="513">
        <f t="shared" si="81"/>
        <v>0</v>
      </c>
      <c r="IQ21" s="514">
        <f t="shared" si="193"/>
        <v>0</v>
      </c>
      <c r="IR21" s="512"/>
      <c r="IS21" s="513">
        <f t="shared" si="82"/>
        <v>0</v>
      </c>
      <c r="IT21" s="514">
        <f t="shared" si="194"/>
        <v>0</v>
      </c>
      <c r="IU21" s="512"/>
      <c r="IV21" s="513">
        <f t="shared" si="83"/>
        <v>0</v>
      </c>
      <c r="IW21" s="514">
        <f t="shared" si="195"/>
        <v>0</v>
      </c>
      <c r="IX21" s="512"/>
      <c r="IY21" s="513">
        <f t="shared" si="84"/>
        <v>0</v>
      </c>
      <c r="IZ21" s="514">
        <f t="shared" si="196"/>
        <v>0</v>
      </c>
      <c r="JA21" s="512"/>
      <c r="JB21" s="513">
        <f t="shared" si="85"/>
        <v>0</v>
      </c>
      <c r="JC21" s="514">
        <f t="shared" si="197"/>
        <v>0</v>
      </c>
      <c r="JD21" s="512"/>
      <c r="JE21" s="513">
        <f t="shared" si="86"/>
        <v>0</v>
      </c>
      <c r="JF21" s="514">
        <f t="shared" si="198"/>
        <v>0</v>
      </c>
      <c r="JG21" s="512"/>
      <c r="JH21" s="513">
        <f t="shared" si="87"/>
        <v>0</v>
      </c>
      <c r="JI21" s="514">
        <f t="shared" si="199"/>
        <v>0</v>
      </c>
      <c r="JJ21" s="512"/>
      <c r="JK21" s="514" t="str">
        <f t="shared" si="88"/>
        <v>0</v>
      </c>
      <c r="JL21" s="514" t="str">
        <f t="shared" si="89"/>
        <v>0</v>
      </c>
      <c r="JM21" s="512"/>
      <c r="JN21" s="514" t="str">
        <f t="shared" si="90"/>
        <v>0</v>
      </c>
      <c r="JO21" s="514" t="str">
        <f t="shared" si="91"/>
        <v>0</v>
      </c>
      <c r="JP21" s="512"/>
      <c r="JQ21" s="514" t="str">
        <f t="shared" si="92"/>
        <v>0</v>
      </c>
      <c r="JR21" s="514" t="str">
        <f t="shared" si="93"/>
        <v>0</v>
      </c>
      <c r="JS21" s="512"/>
      <c r="JT21" s="514" t="str">
        <f t="shared" si="94"/>
        <v>0</v>
      </c>
      <c r="JU21" s="514" t="str">
        <f t="shared" si="95"/>
        <v>0</v>
      </c>
      <c r="JV21" s="512"/>
      <c r="JW21" s="514" t="str">
        <f t="shared" si="96"/>
        <v>0</v>
      </c>
      <c r="JX21" s="514" t="str">
        <f t="shared" si="97"/>
        <v>0</v>
      </c>
      <c r="JY21" s="512"/>
      <c r="JZ21" s="514" t="str">
        <f t="shared" si="98"/>
        <v>0</v>
      </c>
      <c r="KA21" s="514" t="str">
        <f t="shared" si="99"/>
        <v>0</v>
      </c>
      <c r="KB21" s="512"/>
      <c r="KC21" s="514" t="str">
        <f t="shared" si="100"/>
        <v>0</v>
      </c>
      <c r="KD21" s="514" t="str">
        <f t="shared" si="101"/>
        <v>0</v>
      </c>
      <c r="KE21" s="512"/>
      <c r="KF21" s="514" t="str">
        <f t="shared" si="102"/>
        <v>0</v>
      </c>
      <c r="KG21" s="514" t="str">
        <f t="shared" si="103"/>
        <v>0</v>
      </c>
      <c r="KH21" s="512"/>
      <c r="KI21" s="514" t="str">
        <f t="shared" si="104"/>
        <v>0</v>
      </c>
      <c r="KJ21" s="514" t="str">
        <f t="shared" si="105"/>
        <v>0</v>
      </c>
      <c r="KK21" s="512"/>
      <c r="KL21" s="514" t="str">
        <f t="shared" si="106"/>
        <v>0</v>
      </c>
      <c r="KM21" s="514" t="str">
        <f t="shared" si="107"/>
        <v>0</v>
      </c>
      <c r="KN21" s="512"/>
      <c r="KO21" s="514" t="str">
        <f t="shared" si="108"/>
        <v>0</v>
      </c>
      <c r="KP21" s="514" t="str">
        <f t="shared" si="109"/>
        <v>0</v>
      </c>
      <c r="KQ21" s="512"/>
      <c r="KR21" s="514" t="str">
        <f t="shared" si="110"/>
        <v>0</v>
      </c>
      <c r="KS21" s="514" t="str">
        <f t="shared" si="111"/>
        <v>0</v>
      </c>
      <c r="KT21" s="514">
        <f t="shared" si="201"/>
        <v>0</v>
      </c>
      <c r="KU21" s="514">
        <f t="shared" si="202"/>
        <v>0</v>
      </c>
      <c r="KV21" s="263">
        <f t="shared" si="204"/>
        <v>344.25494021887829</v>
      </c>
    </row>
    <row r="22" spans="1:308" ht="15" customHeight="1">
      <c r="A22" s="471">
        <f t="shared" si="200"/>
        <v>45943</v>
      </c>
      <c r="B22" s="472" t="str">
        <f>+Report1!B21</f>
        <v>Toilet</v>
      </c>
      <c r="C22" s="473" t="str">
        <f>+Report1!C21</f>
        <v>14,5</v>
      </c>
      <c r="D22" s="474">
        <f>+Report1!P21</f>
        <v>43.638999999999996</v>
      </c>
      <c r="E22" s="475">
        <f>+Report1!R21</f>
        <v>42.232999999999997</v>
      </c>
      <c r="F22" s="512"/>
      <c r="G22" s="513">
        <f t="shared" si="0"/>
        <v>0</v>
      </c>
      <c r="H22" s="514">
        <f t="shared" si="113"/>
        <v>0</v>
      </c>
      <c r="I22" s="512"/>
      <c r="J22" s="513">
        <f t="shared" si="1"/>
        <v>0</v>
      </c>
      <c r="K22" s="514">
        <f t="shared" si="114"/>
        <v>0</v>
      </c>
      <c r="L22" s="512"/>
      <c r="M22" s="513">
        <f t="shared" si="2"/>
        <v>0</v>
      </c>
      <c r="N22" s="514">
        <f t="shared" si="115"/>
        <v>0</v>
      </c>
      <c r="O22" s="512">
        <v>21.000000000000014</v>
      </c>
      <c r="P22" s="513">
        <f t="shared" si="3"/>
        <v>0.49724149361873454</v>
      </c>
      <c r="Q22" s="514">
        <f t="shared" si="116"/>
        <v>0</v>
      </c>
      <c r="R22" s="512">
        <v>7.6875000000000284</v>
      </c>
      <c r="S22" s="513">
        <f t="shared" si="4"/>
        <v>0.18202590391400159</v>
      </c>
      <c r="T22" s="514">
        <f t="shared" si="117"/>
        <v>0</v>
      </c>
      <c r="U22" s="512">
        <v>6.25</v>
      </c>
      <c r="V22" s="513">
        <f t="shared" si="5"/>
        <v>0.14798853976748041</v>
      </c>
      <c r="W22" s="514">
        <f t="shared" si="118"/>
        <v>0</v>
      </c>
      <c r="X22" s="512"/>
      <c r="Y22" s="513">
        <f t="shared" si="6"/>
        <v>0</v>
      </c>
      <c r="Z22" s="514">
        <f t="shared" si="119"/>
        <v>0</v>
      </c>
      <c r="AA22" s="512"/>
      <c r="AB22" s="513">
        <f t="shared" si="7"/>
        <v>0</v>
      </c>
      <c r="AC22" s="514">
        <f t="shared" si="120"/>
        <v>0</v>
      </c>
      <c r="AD22" s="512"/>
      <c r="AE22" s="513">
        <f t="shared" si="8"/>
        <v>0</v>
      </c>
      <c r="AF22" s="514">
        <f t="shared" si="121"/>
        <v>0</v>
      </c>
      <c r="AG22" s="512"/>
      <c r="AH22" s="513">
        <f t="shared" si="9"/>
        <v>0</v>
      </c>
      <c r="AI22" s="514">
        <f t="shared" si="122"/>
        <v>0</v>
      </c>
      <c r="AJ22" s="512"/>
      <c r="AK22" s="513">
        <f t="shared" si="10"/>
        <v>0</v>
      </c>
      <c r="AL22" s="514">
        <f t="shared" si="123"/>
        <v>0</v>
      </c>
      <c r="AM22" s="512"/>
      <c r="AN22" s="513">
        <f t="shared" si="11"/>
        <v>0</v>
      </c>
      <c r="AO22" s="514">
        <f t="shared" si="124"/>
        <v>0</v>
      </c>
      <c r="AP22" s="512">
        <v>49.935348717948727</v>
      </c>
      <c r="AQ22" s="513">
        <f t="shared" si="12"/>
        <v>1.1823774943278651</v>
      </c>
      <c r="AR22" s="514">
        <f t="shared" si="125"/>
        <v>0</v>
      </c>
      <c r="AS22" s="512"/>
      <c r="AT22" s="513">
        <f t="shared" si="13"/>
        <v>0</v>
      </c>
      <c r="AU22" s="514">
        <f t="shared" si="126"/>
        <v>0</v>
      </c>
      <c r="AV22" s="512">
        <v>8.3250000000000028</v>
      </c>
      <c r="AW22" s="513">
        <f t="shared" si="14"/>
        <v>0.19712073497028398</v>
      </c>
      <c r="AX22" s="514">
        <f t="shared" si="127"/>
        <v>0</v>
      </c>
      <c r="AY22" s="512">
        <v>44.33280000000002</v>
      </c>
      <c r="AZ22" s="513">
        <f t="shared" si="15"/>
        <v>1.0497194137286014</v>
      </c>
      <c r="BA22" s="514">
        <f t="shared" si="128"/>
        <v>0</v>
      </c>
      <c r="BB22" s="512"/>
      <c r="BC22" s="513">
        <f t="shared" si="16"/>
        <v>0</v>
      </c>
      <c r="BD22" s="514">
        <f t="shared" si="129"/>
        <v>0</v>
      </c>
      <c r="BE22" s="512"/>
      <c r="BF22" s="513">
        <f t="shared" si="17"/>
        <v>0</v>
      </c>
      <c r="BG22" s="514">
        <f t="shared" si="130"/>
        <v>0</v>
      </c>
      <c r="BH22" s="512"/>
      <c r="BI22" s="513">
        <f t="shared" si="18"/>
        <v>0</v>
      </c>
      <c r="BJ22" s="514">
        <f t="shared" si="131"/>
        <v>0</v>
      </c>
      <c r="BK22" s="512"/>
      <c r="BL22" s="513">
        <f t="shared" si="19"/>
        <v>0</v>
      </c>
      <c r="BM22" s="514">
        <f t="shared" si="132"/>
        <v>0</v>
      </c>
      <c r="BN22" s="512"/>
      <c r="BO22" s="513">
        <f t="shared" si="20"/>
        <v>0</v>
      </c>
      <c r="BP22" s="514">
        <f t="shared" si="133"/>
        <v>0</v>
      </c>
      <c r="BQ22" s="512"/>
      <c r="BR22" s="513">
        <f t="shared" si="21"/>
        <v>0</v>
      </c>
      <c r="BS22" s="514">
        <f t="shared" si="134"/>
        <v>0</v>
      </c>
      <c r="BT22" s="512"/>
      <c r="BU22" s="513">
        <f t="shared" si="22"/>
        <v>0</v>
      </c>
      <c r="BV22" s="514">
        <f t="shared" si="135"/>
        <v>0</v>
      </c>
      <c r="BW22" s="512"/>
      <c r="BX22" s="513">
        <f t="shared" si="23"/>
        <v>0</v>
      </c>
      <c r="BY22" s="514">
        <f t="shared" si="136"/>
        <v>0</v>
      </c>
      <c r="BZ22" s="512"/>
      <c r="CA22" s="513">
        <f t="shared" si="24"/>
        <v>0</v>
      </c>
      <c r="CB22" s="514">
        <f t="shared" si="137"/>
        <v>0</v>
      </c>
      <c r="CC22" s="512"/>
      <c r="CD22" s="513">
        <f t="shared" si="25"/>
        <v>0</v>
      </c>
      <c r="CE22" s="514">
        <f t="shared" si="138"/>
        <v>0</v>
      </c>
      <c r="CF22" s="512">
        <v>8</v>
      </c>
      <c r="CG22" s="513">
        <f t="shared" si="26"/>
        <v>0.18942533090237493</v>
      </c>
      <c r="CH22" s="514">
        <f t="shared" si="139"/>
        <v>0</v>
      </c>
      <c r="CI22" s="512"/>
      <c r="CJ22" s="513">
        <f t="shared" si="27"/>
        <v>0</v>
      </c>
      <c r="CK22" s="514">
        <f t="shared" si="140"/>
        <v>0</v>
      </c>
      <c r="CL22" s="512"/>
      <c r="CM22" s="513">
        <f t="shared" si="28"/>
        <v>0</v>
      </c>
      <c r="CN22" s="514">
        <f t="shared" si="141"/>
        <v>0</v>
      </c>
      <c r="CO22" s="512"/>
      <c r="CP22" s="513">
        <f t="shared" si="29"/>
        <v>0</v>
      </c>
      <c r="CQ22" s="514">
        <f t="shared" si="142"/>
        <v>0</v>
      </c>
      <c r="CR22" s="512"/>
      <c r="CS22" s="513">
        <f t="shared" si="30"/>
        <v>0</v>
      </c>
      <c r="CT22" s="514">
        <f t="shared" si="143"/>
        <v>0</v>
      </c>
      <c r="CU22" s="512"/>
      <c r="CV22" s="513">
        <f t="shared" si="31"/>
        <v>0</v>
      </c>
      <c r="CW22" s="514">
        <f t="shared" si="144"/>
        <v>0</v>
      </c>
      <c r="CX22" s="512"/>
      <c r="CY22" s="513">
        <f t="shared" si="32"/>
        <v>0</v>
      </c>
      <c r="CZ22" s="514">
        <f t="shared" si="145"/>
        <v>0</v>
      </c>
      <c r="DA22" s="512">
        <v>123.54651162790697</v>
      </c>
      <c r="DB22" s="513">
        <f t="shared" si="33"/>
        <v>2.9253548558687985</v>
      </c>
      <c r="DC22" s="514">
        <f t="shared" si="146"/>
        <v>0</v>
      </c>
      <c r="DD22" s="512"/>
      <c r="DE22" s="513">
        <f t="shared" si="34"/>
        <v>0</v>
      </c>
      <c r="DF22" s="514">
        <f t="shared" si="147"/>
        <v>0</v>
      </c>
      <c r="DG22" s="512"/>
      <c r="DH22" s="513">
        <f t="shared" si="35"/>
        <v>0</v>
      </c>
      <c r="DI22" s="514">
        <f t="shared" si="203"/>
        <v>0</v>
      </c>
      <c r="DJ22" s="512"/>
      <c r="DK22" s="513">
        <f t="shared" si="36"/>
        <v>0</v>
      </c>
      <c r="DL22" s="514">
        <f t="shared" si="148"/>
        <v>0</v>
      </c>
      <c r="DM22" s="512"/>
      <c r="DN22" s="513">
        <f t="shared" si="37"/>
        <v>0</v>
      </c>
      <c r="DO22" s="514">
        <f t="shared" si="149"/>
        <v>0</v>
      </c>
      <c r="DP22" s="512"/>
      <c r="DQ22" s="513">
        <f t="shared" si="38"/>
        <v>0</v>
      </c>
      <c r="DR22" s="514">
        <f t="shared" si="150"/>
        <v>0</v>
      </c>
      <c r="DS22" s="512"/>
      <c r="DT22" s="513">
        <f t="shared" si="39"/>
        <v>0</v>
      </c>
      <c r="DU22" s="514">
        <f t="shared" si="151"/>
        <v>0</v>
      </c>
      <c r="DV22" s="512"/>
      <c r="DW22" s="513">
        <f t="shared" si="40"/>
        <v>0</v>
      </c>
      <c r="DX22" s="514">
        <f t="shared" si="152"/>
        <v>0</v>
      </c>
      <c r="DY22" s="512"/>
      <c r="DZ22" s="513">
        <f t="shared" si="41"/>
        <v>0</v>
      </c>
      <c r="EA22" s="514">
        <f t="shared" si="153"/>
        <v>0</v>
      </c>
      <c r="EB22" s="512">
        <v>58.705882352941217</v>
      </c>
      <c r="EC22" s="513">
        <f t="shared" si="42"/>
        <v>1.3900476488277229</v>
      </c>
      <c r="ED22" s="514">
        <f t="shared" si="154"/>
        <v>0</v>
      </c>
      <c r="EE22" s="512">
        <v>7.2674418604651123</v>
      </c>
      <c r="EF22" s="513">
        <f t="shared" si="43"/>
        <v>0.17207969740404691</v>
      </c>
      <c r="EG22" s="514">
        <f t="shared" si="155"/>
        <v>0</v>
      </c>
      <c r="EH22" s="512">
        <v>3</v>
      </c>
      <c r="EI22" s="513">
        <f t="shared" si="44"/>
        <v>7.1034499088390601E-2</v>
      </c>
      <c r="EJ22" s="514">
        <f t="shared" si="156"/>
        <v>0</v>
      </c>
      <c r="EK22" s="512"/>
      <c r="EL22" s="513">
        <f t="shared" si="45"/>
        <v>0</v>
      </c>
      <c r="EM22" s="514">
        <f t="shared" si="157"/>
        <v>0</v>
      </c>
      <c r="EN22" s="512"/>
      <c r="EO22" s="513">
        <f t="shared" si="46"/>
        <v>0</v>
      </c>
      <c r="EP22" s="514">
        <f t="shared" si="158"/>
        <v>0</v>
      </c>
      <c r="EQ22" s="512"/>
      <c r="ER22" s="513">
        <f t="shared" si="47"/>
        <v>0</v>
      </c>
      <c r="ES22" s="514">
        <f t="shared" si="159"/>
        <v>0</v>
      </c>
      <c r="ET22" s="512"/>
      <c r="EU22" s="513">
        <f t="shared" si="48"/>
        <v>0</v>
      </c>
      <c r="EV22" s="514">
        <f t="shared" si="160"/>
        <v>0</v>
      </c>
      <c r="EW22" s="512"/>
      <c r="EX22" s="513">
        <f t="shared" si="49"/>
        <v>0</v>
      </c>
      <c r="EY22" s="514">
        <f t="shared" si="161"/>
        <v>0</v>
      </c>
      <c r="EZ22" s="512"/>
      <c r="FA22" s="513">
        <f t="shared" si="50"/>
        <v>0</v>
      </c>
      <c r="FB22" s="514">
        <f t="shared" si="162"/>
        <v>0</v>
      </c>
      <c r="FC22" s="512"/>
      <c r="FD22" s="513">
        <f t="shared" si="51"/>
        <v>0</v>
      </c>
      <c r="FE22" s="514">
        <f t="shared" si="163"/>
        <v>0</v>
      </c>
      <c r="FF22" s="512"/>
      <c r="FG22" s="513">
        <f t="shared" si="52"/>
        <v>0</v>
      </c>
      <c r="FH22" s="514">
        <f t="shared" si="164"/>
        <v>0</v>
      </c>
      <c r="FI22" s="512"/>
      <c r="FJ22" s="513">
        <f t="shared" si="53"/>
        <v>0</v>
      </c>
      <c r="FK22" s="514">
        <f t="shared" si="165"/>
        <v>0</v>
      </c>
      <c r="FL22" s="512"/>
      <c r="FM22" s="513">
        <f t="shared" si="54"/>
        <v>0</v>
      </c>
      <c r="FN22" s="514">
        <f t="shared" si="166"/>
        <v>0</v>
      </c>
      <c r="FO22" s="512"/>
      <c r="FP22" s="513">
        <f t="shared" si="55"/>
        <v>0</v>
      </c>
      <c r="FQ22" s="514">
        <f t="shared" si="167"/>
        <v>0</v>
      </c>
      <c r="FR22" s="512"/>
      <c r="FS22" s="513">
        <f t="shared" si="56"/>
        <v>0</v>
      </c>
      <c r="FT22" s="514">
        <f t="shared" si="168"/>
        <v>0</v>
      </c>
      <c r="FU22" s="512"/>
      <c r="FV22" s="513">
        <f t="shared" si="57"/>
        <v>0</v>
      </c>
      <c r="FW22" s="514">
        <f t="shared" si="169"/>
        <v>0</v>
      </c>
      <c r="FX22" s="512"/>
      <c r="FY22" s="513">
        <f t="shared" si="58"/>
        <v>0</v>
      </c>
      <c r="FZ22" s="514">
        <f t="shared" si="170"/>
        <v>0</v>
      </c>
      <c r="GA22" s="512"/>
      <c r="GB22" s="513">
        <f t="shared" si="59"/>
        <v>0</v>
      </c>
      <c r="GC22" s="514">
        <f t="shared" si="171"/>
        <v>0</v>
      </c>
      <c r="GD22" s="512"/>
      <c r="GE22" s="513">
        <f t="shared" si="60"/>
        <v>0</v>
      </c>
      <c r="GF22" s="514">
        <f t="shared" si="172"/>
        <v>0</v>
      </c>
      <c r="GG22" s="512"/>
      <c r="GH22" s="513">
        <f t="shared" si="61"/>
        <v>0</v>
      </c>
      <c r="GI22" s="514">
        <f t="shared" si="173"/>
        <v>0</v>
      </c>
      <c r="GJ22" s="512"/>
      <c r="GK22" s="513">
        <f t="shared" si="62"/>
        <v>0</v>
      </c>
      <c r="GL22" s="514">
        <f t="shared" si="174"/>
        <v>0</v>
      </c>
      <c r="GM22" s="512"/>
      <c r="GN22" s="513">
        <f t="shared" si="63"/>
        <v>0</v>
      </c>
      <c r="GO22" s="514">
        <f t="shared" si="175"/>
        <v>0</v>
      </c>
      <c r="GP22" s="512"/>
      <c r="GQ22" s="513">
        <f t="shared" si="64"/>
        <v>0</v>
      </c>
      <c r="GR22" s="514">
        <f t="shared" si="176"/>
        <v>0</v>
      </c>
      <c r="GS22" s="512"/>
      <c r="GT22" s="513">
        <f t="shared" si="65"/>
        <v>0</v>
      </c>
      <c r="GU22" s="514">
        <f t="shared" si="177"/>
        <v>0</v>
      </c>
      <c r="GV22" s="512"/>
      <c r="GW22" s="513">
        <f t="shared" si="66"/>
        <v>0</v>
      </c>
      <c r="GX22" s="514">
        <f t="shared" si="178"/>
        <v>0</v>
      </c>
      <c r="GY22" s="512"/>
      <c r="GZ22" s="513">
        <f t="shared" si="67"/>
        <v>0</v>
      </c>
      <c r="HA22" s="514">
        <f t="shared" si="179"/>
        <v>0</v>
      </c>
      <c r="HB22" s="512"/>
      <c r="HC22" s="513">
        <f t="shared" si="68"/>
        <v>0</v>
      </c>
      <c r="HD22" s="514">
        <f t="shared" si="180"/>
        <v>0</v>
      </c>
      <c r="HE22" s="512"/>
      <c r="HF22" s="513">
        <f t="shared" si="69"/>
        <v>0</v>
      </c>
      <c r="HG22" s="514">
        <f t="shared" si="181"/>
        <v>0</v>
      </c>
      <c r="HH22" s="512"/>
      <c r="HI22" s="513">
        <f t="shared" si="70"/>
        <v>0</v>
      </c>
      <c r="HJ22" s="514">
        <f t="shared" si="182"/>
        <v>0</v>
      </c>
      <c r="HK22" s="512"/>
      <c r="HL22" s="513">
        <f t="shared" si="71"/>
        <v>0</v>
      </c>
      <c r="HM22" s="514">
        <f t="shared" si="183"/>
        <v>0</v>
      </c>
      <c r="HN22" s="512"/>
      <c r="HO22" s="513">
        <f t="shared" si="72"/>
        <v>0</v>
      </c>
      <c r="HP22" s="514">
        <f t="shared" si="184"/>
        <v>0</v>
      </c>
      <c r="HQ22" s="512"/>
      <c r="HR22" s="513">
        <f t="shared" si="73"/>
        <v>0</v>
      </c>
      <c r="HS22" s="514">
        <f t="shared" si="185"/>
        <v>0</v>
      </c>
      <c r="HT22" s="512"/>
      <c r="HU22" s="513">
        <f t="shared" si="74"/>
        <v>0</v>
      </c>
      <c r="HV22" s="514">
        <f t="shared" si="186"/>
        <v>0</v>
      </c>
      <c r="HW22" s="512"/>
      <c r="HX22" s="513">
        <f t="shared" si="75"/>
        <v>0</v>
      </c>
      <c r="HY22" s="514">
        <f t="shared" si="187"/>
        <v>0</v>
      </c>
      <c r="HZ22" s="512"/>
      <c r="IA22" s="513">
        <f t="shared" si="76"/>
        <v>0</v>
      </c>
      <c r="IB22" s="514">
        <f t="shared" si="188"/>
        <v>0</v>
      </c>
      <c r="IC22" s="512"/>
      <c r="ID22" s="513">
        <f t="shared" si="77"/>
        <v>0</v>
      </c>
      <c r="IE22" s="514">
        <f t="shared" si="189"/>
        <v>0</v>
      </c>
      <c r="IF22" s="512"/>
      <c r="IG22" s="513">
        <f t="shared" si="78"/>
        <v>0</v>
      </c>
      <c r="IH22" s="514">
        <f t="shared" si="190"/>
        <v>0</v>
      </c>
      <c r="II22" s="512"/>
      <c r="IJ22" s="513">
        <f t="shared" si="79"/>
        <v>0</v>
      </c>
      <c r="IK22" s="514">
        <f t="shared" si="191"/>
        <v>0</v>
      </c>
      <c r="IL22" s="512"/>
      <c r="IM22" s="513">
        <f t="shared" si="80"/>
        <v>0</v>
      </c>
      <c r="IN22" s="514">
        <f t="shared" si="192"/>
        <v>0</v>
      </c>
      <c r="IO22" s="512"/>
      <c r="IP22" s="513">
        <f t="shared" si="81"/>
        <v>0</v>
      </c>
      <c r="IQ22" s="514">
        <f t="shared" si="193"/>
        <v>0</v>
      </c>
      <c r="IR22" s="512"/>
      <c r="IS22" s="513">
        <f t="shared" si="82"/>
        <v>0</v>
      </c>
      <c r="IT22" s="514">
        <f t="shared" si="194"/>
        <v>0</v>
      </c>
      <c r="IU22" s="512"/>
      <c r="IV22" s="513">
        <f t="shared" si="83"/>
        <v>0</v>
      </c>
      <c r="IW22" s="514">
        <f t="shared" si="195"/>
        <v>0</v>
      </c>
      <c r="IX22" s="512"/>
      <c r="IY22" s="513">
        <f t="shared" si="84"/>
        <v>0</v>
      </c>
      <c r="IZ22" s="514">
        <f t="shared" si="196"/>
        <v>0</v>
      </c>
      <c r="JA22" s="512"/>
      <c r="JB22" s="513">
        <f t="shared" si="85"/>
        <v>0</v>
      </c>
      <c r="JC22" s="514">
        <f t="shared" si="197"/>
        <v>0</v>
      </c>
      <c r="JD22" s="512"/>
      <c r="JE22" s="513">
        <f t="shared" si="86"/>
        <v>0</v>
      </c>
      <c r="JF22" s="514">
        <f t="shared" si="198"/>
        <v>0</v>
      </c>
      <c r="JG22" s="512"/>
      <c r="JH22" s="513">
        <f t="shared" si="87"/>
        <v>0</v>
      </c>
      <c r="JI22" s="514">
        <f t="shared" si="199"/>
        <v>0</v>
      </c>
      <c r="JJ22" s="512"/>
      <c r="JK22" s="514" t="str">
        <f t="shared" si="88"/>
        <v>0</v>
      </c>
      <c r="JL22" s="514" t="str">
        <f t="shared" si="89"/>
        <v>0</v>
      </c>
      <c r="JM22" s="512"/>
      <c r="JN22" s="514" t="str">
        <f t="shared" si="90"/>
        <v>0</v>
      </c>
      <c r="JO22" s="514" t="str">
        <f t="shared" si="91"/>
        <v>0</v>
      </c>
      <c r="JP22" s="512"/>
      <c r="JQ22" s="514" t="str">
        <f t="shared" si="92"/>
        <v>0</v>
      </c>
      <c r="JR22" s="514" t="str">
        <f t="shared" si="93"/>
        <v>0</v>
      </c>
      <c r="JS22" s="512"/>
      <c r="JT22" s="514" t="str">
        <f t="shared" si="94"/>
        <v>0</v>
      </c>
      <c r="JU22" s="514" t="str">
        <f t="shared" si="95"/>
        <v>0</v>
      </c>
      <c r="JV22" s="512"/>
      <c r="JW22" s="514" t="str">
        <f t="shared" si="96"/>
        <v>0</v>
      </c>
      <c r="JX22" s="514" t="str">
        <f t="shared" si="97"/>
        <v>0</v>
      </c>
      <c r="JY22" s="512"/>
      <c r="JZ22" s="514" t="str">
        <f t="shared" si="98"/>
        <v>0</v>
      </c>
      <c r="KA22" s="514" t="str">
        <f t="shared" si="99"/>
        <v>0</v>
      </c>
      <c r="KB22" s="512"/>
      <c r="KC22" s="514" t="str">
        <f t="shared" si="100"/>
        <v>0</v>
      </c>
      <c r="KD22" s="514" t="str">
        <f t="shared" si="101"/>
        <v>0</v>
      </c>
      <c r="KE22" s="512"/>
      <c r="KF22" s="514" t="str">
        <f t="shared" si="102"/>
        <v>0</v>
      </c>
      <c r="KG22" s="514" t="str">
        <f t="shared" si="103"/>
        <v>0</v>
      </c>
      <c r="KH22" s="512"/>
      <c r="KI22" s="514" t="str">
        <f t="shared" si="104"/>
        <v>0</v>
      </c>
      <c r="KJ22" s="514" t="str">
        <f t="shared" si="105"/>
        <v>0</v>
      </c>
      <c r="KK22" s="512"/>
      <c r="KL22" s="514" t="str">
        <f t="shared" si="106"/>
        <v>0</v>
      </c>
      <c r="KM22" s="514" t="str">
        <f t="shared" si="107"/>
        <v>0</v>
      </c>
      <c r="KN22" s="512"/>
      <c r="KO22" s="514" t="str">
        <f t="shared" si="108"/>
        <v>0</v>
      </c>
      <c r="KP22" s="514" t="str">
        <f t="shared" si="109"/>
        <v>0</v>
      </c>
      <c r="KQ22" s="512"/>
      <c r="KR22" s="514" t="str">
        <f t="shared" si="110"/>
        <v>0</v>
      </c>
      <c r="KS22" s="514" t="str">
        <f t="shared" si="111"/>
        <v>0</v>
      </c>
      <c r="KT22" s="514">
        <f t="shared" si="201"/>
        <v>0</v>
      </c>
      <c r="KU22" s="514">
        <f t="shared" si="202"/>
        <v>0</v>
      </c>
      <c r="KV22" s="263">
        <f t="shared" si="204"/>
        <v>338.05048455926209</v>
      </c>
    </row>
    <row r="23" spans="1:308" ht="15" customHeight="1">
      <c r="A23" s="471">
        <f t="shared" si="200"/>
        <v>45944</v>
      </c>
      <c r="B23" s="472" t="str">
        <f>+Report1!B22</f>
        <v>Toilet</v>
      </c>
      <c r="C23" s="473" t="str">
        <f>+Report1!C22</f>
        <v>14,5/13,5</v>
      </c>
      <c r="D23" s="474">
        <f>+Report1!P22</f>
        <v>45.567000000000007</v>
      </c>
      <c r="E23" s="475">
        <f>+Report1!R22</f>
        <v>39.456000000000003</v>
      </c>
      <c r="F23" s="512"/>
      <c r="G23" s="513">
        <f t="shared" si="0"/>
        <v>0</v>
      </c>
      <c r="H23" s="514">
        <f t="shared" si="113"/>
        <v>0</v>
      </c>
      <c r="I23" s="512"/>
      <c r="J23" s="513">
        <f t="shared" si="1"/>
        <v>0</v>
      </c>
      <c r="K23" s="514">
        <f t="shared" si="114"/>
        <v>0</v>
      </c>
      <c r="L23" s="512"/>
      <c r="M23" s="513">
        <f t="shared" si="2"/>
        <v>0</v>
      </c>
      <c r="N23" s="514">
        <f t="shared" si="115"/>
        <v>0</v>
      </c>
      <c r="O23" s="512">
        <v>26.999999999999986</v>
      </c>
      <c r="P23" s="513">
        <f t="shared" si="3"/>
        <v>0.68430656934306533</v>
      </c>
      <c r="Q23" s="514">
        <f t="shared" si="116"/>
        <v>0</v>
      </c>
      <c r="R23" s="512">
        <v>10.249999999999972</v>
      </c>
      <c r="S23" s="513">
        <f t="shared" si="4"/>
        <v>0.25978304947282976</v>
      </c>
      <c r="T23" s="514">
        <f t="shared" si="117"/>
        <v>0</v>
      </c>
      <c r="U23" s="512">
        <v>4.6875</v>
      </c>
      <c r="V23" s="513">
        <f t="shared" si="5"/>
        <v>0.11880322384428223</v>
      </c>
      <c r="W23" s="514">
        <f t="shared" si="118"/>
        <v>0</v>
      </c>
      <c r="X23" s="512"/>
      <c r="Y23" s="513">
        <f t="shared" si="6"/>
        <v>0</v>
      </c>
      <c r="Z23" s="514">
        <f t="shared" si="119"/>
        <v>0</v>
      </c>
      <c r="AA23" s="512"/>
      <c r="AB23" s="513">
        <f t="shared" si="7"/>
        <v>0</v>
      </c>
      <c r="AC23" s="514">
        <f t="shared" si="120"/>
        <v>0</v>
      </c>
      <c r="AD23" s="512"/>
      <c r="AE23" s="513">
        <f t="shared" si="8"/>
        <v>0</v>
      </c>
      <c r="AF23" s="514">
        <f t="shared" si="121"/>
        <v>0</v>
      </c>
      <c r="AG23" s="512"/>
      <c r="AH23" s="513">
        <f t="shared" si="9"/>
        <v>0</v>
      </c>
      <c r="AI23" s="514">
        <f t="shared" si="122"/>
        <v>0</v>
      </c>
      <c r="AJ23" s="512"/>
      <c r="AK23" s="513">
        <f t="shared" si="10"/>
        <v>0</v>
      </c>
      <c r="AL23" s="514">
        <f t="shared" si="123"/>
        <v>0</v>
      </c>
      <c r="AM23" s="512"/>
      <c r="AN23" s="513">
        <f t="shared" si="11"/>
        <v>0</v>
      </c>
      <c r="AO23" s="514">
        <f t="shared" si="124"/>
        <v>0</v>
      </c>
      <c r="AP23" s="512">
        <v>44.679487179487182</v>
      </c>
      <c r="AQ23" s="513">
        <f t="shared" si="12"/>
        <v>1.1323876515482354</v>
      </c>
      <c r="AR23" s="514">
        <f t="shared" si="125"/>
        <v>0</v>
      </c>
      <c r="AS23" s="512"/>
      <c r="AT23" s="513">
        <f t="shared" si="13"/>
        <v>0</v>
      </c>
      <c r="AU23" s="514">
        <f t="shared" si="126"/>
        <v>0</v>
      </c>
      <c r="AV23" s="512">
        <v>2.7749999999999773</v>
      </c>
      <c r="AW23" s="513">
        <f t="shared" si="14"/>
        <v>7.0331508515814503E-2</v>
      </c>
      <c r="AX23" s="514">
        <f t="shared" si="127"/>
        <v>0</v>
      </c>
      <c r="AY23" s="512">
        <v>35</v>
      </c>
      <c r="AZ23" s="513">
        <f t="shared" si="15"/>
        <v>0.88706407137064069</v>
      </c>
      <c r="BA23" s="514">
        <f t="shared" si="128"/>
        <v>0</v>
      </c>
      <c r="BB23" s="512"/>
      <c r="BC23" s="513">
        <f t="shared" si="16"/>
        <v>0</v>
      </c>
      <c r="BD23" s="514">
        <f t="shared" si="129"/>
        <v>0</v>
      </c>
      <c r="BE23" s="512"/>
      <c r="BF23" s="513">
        <f t="shared" si="17"/>
        <v>0</v>
      </c>
      <c r="BG23" s="514">
        <f t="shared" si="130"/>
        <v>0</v>
      </c>
      <c r="BH23" s="512"/>
      <c r="BI23" s="513">
        <f t="shared" si="18"/>
        <v>0</v>
      </c>
      <c r="BJ23" s="514">
        <f t="shared" si="131"/>
        <v>0</v>
      </c>
      <c r="BK23" s="512"/>
      <c r="BL23" s="513">
        <f t="shared" si="19"/>
        <v>0</v>
      </c>
      <c r="BM23" s="514">
        <f t="shared" si="132"/>
        <v>0</v>
      </c>
      <c r="BN23" s="512"/>
      <c r="BO23" s="513">
        <f t="shared" si="20"/>
        <v>0</v>
      </c>
      <c r="BP23" s="514">
        <f t="shared" si="133"/>
        <v>0</v>
      </c>
      <c r="BQ23" s="512"/>
      <c r="BR23" s="513">
        <f t="shared" si="21"/>
        <v>0</v>
      </c>
      <c r="BS23" s="514">
        <f t="shared" si="134"/>
        <v>0</v>
      </c>
      <c r="BT23" s="512"/>
      <c r="BU23" s="513">
        <f t="shared" si="22"/>
        <v>0</v>
      </c>
      <c r="BV23" s="514">
        <f t="shared" si="135"/>
        <v>0</v>
      </c>
      <c r="BW23" s="512"/>
      <c r="BX23" s="513">
        <f t="shared" si="23"/>
        <v>0</v>
      </c>
      <c r="BY23" s="514">
        <f t="shared" si="136"/>
        <v>0</v>
      </c>
      <c r="BZ23" s="512"/>
      <c r="CA23" s="513">
        <f t="shared" si="24"/>
        <v>0</v>
      </c>
      <c r="CB23" s="514">
        <f t="shared" si="137"/>
        <v>0</v>
      </c>
      <c r="CC23" s="512"/>
      <c r="CD23" s="513">
        <f t="shared" si="25"/>
        <v>0</v>
      </c>
      <c r="CE23" s="514">
        <f t="shared" si="138"/>
        <v>0</v>
      </c>
      <c r="CF23" s="512">
        <v>8</v>
      </c>
      <c r="CG23" s="513">
        <f t="shared" si="26"/>
        <v>0.202757502027575</v>
      </c>
      <c r="CH23" s="514">
        <f t="shared" si="139"/>
        <v>0</v>
      </c>
      <c r="CI23" s="512"/>
      <c r="CJ23" s="513">
        <f t="shared" si="27"/>
        <v>0</v>
      </c>
      <c r="CK23" s="514">
        <f t="shared" si="140"/>
        <v>0</v>
      </c>
      <c r="CL23" s="512"/>
      <c r="CM23" s="513">
        <f t="shared" si="28"/>
        <v>0</v>
      </c>
      <c r="CN23" s="514">
        <f t="shared" si="141"/>
        <v>0</v>
      </c>
      <c r="CO23" s="512"/>
      <c r="CP23" s="513">
        <f t="shared" si="29"/>
        <v>0</v>
      </c>
      <c r="CQ23" s="514">
        <f t="shared" si="142"/>
        <v>0</v>
      </c>
      <c r="CR23" s="512"/>
      <c r="CS23" s="513">
        <f t="shared" si="30"/>
        <v>0</v>
      </c>
      <c r="CT23" s="514">
        <f t="shared" si="143"/>
        <v>0</v>
      </c>
      <c r="CU23" s="512"/>
      <c r="CV23" s="513">
        <f t="shared" si="31"/>
        <v>0</v>
      </c>
      <c r="CW23" s="514">
        <f t="shared" si="144"/>
        <v>0</v>
      </c>
      <c r="CX23" s="512"/>
      <c r="CY23" s="513">
        <f t="shared" si="32"/>
        <v>0</v>
      </c>
      <c r="CZ23" s="514">
        <f t="shared" si="145"/>
        <v>0</v>
      </c>
      <c r="DA23" s="512">
        <v>87.209302325581405</v>
      </c>
      <c r="DB23" s="513">
        <f t="shared" si="33"/>
        <v>2.2102925366378092</v>
      </c>
      <c r="DC23" s="514">
        <f t="shared" si="146"/>
        <v>0</v>
      </c>
      <c r="DD23" s="512"/>
      <c r="DE23" s="513">
        <f t="shared" si="34"/>
        <v>0</v>
      </c>
      <c r="DF23" s="514">
        <f t="shared" si="147"/>
        <v>0</v>
      </c>
      <c r="DG23" s="512"/>
      <c r="DH23" s="513">
        <f t="shared" si="35"/>
        <v>0</v>
      </c>
      <c r="DI23" s="514">
        <f t="shared" si="203"/>
        <v>0</v>
      </c>
      <c r="DJ23" s="512"/>
      <c r="DK23" s="513">
        <f t="shared" si="36"/>
        <v>0</v>
      </c>
      <c r="DL23" s="514">
        <f t="shared" si="148"/>
        <v>0</v>
      </c>
      <c r="DM23" s="512"/>
      <c r="DN23" s="513">
        <f t="shared" si="37"/>
        <v>0</v>
      </c>
      <c r="DO23" s="514">
        <f t="shared" si="149"/>
        <v>0</v>
      </c>
      <c r="DP23" s="512"/>
      <c r="DQ23" s="513">
        <f t="shared" si="38"/>
        <v>0</v>
      </c>
      <c r="DR23" s="514">
        <f t="shared" si="150"/>
        <v>0</v>
      </c>
      <c r="DS23" s="512"/>
      <c r="DT23" s="513">
        <f t="shared" si="39"/>
        <v>0</v>
      </c>
      <c r="DU23" s="514">
        <f t="shared" si="151"/>
        <v>0</v>
      </c>
      <c r="DV23" s="512"/>
      <c r="DW23" s="513">
        <f t="shared" si="40"/>
        <v>0</v>
      </c>
      <c r="DX23" s="514">
        <f t="shared" si="152"/>
        <v>0</v>
      </c>
      <c r="DY23" s="512"/>
      <c r="DZ23" s="513">
        <f t="shared" si="41"/>
        <v>0</v>
      </c>
      <c r="EA23" s="514">
        <f t="shared" si="153"/>
        <v>0</v>
      </c>
      <c r="EB23" s="512">
        <v>82.188235294117703</v>
      </c>
      <c r="EC23" s="513">
        <f t="shared" si="42"/>
        <v>2.0830351605362352</v>
      </c>
      <c r="ED23" s="514">
        <f t="shared" si="154"/>
        <v>0</v>
      </c>
      <c r="EE23" s="512">
        <v>14.534883720930281</v>
      </c>
      <c r="EF23" s="513">
        <f t="shared" si="43"/>
        <v>0.36838208943963607</v>
      </c>
      <c r="EG23" s="514">
        <f t="shared" si="155"/>
        <v>0</v>
      </c>
      <c r="EH23" s="512">
        <v>3</v>
      </c>
      <c r="EI23" s="513">
        <f t="shared" si="44"/>
        <v>7.6034063260340623E-2</v>
      </c>
      <c r="EJ23" s="514">
        <f t="shared" si="156"/>
        <v>0</v>
      </c>
      <c r="EK23" s="512"/>
      <c r="EL23" s="513">
        <f t="shared" si="45"/>
        <v>0</v>
      </c>
      <c r="EM23" s="514">
        <f t="shared" si="157"/>
        <v>0</v>
      </c>
      <c r="EN23" s="512"/>
      <c r="EO23" s="513">
        <f t="shared" si="46"/>
        <v>0</v>
      </c>
      <c r="EP23" s="514">
        <f t="shared" si="158"/>
        <v>0</v>
      </c>
      <c r="EQ23" s="512"/>
      <c r="ER23" s="513">
        <f t="shared" si="47"/>
        <v>0</v>
      </c>
      <c r="ES23" s="514">
        <f t="shared" si="159"/>
        <v>0</v>
      </c>
      <c r="ET23" s="512"/>
      <c r="EU23" s="513">
        <f t="shared" si="48"/>
        <v>0</v>
      </c>
      <c r="EV23" s="514">
        <f t="shared" si="160"/>
        <v>0</v>
      </c>
      <c r="EW23" s="512"/>
      <c r="EX23" s="513">
        <f t="shared" si="49"/>
        <v>0</v>
      </c>
      <c r="EY23" s="514">
        <f t="shared" si="161"/>
        <v>0</v>
      </c>
      <c r="EZ23" s="512"/>
      <c r="FA23" s="513">
        <f t="shared" si="50"/>
        <v>0</v>
      </c>
      <c r="FB23" s="514">
        <f t="shared" si="162"/>
        <v>0</v>
      </c>
      <c r="FC23" s="512"/>
      <c r="FD23" s="513">
        <f t="shared" si="51"/>
        <v>0</v>
      </c>
      <c r="FE23" s="514">
        <f t="shared" si="163"/>
        <v>0</v>
      </c>
      <c r="FF23" s="512"/>
      <c r="FG23" s="513">
        <f t="shared" si="52"/>
        <v>0</v>
      </c>
      <c r="FH23" s="514">
        <f t="shared" si="164"/>
        <v>0</v>
      </c>
      <c r="FI23" s="512"/>
      <c r="FJ23" s="513">
        <f t="shared" si="53"/>
        <v>0</v>
      </c>
      <c r="FK23" s="514">
        <f t="shared" si="165"/>
        <v>0</v>
      </c>
      <c r="FL23" s="512"/>
      <c r="FM23" s="513">
        <f t="shared" si="54"/>
        <v>0</v>
      </c>
      <c r="FN23" s="514">
        <f t="shared" si="166"/>
        <v>0</v>
      </c>
      <c r="FO23" s="512"/>
      <c r="FP23" s="513">
        <f t="shared" si="55"/>
        <v>0</v>
      </c>
      <c r="FQ23" s="514">
        <f t="shared" si="167"/>
        <v>0</v>
      </c>
      <c r="FR23" s="512"/>
      <c r="FS23" s="513">
        <f t="shared" si="56"/>
        <v>0</v>
      </c>
      <c r="FT23" s="514">
        <f t="shared" si="168"/>
        <v>0</v>
      </c>
      <c r="FU23" s="512"/>
      <c r="FV23" s="513">
        <f t="shared" si="57"/>
        <v>0</v>
      </c>
      <c r="FW23" s="514">
        <f t="shared" si="169"/>
        <v>0</v>
      </c>
      <c r="FX23" s="512"/>
      <c r="FY23" s="513">
        <f t="shared" si="58"/>
        <v>0</v>
      </c>
      <c r="FZ23" s="514">
        <f t="shared" si="170"/>
        <v>0</v>
      </c>
      <c r="GA23" s="512"/>
      <c r="GB23" s="513">
        <f t="shared" si="59"/>
        <v>0</v>
      </c>
      <c r="GC23" s="514">
        <f t="shared" si="171"/>
        <v>0</v>
      </c>
      <c r="GD23" s="512"/>
      <c r="GE23" s="513">
        <f t="shared" si="60"/>
        <v>0</v>
      </c>
      <c r="GF23" s="514">
        <f t="shared" si="172"/>
        <v>0</v>
      </c>
      <c r="GG23" s="512"/>
      <c r="GH23" s="513">
        <f t="shared" si="61"/>
        <v>0</v>
      </c>
      <c r="GI23" s="514">
        <f t="shared" si="173"/>
        <v>0</v>
      </c>
      <c r="GJ23" s="512"/>
      <c r="GK23" s="513">
        <f t="shared" si="62"/>
        <v>0</v>
      </c>
      <c r="GL23" s="514">
        <f t="shared" si="174"/>
        <v>0</v>
      </c>
      <c r="GM23" s="512"/>
      <c r="GN23" s="513">
        <f t="shared" si="63"/>
        <v>0</v>
      </c>
      <c r="GO23" s="514">
        <f t="shared" si="175"/>
        <v>0</v>
      </c>
      <c r="GP23" s="512"/>
      <c r="GQ23" s="513">
        <f t="shared" si="64"/>
        <v>0</v>
      </c>
      <c r="GR23" s="514">
        <f t="shared" si="176"/>
        <v>0</v>
      </c>
      <c r="GS23" s="512"/>
      <c r="GT23" s="513">
        <f t="shared" si="65"/>
        <v>0</v>
      </c>
      <c r="GU23" s="514">
        <f t="shared" si="177"/>
        <v>0</v>
      </c>
      <c r="GV23" s="512"/>
      <c r="GW23" s="513">
        <f t="shared" si="66"/>
        <v>0</v>
      </c>
      <c r="GX23" s="514">
        <f t="shared" si="178"/>
        <v>0</v>
      </c>
      <c r="GY23" s="512"/>
      <c r="GZ23" s="513">
        <f t="shared" si="67"/>
        <v>0</v>
      </c>
      <c r="HA23" s="514">
        <f t="shared" si="179"/>
        <v>0</v>
      </c>
      <c r="HB23" s="512"/>
      <c r="HC23" s="513">
        <f t="shared" si="68"/>
        <v>0</v>
      </c>
      <c r="HD23" s="514">
        <f t="shared" si="180"/>
        <v>0</v>
      </c>
      <c r="HE23" s="512"/>
      <c r="HF23" s="513">
        <f t="shared" si="69"/>
        <v>0</v>
      </c>
      <c r="HG23" s="514">
        <f t="shared" si="181"/>
        <v>0</v>
      </c>
      <c r="HH23" s="512"/>
      <c r="HI23" s="513">
        <f t="shared" si="70"/>
        <v>0</v>
      </c>
      <c r="HJ23" s="514">
        <f t="shared" si="182"/>
        <v>0</v>
      </c>
      <c r="HK23" s="512"/>
      <c r="HL23" s="513">
        <f t="shared" si="71"/>
        <v>0</v>
      </c>
      <c r="HM23" s="514">
        <f t="shared" si="183"/>
        <v>0</v>
      </c>
      <c r="HN23" s="512"/>
      <c r="HO23" s="513">
        <f t="shared" si="72"/>
        <v>0</v>
      </c>
      <c r="HP23" s="514">
        <f t="shared" si="184"/>
        <v>0</v>
      </c>
      <c r="HQ23" s="512"/>
      <c r="HR23" s="513">
        <f t="shared" si="73"/>
        <v>0</v>
      </c>
      <c r="HS23" s="514">
        <f t="shared" si="185"/>
        <v>0</v>
      </c>
      <c r="HT23" s="512"/>
      <c r="HU23" s="513">
        <f t="shared" si="74"/>
        <v>0</v>
      </c>
      <c r="HV23" s="514">
        <f t="shared" si="186"/>
        <v>0</v>
      </c>
      <c r="HW23" s="512"/>
      <c r="HX23" s="513">
        <f t="shared" si="75"/>
        <v>0</v>
      </c>
      <c r="HY23" s="514">
        <f t="shared" si="187"/>
        <v>0</v>
      </c>
      <c r="HZ23" s="512"/>
      <c r="IA23" s="513">
        <f t="shared" si="76"/>
        <v>0</v>
      </c>
      <c r="IB23" s="514">
        <f t="shared" si="188"/>
        <v>0</v>
      </c>
      <c r="IC23" s="512"/>
      <c r="ID23" s="513">
        <f t="shared" si="77"/>
        <v>0</v>
      </c>
      <c r="IE23" s="514">
        <f t="shared" si="189"/>
        <v>0</v>
      </c>
      <c r="IF23" s="512"/>
      <c r="IG23" s="513">
        <f t="shared" si="78"/>
        <v>0</v>
      </c>
      <c r="IH23" s="514">
        <f t="shared" si="190"/>
        <v>0</v>
      </c>
      <c r="II23" s="512"/>
      <c r="IJ23" s="513">
        <f t="shared" si="79"/>
        <v>0</v>
      </c>
      <c r="IK23" s="514">
        <f t="shared" si="191"/>
        <v>0</v>
      </c>
      <c r="IL23" s="512"/>
      <c r="IM23" s="513">
        <f t="shared" si="80"/>
        <v>0</v>
      </c>
      <c r="IN23" s="514">
        <f t="shared" si="192"/>
        <v>0</v>
      </c>
      <c r="IO23" s="512"/>
      <c r="IP23" s="513">
        <f t="shared" si="81"/>
        <v>0</v>
      </c>
      <c r="IQ23" s="514">
        <f t="shared" si="193"/>
        <v>0</v>
      </c>
      <c r="IR23" s="512"/>
      <c r="IS23" s="513">
        <f t="shared" si="82"/>
        <v>0</v>
      </c>
      <c r="IT23" s="514">
        <f t="shared" si="194"/>
        <v>0</v>
      </c>
      <c r="IU23" s="512"/>
      <c r="IV23" s="513">
        <f t="shared" si="83"/>
        <v>0</v>
      </c>
      <c r="IW23" s="514">
        <f t="shared" si="195"/>
        <v>0</v>
      </c>
      <c r="IX23" s="512"/>
      <c r="IY23" s="513">
        <f t="shared" si="84"/>
        <v>0</v>
      </c>
      <c r="IZ23" s="514">
        <f t="shared" si="196"/>
        <v>0</v>
      </c>
      <c r="JA23" s="512"/>
      <c r="JB23" s="513">
        <f t="shared" si="85"/>
        <v>0</v>
      </c>
      <c r="JC23" s="514">
        <f t="shared" si="197"/>
        <v>0</v>
      </c>
      <c r="JD23" s="512"/>
      <c r="JE23" s="513">
        <f t="shared" si="86"/>
        <v>0</v>
      </c>
      <c r="JF23" s="514">
        <f t="shared" si="198"/>
        <v>0</v>
      </c>
      <c r="JG23" s="512"/>
      <c r="JH23" s="513">
        <f t="shared" si="87"/>
        <v>0</v>
      </c>
      <c r="JI23" s="514">
        <f t="shared" si="199"/>
        <v>0</v>
      </c>
      <c r="JJ23" s="512"/>
      <c r="JK23" s="514" t="str">
        <f t="shared" si="88"/>
        <v>0</v>
      </c>
      <c r="JL23" s="514" t="str">
        <f t="shared" si="89"/>
        <v>0</v>
      </c>
      <c r="JM23" s="512"/>
      <c r="JN23" s="514" t="str">
        <f t="shared" si="90"/>
        <v>0</v>
      </c>
      <c r="JO23" s="514" t="str">
        <f t="shared" si="91"/>
        <v>0</v>
      </c>
      <c r="JP23" s="512"/>
      <c r="JQ23" s="514" t="str">
        <f t="shared" si="92"/>
        <v>0</v>
      </c>
      <c r="JR23" s="514" t="str">
        <f t="shared" si="93"/>
        <v>0</v>
      </c>
      <c r="JS23" s="512"/>
      <c r="JT23" s="514" t="str">
        <f t="shared" si="94"/>
        <v>0</v>
      </c>
      <c r="JU23" s="514" t="str">
        <f t="shared" si="95"/>
        <v>0</v>
      </c>
      <c r="JV23" s="512"/>
      <c r="JW23" s="514" t="str">
        <f t="shared" si="96"/>
        <v>0</v>
      </c>
      <c r="JX23" s="514" t="str">
        <f t="shared" si="97"/>
        <v>0</v>
      </c>
      <c r="JY23" s="512"/>
      <c r="JZ23" s="514" t="str">
        <f t="shared" si="98"/>
        <v>0</v>
      </c>
      <c r="KA23" s="514" t="str">
        <f t="shared" si="99"/>
        <v>0</v>
      </c>
      <c r="KB23" s="512"/>
      <c r="KC23" s="514" t="str">
        <f t="shared" si="100"/>
        <v>0</v>
      </c>
      <c r="KD23" s="514" t="str">
        <f t="shared" si="101"/>
        <v>0</v>
      </c>
      <c r="KE23" s="512"/>
      <c r="KF23" s="514" t="str">
        <f t="shared" si="102"/>
        <v>0</v>
      </c>
      <c r="KG23" s="514" t="str">
        <f t="shared" si="103"/>
        <v>0</v>
      </c>
      <c r="KH23" s="512"/>
      <c r="KI23" s="514" t="str">
        <f t="shared" si="104"/>
        <v>0</v>
      </c>
      <c r="KJ23" s="514" t="str">
        <f t="shared" si="105"/>
        <v>0</v>
      </c>
      <c r="KK23" s="512"/>
      <c r="KL23" s="514" t="str">
        <f t="shared" si="106"/>
        <v>0</v>
      </c>
      <c r="KM23" s="514" t="str">
        <f t="shared" si="107"/>
        <v>0</v>
      </c>
      <c r="KN23" s="512"/>
      <c r="KO23" s="514" t="str">
        <f t="shared" si="108"/>
        <v>0</v>
      </c>
      <c r="KP23" s="514" t="str">
        <f t="shared" si="109"/>
        <v>0</v>
      </c>
      <c r="KQ23" s="512"/>
      <c r="KR23" s="514" t="str">
        <f t="shared" si="110"/>
        <v>0</v>
      </c>
      <c r="KS23" s="514" t="str">
        <f t="shared" si="111"/>
        <v>0</v>
      </c>
      <c r="KT23" s="514">
        <f t="shared" si="201"/>
        <v>0</v>
      </c>
      <c r="KU23" s="514">
        <f t="shared" si="202"/>
        <v>0</v>
      </c>
      <c r="KV23" s="263">
        <f t="shared" si="204"/>
        <v>319.32440852011649</v>
      </c>
    </row>
    <row r="24" spans="1:308" ht="15" customHeight="1">
      <c r="A24" s="471">
        <f t="shared" si="200"/>
        <v>45945</v>
      </c>
      <c r="B24" s="472" t="str">
        <f>+Report1!B23</f>
        <v>Toilet</v>
      </c>
      <c r="C24" s="473" t="str">
        <f>+Report1!C23</f>
        <v>13,5/16,5/12,5</v>
      </c>
      <c r="D24" s="474">
        <f>+Report1!P23</f>
        <v>46.075000000000003</v>
      </c>
      <c r="E24" s="475">
        <f>+Report1!R23</f>
        <v>39.707000000000001</v>
      </c>
      <c r="F24" s="512"/>
      <c r="G24" s="513">
        <f t="shared" si="0"/>
        <v>0</v>
      </c>
      <c r="H24" s="514">
        <f t="shared" si="113"/>
        <v>0</v>
      </c>
      <c r="I24" s="512"/>
      <c r="J24" s="513">
        <f t="shared" si="1"/>
        <v>0</v>
      </c>
      <c r="K24" s="514">
        <f t="shared" si="114"/>
        <v>0</v>
      </c>
      <c r="L24" s="512"/>
      <c r="M24" s="513">
        <f t="shared" si="2"/>
        <v>0</v>
      </c>
      <c r="N24" s="514">
        <f t="shared" si="115"/>
        <v>0</v>
      </c>
      <c r="O24" s="512">
        <v>21.000000000000014</v>
      </c>
      <c r="P24" s="513">
        <f t="shared" si="3"/>
        <v>0.52887400206512736</v>
      </c>
      <c r="Q24" s="514">
        <f t="shared" si="116"/>
        <v>0</v>
      </c>
      <c r="R24" s="512">
        <v>7.6875</v>
      </c>
      <c r="S24" s="513">
        <f t="shared" si="4"/>
        <v>0.19360566147026972</v>
      </c>
      <c r="T24" s="514">
        <f t="shared" si="117"/>
        <v>0</v>
      </c>
      <c r="U24" s="512">
        <v>6.2499999999999716</v>
      </c>
      <c r="V24" s="513">
        <f t="shared" si="5"/>
        <v>0.15740297680509663</v>
      </c>
      <c r="W24" s="514">
        <f t="shared" si="118"/>
        <v>0</v>
      </c>
      <c r="X24" s="512"/>
      <c r="Y24" s="513">
        <f t="shared" si="6"/>
        <v>0</v>
      </c>
      <c r="Z24" s="514">
        <f t="shared" si="119"/>
        <v>0</v>
      </c>
      <c r="AA24" s="512"/>
      <c r="AB24" s="513">
        <f t="shared" si="7"/>
        <v>0</v>
      </c>
      <c r="AC24" s="514">
        <f t="shared" si="120"/>
        <v>0</v>
      </c>
      <c r="AD24" s="512"/>
      <c r="AE24" s="513">
        <f t="shared" si="8"/>
        <v>0</v>
      </c>
      <c r="AF24" s="514">
        <f t="shared" si="121"/>
        <v>0</v>
      </c>
      <c r="AG24" s="512"/>
      <c r="AH24" s="513">
        <f t="shared" si="9"/>
        <v>0</v>
      </c>
      <c r="AI24" s="514">
        <f t="shared" si="122"/>
        <v>0</v>
      </c>
      <c r="AJ24" s="512"/>
      <c r="AK24" s="513">
        <f t="shared" si="10"/>
        <v>0</v>
      </c>
      <c r="AL24" s="514">
        <f t="shared" si="123"/>
        <v>0</v>
      </c>
      <c r="AM24" s="512"/>
      <c r="AN24" s="513">
        <f t="shared" si="11"/>
        <v>0</v>
      </c>
      <c r="AO24" s="514">
        <f t="shared" si="124"/>
        <v>0</v>
      </c>
      <c r="AP24" s="512">
        <v>42.051282051282044</v>
      </c>
      <c r="AQ24" s="513">
        <f t="shared" si="12"/>
        <v>1.0590395157348085</v>
      </c>
      <c r="AR24" s="514">
        <f t="shared" si="125"/>
        <v>0</v>
      </c>
      <c r="AS24" s="512"/>
      <c r="AT24" s="513">
        <f t="shared" si="13"/>
        <v>0</v>
      </c>
      <c r="AU24" s="514">
        <f t="shared" si="126"/>
        <v>0</v>
      </c>
      <c r="AV24" s="512">
        <v>8.3250000000000171</v>
      </c>
      <c r="AW24" s="513">
        <f t="shared" si="14"/>
        <v>0.20966076510439008</v>
      </c>
      <c r="AX24" s="514">
        <f t="shared" si="127"/>
        <v>0</v>
      </c>
      <c r="AY24" s="512">
        <v>37.333333333333314</v>
      </c>
      <c r="AZ24" s="513">
        <f t="shared" si="15"/>
        <v>0.94022044811578098</v>
      </c>
      <c r="BA24" s="514">
        <f t="shared" si="128"/>
        <v>0</v>
      </c>
      <c r="BB24" s="512"/>
      <c r="BC24" s="513">
        <f t="shared" si="16"/>
        <v>0</v>
      </c>
      <c r="BD24" s="514">
        <f t="shared" si="129"/>
        <v>0</v>
      </c>
      <c r="BE24" s="512"/>
      <c r="BF24" s="513">
        <f t="shared" si="17"/>
        <v>0</v>
      </c>
      <c r="BG24" s="514">
        <f t="shared" si="130"/>
        <v>0</v>
      </c>
      <c r="BH24" s="512"/>
      <c r="BI24" s="513">
        <f t="shared" si="18"/>
        <v>0</v>
      </c>
      <c r="BJ24" s="514">
        <f t="shared" si="131"/>
        <v>0</v>
      </c>
      <c r="BK24" s="512"/>
      <c r="BL24" s="513">
        <f t="shared" si="19"/>
        <v>0</v>
      </c>
      <c r="BM24" s="514">
        <f t="shared" si="132"/>
        <v>0</v>
      </c>
      <c r="BN24" s="512"/>
      <c r="BO24" s="513">
        <f t="shared" si="20"/>
        <v>0</v>
      </c>
      <c r="BP24" s="514">
        <f t="shared" si="133"/>
        <v>0</v>
      </c>
      <c r="BQ24" s="512"/>
      <c r="BR24" s="513">
        <f t="shared" si="21"/>
        <v>0</v>
      </c>
      <c r="BS24" s="514">
        <f t="shared" si="134"/>
        <v>0</v>
      </c>
      <c r="BT24" s="512"/>
      <c r="BU24" s="513">
        <f t="shared" si="22"/>
        <v>0</v>
      </c>
      <c r="BV24" s="514">
        <f t="shared" si="135"/>
        <v>0</v>
      </c>
      <c r="BW24" s="512"/>
      <c r="BX24" s="513">
        <f t="shared" si="23"/>
        <v>0</v>
      </c>
      <c r="BY24" s="514">
        <f t="shared" si="136"/>
        <v>0</v>
      </c>
      <c r="BZ24" s="512"/>
      <c r="CA24" s="513">
        <f t="shared" si="24"/>
        <v>0</v>
      </c>
      <c r="CB24" s="514">
        <f t="shared" si="137"/>
        <v>0</v>
      </c>
      <c r="CC24" s="512"/>
      <c r="CD24" s="513">
        <f t="shared" si="25"/>
        <v>0</v>
      </c>
      <c r="CE24" s="514">
        <f t="shared" si="138"/>
        <v>0</v>
      </c>
      <c r="CF24" s="512">
        <v>9.5</v>
      </c>
      <c r="CG24" s="513">
        <f t="shared" si="26"/>
        <v>0.23925252474374795</v>
      </c>
      <c r="CH24" s="514">
        <f t="shared" si="139"/>
        <v>0</v>
      </c>
      <c r="CI24" s="512"/>
      <c r="CJ24" s="513">
        <f t="shared" si="27"/>
        <v>0</v>
      </c>
      <c r="CK24" s="514">
        <f t="shared" si="140"/>
        <v>0</v>
      </c>
      <c r="CL24" s="512"/>
      <c r="CM24" s="513">
        <f t="shared" si="28"/>
        <v>0</v>
      </c>
      <c r="CN24" s="514">
        <f t="shared" si="141"/>
        <v>0</v>
      </c>
      <c r="CO24" s="512"/>
      <c r="CP24" s="513">
        <f t="shared" si="29"/>
        <v>0</v>
      </c>
      <c r="CQ24" s="514">
        <f t="shared" si="142"/>
        <v>0</v>
      </c>
      <c r="CR24" s="512"/>
      <c r="CS24" s="513">
        <f t="shared" si="30"/>
        <v>0</v>
      </c>
      <c r="CT24" s="514">
        <f t="shared" si="143"/>
        <v>0</v>
      </c>
      <c r="CU24" s="512"/>
      <c r="CV24" s="513">
        <f t="shared" si="31"/>
        <v>0</v>
      </c>
      <c r="CW24" s="514">
        <f t="shared" si="144"/>
        <v>0</v>
      </c>
      <c r="CX24" s="512"/>
      <c r="CY24" s="513">
        <f t="shared" si="32"/>
        <v>0</v>
      </c>
      <c r="CZ24" s="514">
        <f t="shared" si="145"/>
        <v>0</v>
      </c>
      <c r="DA24" s="512">
        <v>188.95</v>
      </c>
      <c r="DB24" s="513">
        <f t="shared" si="33"/>
        <v>4.7586067947717021</v>
      </c>
      <c r="DC24" s="514">
        <f t="shared" si="146"/>
        <v>0</v>
      </c>
      <c r="DD24" s="512"/>
      <c r="DE24" s="513">
        <f t="shared" si="34"/>
        <v>0</v>
      </c>
      <c r="DF24" s="514">
        <f t="shared" si="147"/>
        <v>0</v>
      </c>
      <c r="DG24" s="512"/>
      <c r="DH24" s="513">
        <f t="shared" si="35"/>
        <v>0</v>
      </c>
      <c r="DI24" s="514">
        <f t="shared" si="203"/>
        <v>0</v>
      </c>
      <c r="DJ24" s="512"/>
      <c r="DK24" s="513">
        <f t="shared" si="36"/>
        <v>0</v>
      </c>
      <c r="DL24" s="514">
        <f t="shared" si="148"/>
        <v>0</v>
      </c>
      <c r="DM24" s="512"/>
      <c r="DN24" s="513">
        <f t="shared" si="37"/>
        <v>0</v>
      </c>
      <c r="DO24" s="514">
        <f t="shared" si="149"/>
        <v>0</v>
      </c>
      <c r="DP24" s="512"/>
      <c r="DQ24" s="513">
        <f t="shared" si="38"/>
        <v>0</v>
      </c>
      <c r="DR24" s="514">
        <f t="shared" si="150"/>
        <v>0</v>
      </c>
      <c r="DS24" s="512"/>
      <c r="DT24" s="513">
        <f t="shared" si="39"/>
        <v>0</v>
      </c>
      <c r="DU24" s="514">
        <f t="shared" si="151"/>
        <v>0</v>
      </c>
      <c r="DV24" s="512"/>
      <c r="DW24" s="513">
        <f t="shared" si="40"/>
        <v>0</v>
      </c>
      <c r="DX24" s="514">
        <f t="shared" si="152"/>
        <v>0</v>
      </c>
      <c r="DY24" s="512"/>
      <c r="DZ24" s="513">
        <f t="shared" si="41"/>
        <v>0</v>
      </c>
      <c r="EA24" s="514">
        <f t="shared" si="153"/>
        <v>0</v>
      </c>
      <c r="EB24" s="512">
        <v>70.44705882352946</v>
      </c>
      <c r="EC24" s="513">
        <f t="shared" si="42"/>
        <v>1.7741722825579735</v>
      </c>
      <c r="ED24" s="514">
        <f t="shared" si="154"/>
        <v>0</v>
      </c>
      <c r="EE24" s="512">
        <v>14.534883720930225</v>
      </c>
      <c r="EF24" s="513">
        <f t="shared" si="43"/>
        <v>0.36605343443045874</v>
      </c>
      <c r="EG24" s="514">
        <f t="shared" si="155"/>
        <v>0</v>
      </c>
      <c r="EH24" s="512">
        <v>3</v>
      </c>
      <c r="EI24" s="513">
        <f t="shared" si="44"/>
        <v>7.5553428866446726E-2</v>
      </c>
      <c r="EJ24" s="514">
        <f t="shared" si="156"/>
        <v>0</v>
      </c>
      <c r="EK24" s="512"/>
      <c r="EL24" s="513">
        <f t="shared" si="45"/>
        <v>0</v>
      </c>
      <c r="EM24" s="514">
        <f t="shared" si="157"/>
        <v>0</v>
      </c>
      <c r="EN24" s="512"/>
      <c r="EO24" s="513">
        <f t="shared" si="46"/>
        <v>0</v>
      </c>
      <c r="EP24" s="514">
        <f t="shared" si="158"/>
        <v>0</v>
      </c>
      <c r="EQ24" s="512"/>
      <c r="ER24" s="513">
        <f t="shared" si="47"/>
        <v>0</v>
      </c>
      <c r="ES24" s="514">
        <f t="shared" si="159"/>
        <v>0</v>
      </c>
      <c r="ET24" s="512"/>
      <c r="EU24" s="513">
        <f t="shared" si="48"/>
        <v>0</v>
      </c>
      <c r="EV24" s="514">
        <f t="shared" si="160"/>
        <v>0</v>
      </c>
      <c r="EW24" s="512"/>
      <c r="EX24" s="513">
        <f t="shared" si="49"/>
        <v>0</v>
      </c>
      <c r="EY24" s="514">
        <f t="shared" si="161"/>
        <v>0</v>
      </c>
      <c r="EZ24" s="512"/>
      <c r="FA24" s="513">
        <f t="shared" si="50"/>
        <v>0</v>
      </c>
      <c r="FB24" s="514">
        <f t="shared" si="162"/>
        <v>0</v>
      </c>
      <c r="FC24" s="512"/>
      <c r="FD24" s="513">
        <f t="shared" si="51"/>
        <v>0</v>
      </c>
      <c r="FE24" s="514">
        <f t="shared" si="163"/>
        <v>0</v>
      </c>
      <c r="FF24" s="512"/>
      <c r="FG24" s="513">
        <f t="shared" si="52"/>
        <v>0</v>
      </c>
      <c r="FH24" s="514">
        <f t="shared" si="164"/>
        <v>0</v>
      </c>
      <c r="FI24" s="512"/>
      <c r="FJ24" s="513">
        <f t="shared" si="53"/>
        <v>0</v>
      </c>
      <c r="FK24" s="514">
        <f t="shared" si="165"/>
        <v>0</v>
      </c>
      <c r="FL24" s="512"/>
      <c r="FM24" s="513">
        <f t="shared" si="54"/>
        <v>0</v>
      </c>
      <c r="FN24" s="514">
        <f t="shared" si="166"/>
        <v>0</v>
      </c>
      <c r="FO24" s="512"/>
      <c r="FP24" s="513">
        <f t="shared" si="55"/>
        <v>0</v>
      </c>
      <c r="FQ24" s="514">
        <f t="shared" si="167"/>
        <v>0</v>
      </c>
      <c r="FR24" s="512"/>
      <c r="FS24" s="513">
        <f t="shared" si="56"/>
        <v>0</v>
      </c>
      <c r="FT24" s="514">
        <f t="shared" si="168"/>
        <v>0</v>
      </c>
      <c r="FU24" s="512"/>
      <c r="FV24" s="513">
        <f t="shared" si="57"/>
        <v>0</v>
      </c>
      <c r="FW24" s="514">
        <f t="shared" si="169"/>
        <v>0</v>
      </c>
      <c r="FX24" s="512"/>
      <c r="FY24" s="513">
        <f t="shared" si="58"/>
        <v>0</v>
      </c>
      <c r="FZ24" s="514">
        <f t="shared" si="170"/>
        <v>0</v>
      </c>
      <c r="GA24" s="512"/>
      <c r="GB24" s="513">
        <f t="shared" si="59"/>
        <v>0</v>
      </c>
      <c r="GC24" s="514">
        <f t="shared" si="171"/>
        <v>0</v>
      </c>
      <c r="GD24" s="512"/>
      <c r="GE24" s="513">
        <f t="shared" si="60"/>
        <v>0</v>
      </c>
      <c r="GF24" s="514">
        <f t="shared" si="172"/>
        <v>0</v>
      </c>
      <c r="GG24" s="512"/>
      <c r="GH24" s="513">
        <f t="shared" si="61"/>
        <v>0</v>
      </c>
      <c r="GI24" s="514">
        <f t="shared" si="173"/>
        <v>0</v>
      </c>
      <c r="GJ24" s="512"/>
      <c r="GK24" s="513">
        <f t="shared" si="62"/>
        <v>0</v>
      </c>
      <c r="GL24" s="514">
        <f t="shared" si="174"/>
        <v>0</v>
      </c>
      <c r="GM24" s="512"/>
      <c r="GN24" s="513">
        <f t="shared" si="63"/>
        <v>0</v>
      </c>
      <c r="GO24" s="514">
        <f t="shared" si="175"/>
        <v>0</v>
      </c>
      <c r="GP24" s="512"/>
      <c r="GQ24" s="513">
        <f t="shared" si="64"/>
        <v>0</v>
      </c>
      <c r="GR24" s="514">
        <f t="shared" si="176"/>
        <v>0</v>
      </c>
      <c r="GS24" s="512"/>
      <c r="GT24" s="513">
        <f t="shared" si="65"/>
        <v>0</v>
      </c>
      <c r="GU24" s="514">
        <f t="shared" si="177"/>
        <v>0</v>
      </c>
      <c r="GV24" s="512"/>
      <c r="GW24" s="513">
        <f t="shared" si="66"/>
        <v>0</v>
      </c>
      <c r="GX24" s="514">
        <f t="shared" si="178"/>
        <v>0</v>
      </c>
      <c r="GY24" s="512"/>
      <c r="GZ24" s="513">
        <f t="shared" si="67"/>
        <v>0</v>
      </c>
      <c r="HA24" s="514">
        <f t="shared" si="179"/>
        <v>0</v>
      </c>
      <c r="HB24" s="512"/>
      <c r="HC24" s="513">
        <f t="shared" si="68"/>
        <v>0</v>
      </c>
      <c r="HD24" s="514">
        <f t="shared" si="180"/>
        <v>0</v>
      </c>
      <c r="HE24" s="512"/>
      <c r="HF24" s="513">
        <f t="shared" si="69"/>
        <v>0</v>
      </c>
      <c r="HG24" s="514">
        <f t="shared" si="181"/>
        <v>0</v>
      </c>
      <c r="HH24" s="512"/>
      <c r="HI24" s="513">
        <f t="shared" si="70"/>
        <v>0</v>
      </c>
      <c r="HJ24" s="514">
        <f t="shared" si="182"/>
        <v>0</v>
      </c>
      <c r="HK24" s="512"/>
      <c r="HL24" s="513">
        <f t="shared" si="71"/>
        <v>0</v>
      </c>
      <c r="HM24" s="514">
        <f t="shared" si="183"/>
        <v>0</v>
      </c>
      <c r="HN24" s="512"/>
      <c r="HO24" s="513">
        <f t="shared" si="72"/>
        <v>0</v>
      </c>
      <c r="HP24" s="514">
        <f t="shared" si="184"/>
        <v>0</v>
      </c>
      <c r="HQ24" s="512"/>
      <c r="HR24" s="513">
        <f t="shared" si="73"/>
        <v>0</v>
      </c>
      <c r="HS24" s="514">
        <f t="shared" si="185"/>
        <v>0</v>
      </c>
      <c r="HT24" s="512"/>
      <c r="HU24" s="513">
        <f t="shared" si="74"/>
        <v>0</v>
      </c>
      <c r="HV24" s="514">
        <f t="shared" si="186"/>
        <v>0</v>
      </c>
      <c r="HW24" s="512"/>
      <c r="HX24" s="513">
        <f t="shared" si="75"/>
        <v>0</v>
      </c>
      <c r="HY24" s="514">
        <f t="shared" si="187"/>
        <v>0</v>
      </c>
      <c r="HZ24" s="512"/>
      <c r="IA24" s="513">
        <f t="shared" si="76"/>
        <v>0</v>
      </c>
      <c r="IB24" s="514">
        <f t="shared" si="188"/>
        <v>0</v>
      </c>
      <c r="IC24" s="512"/>
      <c r="ID24" s="513">
        <f t="shared" si="77"/>
        <v>0</v>
      </c>
      <c r="IE24" s="514">
        <f t="shared" si="189"/>
        <v>0</v>
      </c>
      <c r="IF24" s="512"/>
      <c r="IG24" s="513">
        <f t="shared" si="78"/>
        <v>0</v>
      </c>
      <c r="IH24" s="514">
        <f t="shared" si="190"/>
        <v>0</v>
      </c>
      <c r="II24" s="512"/>
      <c r="IJ24" s="513">
        <f t="shared" si="79"/>
        <v>0</v>
      </c>
      <c r="IK24" s="514">
        <f t="shared" si="191"/>
        <v>0</v>
      </c>
      <c r="IL24" s="512"/>
      <c r="IM24" s="513">
        <f t="shared" si="80"/>
        <v>0</v>
      </c>
      <c r="IN24" s="514">
        <f t="shared" si="192"/>
        <v>0</v>
      </c>
      <c r="IO24" s="512"/>
      <c r="IP24" s="513">
        <f t="shared" si="81"/>
        <v>0</v>
      </c>
      <c r="IQ24" s="514">
        <f t="shared" si="193"/>
        <v>0</v>
      </c>
      <c r="IR24" s="512"/>
      <c r="IS24" s="513">
        <f t="shared" si="82"/>
        <v>0</v>
      </c>
      <c r="IT24" s="514">
        <f t="shared" si="194"/>
        <v>0</v>
      </c>
      <c r="IU24" s="512"/>
      <c r="IV24" s="513">
        <f t="shared" si="83"/>
        <v>0</v>
      </c>
      <c r="IW24" s="514">
        <f t="shared" si="195"/>
        <v>0</v>
      </c>
      <c r="IX24" s="512"/>
      <c r="IY24" s="513">
        <f t="shared" si="84"/>
        <v>0</v>
      </c>
      <c r="IZ24" s="514">
        <f t="shared" si="196"/>
        <v>0</v>
      </c>
      <c r="JA24" s="512"/>
      <c r="JB24" s="513">
        <f t="shared" si="85"/>
        <v>0</v>
      </c>
      <c r="JC24" s="514">
        <f t="shared" si="197"/>
        <v>0</v>
      </c>
      <c r="JD24" s="512"/>
      <c r="JE24" s="513">
        <f t="shared" si="86"/>
        <v>0</v>
      </c>
      <c r="JF24" s="514">
        <f t="shared" si="198"/>
        <v>0</v>
      </c>
      <c r="JG24" s="512"/>
      <c r="JH24" s="513">
        <f t="shared" si="87"/>
        <v>0</v>
      </c>
      <c r="JI24" s="514">
        <f t="shared" si="199"/>
        <v>0</v>
      </c>
      <c r="JJ24" s="512"/>
      <c r="JK24" s="514" t="str">
        <f t="shared" si="88"/>
        <v>0</v>
      </c>
      <c r="JL24" s="514" t="str">
        <f t="shared" si="89"/>
        <v>0</v>
      </c>
      <c r="JM24" s="512"/>
      <c r="JN24" s="514" t="str">
        <f t="shared" si="90"/>
        <v>0</v>
      </c>
      <c r="JO24" s="514" t="str">
        <f t="shared" si="91"/>
        <v>0</v>
      </c>
      <c r="JP24" s="512"/>
      <c r="JQ24" s="514" t="str">
        <f t="shared" si="92"/>
        <v>0</v>
      </c>
      <c r="JR24" s="514" t="str">
        <f t="shared" si="93"/>
        <v>0</v>
      </c>
      <c r="JS24" s="512"/>
      <c r="JT24" s="514" t="str">
        <f t="shared" si="94"/>
        <v>0</v>
      </c>
      <c r="JU24" s="514" t="str">
        <f t="shared" si="95"/>
        <v>0</v>
      </c>
      <c r="JV24" s="512"/>
      <c r="JW24" s="514" t="str">
        <f t="shared" si="96"/>
        <v>0</v>
      </c>
      <c r="JX24" s="514" t="str">
        <f t="shared" si="97"/>
        <v>0</v>
      </c>
      <c r="JY24" s="512"/>
      <c r="JZ24" s="514" t="str">
        <f t="shared" si="98"/>
        <v>0</v>
      </c>
      <c r="KA24" s="514" t="str">
        <f t="shared" si="99"/>
        <v>0</v>
      </c>
      <c r="KB24" s="512"/>
      <c r="KC24" s="514" t="str">
        <f t="shared" si="100"/>
        <v>0</v>
      </c>
      <c r="KD24" s="514" t="str">
        <f t="shared" si="101"/>
        <v>0</v>
      </c>
      <c r="KE24" s="512"/>
      <c r="KF24" s="514" t="str">
        <f t="shared" si="102"/>
        <v>0</v>
      </c>
      <c r="KG24" s="514" t="str">
        <f t="shared" si="103"/>
        <v>0</v>
      </c>
      <c r="KH24" s="512"/>
      <c r="KI24" s="514" t="str">
        <f t="shared" si="104"/>
        <v>0</v>
      </c>
      <c r="KJ24" s="514" t="str">
        <f t="shared" si="105"/>
        <v>0</v>
      </c>
      <c r="KK24" s="512"/>
      <c r="KL24" s="514" t="str">
        <f t="shared" si="106"/>
        <v>0</v>
      </c>
      <c r="KM24" s="514" t="str">
        <f t="shared" si="107"/>
        <v>0</v>
      </c>
      <c r="KN24" s="512"/>
      <c r="KO24" s="514" t="str">
        <f t="shared" si="108"/>
        <v>0</v>
      </c>
      <c r="KP24" s="514" t="str">
        <f t="shared" si="109"/>
        <v>0</v>
      </c>
      <c r="KQ24" s="512"/>
      <c r="KR24" s="514" t="str">
        <f t="shared" si="110"/>
        <v>0</v>
      </c>
      <c r="KS24" s="514" t="str">
        <f t="shared" si="111"/>
        <v>0</v>
      </c>
      <c r="KT24" s="514">
        <f t="shared" si="201"/>
        <v>0</v>
      </c>
      <c r="KU24" s="514">
        <f t="shared" si="202"/>
        <v>0</v>
      </c>
      <c r="KV24" s="263">
        <f t="shared" si="204"/>
        <v>409.07905792907502</v>
      </c>
    </row>
    <row r="25" spans="1:308" ht="15" customHeight="1">
      <c r="A25" s="471">
        <f t="shared" si="200"/>
        <v>45946</v>
      </c>
      <c r="B25" s="472" t="str">
        <f>+Report1!B24</f>
        <v>Toilet/Towel</v>
      </c>
      <c r="C25" s="473" t="str">
        <f>+Report1!C24</f>
        <v>12,5/16,5/18</v>
      </c>
      <c r="D25" s="474">
        <f>+Report1!P24</f>
        <v>48.201999999999998</v>
      </c>
      <c r="E25" s="475">
        <f>+Report1!R24</f>
        <v>43.972000000000001</v>
      </c>
      <c r="F25" s="512"/>
      <c r="G25" s="513">
        <f t="shared" si="0"/>
        <v>0</v>
      </c>
      <c r="H25" s="514">
        <f t="shared" si="113"/>
        <v>0</v>
      </c>
      <c r="I25" s="512">
        <v>744.18604651162775</v>
      </c>
      <c r="J25" s="513">
        <f t="shared" si="1"/>
        <v>16.924089113791226</v>
      </c>
      <c r="K25" s="514">
        <f t="shared" si="114"/>
        <v>0</v>
      </c>
      <c r="L25" s="512"/>
      <c r="M25" s="513">
        <f t="shared" si="2"/>
        <v>0</v>
      </c>
      <c r="N25" s="514">
        <f t="shared" si="115"/>
        <v>0</v>
      </c>
      <c r="O25" s="512">
        <v>27</v>
      </c>
      <c r="P25" s="513">
        <f t="shared" si="3"/>
        <v>0.61402710815973804</v>
      </c>
      <c r="Q25" s="514">
        <f t="shared" si="116"/>
        <v>0</v>
      </c>
      <c r="R25" s="512">
        <v>12.812500000000014</v>
      </c>
      <c r="S25" s="513">
        <f t="shared" si="4"/>
        <v>0.29137860456654269</v>
      </c>
      <c r="T25" s="514">
        <f t="shared" si="117"/>
        <v>0</v>
      </c>
      <c r="U25" s="512">
        <v>6.2499999999999716</v>
      </c>
      <c r="V25" s="513">
        <f t="shared" si="5"/>
        <v>0.14213590466660536</v>
      </c>
      <c r="W25" s="514">
        <f t="shared" si="118"/>
        <v>0</v>
      </c>
      <c r="X25" s="512"/>
      <c r="Y25" s="513">
        <f t="shared" si="6"/>
        <v>0</v>
      </c>
      <c r="Z25" s="514">
        <f t="shared" si="119"/>
        <v>0</v>
      </c>
      <c r="AA25" s="512"/>
      <c r="AB25" s="513">
        <f t="shared" si="7"/>
        <v>0</v>
      </c>
      <c r="AC25" s="514">
        <f t="shared" si="120"/>
        <v>0</v>
      </c>
      <c r="AD25" s="512"/>
      <c r="AE25" s="513">
        <f t="shared" si="8"/>
        <v>0</v>
      </c>
      <c r="AF25" s="514">
        <f t="shared" si="121"/>
        <v>0</v>
      </c>
      <c r="AG25" s="512"/>
      <c r="AH25" s="513">
        <f t="shared" si="9"/>
        <v>0</v>
      </c>
      <c r="AI25" s="514">
        <f t="shared" si="122"/>
        <v>0</v>
      </c>
      <c r="AJ25" s="512"/>
      <c r="AK25" s="513">
        <f t="shared" si="10"/>
        <v>0</v>
      </c>
      <c r="AL25" s="514">
        <f t="shared" si="123"/>
        <v>0</v>
      </c>
      <c r="AM25" s="512"/>
      <c r="AN25" s="513">
        <f t="shared" si="11"/>
        <v>0</v>
      </c>
      <c r="AO25" s="514">
        <f t="shared" si="124"/>
        <v>0</v>
      </c>
      <c r="AP25" s="512">
        <v>44.679487179487239</v>
      </c>
      <c r="AQ25" s="513">
        <f t="shared" si="12"/>
        <v>1.0160894928474311</v>
      </c>
      <c r="AR25" s="514">
        <f t="shared" si="125"/>
        <v>0</v>
      </c>
      <c r="AS25" s="512"/>
      <c r="AT25" s="513">
        <f t="shared" si="13"/>
        <v>0</v>
      </c>
      <c r="AU25" s="514">
        <f t="shared" si="126"/>
        <v>0</v>
      </c>
      <c r="AV25" s="512">
        <v>8.3250000000000028</v>
      </c>
      <c r="AW25" s="513">
        <f t="shared" si="14"/>
        <v>0.18932502501591927</v>
      </c>
      <c r="AX25" s="514">
        <f t="shared" si="127"/>
        <v>0</v>
      </c>
      <c r="AY25" s="512">
        <v>39.666666666666629</v>
      </c>
      <c r="AZ25" s="513">
        <f t="shared" si="15"/>
        <v>0.9020892082840587</v>
      </c>
      <c r="BA25" s="514">
        <f t="shared" si="128"/>
        <v>0</v>
      </c>
      <c r="BB25" s="512"/>
      <c r="BC25" s="513">
        <f t="shared" si="16"/>
        <v>0</v>
      </c>
      <c r="BD25" s="514">
        <f t="shared" si="129"/>
        <v>0</v>
      </c>
      <c r="BE25" s="512"/>
      <c r="BF25" s="513">
        <f t="shared" si="17"/>
        <v>0</v>
      </c>
      <c r="BG25" s="514">
        <f t="shared" si="130"/>
        <v>0</v>
      </c>
      <c r="BH25" s="512"/>
      <c r="BI25" s="513">
        <f t="shared" si="18"/>
        <v>0</v>
      </c>
      <c r="BJ25" s="514">
        <f t="shared" si="131"/>
        <v>0</v>
      </c>
      <c r="BK25" s="512"/>
      <c r="BL25" s="513">
        <f t="shared" si="19"/>
        <v>0</v>
      </c>
      <c r="BM25" s="514">
        <f t="shared" si="132"/>
        <v>0</v>
      </c>
      <c r="BN25" s="512"/>
      <c r="BO25" s="513">
        <f t="shared" si="20"/>
        <v>0</v>
      </c>
      <c r="BP25" s="514">
        <f t="shared" si="133"/>
        <v>0</v>
      </c>
      <c r="BQ25" s="512"/>
      <c r="BR25" s="513">
        <f t="shared" si="21"/>
        <v>0</v>
      </c>
      <c r="BS25" s="514">
        <f t="shared" si="134"/>
        <v>0</v>
      </c>
      <c r="BT25" s="512"/>
      <c r="BU25" s="513">
        <f t="shared" si="22"/>
        <v>0</v>
      </c>
      <c r="BV25" s="514">
        <f t="shared" si="135"/>
        <v>0</v>
      </c>
      <c r="BW25" s="512"/>
      <c r="BX25" s="513">
        <f t="shared" si="23"/>
        <v>0</v>
      </c>
      <c r="BY25" s="514">
        <f t="shared" si="136"/>
        <v>0</v>
      </c>
      <c r="BZ25" s="512"/>
      <c r="CA25" s="513">
        <f t="shared" si="24"/>
        <v>0</v>
      </c>
      <c r="CB25" s="514">
        <f t="shared" si="137"/>
        <v>0</v>
      </c>
      <c r="CC25" s="512">
        <v>50</v>
      </c>
      <c r="CD25" s="513">
        <f t="shared" si="25"/>
        <v>1.1370872373328482</v>
      </c>
      <c r="CE25" s="514">
        <f t="shared" si="138"/>
        <v>0</v>
      </c>
      <c r="CF25" s="512">
        <v>8</v>
      </c>
      <c r="CG25" s="513">
        <f t="shared" si="26"/>
        <v>0.18193395797325571</v>
      </c>
      <c r="CH25" s="514">
        <f t="shared" si="139"/>
        <v>0</v>
      </c>
      <c r="CI25" s="512"/>
      <c r="CJ25" s="513">
        <f t="shared" si="27"/>
        <v>0</v>
      </c>
      <c r="CK25" s="514">
        <f t="shared" si="140"/>
        <v>0</v>
      </c>
      <c r="CL25" s="512"/>
      <c r="CM25" s="513">
        <f t="shared" si="28"/>
        <v>0</v>
      </c>
      <c r="CN25" s="514">
        <f t="shared" si="141"/>
        <v>0</v>
      </c>
      <c r="CO25" s="512"/>
      <c r="CP25" s="513">
        <f t="shared" si="29"/>
        <v>0</v>
      </c>
      <c r="CQ25" s="514">
        <f t="shared" si="142"/>
        <v>0</v>
      </c>
      <c r="CR25" s="512"/>
      <c r="CS25" s="513">
        <f t="shared" si="30"/>
        <v>0</v>
      </c>
      <c r="CT25" s="514">
        <f t="shared" si="143"/>
        <v>0</v>
      </c>
      <c r="CU25" s="512"/>
      <c r="CV25" s="513">
        <f t="shared" si="31"/>
        <v>0</v>
      </c>
      <c r="CW25" s="514">
        <f t="shared" si="144"/>
        <v>0</v>
      </c>
      <c r="CX25" s="512"/>
      <c r="CY25" s="513">
        <f t="shared" si="32"/>
        <v>0</v>
      </c>
      <c r="CZ25" s="514">
        <f t="shared" si="145"/>
        <v>0</v>
      </c>
      <c r="DA25" s="512"/>
      <c r="DB25" s="513">
        <f t="shared" si="33"/>
        <v>0</v>
      </c>
      <c r="DC25" s="514">
        <f t="shared" si="146"/>
        <v>0</v>
      </c>
      <c r="DD25" s="512"/>
      <c r="DE25" s="513">
        <f t="shared" si="34"/>
        <v>0</v>
      </c>
      <c r="DF25" s="514">
        <f t="shared" si="147"/>
        <v>0</v>
      </c>
      <c r="DG25" s="512"/>
      <c r="DH25" s="513">
        <f t="shared" si="35"/>
        <v>0</v>
      </c>
      <c r="DI25" s="514">
        <f t="shared" si="203"/>
        <v>0</v>
      </c>
      <c r="DJ25" s="512"/>
      <c r="DK25" s="513">
        <f t="shared" si="36"/>
        <v>0</v>
      </c>
      <c r="DL25" s="514">
        <f t="shared" si="148"/>
        <v>0</v>
      </c>
      <c r="DM25" s="512"/>
      <c r="DN25" s="513">
        <f t="shared" si="37"/>
        <v>0</v>
      </c>
      <c r="DO25" s="514">
        <f t="shared" si="149"/>
        <v>0</v>
      </c>
      <c r="DP25" s="512"/>
      <c r="DQ25" s="513">
        <f t="shared" si="38"/>
        <v>0</v>
      </c>
      <c r="DR25" s="514">
        <f t="shared" si="150"/>
        <v>0</v>
      </c>
      <c r="DS25" s="512"/>
      <c r="DT25" s="513">
        <f t="shared" si="39"/>
        <v>0</v>
      </c>
      <c r="DU25" s="514">
        <f t="shared" si="151"/>
        <v>0</v>
      </c>
      <c r="DV25" s="512"/>
      <c r="DW25" s="513">
        <f t="shared" si="40"/>
        <v>0</v>
      </c>
      <c r="DX25" s="514">
        <f t="shared" si="152"/>
        <v>0</v>
      </c>
      <c r="DY25" s="512"/>
      <c r="DZ25" s="513">
        <f t="shared" si="41"/>
        <v>0</v>
      </c>
      <c r="EA25" s="514">
        <f t="shared" si="153"/>
        <v>0</v>
      </c>
      <c r="EB25" s="512">
        <v>58.705882352941217</v>
      </c>
      <c r="EC25" s="513">
        <f t="shared" si="42"/>
        <v>1.3350741915978626</v>
      </c>
      <c r="ED25" s="514">
        <f t="shared" si="154"/>
        <v>0</v>
      </c>
      <c r="EE25" s="512">
        <v>14.534883720930225</v>
      </c>
      <c r="EF25" s="513">
        <f t="shared" si="43"/>
        <v>0.33054861550373477</v>
      </c>
      <c r="EG25" s="514">
        <f t="shared" si="155"/>
        <v>0</v>
      </c>
      <c r="EH25" s="512">
        <v>3</v>
      </c>
      <c r="EI25" s="513">
        <f t="shared" si="44"/>
        <v>6.8225234239970886E-2</v>
      </c>
      <c r="EJ25" s="514">
        <f t="shared" si="156"/>
        <v>0</v>
      </c>
      <c r="EK25" s="512"/>
      <c r="EL25" s="513">
        <f t="shared" si="45"/>
        <v>0</v>
      </c>
      <c r="EM25" s="514">
        <f t="shared" si="157"/>
        <v>0</v>
      </c>
      <c r="EN25" s="512"/>
      <c r="EO25" s="513">
        <f t="shared" si="46"/>
        <v>0</v>
      </c>
      <c r="EP25" s="514">
        <f t="shared" si="158"/>
        <v>0</v>
      </c>
      <c r="EQ25" s="512"/>
      <c r="ER25" s="513">
        <f t="shared" si="47"/>
        <v>0</v>
      </c>
      <c r="ES25" s="514">
        <f t="shared" si="159"/>
        <v>0</v>
      </c>
      <c r="ET25" s="512"/>
      <c r="EU25" s="513">
        <f t="shared" si="48"/>
        <v>0</v>
      </c>
      <c r="EV25" s="514">
        <f t="shared" si="160"/>
        <v>0</v>
      </c>
      <c r="EW25" s="512"/>
      <c r="EX25" s="513">
        <f t="shared" si="49"/>
        <v>0</v>
      </c>
      <c r="EY25" s="514">
        <f t="shared" si="161"/>
        <v>0</v>
      </c>
      <c r="EZ25" s="512"/>
      <c r="FA25" s="513">
        <f t="shared" si="50"/>
        <v>0</v>
      </c>
      <c r="FB25" s="514">
        <f t="shared" si="162"/>
        <v>0</v>
      </c>
      <c r="FC25" s="512"/>
      <c r="FD25" s="513">
        <f t="shared" si="51"/>
        <v>0</v>
      </c>
      <c r="FE25" s="514">
        <f t="shared" si="163"/>
        <v>0</v>
      </c>
      <c r="FF25" s="512"/>
      <c r="FG25" s="513">
        <f t="shared" si="52"/>
        <v>0</v>
      </c>
      <c r="FH25" s="514">
        <f t="shared" si="164"/>
        <v>0</v>
      </c>
      <c r="FI25" s="512"/>
      <c r="FJ25" s="513">
        <f t="shared" si="53"/>
        <v>0</v>
      </c>
      <c r="FK25" s="514">
        <f t="shared" si="165"/>
        <v>0</v>
      </c>
      <c r="FL25" s="512"/>
      <c r="FM25" s="513">
        <f t="shared" si="54"/>
        <v>0</v>
      </c>
      <c r="FN25" s="514">
        <f t="shared" si="166"/>
        <v>0</v>
      </c>
      <c r="FO25" s="512"/>
      <c r="FP25" s="513">
        <f t="shared" si="55"/>
        <v>0</v>
      </c>
      <c r="FQ25" s="514">
        <f t="shared" si="167"/>
        <v>0</v>
      </c>
      <c r="FR25" s="512"/>
      <c r="FS25" s="513">
        <f t="shared" si="56"/>
        <v>0</v>
      </c>
      <c r="FT25" s="514">
        <f t="shared" si="168"/>
        <v>0</v>
      </c>
      <c r="FU25" s="512"/>
      <c r="FV25" s="513">
        <f t="shared" si="57"/>
        <v>0</v>
      </c>
      <c r="FW25" s="514">
        <f t="shared" si="169"/>
        <v>0</v>
      </c>
      <c r="FX25" s="512"/>
      <c r="FY25" s="513">
        <f t="shared" si="58"/>
        <v>0</v>
      </c>
      <c r="FZ25" s="514">
        <f t="shared" si="170"/>
        <v>0</v>
      </c>
      <c r="GA25" s="512"/>
      <c r="GB25" s="513">
        <f t="shared" si="59"/>
        <v>0</v>
      </c>
      <c r="GC25" s="514">
        <f t="shared" si="171"/>
        <v>0</v>
      </c>
      <c r="GD25" s="512"/>
      <c r="GE25" s="513">
        <f t="shared" si="60"/>
        <v>0</v>
      </c>
      <c r="GF25" s="514">
        <f t="shared" si="172"/>
        <v>0</v>
      </c>
      <c r="GG25" s="512"/>
      <c r="GH25" s="513">
        <f t="shared" si="61"/>
        <v>0</v>
      </c>
      <c r="GI25" s="514">
        <f t="shared" si="173"/>
        <v>0</v>
      </c>
      <c r="GJ25" s="512"/>
      <c r="GK25" s="513">
        <f t="shared" si="62"/>
        <v>0</v>
      </c>
      <c r="GL25" s="514">
        <f t="shared" si="174"/>
        <v>0</v>
      </c>
      <c r="GM25" s="512"/>
      <c r="GN25" s="513">
        <f t="shared" si="63"/>
        <v>0</v>
      </c>
      <c r="GO25" s="514">
        <f t="shared" si="175"/>
        <v>0</v>
      </c>
      <c r="GP25" s="512"/>
      <c r="GQ25" s="513">
        <f t="shared" si="64"/>
        <v>0</v>
      </c>
      <c r="GR25" s="514">
        <f t="shared" si="176"/>
        <v>0</v>
      </c>
      <c r="GS25" s="512"/>
      <c r="GT25" s="513">
        <f t="shared" si="65"/>
        <v>0</v>
      </c>
      <c r="GU25" s="514">
        <f t="shared" si="177"/>
        <v>0</v>
      </c>
      <c r="GV25" s="512"/>
      <c r="GW25" s="513">
        <f t="shared" si="66"/>
        <v>0</v>
      </c>
      <c r="GX25" s="514">
        <f t="shared" si="178"/>
        <v>0</v>
      </c>
      <c r="GY25" s="512"/>
      <c r="GZ25" s="513">
        <f t="shared" si="67"/>
        <v>0</v>
      </c>
      <c r="HA25" s="514">
        <f t="shared" si="179"/>
        <v>0</v>
      </c>
      <c r="HB25" s="512"/>
      <c r="HC25" s="513">
        <f t="shared" si="68"/>
        <v>0</v>
      </c>
      <c r="HD25" s="514">
        <f t="shared" si="180"/>
        <v>0</v>
      </c>
      <c r="HE25" s="512"/>
      <c r="HF25" s="513">
        <f t="shared" si="69"/>
        <v>0</v>
      </c>
      <c r="HG25" s="514">
        <f t="shared" si="181"/>
        <v>0</v>
      </c>
      <c r="HH25" s="512"/>
      <c r="HI25" s="513">
        <f t="shared" si="70"/>
        <v>0</v>
      </c>
      <c r="HJ25" s="514">
        <f t="shared" si="182"/>
        <v>0</v>
      </c>
      <c r="HK25" s="512"/>
      <c r="HL25" s="513">
        <f t="shared" si="71"/>
        <v>0</v>
      </c>
      <c r="HM25" s="514">
        <f t="shared" si="183"/>
        <v>0</v>
      </c>
      <c r="HN25" s="512"/>
      <c r="HO25" s="513">
        <f t="shared" si="72"/>
        <v>0</v>
      </c>
      <c r="HP25" s="514">
        <f t="shared" si="184"/>
        <v>0</v>
      </c>
      <c r="HQ25" s="512"/>
      <c r="HR25" s="513">
        <f t="shared" si="73"/>
        <v>0</v>
      </c>
      <c r="HS25" s="514">
        <f t="shared" si="185"/>
        <v>0</v>
      </c>
      <c r="HT25" s="512"/>
      <c r="HU25" s="513">
        <f t="shared" si="74"/>
        <v>0</v>
      </c>
      <c r="HV25" s="514">
        <f t="shared" si="186"/>
        <v>0</v>
      </c>
      <c r="HW25" s="512"/>
      <c r="HX25" s="513">
        <f t="shared" si="75"/>
        <v>0</v>
      </c>
      <c r="HY25" s="514">
        <f t="shared" si="187"/>
        <v>0</v>
      </c>
      <c r="HZ25" s="512"/>
      <c r="IA25" s="513">
        <f t="shared" si="76"/>
        <v>0</v>
      </c>
      <c r="IB25" s="514">
        <f t="shared" si="188"/>
        <v>0</v>
      </c>
      <c r="IC25" s="512"/>
      <c r="ID25" s="513">
        <f t="shared" si="77"/>
        <v>0</v>
      </c>
      <c r="IE25" s="514">
        <f t="shared" si="189"/>
        <v>0</v>
      </c>
      <c r="IF25" s="512"/>
      <c r="IG25" s="513">
        <f t="shared" si="78"/>
        <v>0</v>
      </c>
      <c r="IH25" s="514">
        <f t="shared" si="190"/>
        <v>0</v>
      </c>
      <c r="II25" s="512"/>
      <c r="IJ25" s="513">
        <f t="shared" si="79"/>
        <v>0</v>
      </c>
      <c r="IK25" s="514">
        <f t="shared" si="191"/>
        <v>0</v>
      </c>
      <c r="IL25" s="512"/>
      <c r="IM25" s="513">
        <f t="shared" si="80"/>
        <v>0</v>
      </c>
      <c r="IN25" s="514">
        <f t="shared" si="192"/>
        <v>0</v>
      </c>
      <c r="IO25" s="512"/>
      <c r="IP25" s="513">
        <f t="shared" si="81"/>
        <v>0</v>
      </c>
      <c r="IQ25" s="514">
        <f t="shared" si="193"/>
        <v>0</v>
      </c>
      <c r="IR25" s="512"/>
      <c r="IS25" s="513">
        <f t="shared" si="82"/>
        <v>0</v>
      </c>
      <c r="IT25" s="514">
        <f t="shared" si="194"/>
        <v>0</v>
      </c>
      <c r="IU25" s="512"/>
      <c r="IV25" s="513">
        <f t="shared" si="83"/>
        <v>0</v>
      </c>
      <c r="IW25" s="514">
        <f t="shared" si="195"/>
        <v>0</v>
      </c>
      <c r="IX25" s="512"/>
      <c r="IY25" s="513">
        <f t="shared" si="84"/>
        <v>0</v>
      </c>
      <c r="IZ25" s="514">
        <f t="shared" si="196"/>
        <v>0</v>
      </c>
      <c r="JA25" s="512"/>
      <c r="JB25" s="513">
        <f t="shared" si="85"/>
        <v>0</v>
      </c>
      <c r="JC25" s="514">
        <f t="shared" si="197"/>
        <v>0</v>
      </c>
      <c r="JD25" s="512"/>
      <c r="JE25" s="513">
        <f t="shared" si="86"/>
        <v>0</v>
      </c>
      <c r="JF25" s="514">
        <f t="shared" si="198"/>
        <v>0</v>
      </c>
      <c r="JG25" s="512"/>
      <c r="JH25" s="513">
        <f t="shared" si="87"/>
        <v>0</v>
      </c>
      <c r="JI25" s="514">
        <f t="shared" si="199"/>
        <v>0</v>
      </c>
      <c r="JJ25" s="512"/>
      <c r="JK25" s="514" t="str">
        <f t="shared" si="88"/>
        <v>0</v>
      </c>
      <c r="JL25" s="514" t="str">
        <f t="shared" si="89"/>
        <v>0</v>
      </c>
      <c r="JM25" s="512"/>
      <c r="JN25" s="514" t="str">
        <f t="shared" si="90"/>
        <v>0</v>
      </c>
      <c r="JO25" s="514" t="str">
        <f t="shared" si="91"/>
        <v>0</v>
      </c>
      <c r="JP25" s="512"/>
      <c r="JQ25" s="514" t="str">
        <f t="shared" si="92"/>
        <v>0</v>
      </c>
      <c r="JR25" s="514" t="str">
        <f t="shared" si="93"/>
        <v>0</v>
      </c>
      <c r="JS25" s="512"/>
      <c r="JT25" s="514" t="str">
        <f t="shared" si="94"/>
        <v>0</v>
      </c>
      <c r="JU25" s="514" t="str">
        <f t="shared" si="95"/>
        <v>0</v>
      </c>
      <c r="JV25" s="512"/>
      <c r="JW25" s="514" t="str">
        <f t="shared" si="96"/>
        <v>0</v>
      </c>
      <c r="JX25" s="514" t="str">
        <f t="shared" si="97"/>
        <v>0</v>
      </c>
      <c r="JY25" s="512"/>
      <c r="JZ25" s="514" t="str">
        <f t="shared" si="98"/>
        <v>0</v>
      </c>
      <c r="KA25" s="514" t="str">
        <f t="shared" si="99"/>
        <v>0</v>
      </c>
      <c r="KB25" s="512"/>
      <c r="KC25" s="514" t="str">
        <f t="shared" si="100"/>
        <v>0</v>
      </c>
      <c r="KD25" s="514" t="str">
        <f t="shared" si="101"/>
        <v>0</v>
      </c>
      <c r="KE25" s="512"/>
      <c r="KF25" s="514" t="str">
        <f t="shared" si="102"/>
        <v>0</v>
      </c>
      <c r="KG25" s="514" t="str">
        <f t="shared" si="103"/>
        <v>0</v>
      </c>
      <c r="KH25" s="512"/>
      <c r="KI25" s="514" t="str">
        <f t="shared" si="104"/>
        <v>0</v>
      </c>
      <c r="KJ25" s="514" t="str">
        <f t="shared" si="105"/>
        <v>0</v>
      </c>
      <c r="KK25" s="512"/>
      <c r="KL25" s="514" t="str">
        <f t="shared" si="106"/>
        <v>0</v>
      </c>
      <c r="KM25" s="514" t="str">
        <f t="shared" si="107"/>
        <v>0</v>
      </c>
      <c r="KN25" s="512"/>
      <c r="KO25" s="514" t="str">
        <f t="shared" si="108"/>
        <v>0</v>
      </c>
      <c r="KP25" s="514" t="str">
        <f t="shared" si="109"/>
        <v>0</v>
      </c>
      <c r="KQ25" s="512"/>
      <c r="KR25" s="514" t="str">
        <f t="shared" si="110"/>
        <v>0</v>
      </c>
      <c r="KS25" s="514" t="str">
        <f t="shared" si="111"/>
        <v>0</v>
      </c>
      <c r="KT25" s="514">
        <f t="shared" si="201"/>
        <v>0</v>
      </c>
      <c r="KU25" s="514">
        <f t="shared" si="202"/>
        <v>0</v>
      </c>
      <c r="KV25" s="263">
        <f t="shared" si="204"/>
        <v>1017.160466431653</v>
      </c>
    </row>
    <row r="26" spans="1:308" ht="15" customHeight="1">
      <c r="A26" s="471">
        <f t="shared" si="200"/>
        <v>45947</v>
      </c>
      <c r="B26" s="472" t="str">
        <f>+Report1!B25</f>
        <v>Towel</v>
      </c>
      <c r="C26" s="473" t="str">
        <f>+Report1!C25</f>
        <v>18</v>
      </c>
      <c r="D26" s="474">
        <f>+Report1!P25</f>
        <v>50.909000000000006</v>
      </c>
      <c r="E26" s="475">
        <f>+Report1!R25</f>
        <v>55.052999999999997</v>
      </c>
      <c r="F26" s="512"/>
      <c r="G26" s="513">
        <f t="shared" si="0"/>
        <v>0</v>
      </c>
      <c r="H26" s="514">
        <f t="shared" si="113"/>
        <v>0</v>
      </c>
      <c r="I26" s="512">
        <v>627.90697674418607</v>
      </c>
      <c r="J26" s="513">
        <f t="shared" si="1"/>
        <v>11.405499731970757</v>
      </c>
      <c r="K26" s="514">
        <f t="shared" si="114"/>
        <v>0</v>
      </c>
      <c r="L26" s="512"/>
      <c r="M26" s="513">
        <f t="shared" si="2"/>
        <v>0</v>
      </c>
      <c r="N26" s="514">
        <f t="shared" si="115"/>
        <v>0</v>
      </c>
      <c r="O26" s="512">
        <v>27</v>
      </c>
      <c r="P26" s="513">
        <f t="shared" si="3"/>
        <v>0.49043648847474253</v>
      </c>
      <c r="Q26" s="514">
        <f t="shared" si="116"/>
        <v>0</v>
      </c>
      <c r="R26" s="512">
        <v>2.5625</v>
      </c>
      <c r="S26" s="513">
        <f t="shared" si="4"/>
        <v>4.6546055619130659E-2</v>
      </c>
      <c r="T26" s="514">
        <f t="shared" si="117"/>
        <v>0</v>
      </c>
      <c r="U26" s="512">
        <v>7.8124999999999716</v>
      </c>
      <c r="V26" s="513">
        <f t="shared" si="5"/>
        <v>0.14190870615588563</v>
      </c>
      <c r="W26" s="514">
        <f t="shared" si="118"/>
        <v>0</v>
      </c>
      <c r="X26" s="512"/>
      <c r="Y26" s="513">
        <f t="shared" si="6"/>
        <v>0</v>
      </c>
      <c r="Z26" s="514">
        <f t="shared" si="119"/>
        <v>0</v>
      </c>
      <c r="AA26" s="512"/>
      <c r="AB26" s="513">
        <f t="shared" si="7"/>
        <v>0</v>
      </c>
      <c r="AC26" s="514">
        <f t="shared" si="120"/>
        <v>0</v>
      </c>
      <c r="AD26" s="512"/>
      <c r="AE26" s="513">
        <f t="shared" si="8"/>
        <v>0</v>
      </c>
      <c r="AF26" s="514">
        <f t="shared" si="121"/>
        <v>0</v>
      </c>
      <c r="AG26" s="512"/>
      <c r="AH26" s="513">
        <f t="shared" si="9"/>
        <v>0</v>
      </c>
      <c r="AI26" s="514">
        <f t="shared" si="122"/>
        <v>0</v>
      </c>
      <c r="AJ26" s="512"/>
      <c r="AK26" s="513">
        <f t="shared" si="10"/>
        <v>0</v>
      </c>
      <c r="AL26" s="514">
        <f t="shared" si="123"/>
        <v>0</v>
      </c>
      <c r="AM26" s="512"/>
      <c r="AN26" s="513">
        <f t="shared" si="11"/>
        <v>0</v>
      </c>
      <c r="AO26" s="514">
        <f t="shared" si="124"/>
        <v>0</v>
      </c>
      <c r="AP26" s="512">
        <v>39.423076923076906</v>
      </c>
      <c r="AQ26" s="513">
        <f t="shared" si="12"/>
        <v>0.71609316337124063</v>
      </c>
      <c r="AR26" s="514">
        <f t="shared" si="125"/>
        <v>0</v>
      </c>
      <c r="AS26" s="512"/>
      <c r="AT26" s="513">
        <f t="shared" si="13"/>
        <v>0</v>
      </c>
      <c r="AU26" s="514">
        <f t="shared" si="126"/>
        <v>0</v>
      </c>
      <c r="AV26" s="512">
        <v>8.3250000000000028</v>
      </c>
      <c r="AW26" s="513">
        <f t="shared" si="14"/>
        <v>0.15121791727971234</v>
      </c>
      <c r="AX26" s="514">
        <f t="shared" si="127"/>
        <v>0</v>
      </c>
      <c r="AY26" s="512">
        <v>30.333333333333371</v>
      </c>
      <c r="AZ26" s="513">
        <f t="shared" si="15"/>
        <v>0.55098420310125462</v>
      </c>
      <c r="BA26" s="514">
        <f t="shared" si="128"/>
        <v>0</v>
      </c>
      <c r="BB26" s="512"/>
      <c r="BC26" s="513">
        <f t="shared" si="16"/>
        <v>0</v>
      </c>
      <c r="BD26" s="514">
        <f t="shared" si="129"/>
        <v>0</v>
      </c>
      <c r="BE26" s="512"/>
      <c r="BF26" s="513">
        <f t="shared" si="17"/>
        <v>0</v>
      </c>
      <c r="BG26" s="514">
        <f t="shared" si="130"/>
        <v>0</v>
      </c>
      <c r="BH26" s="512"/>
      <c r="BI26" s="513">
        <f t="shared" si="18"/>
        <v>0</v>
      </c>
      <c r="BJ26" s="514">
        <f t="shared" si="131"/>
        <v>0</v>
      </c>
      <c r="BK26" s="512"/>
      <c r="BL26" s="513">
        <f t="shared" si="19"/>
        <v>0</v>
      </c>
      <c r="BM26" s="514">
        <f t="shared" si="132"/>
        <v>0</v>
      </c>
      <c r="BN26" s="512"/>
      <c r="BO26" s="513">
        <f t="shared" si="20"/>
        <v>0</v>
      </c>
      <c r="BP26" s="514">
        <f t="shared" si="133"/>
        <v>0</v>
      </c>
      <c r="BQ26" s="512"/>
      <c r="BR26" s="513">
        <f t="shared" si="21"/>
        <v>0</v>
      </c>
      <c r="BS26" s="514">
        <f t="shared" si="134"/>
        <v>0</v>
      </c>
      <c r="BT26" s="512"/>
      <c r="BU26" s="513">
        <f t="shared" si="22"/>
        <v>0</v>
      </c>
      <c r="BV26" s="514">
        <f t="shared" si="135"/>
        <v>0</v>
      </c>
      <c r="BW26" s="512"/>
      <c r="BX26" s="513">
        <f t="shared" si="23"/>
        <v>0</v>
      </c>
      <c r="BY26" s="514">
        <f t="shared" si="136"/>
        <v>0</v>
      </c>
      <c r="BZ26" s="512"/>
      <c r="CA26" s="513">
        <f t="shared" si="24"/>
        <v>0</v>
      </c>
      <c r="CB26" s="514">
        <f t="shared" si="137"/>
        <v>0</v>
      </c>
      <c r="CC26" s="512">
        <v>25</v>
      </c>
      <c r="CD26" s="513">
        <f t="shared" si="25"/>
        <v>0.45410785969883571</v>
      </c>
      <c r="CE26" s="514">
        <f t="shared" si="138"/>
        <v>0</v>
      </c>
      <c r="CF26" s="512">
        <v>8</v>
      </c>
      <c r="CG26" s="513">
        <f t="shared" si="26"/>
        <v>0.14531451510362742</v>
      </c>
      <c r="CH26" s="514">
        <f t="shared" si="139"/>
        <v>0</v>
      </c>
      <c r="CI26" s="512"/>
      <c r="CJ26" s="513">
        <f t="shared" si="27"/>
        <v>0</v>
      </c>
      <c r="CK26" s="514">
        <f t="shared" si="140"/>
        <v>0</v>
      </c>
      <c r="CL26" s="512"/>
      <c r="CM26" s="513">
        <f t="shared" si="28"/>
        <v>0</v>
      </c>
      <c r="CN26" s="514">
        <f t="shared" si="141"/>
        <v>0</v>
      </c>
      <c r="CO26" s="512"/>
      <c r="CP26" s="513">
        <f t="shared" si="29"/>
        <v>0</v>
      </c>
      <c r="CQ26" s="514">
        <f t="shared" si="142"/>
        <v>0</v>
      </c>
      <c r="CR26" s="512"/>
      <c r="CS26" s="513">
        <f t="shared" si="30"/>
        <v>0</v>
      </c>
      <c r="CT26" s="514">
        <f t="shared" si="143"/>
        <v>0</v>
      </c>
      <c r="CU26" s="512"/>
      <c r="CV26" s="513">
        <f t="shared" si="31"/>
        <v>0</v>
      </c>
      <c r="CW26" s="514">
        <f t="shared" si="144"/>
        <v>0</v>
      </c>
      <c r="CX26" s="512"/>
      <c r="CY26" s="513">
        <f t="shared" si="32"/>
        <v>0</v>
      </c>
      <c r="CZ26" s="514">
        <f t="shared" si="145"/>
        <v>0</v>
      </c>
      <c r="DA26" s="512"/>
      <c r="DB26" s="513">
        <f t="shared" si="33"/>
        <v>0</v>
      </c>
      <c r="DC26" s="514">
        <f t="shared" si="146"/>
        <v>0</v>
      </c>
      <c r="DD26" s="512"/>
      <c r="DE26" s="513">
        <f t="shared" si="34"/>
        <v>0</v>
      </c>
      <c r="DF26" s="514">
        <f t="shared" si="147"/>
        <v>0</v>
      </c>
      <c r="DG26" s="512"/>
      <c r="DH26" s="513">
        <f t="shared" si="35"/>
        <v>0</v>
      </c>
      <c r="DI26" s="514">
        <f t="shared" si="203"/>
        <v>0</v>
      </c>
      <c r="DJ26" s="512"/>
      <c r="DK26" s="513">
        <f t="shared" si="36"/>
        <v>0</v>
      </c>
      <c r="DL26" s="514">
        <f t="shared" si="148"/>
        <v>0</v>
      </c>
      <c r="DM26" s="512"/>
      <c r="DN26" s="513">
        <f t="shared" si="37"/>
        <v>0</v>
      </c>
      <c r="DO26" s="514">
        <f t="shared" si="149"/>
        <v>0</v>
      </c>
      <c r="DP26" s="512"/>
      <c r="DQ26" s="513">
        <f t="shared" si="38"/>
        <v>0</v>
      </c>
      <c r="DR26" s="514">
        <f t="shared" si="150"/>
        <v>0</v>
      </c>
      <c r="DS26" s="512"/>
      <c r="DT26" s="513">
        <f t="shared" si="39"/>
        <v>0</v>
      </c>
      <c r="DU26" s="514">
        <f t="shared" si="151"/>
        <v>0</v>
      </c>
      <c r="DV26" s="512"/>
      <c r="DW26" s="513">
        <f t="shared" si="40"/>
        <v>0</v>
      </c>
      <c r="DX26" s="514">
        <f t="shared" si="152"/>
        <v>0</v>
      </c>
      <c r="DY26" s="512"/>
      <c r="DZ26" s="513">
        <f t="shared" si="41"/>
        <v>0</v>
      </c>
      <c r="EA26" s="514">
        <f t="shared" si="153"/>
        <v>0</v>
      </c>
      <c r="EB26" s="512">
        <v>82.188235294117703</v>
      </c>
      <c r="EC26" s="513">
        <f t="shared" si="42"/>
        <v>1.4928929448734438</v>
      </c>
      <c r="ED26" s="514">
        <f t="shared" si="154"/>
        <v>0</v>
      </c>
      <c r="EE26" s="512"/>
      <c r="EF26" s="513">
        <f t="shared" si="43"/>
        <v>0</v>
      </c>
      <c r="EG26" s="514">
        <f t="shared" si="155"/>
        <v>0</v>
      </c>
      <c r="EH26" s="512">
        <v>2</v>
      </c>
      <c r="EI26" s="513">
        <f t="shared" si="44"/>
        <v>3.6328628775906854E-2</v>
      </c>
      <c r="EJ26" s="514">
        <f t="shared" si="156"/>
        <v>0</v>
      </c>
      <c r="EK26" s="512"/>
      <c r="EL26" s="513">
        <f t="shared" si="45"/>
        <v>0</v>
      </c>
      <c r="EM26" s="514">
        <f t="shared" si="157"/>
        <v>0</v>
      </c>
      <c r="EN26" s="512"/>
      <c r="EO26" s="513">
        <f t="shared" si="46"/>
        <v>0</v>
      </c>
      <c r="EP26" s="514">
        <f t="shared" si="158"/>
        <v>0</v>
      </c>
      <c r="EQ26" s="512"/>
      <c r="ER26" s="513">
        <f t="shared" si="47"/>
        <v>0</v>
      </c>
      <c r="ES26" s="514">
        <f t="shared" si="159"/>
        <v>0</v>
      </c>
      <c r="ET26" s="512"/>
      <c r="EU26" s="513">
        <f t="shared" si="48"/>
        <v>0</v>
      </c>
      <c r="EV26" s="514">
        <f t="shared" si="160"/>
        <v>0</v>
      </c>
      <c r="EW26" s="512"/>
      <c r="EX26" s="513">
        <f t="shared" si="49"/>
        <v>0</v>
      </c>
      <c r="EY26" s="514">
        <f t="shared" si="161"/>
        <v>0</v>
      </c>
      <c r="EZ26" s="512"/>
      <c r="FA26" s="513">
        <f t="shared" si="50"/>
        <v>0</v>
      </c>
      <c r="FB26" s="514">
        <f t="shared" si="162"/>
        <v>0</v>
      </c>
      <c r="FC26" s="512"/>
      <c r="FD26" s="513">
        <f t="shared" si="51"/>
        <v>0</v>
      </c>
      <c r="FE26" s="514">
        <f t="shared" si="163"/>
        <v>0</v>
      </c>
      <c r="FF26" s="512"/>
      <c r="FG26" s="513">
        <f t="shared" si="52"/>
        <v>0</v>
      </c>
      <c r="FH26" s="514">
        <f t="shared" si="164"/>
        <v>0</v>
      </c>
      <c r="FI26" s="512"/>
      <c r="FJ26" s="513">
        <f t="shared" si="53"/>
        <v>0</v>
      </c>
      <c r="FK26" s="514">
        <f t="shared" si="165"/>
        <v>0</v>
      </c>
      <c r="FL26" s="512"/>
      <c r="FM26" s="513">
        <f t="shared" si="54"/>
        <v>0</v>
      </c>
      <c r="FN26" s="514">
        <f t="shared" si="166"/>
        <v>0</v>
      </c>
      <c r="FO26" s="512"/>
      <c r="FP26" s="513">
        <f t="shared" si="55"/>
        <v>0</v>
      </c>
      <c r="FQ26" s="514">
        <f t="shared" si="167"/>
        <v>0</v>
      </c>
      <c r="FR26" s="512"/>
      <c r="FS26" s="513">
        <f t="shared" si="56"/>
        <v>0</v>
      </c>
      <c r="FT26" s="514">
        <f t="shared" si="168"/>
        <v>0</v>
      </c>
      <c r="FU26" s="512"/>
      <c r="FV26" s="513">
        <f t="shared" si="57"/>
        <v>0</v>
      </c>
      <c r="FW26" s="514">
        <f t="shared" si="169"/>
        <v>0</v>
      </c>
      <c r="FX26" s="512"/>
      <c r="FY26" s="513">
        <f t="shared" si="58"/>
        <v>0</v>
      </c>
      <c r="FZ26" s="514">
        <f t="shared" si="170"/>
        <v>0</v>
      </c>
      <c r="GA26" s="512"/>
      <c r="GB26" s="513">
        <f t="shared" si="59"/>
        <v>0</v>
      </c>
      <c r="GC26" s="514">
        <f t="shared" si="171"/>
        <v>0</v>
      </c>
      <c r="GD26" s="512"/>
      <c r="GE26" s="513">
        <f t="shared" si="60"/>
        <v>0</v>
      </c>
      <c r="GF26" s="514">
        <f t="shared" si="172"/>
        <v>0</v>
      </c>
      <c r="GG26" s="512"/>
      <c r="GH26" s="513">
        <f t="shared" si="61"/>
        <v>0</v>
      </c>
      <c r="GI26" s="514">
        <f t="shared" si="173"/>
        <v>0</v>
      </c>
      <c r="GJ26" s="512"/>
      <c r="GK26" s="513">
        <f t="shared" si="62"/>
        <v>0</v>
      </c>
      <c r="GL26" s="514">
        <f t="shared" si="174"/>
        <v>0</v>
      </c>
      <c r="GM26" s="512"/>
      <c r="GN26" s="513">
        <f t="shared" si="63"/>
        <v>0</v>
      </c>
      <c r="GO26" s="514">
        <f t="shared" si="175"/>
        <v>0</v>
      </c>
      <c r="GP26" s="512"/>
      <c r="GQ26" s="513">
        <f t="shared" si="64"/>
        <v>0</v>
      </c>
      <c r="GR26" s="514">
        <f t="shared" si="176"/>
        <v>0</v>
      </c>
      <c r="GS26" s="512"/>
      <c r="GT26" s="513">
        <f t="shared" si="65"/>
        <v>0</v>
      </c>
      <c r="GU26" s="514">
        <f t="shared" si="177"/>
        <v>0</v>
      </c>
      <c r="GV26" s="512"/>
      <c r="GW26" s="513">
        <f t="shared" si="66"/>
        <v>0</v>
      </c>
      <c r="GX26" s="514">
        <f t="shared" si="178"/>
        <v>0</v>
      </c>
      <c r="GY26" s="512"/>
      <c r="GZ26" s="513">
        <f t="shared" si="67"/>
        <v>0</v>
      </c>
      <c r="HA26" s="514">
        <f t="shared" si="179"/>
        <v>0</v>
      </c>
      <c r="HB26" s="512"/>
      <c r="HC26" s="513">
        <f t="shared" si="68"/>
        <v>0</v>
      </c>
      <c r="HD26" s="514">
        <f t="shared" si="180"/>
        <v>0</v>
      </c>
      <c r="HE26" s="512"/>
      <c r="HF26" s="513">
        <f t="shared" si="69"/>
        <v>0</v>
      </c>
      <c r="HG26" s="514">
        <f t="shared" si="181"/>
        <v>0</v>
      </c>
      <c r="HH26" s="512"/>
      <c r="HI26" s="513">
        <f t="shared" si="70"/>
        <v>0</v>
      </c>
      <c r="HJ26" s="514">
        <f t="shared" si="182"/>
        <v>0</v>
      </c>
      <c r="HK26" s="512"/>
      <c r="HL26" s="513">
        <f t="shared" si="71"/>
        <v>0</v>
      </c>
      <c r="HM26" s="514">
        <f t="shared" si="183"/>
        <v>0</v>
      </c>
      <c r="HN26" s="512"/>
      <c r="HO26" s="513">
        <f t="shared" si="72"/>
        <v>0</v>
      </c>
      <c r="HP26" s="514">
        <f t="shared" si="184"/>
        <v>0</v>
      </c>
      <c r="HQ26" s="512"/>
      <c r="HR26" s="513">
        <f t="shared" si="73"/>
        <v>0</v>
      </c>
      <c r="HS26" s="514">
        <f t="shared" si="185"/>
        <v>0</v>
      </c>
      <c r="HT26" s="512"/>
      <c r="HU26" s="513">
        <f t="shared" si="74"/>
        <v>0</v>
      </c>
      <c r="HV26" s="514">
        <f t="shared" si="186"/>
        <v>0</v>
      </c>
      <c r="HW26" s="512"/>
      <c r="HX26" s="513">
        <f t="shared" si="75"/>
        <v>0</v>
      </c>
      <c r="HY26" s="514">
        <f t="shared" si="187"/>
        <v>0</v>
      </c>
      <c r="HZ26" s="512"/>
      <c r="IA26" s="513">
        <f t="shared" si="76"/>
        <v>0</v>
      </c>
      <c r="IB26" s="514">
        <f t="shared" si="188"/>
        <v>0</v>
      </c>
      <c r="IC26" s="512"/>
      <c r="ID26" s="513">
        <f t="shared" si="77"/>
        <v>0</v>
      </c>
      <c r="IE26" s="514">
        <f t="shared" si="189"/>
        <v>0</v>
      </c>
      <c r="IF26" s="512"/>
      <c r="IG26" s="513">
        <f t="shared" si="78"/>
        <v>0</v>
      </c>
      <c r="IH26" s="514">
        <f t="shared" si="190"/>
        <v>0</v>
      </c>
      <c r="II26" s="512"/>
      <c r="IJ26" s="513">
        <f t="shared" si="79"/>
        <v>0</v>
      </c>
      <c r="IK26" s="514">
        <f t="shared" si="191"/>
        <v>0</v>
      </c>
      <c r="IL26" s="512"/>
      <c r="IM26" s="513">
        <f t="shared" si="80"/>
        <v>0</v>
      </c>
      <c r="IN26" s="514">
        <f t="shared" si="192"/>
        <v>0</v>
      </c>
      <c r="IO26" s="512"/>
      <c r="IP26" s="513">
        <f t="shared" si="81"/>
        <v>0</v>
      </c>
      <c r="IQ26" s="514">
        <f t="shared" si="193"/>
        <v>0</v>
      </c>
      <c r="IR26" s="512"/>
      <c r="IS26" s="513">
        <f t="shared" si="82"/>
        <v>0</v>
      </c>
      <c r="IT26" s="514">
        <f t="shared" si="194"/>
        <v>0</v>
      </c>
      <c r="IU26" s="512"/>
      <c r="IV26" s="513">
        <f t="shared" si="83"/>
        <v>0</v>
      </c>
      <c r="IW26" s="514">
        <f t="shared" si="195"/>
        <v>0</v>
      </c>
      <c r="IX26" s="512"/>
      <c r="IY26" s="513">
        <f t="shared" si="84"/>
        <v>0</v>
      </c>
      <c r="IZ26" s="514">
        <f t="shared" si="196"/>
        <v>0</v>
      </c>
      <c r="JA26" s="512"/>
      <c r="JB26" s="513">
        <f t="shared" si="85"/>
        <v>0</v>
      </c>
      <c r="JC26" s="514">
        <f t="shared" si="197"/>
        <v>0</v>
      </c>
      <c r="JD26" s="512"/>
      <c r="JE26" s="513">
        <f t="shared" si="86"/>
        <v>0</v>
      </c>
      <c r="JF26" s="514">
        <f t="shared" si="198"/>
        <v>0</v>
      </c>
      <c r="JG26" s="512"/>
      <c r="JH26" s="513">
        <f t="shared" si="87"/>
        <v>0</v>
      </c>
      <c r="JI26" s="514">
        <f t="shared" si="199"/>
        <v>0</v>
      </c>
      <c r="JJ26" s="512"/>
      <c r="JK26" s="514" t="str">
        <f t="shared" si="88"/>
        <v>0</v>
      </c>
      <c r="JL26" s="514" t="str">
        <f t="shared" si="89"/>
        <v>0</v>
      </c>
      <c r="JM26" s="512"/>
      <c r="JN26" s="514" t="str">
        <f t="shared" si="90"/>
        <v>0</v>
      </c>
      <c r="JO26" s="514" t="str">
        <f t="shared" si="91"/>
        <v>0</v>
      </c>
      <c r="JP26" s="512"/>
      <c r="JQ26" s="514" t="str">
        <f t="shared" si="92"/>
        <v>0</v>
      </c>
      <c r="JR26" s="514" t="str">
        <f t="shared" si="93"/>
        <v>0</v>
      </c>
      <c r="JS26" s="512"/>
      <c r="JT26" s="514" t="str">
        <f t="shared" si="94"/>
        <v>0</v>
      </c>
      <c r="JU26" s="514" t="str">
        <f t="shared" si="95"/>
        <v>0</v>
      </c>
      <c r="JV26" s="512"/>
      <c r="JW26" s="514" t="str">
        <f t="shared" si="96"/>
        <v>0</v>
      </c>
      <c r="JX26" s="514" t="str">
        <f t="shared" si="97"/>
        <v>0</v>
      </c>
      <c r="JY26" s="512"/>
      <c r="JZ26" s="514" t="str">
        <f t="shared" si="98"/>
        <v>0</v>
      </c>
      <c r="KA26" s="514" t="str">
        <f t="shared" si="99"/>
        <v>0</v>
      </c>
      <c r="KB26" s="512"/>
      <c r="KC26" s="514" t="str">
        <f t="shared" si="100"/>
        <v>0</v>
      </c>
      <c r="KD26" s="514" t="str">
        <f t="shared" si="101"/>
        <v>0</v>
      </c>
      <c r="KE26" s="512"/>
      <c r="KF26" s="514" t="str">
        <f t="shared" si="102"/>
        <v>0</v>
      </c>
      <c r="KG26" s="514" t="str">
        <f t="shared" si="103"/>
        <v>0</v>
      </c>
      <c r="KH26" s="512"/>
      <c r="KI26" s="514" t="str">
        <f t="shared" si="104"/>
        <v>0</v>
      </c>
      <c r="KJ26" s="514" t="str">
        <f t="shared" si="105"/>
        <v>0</v>
      </c>
      <c r="KK26" s="512"/>
      <c r="KL26" s="514" t="str">
        <f t="shared" si="106"/>
        <v>0</v>
      </c>
      <c r="KM26" s="514" t="str">
        <f t="shared" si="107"/>
        <v>0</v>
      </c>
      <c r="KN26" s="512"/>
      <c r="KO26" s="514" t="str">
        <f t="shared" si="108"/>
        <v>0</v>
      </c>
      <c r="KP26" s="514" t="str">
        <f t="shared" si="109"/>
        <v>0</v>
      </c>
      <c r="KQ26" s="512"/>
      <c r="KR26" s="514" t="str">
        <f t="shared" si="110"/>
        <v>0</v>
      </c>
      <c r="KS26" s="514" t="str">
        <f t="shared" si="111"/>
        <v>0</v>
      </c>
      <c r="KT26" s="514">
        <f t="shared" si="201"/>
        <v>0</v>
      </c>
      <c r="KU26" s="514">
        <f t="shared" si="202"/>
        <v>0</v>
      </c>
      <c r="KV26" s="263">
        <f t="shared" si="204"/>
        <v>860.55162229471409</v>
      </c>
    </row>
    <row r="27" spans="1:308" ht="15" customHeight="1">
      <c r="A27" s="471">
        <f t="shared" si="200"/>
        <v>45948</v>
      </c>
      <c r="B27" s="472" t="str">
        <f>+Report1!B26</f>
        <v>Towel</v>
      </c>
      <c r="C27" s="473" t="str">
        <f>+Report1!C26</f>
        <v>18</v>
      </c>
      <c r="D27" s="474">
        <f>+Report1!P26</f>
        <v>46.412999999999997</v>
      </c>
      <c r="E27" s="475">
        <f>+Report1!R26</f>
        <v>48.03</v>
      </c>
      <c r="F27" s="512"/>
      <c r="G27" s="513">
        <f t="shared" si="0"/>
        <v>0</v>
      </c>
      <c r="H27" s="514">
        <f t="shared" si="113"/>
        <v>0</v>
      </c>
      <c r="I27" s="512">
        <v>589.80975813953501</v>
      </c>
      <c r="J27" s="513">
        <f t="shared" si="1"/>
        <v>12.280028276900582</v>
      </c>
      <c r="K27" s="514">
        <f t="shared" si="114"/>
        <v>0</v>
      </c>
      <c r="L27" s="512"/>
      <c r="M27" s="513">
        <f t="shared" si="2"/>
        <v>0</v>
      </c>
      <c r="N27" s="514">
        <f t="shared" si="115"/>
        <v>0</v>
      </c>
      <c r="O27" s="512">
        <v>28.5</v>
      </c>
      <c r="P27" s="513">
        <f t="shared" si="3"/>
        <v>0.59337913803872577</v>
      </c>
      <c r="Q27" s="514">
        <f t="shared" si="116"/>
        <v>0</v>
      </c>
      <c r="R27" s="512">
        <v>7.6875000000000142</v>
      </c>
      <c r="S27" s="513">
        <f t="shared" si="4"/>
        <v>0.16005621486570923</v>
      </c>
      <c r="T27" s="514">
        <f t="shared" si="117"/>
        <v>0</v>
      </c>
      <c r="U27" s="512">
        <v>4.6875000000000284</v>
      </c>
      <c r="V27" s="513">
        <f t="shared" si="5"/>
        <v>9.7595252966896279E-2</v>
      </c>
      <c r="W27" s="514">
        <f t="shared" si="118"/>
        <v>0</v>
      </c>
      <c r="X27" s="512"/>
      <c r="Y27" s="513">
        <f t="shared" si="6"/>
        <v>0</v>
      </c>
      <c r="Z27" s="514">
        <f t="shared" si="119"/>
        <v>0</v>
      </c>
      <c r="AA27" s="512"/>
      <c r="AB27" s="513">
        <f t="shared" si="7"/>
        <v>0</v>
      </c>
      <c r="AC27" s="514">
        <f t="shared" si="120"/>
        <v>0</v>
      </c>
      <c r="AD27" s="512"/>
      <c r="AE27" s="513">
        <f t="shared" si="8"/>
        <v>0</v>
      </c>
      <c r="AF27" s="514">
        <f t="shared" si="121"/>
        <v>0</v>
      </c>
      <c r="AG27" s="512"/>
      <c r="AH27" s="513">
        <f t="shared" si="9"/>
        <v>0</v>
      </c>
      <c r="AI27" s="514">
        <f t="shared" si="122"/>
        <v>0</v>
      </c>
      <c r="AJ27" s="512"/>
      <c r="AK27" s="513">
        <f t="shared" si="10"/>
        <v>0</v>
      </c>
      <c r="AL27" s="514">
        <f t="shared" si="123"/>
        <v>0</v>
      </c>
      <c r="AM27" s="512"/>
      <c r="AN27" s="513">
        <f t="shared" si="11"/>
        <v>0</v>
      </c>
      <c r="AO27" s="514">
        <f t="shared" si="124"/>
        <v>0</v>
      </c>
      <c r="AP27" s="512">
        <v>46.141517948717905</v>
      </c>
      <c r="AQ27" s="513">
        <f t="shared" si="12"/>
        <v>0.96068119818275877</v>
      </c>
      <c r="AR27" s="514">
        <f t="shared" si="125"/>
        <v>0</v>
      </c>
      <c r="AS27" s="512"/>
      <c r="AT27" s="513">
        <f t="shared" si="13"/>
        <v>0</v>
      </c>
      <c r="AU27" s="514">
        <f t="shared" si="126"/>
        <v>0</v>
      </c>
      <c r="AV27" s="512">
        <v>9.7125000000000057</v>
      </c>
      <c r="AW27" s="513">
        <f t="shared" si="14"/>
        <v>0.20221736414740799</v>
      </c>
      <c r="AX27" s="514">
        <f t="shared" si="127"/>
        <v>0</v>
      </c>
      <c r="AY27" s="512">
        <v>30.726266666666618</v>
      </c>
      <c r="AZ27" s="513">
        <f t="shared" si="15"/>
        <v>0.63973072385314633</v>
      </c>
      <c r="BA27" s="514">
        <f t="shared" si="128"/>
        <v>0</v>
      </c>
      <c r="BB27" s="512"/>
      <c r="BC27" s="513">
        <f t="shared" si="16"/>
        <v>0</v>
      </c>
      <c r="BD27" s="514">
        <f t="shared" si="129"/>
        <v>0</v>
      </c>
      <c r="BE27" s="512"/>
      <c r="BF27" s="513">
        <f t="shared" si="17"/>
        <v>0</v>
      </c>
      <c r="BG27" s="514">
        <f t="shared" si="130"/>
        <v>0</v>
      </c>
      <c r="BH27" s="512"/>
      <c r="BI27" s="513">
        <f t="shared" si="18"/>
        <v>0</v>
      </c>
      <c r="BJ27" s="514">
        <f t="shared" si="131"/>
        <v>0</v>
      </c>
      <c r="BK27" s="512"/>
      <c r="BL27" s="513">
        <f t="shared" si="19"/>
        <v>0</v>
      </c>
      <c r="BM27" s="514">
        <f t="shared" si="132"/>
        <v>0</v>
      </c>
      <c r="BN27" s="512"/>
      <c r="BO27" s="513">
        <f t="shared" si="20"/>
        <v>0</v>
      </c>
      <c r="BP27" s="514">
        <f t="shared" si="133"/>
        <v>0</v>
      </c>
      <c r="BQ27" s="512"/>
      <c r="BR27" s="513">
        <f t="shared" si="21"/>
        <v>0</v>
      </c>
      <c r="BS27" s="514">
        <f t="shared" si="134"/>
        <v>0</v>
      </c>
      <c r="BT27" s="512"/>
      <c r="BU27" s="513">
        <f t="shared" si="22"/>
        <v>0</v>
      </c>
      <c r="BV27" s="514">
        <f t="shared" si="135"/>
        <v>0</v>
      </c>
      <c r="BW27" s="512"/>
      <c r="BX27" s="513">
        <f t="shared" si="23"/>
        <v>0</v>
      </c>
      <c r="BY27" s="514">
        <f t="shared" si="136"/>
        <v>0</v>
      </c>
      <c r="BZ27" s="512"/>
      <c r="CA27" s="513">
        <f t="shared" si="24"/>
        <v>0</v>
      </c>
      <c r="CB27" s="514">
        <f t="shared" si="137"/>
        <v>0</v>
      </c>
      <c r="CC27" s="512">
        <v>5</v>
      </c>
      <c r="CD27" s="513">
        <f t="shared" si="25"/>
        <v>0.10410160316468874</v>
      </c>
      <c r="CE27" s="514">
        <f t="shared" si="138"/>
        <v>0</v>
      </c>
      <c r="CF27" s="512">
        <v>8</v>
      </c>
      <c r="CG27" s="513">
        <f t="shared" si="26"/>
        <v>0.16656256506350198</v>
      </c>
      <c r="CH27" s="514">
        <f t="shared" si="139"/>
        <v>0</v>
      </c>
      <c r="CI27" s="512"/>
      <c r="CJ27" s="513">
        <f t="shared" si="27"/>
        <v>0</v>
      </c>
      <c r="CK27" s="514">
        <f t="shared" si="140"/>
        <v>0</v>
      </c>
      <c r="CL27" s="512"/>
      <c r="CM27" s="513">
        <f t="shared" si="28"/>
        <v>0</v>
      </c>
      <c r="CN27" s="514">
        <f t="shared" si="141"/>
        <v>0</v>
      </c>
      <c r="CO27" s="512"/>
      <c r="CP27" s="513">
        <f t="shared" si="29"/>
        <v>0</v>
      </c>
      <c r="CQ27" s="514">
        <f t="shared" si="142"/>
        <v>0</v>
      </c>
      <c r="CR27" s="512"/>
      <c r="CS27" s="513">
        <f t="shared" si="30"/>
        <v>0</v>
      </c>
      <c r="CT27" s="514">
        <f t="shared" si="143"/>
        <v>0</v>
      </c>
      <c r="CU27" s="512"/>
      <c r="CV27" s="513">
        <f t="shared" si="31"/>
        <v>0</v>
      </c>
      <c r="CW27" s="514">
        <f t="shared" si="144"/>
        <v>0</v>
      </c>
      <c r="CX27" s="512"/>
      <c r="CY27" s="513">
        <f t="shared" si="32"/>
        <v>0</v>
      </c>
      <c r="CZ27" s="514">
        <f t="shared" si="145"/>
        <v>0</v>
      </c>
      <c r="DA27" s="512"/>
      <c r="DB27" s="513">
        <f t="shared" si="33"/>
        <v>0</v>
      </c>
      <c r="DC27" s="514">
        <f t="shared" si="146"/>
        <v>0</v>
      </c>
      <c r="DD27" s="512"/>
      <c r="DE27" s="513">
        <f t="shared" si="34"/>
        <v>0</v>
      </c>
      <c r="DF27" s="514">
        <f t="shared" si="147"/>
        <v>0</v>
      </c>
      <c r="DG27" s="512"/>
      <c r="DH27" s="513">
        <f t="shared" si="35"/>
        <v>0</v>
      </c>
      <c r="DI27" s="514">
        <f t="shared" si="203"/>
        <v>0</v>
      </c>
      <c r="DJ27" s="512"/>
      <c r="DK27" s="513">
        <f t="shared" si="36"/>
        <v>0</v>
      </c>
      <c r="DL27" s="514">
        <f t="shared" si="148"/>
        <v>0</v>
      </c>
      <c r="DM27" s="512"/>
      <c r="DN27" s="513">
        <f t="shared" si="37"/>
        <v>0</v>
      </c>
      <c r="DO27" s="514">
        <f t="shared" si="149"/>
        <v>0</v>
      </c>
      <c r="DP27" s="512"/>
      <c r="DQ27" s="513">
        <f t="shared" si="38"/>
        <v>0</v>
      </c>
      <c r="DR27" s="514">
        <f t="shared" si="150"/>
        <v>0</v>
      </c>
      <c r="DS27" s="512"/>
      <c r="DT27" s="513">
        <f t="shared" si="39"/>
        <v>0</v>
      </c>
      <c r="DU27" s="514">
        <f t="shared" si="151"/>
        <v>0</v>
      </c>
      <c r="DV27" s="512"/>
      <c r="DW27" s="513">
        <f t="shared" si="40"/>
        <v>0</v>
      </c>
      <c r="DX27" s="514">
        <f t="shared" si="152"/>
        <v>0</v>
      </c>
      <c r="DY27" s="512"/>
      <c r="DZ27" s="513">
        <f t="shared" si="41"/>
        <v>0</v>
      </c>
      <c r="EA27" s="514">
        <f t="shared" si="153"/>
        <v>0</v>
      </c>
      <c r="EB27" s="512">
        <v>64.576470588235225</v>
      </c>
      <c r="EC27" s="513">
        <f t="shared" si="42"/>
        <v>1.3445028229905314</v>
      </c>
      <c r="ED27" s="514">
        <f t="shared" si="154"/>
        <v>0</v>
      </c>
      <c r="EE27" s="512">
        <v>14.534883720930225</v>
      </c>
      <c r="EF27" s="513">
        <f t="shared" si="43"/>
        <v>0.3026209394322345</v>
      </c>
      <c r="EG27" s="514">
        <f t="shared" si="155"/>
        <v>0</v>
      </c>
      <c r="EH27" s="512">
        <v>2</v>
      </c>
      <c r="EI27" s="513">
        <f t="shared" si="44"/>
        <v>4.1640641265875494E-2</v>
      </c>
      <c r="EJ27" s="514">
        <f t="shared" si="156"/>
        <v>0</v>
      </c>
      <c r="EK27" s="512"/>
      <c r="EL27" s="513">
        <f t="shared" si="45"/>
        <v>0</v>
      </c>
      <c r="EM27" s="514">
        <f t="shared" si="157"/>
        <v>0</v>
      </c>
      <c r="EN27" s="512"/>
      <c r="EO27" s="513">
        <f t="shared" si="46"/>
        <v>0</v>
      </c>
      <c r="EP27" s="514">
        <f t="shared" si="158"/>
        <v>0</v>
      </c>
      <c r="EQ27" s="512"/>
      <c r="ER27" s="513">
        <f t="shared" si="47"/>
        <v>0</v>
      </c>
      <c r="ES27" s="514">
        <f t="shared" si="159"/>
        <v>0</v>
      </c>
      <c r="ET27" s="512"/>
      <c r="EU27" s="513">
        <f t="shared" si="48"/>
        <v>0</v>
      </c>
      <c r="EV27" s="514">
        <f t="shared" si="160"/>
        <v>0</v>
      </c>
      <c r="EW27" s="512"/>
      <c r="EX27" s="513">
        <f t="shared" si="49"/>
        <v>0</v>
      </c>
      <c r="EY27" s="514">
        <f t="shared" si="161"/>
        <v>0</v>
      </c>
      <c r="EZ27" s="512"/>
      <c r="FA27" s="513">
        <f t="shared" si="50"/>
        <v>0</v>
      </c>
      <c r="FB27" s="514">
        <f t="shared" si="162"/>
        <v>0</v>
      </c>
      <c r="FC27" s="512"/>
      <c r="FD27" s="513">
        <f t="shared" si="51"/>
        <v>0</v>
      </c>
      <c r="FE27" s="514">
        <f t="shared" si="163"/>
        <v>0</v>
      </c>
      <c r="FF27" s="512"/>
      <c r="FG27" s="513">
        <f t="shared" si="52"/>
        <v>0</v>
      </c>
      <c r="FH27" s="514">
        <f t="shared" si="164"/>
        <v>0</v>
      </c>
      <c r="FI27" s="512"/>
      <c r="FJ27" s="513">
        <f t="shared" si="53"/>
        <v>0</v>
      </c>
      <c r="FK27" s="514">
        <f t="shared" si="165"/>
        <v>0</v>
      </c>
      <c r="FL27" s="512"/>
      <c r="FM27" s="513">
        <f t="shared" si="54"/>
        <v>0</v>
      </c>
      <c r="FN27" s="514">
        <f t="shared" si="166"/>
        <v>0</v>
      </c>
      <c r="FO27" s="512"/>
      <c r="FP27" s="513">
        <f t="shared" si="55"/>
        <v>0</v>
      </c>
      <c r="FQ27" s="514">
        <f t="shared" si="167"/>
        <v>0</v>
      </c>
      <c r="FR27" s="512"/>
      <c r="FS27" s="513">
        <f t="shared" si="56"/>
        <v>0</v>
      </c>
      <c r="FT27" s="514">
        <f t="shared" si="168"/>
        <v>0</v>
      </c>
      <c r="FU27" s="512"/>
      <c r="FV27" s="513">
        <f t="shared" si="57"/>
        <v>0</v>
      </c>
      <c r="FW27" s="514">
        <f t="shared" si="169"/>
        <v>0</v>
      </c>
      <c r="FX27" s="512"/>
      <c r="FY27" s="513">
        <f t="shared" si="58"/>
        <v>0</v>
      </c>
      <c r="FZ27" s="514">
        <f t="shared" si="170"/>
        <v>0</v>
      </c>
      <c r="GA27" s="512"/>
      <c r="GB27" s="513">
        <f t="shared" si="59"/>
        <v>0</v>
      </c>
      <c r="GC27" s="514">
        <f t="shared" si="171"/>
        <v>0</v>
      </c>
      <c r="GD27" s="512"/>
      <c r="GE27" s="513">
        <f t="shared" si="60"/>
        <v>0</v>
      </c>
      <c r="GF27" s="514">
        <f t="shared" si="172"/>
        <v>0</v>
      </c>
      <c r="GG27" s="512"/>
      <c r="GH27" s="513">
        <f t="shared" si="61"/>
        <v>0</v>
      </c>
      <c r="GI27" s="514">
        <f t="shared" si="173"/>
        <v>0</v>
      </c>
      <c r="GJ27" s="512"/>
      <c r="GK27" s="513">
        <f t="shared" si="62"/>
        <v>0</v>
      </c>
      <c r="GL27" s="514">
        <f t="shared" si="174"/>
        <v>0</v>
      </c>
      <c r="GM27" s="512"/>
      <c r="GN27" s="513">
        <f t="shared" si="63"/>
        <v>0</v>
      </c>
      <c r="GO27" s="514">
        <f t="shared" si="175"/>
        <v>0</v>
      </c>
      <c r="GP27" s="512"/>
      <c r="GQ27" s="513">
        <f t="shared" si="64"/>
        <v>0</v>
      </c>
      <c r="GR27" s="514">
        <f t="shared" si="176"/>
        <v>0</v>
      </c>
      <c r="GS27" s="512"/>
      <c r="GT27" s="513">
        <f t="shared" si="65"/>
        <v>0</v>
      </c>
      <c r="GU27" s="514">
        <f t="shared" si="177"/>
        <v>0</v>
      </c>
      <c r="GV27" s="512"/>
      <c r="GW27" s="513">
        <f t="shared" si="66"/>
        <v>0</v>
      </c>
      <c r="GX27" s="514">
        <f t="shared" si="178"/>
        <v>0</v>
      </c>
      <c r="GY27" s="512"/>
      <c r="GZ27" s="513">
        <f t="shared" si="67"/>
        <v>0</v>
      </c>
      <c r="HA27" s="514">
        <f t="shared" si="179"/>
        <v>0</v>
      </c>
      <c r="HB27" s="512"/>
      <c r="HC27" s="513">
        <f t="shared" si="68"/>
        <v>0</v>
      </c>
      <c r="HD27" s="514">
        <f t="shared" si="180"/>
        <v>0</v>
      </c>
      <c r="HE27" s="512"/>
      <c r="HF27" s="513">
        <f t="shared" si="69"/>
        <v>0</v>
      </c>
      <c r="HG27" s="514">
        <f t="shared" si="181"/>
        <v>0</v>
      </c>
      <c r="HH27" s="512"/>
      <c r="HI27" s="513">
        <f t="shared" si="70"/>
        <v>0</v>
      </c>
      <c r="HJ27" s="514">
        <f t="shared" si="182"/>
        <v>0</v>
      </c>
      <c r="HK27" s="512"/>
      <c r="HL27" s="513">
        <f t="shared" si="71"/>
        <v>0</v>
      </c>
      <c r="HM27" s="514">
        <f t="shared" si="183"/>
        <v>0</v>
      </c>
      <c r="HN27" s="512"/>
      <c r="HO27" s="513">
        <f t="shared" si="72"/>
        <v>0</v>
      </c>
      <c r="HP27" s="514">
        <f t="shared" si="184"/>
        <v>0</v>
      </c>
      <c r="HQ27" s="512"/>
      <c r="HR27" s="513">
        <f t="shared" si="73"/>
        <v>0</v>
      </c>
      <c r="HS27" s="514">
        <f t="shared" si="185"/>
        <v>0</v>
      </c>
      <c r="HT27" s="512"/>
      <c r="HU27" s="513">
        <f t="shared" si="74"/>
        <v>0</v>
      </c>
      <c r="HV27" s="514">
        <f t="shared" si="186"/>
        <v>0</v>
      </c>
      <c r="HW27" s="512"/>
      <c r="HX27" s="513">
        <f t="shared" si="75"/>
        <v>0</v>
      </c>
      <c r="HY27" s="514">
        <f t="shared" si="187"/>
        <v>0</v>
      </c>
      <c r="HZ27" s="512"/>
      <c r="IA27" s="513">
        <f t="shared" si="76"/>
        <v>0</v>
      </c>
      <c r="IB27" s="514">
        <f t="shared" si="188"/>
        <v>0</v>
      </c>
      <c r="IC27" s="512"/>
      <c r="ID27" s="513">
        <f t="shared" si="77"/>
        <v>0</v>
      </c>
      <c r="IE27" s="514">
        <f t="shared" si="189"/>
        <v>0</v>
      </c>
      <c r="IF27" s="512"/>
      <c r="IG27" s="513">
        <f t="shared" si="78"/>
        <v>0</v>
      </c>
      <c r="IH27" s="514">
        <f t="shared" si="190"/>
        <v>0</v>
      </c>
      <c r="II27" s="512"/>
      <c r="IJ27" s="513">
        <f t="shared" si="79"/>
        <v>0</v>
      </c>
      <c r="IK27" s="514">
        <f t="shared" si="191"/>
        <v>0</v>
      </c>
      <c r="IL27" s="512"/>
      <c r="IM27" s="513">
        <f t="shared" si="80"/>
        <v>0</v>
      </c>
      <c r="IN27" s="514">
        <f t="shared" si="192"/>
        <v>0</v>
      </c>
      <c r="IO27" s="512"/>
      <c r="IP27" s="513">
        <f t="shared" si="81"/>
        <v>0</v>
      </c>
      <c r="IQ27" s="514">
        <f t="shared" si="193"/>
        <v>0</v>
      </c>
      <c r="IR27" s="512"/>
      <c r="IS27" s="513">
        <f t="shared" si="82"/>
        <v>0</v>
      </c>
      <c r="IT27" s="514">
        <f t="shared" si="194"/>
        <v>0</v>
      </c>
      <c r="IU27" s="512"/>
      <c r="IV27" s="513">
        <f t="shared" si="83"/>
        <v>0</v>
      </c>
      <c r="IW27" s="514">
        <f t="shared" si="195"/>
        <v>0</v>
      </c>
      <c r="IX27" s="512"/>
      <c r="IY27" s="513">
        <f t="shared" si="84"/>
        <v>0</v>
      </c>
      <c r="IZ27" s="514">
        <f t="shared" si="196"/>
        <v>0</v>
      </c>
      <c r="JA27" s="512"/>
      <c r="JB27" s="513">
        <f t="shared" si="85"/>
        <v>0</v>
      </c>
      <c r="JC27" s="514">
        <f t="shared" si="197"/>
        <v>0</v>
      </c>
      <c r="JD27" s="512"/>
      <c r="JE27" s="513">
        <f t="shared" si="86"/>
        <v>0</v>
      </c>
      <c r="JF27" s="514">
        <f t="shared" si="198"/>
        <v>0</v>
      </c>
      <c r="JG27" s="512"/>
      <c r="JH27" s="513">
        <f t="shared" si="87"/>
        <v>0</v>
      </c>
      <c r="JI27" s="514">
        <f t="shared" si="199"/>
        <v>0</v>
      </c>
      <c r="JJ27" s="512"/>
      <c r="JK27" s="514" t="str">
        <f t="shared" si="88"/>
        <v>0</v>
      </c>
      <c r="JL27" s="514" t="str">
        <f t="shared" si="89"/>
        <v>0</v>
      </c>
      <c r="JM27" s="512"/>
      <c r="JN27" s="514" t="str">
        <f t="shared" si="90"/>
        <v>0</v>
      </c>
      <c r="JO27" s="514" t="str">
        <f t="shared" si="91"/>
        <v>0</v>
      </c>
      <c r="JP27" s="512"/>
      <c r="JQ27" s="514" t="str">
        <f t="shared" si="92"/>
        <v>0</v>
      </c>
      <c r="JR27" s="514" t="str">
        <f t="shared" si="93"/>
        <v>0</v>
      </c>
      <c r="JS27" s="512"/>
      <c r="JT27" s="514" t="str">
        <f t="shared" si="94"/>
        <v>0</v>
      </c>
      <c r="JU27" s="514" t="str">
        <f t="shared" si="95"/>
        <v>0</v>
      </c>
      <c r="JV27" s="512"/>
      <c r="JW27" s="514" t="str">
        <f t="shared" si="96"/>
        <v>0</v>
      </c>
      <c r="JX27" s="514" t="str">
        <f t="shared" si="97"/>
        <v>0</v>
      </c>
      <c r="JY27" s="512"/>
      <c r="JZ27" s="514" t="str">
        <f t="shared" si="98"/>
        <v>0</v>
      </c>
      <c r="KA27" s="514" t="str">
        <f t="shared" si="99"/>
        <v>0</v>
      </c>
      <c r="KB27" s="512"/>
      <c r="KC27" s="514" t="str">
        <f t="shared" si="100"/>
        <v>0</v>
      </c>
      <c r="KD27" s="514" t="str">
        <f t="shared" si="101"/>
        <v>0</v>
      </c>
      <c r="KE27" s="512"/>
      <c r="KF27" s="514" t="str">
        <f t="shared" si="102"/>
        <v>0</v>
      </c>
      <c r="KG27" s="514" t="str">
        <f t="shared" si="103"/>
        <v>0</v>
      </c>
      <c r="KH27" s="512"/>
      <c r="KI27" s="514" t="str">
        <f t="shared" si="104"/>
        <v>0</v>
      </c>
      <c r="KJ27" s="514" t="str">
        <f t="shared" si="105"/>
        <v>0</v>
      </c>
      <c r="KK27" s="512"/>
      <c r="KL27" s="514" t="str">
        <f t="shared" si="106"/>
        <v>0</v>
      </c>
      <c r="KM27" s="514" t="str">
        <f t="shared" si="107"/>
        <v>0</v>
      </c>
      <c r="KN27" s="512"/>
      <c r="KO27" s="514" t="str">
        <f t="shared" si="108"/>
        <v>0</v>
      </c>
      <c r="KP27" s="514" t="str">
        <f t="shared" si="109"/>
        <v>0</v>
      </c>
      <c r="KQ27" s="512"/>
      <c r="KR27" s="514" t="str">
        <f t="shared" si="110"/>
        <v>0</v>
      </c>
      <c r="KS27" s="514" t="str">
        <f t="shared" si="111"/>
        <v>0</v>
      </c>
      <c r="KT27" s="514">
        <f t="shared" si="201"/>
        <v>0</v>
      </c>
      <c r="KU27" s="514">
        <f t="shared" si="202"/>
        <v>0</v>
      </c>
      <c r="KV27" s="263">
        <f t="shared" si="204"/>
        <v>811.37639706408493</v>
      </c>
    </row>
    <row r="28" spans="1:308" ht="15" customHeight="1">
      <c r="A28" s="471">
        <f t="shared" si="200"/>
        <v>45949</v>
      </c>
      <c r="B28" s="472" t="str">
        <f>+Report1!B27</f>
        <v>Towel</v>
      </c>
      <c r="C28" s="473" t="str">
        <f>+Report1!C27</f>
        <v>18</v>
      </c>
      <c r="D28" s="474">
        <f>+Report1!P27</f>
        <v>48.748999999999995</v>
      </c>
      <c r="E28" s="475">
        <f>+Report1!R27</f>
        <v>45.658000000000001</v>
      </c>
      <c r="F28" s="512"/>
      <c r="G28" s="513">
        <f t="shared" si="0"/>
        <v>0</v>
      </c>
      <c r="H28" s="514">
        <f t="shared" si="113"/>
        <v>0</v>
      </c>
      <c r="I28" s="512">
        <v>619.49699999999984</v>
      </c>
      <c r="J28" s="513">
        <f t="shared" si="1"/>
        <v>13.568202724604665</v>
      </c>
      <c r="K28" s="514">
        <f t="shared" si="114"/>
        <v>0</v>
      </c>
      <c r="L28" s="512"/>
      <c r="M28" s="513">
        <f t="shared" si="2"/>
        <v>0</v>
      </c>
      <c r="N28" s="514">
        <f t="shared" si="115"/>
        <v>0</v>
      </c>
      <c r="O28" s="512">
        <v>28.5</v>
      </c>
      <c r="P28" s="513">
        <f t="shared" si="3"/>
        <v>0.62420605370362259</v>
      </c>
      <c r="Q28" s="514">
        <f t="shared" si="116"/>
        <v>0</v>
      </c>
      <c r="R28" s="512">
        <v>7.6875</v>
      </c>
      <c r="S28" s="513">
        <f t="shared" si="4"/>
        <v>0.16837136974900346</v>
      </c>
      <c r="T28" s="514">
        <f t="shared" si="117"/>
        <v>0</v>
      </c>
      <c r="U28" s="512">
        <v>6.25</v>
      </c>
      <c r="V28" s="513">
        <f t="shared" si="5"/>
        <v>0.13688729247886461</v>
      </c>
      <c r="W28" s="514">
        <f t="shared" si="118"/>
        <v>0</v>
      </c>
      <c r="X28" s="512"/>
      <c r="Y28" s="513">
        <f t="shared" si="6"/>
        <v>0</v>
      </c>
      <c r="Z28" s="514">
        <f t="shared" si="119"/>
        <v>0</v>
      </c>
      <c r="AA28" s="512"/>
      <c r="AB28" s="513">
        <f t="shared" si="7"/>
        <v>0</v>
      </c>
      <c r="AC28" s="514">
        <f t="shared" si="120"/>
        <v>0</v>
      </c>
      <c r="AD28" s="512"/>
      <c r="AE28" s="513">
        <f t="shared" si="8"/>
        <v>0</v>
      </c>
      <c r="AF28" s="514">
        <f t="shared" si="121"/>
        <v>0</v>
      </c>
      <c r="AG28" s="512"/>
      <c r="AH28" s="513">
        <f t="shared" si="9"/>
        <v>0</v>
      </c>
      <c r="AI28" s="514">
        <f t="shared" si="122"/>
        <v>0</v>
      </c>
      <c r="AJ28" s="512"/>
      <c r="AK28" s="513">
        <f t="shared" si="10"/>
        <v>0</v>
      </c>
      <c r="AL28" s="514">
        <f t="shared" si="123"/>
        <v>0</v>
      </c>
      <c r="AM28" s="512"/>
      <c r="AN28" s="513">
        <f t="shared" si="11"/>
        <v>0</v>
      </c>
      <c r="AO28" s="514">
        <f t="shared" si="124"/>
        <v>0</v>
      </c>
      <c r="AP28" s="512">
        <v>48.470999999999975</v>
      </c>
      <c r="AQ28" s="513">
        <f t="shared" si="12"/>
        <v>1.0616102325988868</v>
      </c>
      <c r="AR28" s="514">
        <f t="shared" si="125"/>
        <v>0</v>
      </c>
      <c r="AS28" s="512"/>
      <c r="AT28" s="513">
        <f t="shared" si="13"/>
        <v>0</v>
      </c>
      <c r="AU28" s="514">
        <f t="shared" si="126"/>
        <v>0</v>
      </c>
      <c r="AV28" s="512">
        <v>9.7124999999999915</v>
      </c>
      <c r="AW28" s="513">
        <f t="shared" si="14"/>
        <v>0.21272285251215539</v>
      </c>
      <c r="AX28" s="514">
        <f t="shared" si="127"/>
        <v>0</v>
      </c>
      <c r="AY28" s="512">
        <v>32.273600000000016</v>
      </c>
      <c r="AZ28" s="513">
        <f t="shared" si="15"/>
        <v>0.70685531560734183</v>
      </c>
      <c r="BA28" s="514">
        <f t="shared" si="128"/>
        <v>0</v>
      </c>
      <c r="BB28" s="512"/>
      <c r="BC28" s="513">
        <f t="shared" si="16"/>
        <v>0</v>
      </c>
      <c r="BD28" s="514">
        <f t="shared" si="129"/>
        <v>0</v>
      </c>
      <c r="BE28" s="512"/>
      <c r="BF28" s="513">
        <f t="shared" si="17"/>
        <v>0</v>
      </c>
      <c r="BG28" s="514">
        <f t="shared" si="130"/>
        <v>0</v>
      </c>
      <c r="BH28" s="512"/>
      <c r="BI28" s="513">
        <f t="shared" si="18"/>
        <v>0</v>
      </c>
      <c r="BJ28" s="514">
        <f t="shared" si="131"/>
        <v>0</v>
      </c>
      <c r="BK28" s="512"/>
      <c r="BL28" s="513">
        <f t="shared" si="19"/>
        <v>0</v>
      </c>
      <c r="BM28" s="514">
        <f t="shared" si="132"/>
        <v>0</v>
      </c>
      <c r="BN28" s="512"/>
      <c r="BO28" s="513">
        <f t="shared" si="20"/>
        <v>0</v>
      </c>
      <c r="BP28" s="514">
        <f t="shared" si="133"/>
        <v>0</v>
      </c>
      <c r="BQ28" s="512"/>
      <c r="BR28" s="513">
        <f t="shared" si="21"/>
        <v>0</v>
      </c>
      <c r="BS28" s="514">
        <f t="shared" si="134"/>
        <v>0</v>
      </c>
      <c r="BT28" s="512"/>
      <c r="BU28" s="513">
        <f t="shared" si="22"/>
        <v>0</v>
      </c>
      <c r="BV28" s="514">
        <f t="shared" si="135"/>
        <v>0</v>
      </c>
      <c r="BW28" s="512"/>
      <c r="BX28" s="513">
        <f t="shared" si="23"/>
        <v>0</v>
      </c>
      <c r="BY28" s="514">
        <f t="shared" si="136"/>
        <v>0</v>
      </c>
      <c r="BZ28" s="512"/>
      <c r="CA28" s="513">
        <f t="shared" si="24"/>
        <v>0</v>
      </c>
      <c r="CB28" s="514">
        <f t="shared" si="137"/>
        <v>0</v>
      </c>
      <c r="CC28" s="512">
        <v>5</v>
      </c>
      <c r="CD28" s="513">
        <f t="shared" si="25"/>
        <v>0.10950983398309168</v>
      </c>
      <c r="CE28" s="514">
        <f t="shared" si="138"/>
        <v>0</v>
      </c>
      <c r="CF28" s="512">
        <v>8</v>
      </c>
      <c r="CG28" s="513">
        <f t="shared" si="26"/>
        <v>0.17521573437294669</v>
      </c>
      <c r="CH28" s="514">
        <f t="shared" si="139"/>
        <v>0</v>
      </c>
      <c r="CI28" s="512"/>
      <c r="CJ28" s="513">
        <f t="shared" si="27"/>
        <v>0</v>
      </c>
      <c r="CK28" s="514">
        <f t="shared" si="140"/>
        <v>0</v>
      </c>
      <c r="CL28" s="512"/>
      <c r="CM28" s="513">
        <f t="shared" si="28"/>
        <v>0</v>
      </c>
      <c r="CN28" s="514">
        <f t="shared" si="141"/>
        <v>0</v>
      </c>
      <c r="CO28" s="512"/>
      <c r="CP28" s="513">
        <f t="shared" si="29"/>
        <v>0</v>
      </c>
      <c r="CQ28" s="514">
        <f t="shared" si="142"/>
        <v>0</v>
      </c>
      <c r="CR28" s="512"/>
      <c r="CS28" s="513">
        <f t="shared" si="30"/>
        <v>0</v>
      </c>
      <c r="CT28" s="514">
        <f t="shared" si="143"/>
        <v>0</v>
      </c>
      <c r="CU28" s="512"/>
      <c r="CV28" s="513">
        <f t="shared" si="31"/>
        <v>0</v>
      </c>
      <c r="CW28" s="514">
        <f t="shared" si="144"/>
        <v>0</v>
      </c>
      <c r="CX28" s="512"/>
      <c r="CY28" s="513">
        <f t="shared" si="32"/>
        <v>0</v>
      </c>
      <c r="CZ28" s="514">
        <f t="shared" si="145"/>
        <v>0</v>
      </c>
      <c r="DA28" s="512"/>
      <c r="DB28" s="513">
        <f t="shared" si="33"/>
        <v>0</v>
      </c>
      <c r="DC28" s="514">
        <f t="shared" si="146"/>
        <v>0</v>
      </c>
      <c r="DD28" s="512"/>
      <c r="DE28" s="513">
        <f t="shared" si="34"/>
        <v>0</v>
      </c>
      <c r="DF28" s="514">
        <f t="shared" si="147"/>
        <v>0</v>
      </c>
      <c r="DG28" s="512"/>
      <c r="DH28" s="513">
        <f t="shared" si="35"/>
        <v>0</v>
      </c>
      <c r="DI28" s="514">
        <f t="shared" si="203"/>
        <v>0</v>
      </c>
      <c r="DJ28" s="512"/>
      <c r="DK28" s="513">
        <f t="shared" si="36"/>
        <v>0</v>
      </c>
      <c r="DL28" s="514">
        <f t="shared" si="148"/>
        <v>0</v>
      </c>
      <c r="DM28" s="512"/>
      <c r="DN28" s="513">
        <f t="shared" si="37"/>
        <v>0</v>
      </c>
      <c r="DO28" s="514">
        <f t="shared" si="149"/>
        <v>0</v>
      </c>
      <c r="DP28" s="512"/>
      <c r="DQ28" s="513">
        <f t="shared" si="38"/>
        <v>0</v>
      </c>
      <c r="DR28" s="514">
        <f t="shared" si="150"/>
        <v>0</v>
      </c>
      <c r="DS28" s="512"/>
      <c r="DT28" s="513">
        <f t="shared" si="39"/>
        <v>0</v>
      </c>
      <c r="DU28" s="514">
        <f t="shared" si="151"/>
        <v>0</v>
      </c>
      <c r="DV28" s="512"/>
      <c r="DW28" s="513">
        <f t="shared" si="40"/>
        <v>0</v>
      </c>
      <c r="DX28" s="514">
        <f t="shared" si="152"/>
        <v>0</v>
      </c>
      <c r="DY28" s="512"/>
      <c r="DZ28" s="513">
        <f t="shared" si="41"/>
        <v>0</v>
      </c>
      <c r="EA28" s="514">
        <f t="shared" si="153"/>
        <v>0</v>
      </c>
      <c r="EB28" s="512">
        <v>64.576470588235225</v>
      </c>
      <c r="EC28" s="513">
        <f t="shared" si="42"/>
        <v>1.4143517146663285</v>
      </c>
      <c r="ED28" s="514">
        <f t="shared" si="154"/>
        <v>0</v>
      </c>
      <c r="EE28" s="512">
        <v>14.534883720930225</v>
      </c>
      <c r="EF28" s="513">
        <f t="shared" si="43"/>
        <v>0.31834254064852213</v>
      </c>
      <c r="EG28" s="514">
        <f t="shared" si="155"/>
        <v>0</v>
      </c>
      <c r="EH28" s="512">
        <v>2</v>
      </c>
      <c r="EI28" s="513">
        <f t="shared" si="44"/>
        <v>4.3803933593236671E-2</v>
      </c>
      <c r="EJ28" s="514">
        <f t="shared" si="156"/>
        <v>0</v>
      </c>
      <c r="EK28" s="512"/>
      <c r="EL28" s="513">
        <f t="shared" si="45"/>
        <v>0</v>
      </c>
      <c r="EM28" s="514">
        <f t="shared" si="157"/>
        <v>0</v>
      </c>
      <c r="EN28" s="512"/>
      <c r="EO28" s="513">
        <f t="shared" si="46"/>
        <v>0</v>
      </c>
      <c r="EP28" s="514">
        <f t="shared" si="158"/>
        <v>0</v>
      </c>
      <c r="EQ28" s="512"/>
      <c r="ER28" s="513">
        <f t="shared" si="47"/>
        <v>0</v>
      </c>
      <c r="ES28" s="514">
        <f t="shared" si="159"/>
        <v>0</v>
      </c>
      <c r="ET28" s="512"/>
      <c r="EU28" s="513">
        <f t="shared" si="48"/>
        <v>0</v>
      </c>
      <c r="EV28" s="514">
        <f t="shared" si="160"/>
        <v>0</v>
      </c>
      <c r="EW28" s="512"/>
      <c r="EX28" s="513">
        <f t="shared" si="49"/>
        <v>0</v>
      </c>
      <c r="EY28" s="514">
        <f t="shared" si="161"/>
        <v>0</v>
      </c>
      <c r="EZ28" s="512"/>
      <c r="FA28" s="513">
        <f t="shared" si="50"/>
        <v>0</v>
      </c>
      <c r="FB28" s="514">
        <f t="shared" si="162"/>
        <v>0</v>
      </c>
      <c r="FC28" s="512"/>
      <c r="FD28" s="513">
        <f t="shared" si="51"/>
        <v>0</v>
      </c>
      <c r="FE28" s="514">
        <f t="shared" si="163"/>
        <v>0</v>
      </c>
      <c r="FF28" s="512"/>
      <c r="FG28" s="513">
        <f t="shared" si="52"/>
        <v>0</v>
      </c>
      <c r="FH28" s="514">
        <f t="shared" si="164"/>
        <v>0</v>
      </c>
      <c r="FI28" s="512"/>
      <c r="FJ28" s="513">
        <f t="shared" si="53"/>
        <v>0</v>
      </c>
      <c r="FK28" s="514">
        <f t="shared" si="165"/>
        <v>0</v>
      </c>
      <c r="FL28" s="512"/>
      <c r="FM28" s="513">
        <f t="shared" si="54"/>
        <v>0</v>
      </c>
      <c r="FN28" s="514">
        <f t="shared" si="166"/>
        <v>0</v>
      </c>
      <c r="FO28" s="512"/>
      <c r="FP28" s="513">
        <f t="shared" si="55"/>
        <v>0</v>
      </c>
      <c r="FQ28" s="514">
        <f t="shared" si="167"/>
        <v>0</v>
      </c>
      <c r="FR28" s="512"/>
      <c r="FS28" s="513">
        <f t="shared" si="56"/>
        <v>0</v>
      </c>
      <c r="FT28" s="514">
        <f t="shared" si="168"/>
        <v>0</v>
      </c>
      <c r="FU28" s="512"/>
      <c r="FV28" s="513">
        <f t="shared" si="57"/>
        <v>0</v>
      </c>
      <c r="FW28" s="514">
        <f t="shared" si="169"/>
        <v>0</v>
      </c>
      <c r="FX28" s="512"/>
      <c r="FY28" s="513">
        <f t="shared" si="58"/>
        <v>0</v>
      </c>
      <c r="FZ28" s="514">
        <f t="shared" si="170"/>
        <v>0</v>
      </c>
      <c r="GA28" s="512"/>
      <c r="GB28" s="513">
        <f t="shared" si="59"/>
        <v>0</v>
      </c>
      <c r="GC28" s="514">
        <f t="shared" si="171"/>
        <v>0</v>
      </c>
      <c r="GD28" s="512"/>
      <c r="GE28" s="513">
        <f t="shared" si="60"/>
        <v>0</v>
      </c>
      <c r="GF28" s="514">
        <f t="shared" si="172"/>
        <v>0</v>
      </c>
      <c r="GG28" s="512"/>
      <c r="GH28" s="513">
        <f t="shared" si="61"/>
        <v>0</v>
      </c>
      <c r="GI28" s="514">
        <f t="shared" si="173"/>
        <v>0</v>
      </c>
      <c r="GJ28" s="512"/>
      <c r="GK28" s="513">
        <f t="shared" si="62"/>
        <v>0</v>
      </c>
      <c r="GL28" s="514">
        <f t="shared" si="174"/>
        <v>0</v>
      </c>
      <c r="GM28" s="512"/>
      <c r="GN28" s="513">
        <f t="shared" si="63"/>
        <v>0</v>
      </c>
      <c r="GO28" s="514">
        <f t="shared" si="175"/>
        <v>0</v>
      </c>
      <c r="GP28" s="512"/>
      <c r="GQ28" s="513">
        <f t="shared" si="64"/>
        <v>0</v>
      </c>
      <c r="GR28" s="514">
        <f t="shared" si="176"/>
        <v>0</v>
      </c>
      <c r="GS28" s="512"/>
      <c r="GT28" s="513">
        <f t="shared" si="65"/>
        <v>0</v>
      </c>
      <c r="GU28" s="514">
        <f t="shared" si="177"/>
        <v>0</v>
      </c>
      <c r="GV28" s="512"/>
      <c r="GW28" s="513">
        <f t="shared" si="66"/>
        <v>0</v>
      </c>
      <c r="GX28" s="514">
        <f t="shared" si="178"/>
        <v>0</v>
      </c>
      <c r="GY28" s="512"/>
      <c r="GZ28" s="513">
        <f t="shared" si="67"/>
        <v>0</v>
      </c>
      <c r="HA28" s="514">
        <f t="shared" si="179"/>
        <v>0</v>
      </c>
      <c r="HB28" s="512"/>
      <c r="HC28" s="513">
        <f t="shared" si="68"/>
        <v>0</v>
      </c>
      <c r="HD28" s="514">
        <f t="shared" si="180"/>
        <v>0</v>
      </c>
      <c r="HE28" s="512"/>
      <c r="HF28" s="513">
        <f t="shared" si="69"/>
        <v>0</v>
      </c>
      <c r="HG28" s="514">
        <f t="shared" si="181"/>
        <v>0</v>
      </c>
      <c r="HH28" s="512"/>
      <c r="HI28" s="513">
        <f t="shared" si="70"/>
        <v>0</v>
      </c>
      <c r="HJ28" s="514">
        <f t="shared" si="182"/>
        <v>0</v>
      </c>
      <c r="HK28" s="512"/>
      <c r="HL28" s="513">
        <f t="shared" si="71"/>
        <v>0</v>
      </c>
      <c r="HM28" s="514">
        <f t="shared" si="183"/>
        <v>0</v>
      </c>
      <c r="HN28" s="512"/>
      <c r="HO28" s="513">
        <f t="shared" si="72"/>
        <v>0</v>
      </c>
      <c r="HP28" s="514">
        <f t="shared" si="184"/>
        <v>0</v>
      </c>
      <c r="HQ28" s="512"/>
      <c r="HR28" s="513">
        <f t="shared" si="73"/>
        <v>0</v>
      </c>
      <c r="HS28" s="514">
        <f t="shared" si="185"/>
        <v>0</v>
      </c>
      <c r="HT28" s="512"/>
      <c r="HU28" s="513">
        <f t="shared" si="74"/>
        <v>0</v>
      </c>
      <c r="HV28" s="514">
        <f t="shared" si="186"/>
        <v>0</v>
      </c>
      <c r="HW28" s="512"/>
      <c r="HX28" s="513">
        <f t="shared" si="75"/>
        <v>0</v>
      </c>
      <c r="HY28" s="514">
        <f t="shared" si="187"/>
        <v>0</v>
      </c>
      <c r="HZ28" s="512"/>
      <c r="IA28" s="513">
        <f t="shared" si="76"/>
        <v>0</v>
      </c>
      <c r="IB28" s="514">
        <f t="shared" si="188"/>
        <v>0</v>
      </c>
      <c r="IC28" s="512"/>
      <c r="ID28" s="513">
        <f t="shared" si="77"/>
        <v>0</v>
      </c>
      <c r="IE28" s="514">
        <f t="shared" si="189"/>
        <v>0</v>
      </c>
      <c r="IF28" s="512"/>
      <c r="IG28" s="513">
        <f t="shared" si="78"/>
        <v>0</v>
      </c>
      <c r="IH28" s="514">
        <f t="shared" si="190"/>
        <v>0</v>
      </c>
      <c r="II28" s="512"/>
      <c r="IJ28" s="513">
        <f t="shared" si="79"/>
        <v>0</v>
      </c>
      <c r="IK28" s="514">
        <f t="shared" si="191"/>
        <v>0</v>
      </c>
      <c r="IL28" s="512"/>
      <c r="IM28" s="513">
        <f t="shared" si="80"/>
        <v>0</v>
      </c>
      <c r="IN28" s="514">
        <f t="shared" si="192"/>
        <v>0</v>
      </c>
      <c r="IO28" s="512"/>
      <c r="IP28" s="513">
        <f t="shared" si="81"/>
        <v>0</v>
      </c>
      <c r="IQ28" s="514">
        <f t="shared" si="193"/>
        <v>0</v>
      </c>
      <c r="IR28" s="512"/>
      <c r="IS28" s="513">
        <f t="shared" si="82"/>
        <v>0</v>
      </c>
      <c r="IT28" s="514">
        <f t="shared" si="194"/>
        <v>0</v>
      </c>
      <c r="IU28" s="512"/>
      <c r="IV28" s="513">
        <f t="shared" si="83"/>
        <v>0</v>
      </c>
      <c r="IW28" s="514">
        <f t="shared" si="195"/>
        <v>0</v>
      </c>
      <c r="IX28" s="512"/>
      <c r="IY28" s="513">
        <f t="shared" si="84"/>
        <v>0</v>
      </c>
      <c r="IZ28" s="514">
        <f t="shared" si="196"/>
        <v>0</v>
      </c>
      <c r="JA28" s="512"/>
      <c r="JB28" s="513">
        <f t="shared" si="85"/>
        <v>0</v>
      </c>
      <c r="JC28" s="514">
        <f t="shared" si="197"/>
        <v>0</v>
      </c>
      <c r="JD28" s="512"/>
      <c r="JE28" s="513">
        <f t="shared" si="86"/>
        <v>0</v>
      </c>
      <c r="JF28" s="514">
        <f t="shared" si="198"/>
        <v>0</v>
      </c>
      <c r="JG28" s="512"/>
      <c r="JH28" s="513">
        <f t="shared" si="87"/>
        <v>0</v>
      </c>
      <c r="JI28" s="514">
        <f t="shared" si="199"/>
        <v>0</v>
      </c>
      <c r="JJ28" s="512"/>
      <c r="JK28" s="514" t="str">
        <f t="shared" si="88"/>
        <v>0</v>
      </c>
      <c r="JL28" s="514" t="str">
        <f t="shared" si="89"/>
        <v>0</v>
      </c>
      <c r="JM28" s="512"/>
      <c r="JN28" s="514" t="str">
        <f t="shared" si="90"/>
        <v>0</v>
      </c>
      <c r="JO28" s="514" t="str">
        <f t="shared" si="91"/>
        <v>0</v>
      </c>
      <c r="JP28" s="512"/>
      <c r="JQ28" s="514" t="str">
        <f t="shared" si="92"/>
        <v>0</v>
      </c>
      <c r="JR28" s="514" t="str">
        <f t="shared" si="93"/>
        <v>0</v>
      </c>
      <c r="JS28" s="512"/>
      <c r="JT28" s="514" t="str">
        <f t="shared" si="94"/>
        <v>0</v>
      </c>
      <c r="JU28" s="514" t="str">
        <f t="shared" si="95"/>
        <v>0</v>
      </c>
      <c r="JV28" s="512"/>
      <c r="JW28" s="514" t="str">
        <f t="shared" si="96"/>
        <v>0</v>
      </c>
      <c r="JX28" s="514" t="str">
        <f t="shared" si="97"/>
        <v>0</v>
      </c>
      <c r="JY28" s="512"/>
      <c r="JZ28" s="514" t="str">
        <f t="shared" si="98"/>
        <v>0</v>
      </c>
      <c r="KA28" s="514" t="str">
        <f t="shared" si="99"/>
        <v>0</v>
      </c>
      <c r="KB28" s="512"/>
      <c r="KC28" s="514" t="str">
        <f t="shared" si="100"/>
        <v>0</v>
      </c>
      <c r="KD28" s="514" t="str">
        <f t="shared" si="101"/>
        <v>0</v>
      </c>
      <c r="KE28" s="512"/>
      <c r="KF28" s="514" t="str">
        <f t="shared" si="102"/>
        <v>0</v>
      </c>
      <c r="KG28" s="514" t="str">
        <f t="shared" si="103"/>
        <v>0</v>
      </c>
      <c r="KH28" s="512"/>
      <c r="KI28" s="514" t="str">
        <f t="shared" si="104"/>
        <v>0</v>
      </c>
      <c r="KJ28" s="514" t="str">
        <f t="shared" si="105"/>
        <v>0</v>
      </c>
      <c r="KK28" s="512"/>
      <c r="KL28" s="514" t="str">
        <f t="shared" si="106"/>
        <v>0</v>
      </c>
      <c r="KM28" s="514" t="str">
        <f t="shared" si="107"/>
        <v>0</v>
      </c>
      <c r="KN28" s="512"/>
      <c r="KO28" s="514" t="str">
        <f t="shared" si="108"/>
        <v>0</v>
      </c>
      <c r="KP28" s="514" t="str">
        <f t="shared" si="109"/>
        <v>0</v>
      </c>
      <c r="KQ28" s="512"/>
      <c r="KR28" s="514" t="str">
        <f t="shared" si="110"/>
        <v>0</v>
      </c>
      <c r="KS28" s="514" t="str">
        <f t="shared" si="111"/>
        <v>0</v>
      </c>
      <c r="KT28" s="514">
        <f t="shared" si="201"/>
        <v>0</v>
      </c>
      <c r="KU28" s="514">
        <f t="shared" si="202"/>
        <v>0</v>
      </c>
      <c r="KV28" s="263">
        <f t="shared" si="204"/>
        <v>846.50295430916526</v>
      </c>
    </row>
    <row r="29" spans="1:308" ht="15" customHeight="1">
      <c r="A29" s="471">
        <f t="shared" si="200"/>
        <v>45950</v>
      </c>
      <c r="B29" s="472" t="str">
        <f>+Report1!B28</f>
        <v>Towel</v>
      </c>
      <c r="C29" s="473" t="str">
        <f>+Report1!C28</f>
        <v>18</v>
      </c>
      <c r="D29" s="474">
        <f>+Report1!P28</f>
        <v>49.451000000000008</v>
      </c>
      <c r="E29" s="475">
        <f>+Report1!R28</f>
        <v>48.939</v>
      </c>
      <c r="F29" s="512"/>
      <c r="G29" s="513">
        <f t="shared" si="0"/>
        <v>0</v>
      </c>
      <c r="H29" s="514">
        <f t="shared" si="113"/>
        <v>0</v>
      </c>
      <c r="I29" s="512">
        <v>581.39091627906964</v>
      </c>
      <c r="J29" s="513">
        <f t="shared" si="1"/>
        <v>11.879910016123533</v>
      </c>
      <c r="K29" s="514">
        <f t="shared" si="114"/>
        <v>0</v>
      </c>
      <c r="L29" s="512"/>
      <c r="M29" s="513">
        <f t="shared" si="2"/>
        <v>0</v>
      </c>
      <c r="N29" s="514">
        <f t="shared" si="115"/>
        <v>0</v>
      </c>
      <c r="O29" s="512">
        <v>21.000000000000028</v>
      </c>
      <c r="P29" s="513">
        <f t="shared" si="3"/>
        <v>0.42910562128363938</v>
      </c>
      <c r="Q29" s="514">
        <f t="shared" si="116"/>
        <v>0</v>
      </c>
      <c r="R29" s="512">
        <v>5.125</v>
      </c>
      <c r="S29" s="513">
        <f t="shared" si="4"/>
        <v>0.10472220519422137</v>
      </c>
      <c r="T29" s="514">
        <f t="shared" si="117"/>
        <v>0</v>
      </c>
      <c r="U29" s="512">
        <v>6.25</v>
      </c>
      <c r="V29" s="513">
        <f t="shared" si="5"/>
        <v>0.12771000633441631</v>
      </c>
      <c r="W29" s="514">
        <f t="shared" si="118"/>
        <v>0</v>
      </c>
      <c r="X29" s="512"/>
      <c r="Y29" s="513">
        <f t="shared" si="6"/>
        <v>0</v>
      </c>
      <c r="Z29" s="514">
        <f t="shared" si="119"/>
        <v>0</v>
      </c>
      <c r="AA29" s="512"/>
      <c r="AB29" s="513">
        <f t="shared" si="7"/>
        <v>0</v>
      </c>
      <c r="AC29" s="514">
        <f t="shared" si="120"/>
        <v>0</v>
      </c>
      <c r="AD29" s="512"/>
      <c r="AE29" s="513">
        <f t="shared" si="8"/>
        <v>0</v>
      </c>
      <c r="AF29" s="514">
        <f t="shared" si="121"/>
        <v>0</v>
      </c>
      <c r="AG29" s="512"/>
      <c r="AH29" s="513">
        <f t="shared" si="9"/>
        <v>0</v>
      </c>
      <c r="AI29" s="514">
        <f t="shared" si="122"/>
        <v>0</v>
      </c>
      <c r="AJ29" s="512"/>
      <c r="AK29" s="513">
        <f t="shared" si="10"/>
        <v>0</v>
      </c>
      <c r="AL29" s="514">
        <f t="shared" si="123"/>
        <v>0</v>
      </c>
      <c r="AM29" s="512"/>
      <c r="AN29" s="513">
        <f t="shared" si="11"/>
        <v>0</v>
      </c>
      <c r="AO29" s="514">
        <f t="shared" si="124"/>
        <v>0</v>
      </c>
      <c r="AP29" s="512">
        <v>42.054148717948749</v>
      </c>
      <c r="AQ29" s="513">
        <f t="shared" si="12"/>
        <v>0.85931769586523532</v>
      </c>
      <c r="AR29" s="514">
        <f t="shared" si="125"/>
        <v>0</v>
      </c>
      <c r="AS29" s="512"/>
      <c r="AT29" s="513">
        <f t="shared" si="13"/>
        <v>0</v>
      </c>
      <c r="AU29" s="514">
        <f t="shared" si="126"/>
        <v>0</v>
      </c>
      <c r="AV29" s="512">
        <v>8.3250000000000028</v>
      </c>
      <c r="AW29" s="513">
        <f t="shared" si="14"/>
        <v>0.1701097284374426</v>
      </c>
      <c r="AX29" s="514">
        <f t="shared" si="127"/>
        <v>0</v>
      </c>
      <c r="AY29" s="512">
        <v>28.000133333333338</v>
      </c>
      <c r="AZ29" s="513">
        <f t="shared" si="15"/>
        <v>0.5721435528583203</v>
      </c>
      <c r="BA29" s="514">
        <f t="shared" si="128"/>
        <v>0</v>
      </c>
      <c r="BB29" s="512"/>
      <c r="BC29" s="513">
        <f t="shared" si="16"/>
        <v>0</v>
      </c>
      <c r="BD29" s="514">
        <f t="shared" si="129"/>
        <v>0</v>
      </c>
      <c r="BE29" s="512"/>
      <c r="BF29" s="513">
        <f t="shared" si="17"/>
        <v>0</v>
      </c>
      <c r="BG29" s="514">
        <f t="shared" si="130"/>
        <v>0</v>
      </c>
      <c r="BH29" s="512"/>
      <c r="BI29" s="513">
        <f t="shared" si="18"/>
        <v>0</v>
      </c>
      <c r="BJ29" s="514">
        <f t="shared" si="131"/>
        <v>0</v>
      </c>
      <c r="BK29" s="512"/>
      <c r="BL29" s="513">
        <f t="shared" si="19"/>
        <v>0</v>
      </c>
      <c r="BM29" s="514">
        <f t="shared" si="132"/>
        <v>0</v>
      </c>
      <c r="BN29" s="512"/>
      <c r="BO29" s="513">
        <f t="shared" si="20"/>
        <v>0</v>
      </c>
      <c r="BP29" s="514">
        <f t="shared" si="133"/>
        <v>0</v>
      </c>
      <c r="BQ29" s="512"/>
      <c r="BR29" s="513">
        <f t="shared" si="21"/>
        <v>0</v>
      </c>
      <c r="BS29" s="514">
        <f t="shared" si="134"/>
        <v>0</v>
      </c>
      <c r="BT29" s="512"/>
      <c r="BU29" s="513">
        <f t="shared" si="22"/>
        <v>0</v>
      </c>
      <c r="BV29" s="514">
        <f t="shared" si="135"/>
        <v>0</v>
      </c>
      <c r="BW29" s="512"/>
      <c r="BX29" s="513">
        <f t="shared" si="23"/>
        <v>0</v>
      </c>
      <c r="BY29" s="514">
        <f t="shared" si="136"/>
        <v>0</v>
      </c>
      <c r="BZ29" s="512"/>
      <c r="CA29" s="513">
        <f t="shared" si="24"/>
        <v>0</v>
      </c>
      <c r="CB29" s="514">
        <f t="shared" si="137"/>
        <v>0</v>
      </c>
      <c r="CC29" s="512">
        <v>10</v>
      </c>
      <c r="CD29" s="513">
        <f t="shared" si="25"/>
        <v>0.20433601013506611</v>
      </c>
      <c r="CE29" s="514">
        <f t="shared" si="138"/>
        <v>0</v>
      </c>
      <c r="CF29" s="512">
        <v>8</v>
      </c>
      <c r="CG29" s="513">
        <f t="shared" si="26"/>
        <v>0.16346880810805289</v>
      </c>
      <c r="CH29" s="514">
        <f t="shared" si="139"/>
        <v>0</v>
      </c>
      <c r="CI29" s="512"/>
      <c r="CJ29" s="513">
        <f t="shared" si="27"/>
        <v>0</v>
      </c>
      <c r="CK29" s="514">
        <f t="shared" si="140"/>
        <v>0</v>
      </c>
      <c r="CL29" s="512"/>
      <c r="CM29" s="513">
        <f t="shared" si="28"/>
        <v>0</v>
      </c>
      <c r="CN29" s="514">
        <f t="shared" si="141"/>
        <v>0</v>
      </c>
      <c r="CO29" s="512"/>
      <c r="CP29" s="513">
        <f t="shared" si="29"/>
        <v>0</v>
      </c>
      <c r="CQ29" s="514">
        <f t="shared" si="142"/>
        <v>0</v>
      </c>
      <c r="CR29" s="512"/>
      <c r="CS29" s="513">
        <f t="shared" si="30"/>
        <v>0</v>
      </c>
      <c r="CT29" s="514">
        <f t="shared" si="143"/>
        <v>0</v>
      </c>
      <c r="CU29" s="512"/>
      <c r="CV29" s="513">
        <f t="shared" si="31"/>
        <v>0</v>
      </c>
      <c r="CW29" s="514">
        <f t="shared" si="144"/>
        <v>0</v>
      </c>
      <c r="CX29" s="512"/>
      <c r="CY29" s="513">
        <f t="shared" si="32"/>
        <v>0</v>
      </c>
      <c r="CZ29" s="514">
        <f t="shared" si="145"/>
        <v>0</v>
      </c>
      <c r="DA29" s="512"/>
      <c r="DB29" s="513">
        <f t="shared" si="33"/>
        <v>0</v>
      </c>
      <c r="DC29" s="514">
        <f t="shared" si="146"/>
        <v>0</v>
      </c>
      <c r="DD29" s="512"/>
      <c r="DE29" s="513">
        <f t="shared" si="34"/>
        <v>0</v>
      </c>
      <c r="DF29" s="514">
        <f t="shared" si="147"/>
        <v>0</v>
      </c>
      <c r="DG29" s="512"/>
      <c r="DH29" s="513">
        <f t="shared" si="35"/>
        <v>0</v>
      </c>
      <c r="DI29" s="514">
        <f t="shared" si="203"/>
        <v>0</v>
      </c>
      <c r="DJ29" s="512"/>
      <c r="DK29" s="513">
        <f t="shared" si="36"/>
        <v>0</v>
      </c>
      <c r="DL29" s="514">
        <f t="shared" si="148"/>
        <v>0</v>
      </c>
      <c r="DM29" s="512"/>
      <c r="DN29" s="513">
        <f t="shared" si="37"/>
        <v>0</v>
      </c>
      <c r="DO29" s="514">
        <f t="shared" si="149"/>
        <v>0</v>
      </c>
      <c r="DP29" s="512"/>
      <c r="DQ29" s="513">
        <f t="shared" si="38"/>
        <v>0</v>
      </c>
      <c r="DR29" s="514">
        <f t="shared" si="150"/>
        <v>0</v>
      </c>
      <c r="DS29" s="512"/>
      <c r="DT29" s="513">
        <f t="shared" si="39"/>
        <v>0</v>
      </c>
      <c r="DU29" s="514">
        <f t="shared" si="151"/>
        <v>0</v>
      </c>
      <c r="DV29" s="512"/>
      <c r="DW29" s="513">
        <f t="shared" si="40"/>
        <v>0</v>
      </c>
      <c r="DX29" s="514">
        <f t="shared" si="152"/>
        <v>0</v>
      </c>
      <c r="DY29" s="512"/>
      <c r="DZ29" s="513">
        <f t="shared" si="41"/>
        <v>0</v>
      </c>
      <c r="EA29" s="514">
        <f t="shared" si="153"/>
        <v>0</v>
      </c>
      <c r="EB29" s="512">
        <v>82.188235294117703</v>
      </c>
      <c r="EC29" s="513">
        <f t="shared" si="42"/>
        <v>1.6794016080042034</v>
      </c>
      <c r="ED29" s="514">
        <f t="shared" si="154"/>
        <v>0</v>
      </c>
      <c r="EE29" s="512">
        <v>14.534883720930225</v>
      </c>
      <c r="EF29" s="513">
        <f t="shared" si="43"/>
        <v>0.29700001473120058</v>
      </c>
      <c r="EG29" s="514">
        <f t="shared" si="155"/>
        <v>0</v>
      </c>
      <c r="EH29" s="512">
        <v>2</v>
      </c>
      <c r="EI29" s="513">
        <f t="shared" si="44"/>
        <v>4.0867202027013223E-2</v>
      </c>
      <c r="EJ29" s="514">
        <f t="shared" si="156"/>
        <v>0</v>
      </c>
      <c r="EK29" s="512"/>
      <c r="EL29" s="513">
        <f t="shared" si="45"/>
        <v>0</v>
      </c>
      <c r="EM29" s="514">
        <f t="shared" si="157"/>
        <v>0</v>
      </c>
      <c r="EN29" s="512"/>
      <c r="EO29" s="513">
        <f t="shared" si="46"/>
        <v>0</v>
      </c>
      <c r="EP29" s="514">
        <f t="shared" si="158"/>
        <v>0</v>
      </c>
      <c r="EQ29" s="512"/>
      <c r="ER29" s="513">
        <f t="shared" si="47"/>
        <v>0</v>
      </c>
      <c r="ES29" s="514">
        <f t="shared" si="159"/>
        <v>0</v>
      </c>
      <c r="ET29" s="512"/>
      <c r="EU29" s="513">
        <f t="shared" si="48"/>
        <v>0</v>
      </c>
      <c r="EV29" s="514">
        <f t="shared" si="160"/>
        <v>0</v>
      </c>
      <c r="EW29" s="512"/>
      <c r="EX29" s="513">
        <f t="shared" si="49"/>
        <v>0</v>
      </c>
      <c r="EY29" s="514">
        <f t="shared" si="161"/>
        <v>0</v>
      </c>
      <c r="EZ29" s="512"/>
      <c r="FA29" s="513">
        <f t="shared" si="50"/>
        <v>0</v>
      </c>
      <c r="FB29" s="514">
        <f t="shared" si="162"/>
        <v>0</v>
      </c>
      <c r="FC29" s="512"/>
      <c r="FD29" s="513">
        <f t="shared" si="51"/>
        <v>0</v>
      </c>
      <c r="FE29" s="514">
        <f t="shared" si="163"/>
        <v>0</v>
      </c>
      <c r="FF29" s="512"/>
      <c r="FG29" s="513">
        <f t="shared" si="52"/>
        <v>0</v>
      </c>
      <c r="FH29" s="514">
        <f t="shared" si="164"/>
        <v>0</v>
      </c>
      <c r="FI29" s="512"/>
      <c r="FJ29" s="513">
        <f t="shared" si="53"/>
        <v>0</v>
      </c>
      <c r="FK29" s="514">
        <f t="shared" si="165"/>
        <v>0</v>
      </c>
      <c r="FL29" s="512"/>
      <c r="FM29" s="513">
        <f t="shared" si="54"/>
        <v>0</v>
      </c>
      <c r="FN29" s="514">
        <f t="shared" si="166"/>
        <v>0</v>
      </c>
      <c r="FO29" s="512"/>
      <c r="FP29" s="513">
        <f t="shared" si="55"/>
        <v>0</v>
      </c>
      <c r="FQ29" s="514">
        <f t="shared" si="167"/>
        <v>0</v>
      </c>
      <c r="FR29" s="512"/>
      <c r="FS29" s="513">
        <f t="shared" si="56"/>
        <v>0</v>
      </c>
      <c r="FT29" s="514">
        <f t="shared" si="168"/>
        <v>0</v>
      </c>
      <c r="FU29" s="512"/>
      <c r="FV29" s="513">
        <f t="shared" si="57"/>
        <v>0</v>
      </c>
      <c r="FW29" s="514">
        <f t="shared" si="169"/>
        <v>0</v>
      </c>
      <c r="FX29" s="512"/>
      <c r="FY29" s="513">
        <f t="shared" si="58"/>
        <v>0</v>
      </c>
      <c r="FZ29" s="514">
        <f t="shared" si="170"/>
        <v>0</v>
      </c>
      <c r="GA29" s="512"/>
      <c r="GB29" s="513">
        <f t="shared" si="59"/>
        <v>0</v>
      </c>
      <c r="GC29" s="514">
        <f t="shared" si="171"/>
        <v>0</v>
      </c>
      <c r="GD29" s="512"/>
      <c r="GE29" s="513">
        <f t="shared" si="60"/>
        <v>0</v>
      </c>
      <c r="GF29" s="514">
        <f t="shared" si="172"/>
        <v>0</v>
      </c>
      <c r="GG29" s="512"/>
      <c r="GH29" s="513">
        <f t="shared" si="61"/>
        <v>0</v>
      </c>
      <c r="GI29" s="514">
        <f t="shared" si="173"/>
        <v>0</v>
      </c>
      <c r="GJ29" s="512"/>
      <c r="GK29" s="513">
        <f t="shared" si="62"/>
        <v>0</v>
      </c>
      <c r="GL29" s="514">
        <f t="shared" si="174"/>
        <v>0</v>
      </c>
      <c r="GM29" s="512"/>
      <c r="GN29" s="513">
        <f t="shared" si="63"/>
        <v>0</v>
      </c>
      <c r="GO29" s="514">
        <f t="shared" si="175"/>
        <v>0</v>
      </c>
      <c r="GP29" s="512"/>
      <c r="GQ29" s="513">
        <f t="shared" si="64"/>
        <v>0</v>
      </c>
      <c r="GR29" s="514">
        <f t="shared" si="176"/>
        <v>0</v>
      </c>
      <c r="GS29" s="512"/>
      <c r="GT29" s="513">
        <f t="shared" si="65"/>
        <v>0</v>
      </c>
      <c r="GU29" s="514">
        <f t="shared" si="177"/>
        <v>0</v>
      </c>
      <c r="GV29" s="512"/>
      <c r="GW29" s="513">
        <f t="shared" si="66"/>
        <v>0</v>
      </c>
      <c r="GX29" s="514">
        <f t="shared" si="178"/>
        <v>0</v>
      </c>
      <c r="GY29" s="512"/>
      <c r="GZ29" s="513">
        <f t="shared" si="67"/>
        <v>0</v>
      </c>
      <c r="HA29" s="514">
        <f t="shared" si="179"/>
        <v>0</v>
      </c>
      <c r="HB29" s="512"/>
      <c r="HC29" s="513">
        <f t="shared" si="68"/>
        <v>0</v>
      </c>
      <c r="HD29" s="514">
        <f t="shared" si="180"/>
        <v>0</v>
      </c>
      <c r="HE29" s="512"/>
      <c r="HF29" s="513">
        <f t="shared" si="69"/>
        <v>0</v>
      </c>
      <c r="HG29" s="514">
        <f t="shared" si="181"/>
        <v>0</v>
      </c>
      <c r="HH29" s="512"/>
      <c r="HI29" s="513">
        <f t="shared" si="70"/>
        <v>0</v>
      </c>
      <c r="HJ29" s="514">
        <f t="shared" si="182"/>
        <v>0</v>
      </c>
      <c r="HK29" s="512"/>
      <c r="HL29" s="513">
        <f t="shared" si="71"/>
        <v>0</v>
      </c>
      <c r="HM29" s="514">
        <f t="shared" si="183"/>
        <v>0</v>
      </c>
      <c r="HN29" s="512"/>
      <c r="HO29" s="513">
        <f t="shared" si="72"/>
        <v>0</v>
      </c>
      <c r="HP29" s="514">
        <f t="shared" si="184"/>
        <v>0</v>
      </c>
      <c r="HQ29" s="512"/>
      <c r="HR29" s="513">
        <f t="shared" si="73"/>
        <v>0</v>
      </c>
      <c r="HS29" s="514">
        <f t="shared" si="185"/>
        <v>0</v>
      </c>
      <c r="HT29" s="512"/>
      <c r="HU29" s="513">
        <f t="shared" si="74"/>
        <v>0</v>
      </c>
      <c r="HV29" s="514">
        <f t="shared" si="186"/>
        <v>0</v>
      </c>
      <c r="HW29" s="512"/>
      <c r="HX29" s="513">
        <f t="shared" si="75"/>
        <v>0</v>
      </c>
      <c r="HY29" s="514">
        <f t="shared" si="187"/>
        <v>0</v>
      </c>
      <c r="HZ29" s="512"/>
      <c r="IA29" s="513">
        <f t="shared" si="76"/>
        <v>0</v>
      </c>
      <c r="IB29" s="514">
        <f t="shared" si="188"/>
        <v>0</v>
      </c>
      <c r="IC29" s="512"/>
      <c r="ID29" s="513">
        <f t="shared" si="77"/>
        <v>0</v>
      </c>
      <c r="IE29" s="514">
        <f t="shared" si="189"/>
        <v>0</v>
      </c>
      <c r="IF29" s="512"/>
      <c r="IG29" s="513">
        <f t="shared" si="78"/>
        <v>0</v>
      </c>
      <c r="IH29" s="514">
        <f t="shared" si="190"/>
        <v>0</v>
      </c>
      <c r="II29" s="512"/>
      <c r="IJ29" s="513">
        <f t="shared" si="79"/>
        <v>0</v>
      </c>
      <c r="IK29" s="514">
        <f t="shared" si="191"/>
        <v>0</v>
      </c>
      <c r="IL29" s="512"/>
      <c r="IM29" s="513">
        <f t="shared" si="80"/>
        <v>0</v>
      </c>
      <c r="IN29" s="514">
        <f t="shared" si="192"/>
        <v>0</v>
      </c>
      <c r="IO29" s="512"/>
      <c r="IP29" s="513">
        <f t="shared" si="81"/>
        <v>0</v>
      </c>
      <c r="IQ29" s="514">
        <f t="shared" si="193"/>
        <v>0</v>
      </c>
      <c r="IR29" s="512"/>
      <c r="IS29" s="513">
        <f t="shared" si="82"/>
        <v>0</v>
      </c>
      <c r="IT29" s="514">
        <f t="shared" si="194"/>
        <v>0</v>
      </c>
      <c r="IU29" s="512"/>
      <c r="IV29" s="513">
        <f t="shared" si="83"/>
        <v>0</v>
      </c>
      <c r="IW29" s="514">
        <f t="shared" si="195"/>
        <v>0</v>
      </c>
      <c r="IX29" s="512"/>
      <c r="IY29" s="513">
        <f t="shared" si="84"/>
        <v>0</v>
      </c>
      <c r="IZ29" s="514">
        <f t="shared" si="196"/>
        <v>0</v>
      </c>
      <c r="JA29" s="512"/>
      <c r="JB29" s="513">
        <f t="shared" si="85"/>
        <v>0</v>
      </c>
      <c r="JC29" s="514">
        <f t="shared" si="197"/>
        <v>0</v>
      </c>
      <c r="JD29" s="512"/>
      <c r="JE29" s="513">
        <f t="shared" si="86"/>
        <v>0</v>
      </c>
      <c r="JF29" s="514">
        <f t="shared" si="198"/>
        <v>0</v>
      </c>
      <c r="JG29" s="512"/>
      <c r="JH29" s="513">
        <f t="shared" si="87"/>
        <v>0</v>
      </c>
      <c r="JI29" s="514">
        <f t="shared" si="199"/>
        <v>0</v>
      </c>
      <c r="JJ29" s="512"/>
      <c r="JK29" s="514" t="str">
        <f t="shared" si="88"/>
        <v>0</v>
      </c>
      <c r="JL29" s="514" t="str">
        <f t="shared" si="89"/>
        <v>0</v>
      </c>
      <c r="JM29" s="512"/>
      <c r="JN29" s="514" t="str">
        <f t="shared" si="90"/>
        <v>0</v>
      </c>
      <c r="JO29" s="514" t="str">
        <f t="shared" si="91"/>
        <v>0</v>
      </c>
      <c r="JP29" s="512"/>
      <c r="JQ29" s="514" t="str">
        <f t="shared" si="92"/>
        <v>0</v>
      </c>
      <c r="JR29" s="514" t="str">
        <f t="shared" si="93"/>
        <v>0</v>
      </c>
      <c r="JS29" s="512"/>
      <c r="JT29" s="514" t="str">
        <f t="shared" si="94"/>
        <v>0</v>
      </c>
      <c r="JU29" s="514" t="str">
        <f t="shared" si="95"/>
        <v>0</v>
      </c>
      <c r="JV29" s="512"/>
      <c r="JW29" s="514" t="str">
        <f t="shared" si="96"/>
        <v>0</v>
      </c>
      <c r="JX29" s="514" t="str">
        <f t="shared" si="97"/>
        <v>0</v>
      </c>
      <c r="JY29" s="512"/>
      <c r="JZ29" s="514" t="str">
        <f t="shared" si="98"/>
        <v>0</v>
      </c>
      <c r="KA29" s="514" t="str">
        <f t="shared" si="99"/>
        <v>0</v>
      </c>
      <c r="KB29" s="512"/>
      <c r="KC29" s="514" t="str">
        <f t="shared" si="100"/>
        <v>0</v>
      </c>
      <c r="KD29" s="514" t="str">
        <f t="shared" si="101"/>
        <v>0</v>
      </c>
      <c r="KE29" s="512"/>
      <c r="KF29" s="514" t="str">
        <f t="shared" si="102"/>
        <v>0</v>
      </c>
      <c r="KG29" s="514" t="str">
        <f t="shared" si="103"/>
        <v>0</v>
      </c>
      <c r="KH29" s="512"/>
      <c r="KI29" s="514" t="str">
        <f t="shared" si="104"/>
        <v>0</v>
      </c>
      <c r="KJ29" s="514" t="str">
        <f t="shared" si="105"/>
        <v>0</v>
      </c>
      <c r="KK29" s="512"/>
      <c r="KL29" s="514" t="str">
        <f t="shared" si="106"/>
        <v>0</v>
      </c>
      <c r="KM29" s="514" t="str">
        <f t="shared" si="107"/>
        <v>0</v>
      </c>
      <c r="KN29" s="512"/>
      <c r="KO29" s="514" t="str">
        <f t="shared" si="108"/>
        <v>0</v>
      </c>
      <c r="KP29" s="514" t="str">
        <f t="shared" si="109"/>
        <v>0</v>
      </c>
      <c r="KQ29" s="512"/>
      <c r="KR29" s="514" t="str">
        <f t="shared" si="110"/>
        <v>0</v>
      </c>
      <c r="KS29" s="514" t="str">
        <f t="shared" si="111"/>
        <v>0</v>
      </c>
      <c r="KT29" s="514">
        <f t="shared" si="201"/>
        <v>0</v>
      </c>
      <c r="KU29" s="514">
        <f t="shared" si="202"/>
        <v>0</v>
      </c>
      <c r="KV29" s="263">
        <f t="shared" si="204"/>
        <v>808.86831734539965</v>
      </c>
    </row>
    <row r="30" spans="1:308" ht="15" customHeight="1">
      <c r="A30" s="471">
        <f t="shared" si="200"/>
        <v>45951</v>
      </c>
      <c r="B30" s="472" t="str">
        <f>+Report1!B29</f>
        <v>Towel/Facial/Toilet</v>
      </c>
      <c r="C30" s="473" t="str">
        <f>+Report1!C29</f>
        <v>18/15/12</v>
      </c>
      <c r="D30" s="474">
        <f>+Report1!P29</f>
        <v>40.53</v>
      </c>
      <c r="E30" s="475">
        <f>+Report1!R29</f>
        <v>38.347000000000001</v>
      </c>
      <c r="F30" s="512"/>
      <c r="G30" s="513">
        <f t="shared" si="0"/>
        <v>0</v>
      </c>
      <c r="H30" s="514">
        <f t="shared" si="113"/>
        <v>0</v>
      </c>
      <c r="I30" s="512">
        <v>69.767441860465169</v>
      </c>
      <c r="J30" s="513">
        <f t="shared" si="1"/>
        <v>1.8193715769281864</v>
      </c>
      <c r="K30" s="514">
        <f t="shared" si="114"/>
        <v>0</v>
      </c>
      <c r="L30" s="512"/>
      <c r="M30" s="513">
        <f t="shared" si="2"/>
        <v>0</v>
      </c>
      <c r="N30" s="514">
        <f t="shared" si="115"/>
        <v>0</v>
      </c>
      <c r="O30" s="512">
        <v>26.999999999999972</v>
      </c>
      <c r="P30" s="513">
        <f t="shared" si="3"/>
        <v>0.70409680027120691</v>
      </c>
      <c r="Q30" s="514">
        <f t="shared" si="116"/>
        <v>0</v>
      </c>
      <c r="R30" s="512">
        <v>10.249999999999986</v>
      </c>
      <c r="S30" s="513">
        <f t="shared" si="4"/>
        <v>0.26729600751036547</v>
      </c>
      <c r="T30" s="514">
        <f t="shared" si="117"/>
        <v>0</v>
      </c>
      <c r="U30" s="512">
        <v>6.25</v>
      </c>
      <c r="V30" s="513">
        <f t="shared" si="5"/>
        <v>0.16298537043314992</v>
      </c>
      <c r="W30" s="514">
        <f t="shared" si="118"/>
        <v>0</v>
      </c>
      <c r="X30" s="512"/>
      <c r="Y30" s="513">
        <f t="shared" si="6"/>
        <v>0</v>
      </c>
      <c r="Z30" s="514">
        <f t="shared" si="119"/>
        <v>0</v>
      </c>
      <c r="AA30" s="512"/>
      <c r="AB30" s="513">
        <f t="shared" si="7"/>
        <v>0</v>
      </c>
      <c r="AC30" s="514">
        <f t="shared" si="120"/>
        <v>0</v>
      </c>
      <c r="AD30" s="512"/>
      <c r="AE30" s="513">
        <f t="shared" si="8"/>
        <v>0</v>
      </c>
      <c r="AF30" s="514">
        <f t="shared" si="121"/>
        <v>0</v>
      </c>
      <c r="AG30" s="512"/>
      <c r="AH30" s="513">
        <f t="shared" si="9"/>
        <v>0</v>
      </c>
      <c r="AI30" s="514">
        <f t="shared" si="122"/>
        <v>0</v>
      </c>
      <c r="AJ30" s="512"/>
      <c r="AK30" s="513">
        <f t="shared" si="10"/>
        <v>0</v>
      </c>
      <c r="AL30" s="514">
        <f t="shared" si="123"/>
        <v>0</v>
      </c>
      <c r="AM30" s="512"/>
      <c r="AN30" s="513">
        <f t="shared" si="11"/>
        <v>0</v>
      </c>
      <c r="AO30" s="514">
        <f t="shared" si="124"/>
        <v>0</v>
      </c>
      <c r="AP30" s="512">
        <v>39.42307692307692</v>
      </c>
      <c r="AQ30" s="513">
        <f t="shared" si="12"/>
        <v>1.0280615673475608</v>
      </c>
      <c r="AR30" s="514">
        <f t="shared" si="125"/>
        <v>0</v>
      </c>
      <c r="AS30" s="512"/>
      <c r="AT30" s="513">
        <f t="shared" si="13"/>
        <v>0</v>
      </c>
      <c r="AU30" s="514">
        <f t="shared" si="126"/>
        <v>0</v>
      </c>
      <c r="AV30" s="512">
        <v>11.099999999999909</v>
      </c>
      <c r="AW30" s="513">
        <f t="shared" si="14"/>
        <v>0.28946201788927189</v>
      </c>
      <c r="AX30" s="514">
        <f t="shared" si="127"/>
        <v>0</v>
      </c>
      <c r="AY30" s="512">
        <v>44.333333333333329</v>
      </c>
      <c r="AZ30" s="513">
        <f t="shared" si="15"/>
        <v>1.1561095609391432</v>
      </c>
      <c r="BA30" s="514">
        <f t="shared" si="128"/>
        <v>0</v>
      </c>
      <c r="BB30" s="512"/>
      <c r="BC30" s="513">
        <f t="shared" si="16"/>
        <v>0</v>
      </c>
      <c r="BD30" s="514">
        <f t="shared" si="129"/>
        <v>0</v>
      </c>
      <c r="BE30" s="512"/>
      <c r="BF30" s="513">
        <f t="shared" si="17"/>
        <v>0</v>
      </c>
      <c r="BG30" s="514">
        <f t="shared" si="130"/>
        <v>0</v>
      </c>
      <c r="BH30" s="512"/>
      <c r="BI30" s="513">
        <f t="shared" si="18"/>
        <v>0</v>
      </c>
      <c r="BJ30" s="514">
        <f t="shared" si="131"/>
        <v>0</v>
      </c>
      <c r="BK30" s="512"/>
      <c r="BL30" s="513">
        <f t="shared" si="19"/>
        <v>0</v>
      </c>
      <c r="BM30" s="514">
        <f t="shared" si="132"/>
        <v>0</v>
      </c>
      <c r="BN30" s="512"/>
      <c r="BO30" s="513">
        <f t="shared" si="20"/>
        <v>0</v>
      </c>
      <c r="BP30" s="514">
        <f t="shared" si="133"/>
        <v>0</v>
      </c>
      <c r="BQ30" s="512">
        <v>10.26</v>
      </c>
      <c r="BR30" s="513">
        <f t="shared" si="21"/>
        <v>0.26755678410305889</v>
      </c>
      <c r="BS30" s="514">
        <f t="shared" si="134"/>
        <v>0</v>
      </c>
      <c r="BT30" s="512"/>
      <c r="BU30" s="513">
        <f t="shared" si="22"/>
        <v>0</v>
      </c>
      <c r="BV30" s="514">
        <f t="shared" si="135"/>
        <v>0</v>
      </c>
      <c r="BW30" s="512"/>
      <c r="BX30" s="513">
        <f t="shared" si="23"/>
        <v>0</v>
      </c>
      <c r="BY30" s="514">
        <f t="shared" si="136"/>
        <v>0</v>
      </c>
      <c r="BZ30" s="512"/>
      <c r="CA30" s="513">
        <f t="shared" si="24"/>
        <v>0</v>
      </c>
      <c r="CB30" s="514">
        <f t="shared" si="137"/>
        <v>0</v>
      </c>
      <c r="CC30" s="512"/>
      <c r="CD30" s="513">
        <f t="shared" si="25"/>
        <v>0</v>
      </c>
      <c r="CE30" s="514">
        <f t="shared" si="138"/>
        <v>0</v>
      </c>
      <c r="CF30" s="512">
        <v>8</v>
      </c>
      <c r="CG30" s="513">
        <f t="shared" si="26"/>
        <v>0.20862127415443188</v>
      </c>
      <c r="CH30" s="514">
        <f t="shared" si="139"/>
        <v>0</v>
      </c>
      <c r="CI30" s="512"/>
      <c r="CJ30" s="513">
        <f t="shared" si="27"/>
        <v>0</v>
      </c>
      <c r="CK30" s="514">
        <f t="shared" si="140"/>
        <v>0</v>
      </c>
      <c r="CL30" s="512"/>
      <c r="CM30" s="513">
        <f t="shared" si="28"/>
        <v>0</v>
      </c>
      <c r="CN30" s="514">
        <f t="shared" si="141"/>
        <v>0</v>
      </c>
      <c r="CO30" s="512"/>
      <c r="CP30" s="513">
        <f t="shared" si="29"/>
        <v>0</v>
      </c>
      <c r="CQ30" s="514">
        <f t="shared" si="142"/>
        <v>0</v>
      </c>
      <c r="CR30" s="512"/>
      <c r="CS30" s="513">
        <f t="shared" si="30"/>
        <v>0</v>
      </c>
      <c r="CT30" s="514">
        <f t="shared" si="143"/>
        <v>0</v>
      </c>
      <c r="CU30" s="512"/>
      <c r="CV30" s="513">
        <f t="shared" si="31"/>
        <v>0</v>
      </c>
      <c r="CW30" s="514">
        <f t="shared" si="144"/>
        <v>0</v>
      </c>
      <c r="CX30" s="512"/>
      <c r="CY30" s="513">
        <f t="shared" si="32"/>
        <v>0</v>
      </c>
      <c r="CZ30" s="514">
        <f t="shared" si="145"/>
        <v>0</v>
      </c>
      <c r="DA30" s="512">
        <v>116.28</v>
      </c>
      <c r="DB30" s="513">
        <f t="shared" si="33"/>
        <v>3.0323102198346676</v>
      </c>
      <c r="DC30" s="514">
        <f t="shared" si="146"/>
        <v>0</v>
      </c>
      <c r="DD30" s="512"/>
      <c r="DE30" s="513">
        <f t="shared" si="34"/>
        <v>0</v>
      </c>
      <c r="DF30" s="514">
        <f t="shared" si="147"/>
        <v>0</v>
      </c>
      <c r="DG30" s="512"/>
      <c r="DH30" s="513">
        <f t="shared" si="35"/>
        <v>0</v>
      </c>
      <c r="DI30" s="514">
        <f t="shared" si="203"/>
        <v>0</v>
      </c>
      <c r="DJ30" s="512"/>
      <c r="DK30" s="513">
        <f t="shared" si="36"/>
        <v>0</v>
      </c>
      <c r="DL30" s="514">
        <f t="shared" si="148"/>
        <v>0</v>
      </c>
      <c r="DM30" s="512"/>
      <c r="DN30" s="513">
        <f t="shared" si="37"/>
        <v>0</v>
      </c>
      <c r="DO30" s="514">
        <f t="shared" si="149"/>
        <v>0</v>
      </c>
      <c r="DP30" s="512"/>
      <c r="DQ30" s="513">
        <f t="shared" si="38"/>
        <v>0</v>
      </c>
      <c r="DR30" s="514">
        <f t="shared" si="150"/>
        <v>0</v>
      </c>
      <c r="DS30" s="512"/>
      <c r="DT30" s="513">
        <f t="shared" si="39"/>
        <v>0</v>
      </c>
      <c r="DU30" s="514">
        <f t="shared" si="151"/>
        <v>0</v>
      </c>
      <c r="DV30" s="512"/>
      <c r="DW30" s="513">
        <f t="shared" si="40"/>
        <v>0</v>
      </c>
      <c r="DX30" s="514">
        <f t="shared" si="152"/>
        <v>0</v>
      </c>
      <c r="DY30" s="512"/>
      <c r="DZ30" s="513">
        <f t="shared" si="41"/>
        <v>0</v>
      </c>
      <c r="EA30" s="514">
        <f t="shared" si="153"/>
        <v>0</v>
      </c>
      <c r="EB30" s="512">
        <v>58.705882352941103</v>
      </c>
      <c r="EC30" s="513">
        <f t="shared" si="42"/>
        <v>1.5309119971038438</v>
      </c>
      <c r="ED30" s="514">
        <f t="shared" si="154"/>
        <v>0</v>
      </c>
      <c r="EE30" s="512">
        <v>14.534883720930225</v>
      </c>
      <c r="EF30" s="513">
        <f t="shared" si="43"/>
        <v>0.37903574519337169</v>
      </c>
      <c r="EG30" s="514">
        <f t="shared" si="155"/>
        <v>0</v>
      </c>
      <c r="EH30" s="512">
        <v>2</v>
      </c>
      <c r="EI30" s="513">
        <f t="shared" si="44"/>
        <v>5.215531853860797E-2</v>
      </c>
      <c r="EJ30" s="514">
        <f t="shared" si="156"/>
        <v>0</v>
      </c>
      <c r="EK30" s="512"/>
      <c r="EL30" s="513">
        <f t="shared" si="45"/>
        <v>0</v>
      </c>
      <c r="EM30" s="514">
        <f t="shared" si="157"/>
        <v>0</v>
      </c>
      <c r="EN30" s="512"/>
      <c r="EO30" s="513">
        <f t="shared" si="46"/>
        <v>0</v>
      </c>
      <c r="EP30" s="514">
        <f t="shared" si="158"/>
        <v>0</v>
      </c>
      <c r="EQ30" s="512"/>
      <c r="ER30" s="513">
        <f t="shared" si="47"/>
        <v>0</v>
      </c>
      <c r="ES30" s="514">
        <f t="shared" si="159"/>
        <v>0</v>
      </c>
      <c r="ET30" s="512"/>
      <c r="EU30" s="513">
        <f t="shared" si="48"/>
        <v>0</v>
      </c>
      <c r="EV30" s="514">
        <f t="shared" si="160"/>
        <v>0</v>
      </c>
      <c r="EW30" s="512"/>
      <c r="EX30" s="513">
        <f t="shared" si="49"/>
        <v>0</v>
      </c>
      <c r="EY30" s="514">
        <f t="shared" si="161"/>
        <v>0</v>
      </c>
      <c r="EZ30" s="512"/>
      <c r="FA30" s="513">
        <f t="shared" si="50"/>
        <v>0</v>
      </c>
      <c r="FB30" s="514">
        <f t="shared" si="162"/>
        <v>0</v>
      </c>
      <c r="FC30" s="512"/>
      <c r="FD30" s="513">
        <f t="shared" si="51"/>
        <v>0</v>
      </c>
      <c r="FE30" s="514">
        <f t="shared" si="163"/>
        <v>0</v>
      </c>
      <c r="FF30" s="512"/>
      <c r="FG30" s="513">
        <f t="shared" si="52"/>
        <v>0</v>
      </c>
      <c r="FH30" s="514">
        <f t="shared" si="164"/>
        <v>0</v>
      </c>
      <c r="FI30" s="512"/>
      <c r="FJ30" s="513">
        <f t="shared" si="53"/>
        <v>0</v>
      </c>
      <c r="FK30" s="514">
        <f t="shared" si="165"/>
        <v>0</v>
      </c>
      <c r="FL30" s="512"/>
      <c r="FM30" s="513">
        <f t="shared" si="54"/>
        <v>0</v>
      </c>
      <c r="FN30" s="514">
        <f t="shared" si="166"/>
        <v>0</v>
      </c>
      <c r="FO30" s="512"/>
      <c r="FP30" s="513">
        <f t="shared" si="55"/>
        <v>0</v>
      </c>
      <c r="FQ30" s="514">
        <f t="shared" si="167"/>
        <v>0</v>
      </c>
      <c r="FR30" s="512"/>
      <c r="FS30" s="513">
        <f t="shared" si="56"/>
        <v>0</v>
      </c>
      <c r="FT30" s="514">
        <f t="shared" si="168"/>
        <v>0</v>
      </c>
      <c r="FU30" s="512"/>
      <c r="FV30" s="513">
        <f t="shared" si="57"/>
        <v>0</v>
      </c>
      <c r="FW30" s="514">
        <f t="shared" si="169"/>
        <v>0</v>
      </c>
      <c r="FX30" s="512"/>
      <c r="FY30" s="513">
        <f t="shared" si="58"/>
        <v>0</v>
      </c>
      <c r="FZ30" s="514">
        <f t="shared" si="170"/>
        <v>0</v>
      </c>
      <c r="GA30" s="512"/>
      <c r="GB30" s="513">
        <f t="shared" si="59"/>
        <v>0</v>
      </c>
      <c r="GC30" s="514">
        <f t="shared" si="171"/>
        <v>0</v>
      </c>
      <c r="GD30" s="512"/>
      <c r="GE30" s="513">
        <f t="shared" si="60"/>
        <v>0</v>
      </c>
      <c r="GF30" s="514">
        <f t="shared" si="172"/>
        <v>0</v>
      </c>
      <c r="GG30" s="512"/>
      <c r="GH30" s="513">
        <f t="shared" si="61"/>
        <v>0</v>
      </c>
      <c r="GI30" s="514">
        <f t="shared" si="173"/>
        <v>0</v>
      </c>
      <c r="GJ30" s="512"/>
      <c r="GK30" s="513">
        <f t="shared" si="62"/>
        <v>0</v>
      </c>
      <c r="GL30" s="514">
        <f t="shared" si="174"/>
        <v>0</v>
      </c>
      <c r="GM30" s="512"/>
      <c r="GN30" s="513">
        <f t="shared" si="63"/>
        <v>0</v>
      </c>
      <c r="GO30" s="514">
        <f t="shared" si="175"/>
        <v>0</v>
      </c>
      <c r="GP30" s="512"/>
      <c r="GQ30" s="513">
        <f t="shared" si="64"/>
        <v>0</v>
      </c>
      <c r="GR30" s="514">
        <f t="shared" si="176"/>
        <v>0</v>
      </c>
      <c r="GS30" s="512"/>
      <c r="GT30" s="513">
        <f t="shared" si="65"/>
        <v>0</v>
      </c>
      <c r="GU30" s="514">
        <f t="shared" si="177"/>
        <v>0</v>
      </c>
      <c r="GV30" s="512"/>
      <c r="GW30" s="513">
        <f t="shared" si="66"/>
        <v>0</v>
      </c>
      <c r="GX30" s="514">
        <f t="shared" si="178"/>
        <v>0</v>
      </c>
      <c r="GY30" s="512"/>
      <c r="GZ30" s="513">
        <f t="shared" si="67"/>
        <v>0</v>
      </c>
      <c r="HA30" s="514">
        <f t="shared" si="179"/>
        <v>0</v>
      </c>
      <c r="HB30" s="512"/>
      <c r="HC30" s="513">
        <f t="shared" si="68"/>
        <v>0</v>
      </c>
      <c r="HD30" s="514">
        <f t="shared" si="180"/>
        <v>0</v>
      </c>
      <c r="HE30" s="512"/>
      <c r="HF30" s="513">
        <f t="shared" si="69"/>
        <v>0</v>
      </c>
      <c r="HG30" s="514">
        <f t="shared" si="181"/>
        <v>0</v>
      </c>
      <c r="HH30" s="512"/>
      <c r="HI30" s="513">
        <f t="shared" si="70"/>
        <v>0</v>
      </c>
      <c r="HJ30" s="514">
        <f t="shared" si="182"/>
        <v>0</v>
      </c>
      <c r="HK30" s="512"/>
      <c r="HL30" s="513">
        <f t="shared" si="71"/>
        <v>0</v>
      </c>
      <c r="HM30" s="514">
        <f t="shared" si="183"/>
        <v>0</v>
      </c>
      <c r="HN30" s="512"/>
      <c r="HO30" s="513">
        <f t="shared" si="72"/>
        <v>0</v>
      </c>
      <c r="HP30" s="514">
        <f t="shared" si="184"/>
        <v>0</v>
      </c>
      <c r="HQ30" s="512"/>
      <c r="HR30" s="513">
        <f t="shared" si="73"/>
        <v>0</v>
      </c>
      <c r="HS30" s="514">
        <f t="shared" si="185"/>
        <v>0</v>
      </c>
      <c r="HT30" s="512"/>
      <c r="HU30" s="513">
        <f t="shared" si="74"/>
        <v>0</v>
      </c>
      <c r="HV30" s="514">
        <f t="shared" si="186"/>
        <v>0</v>
      </c>
      <c r="HW30" s="512"/>
      <c r="HX30" s="513">
        <f t="shared" si="75"/>
        <v>0</v>
      </c>
      <c r="HY30" s="514">
        <f t="shared" si="187"/>
        <v>0</v>
      </c>
      <c r="HZ30" s="512"/>
      <c r="IA30" s="513">
        <f t="shared" si="76"/>
        <v>0</v>
      </c>
      <c r="IB30" s="514">
        <f t="shared" si="188"/>
        <v>0</v>
      </c>
      <c r="IC30" s="512"/>
      <c r="ID30" s="513">
        <f t="shared" si="77"/>
        <v>0</v>
      </c>
      <c r="IE30" s="514">
        <f t="shared" si="189"/>
        <v>0</v>
      </c>
      <c r="IF30" s="512"/>
      <c r="IG30" s="513">
        <f t="shared" si="78"/>
        <v>0</v>
      </c>
      <c r="IH30" s="514">
        <f t="shared" si="190"/>
        <v>0</v>
      </c>
      <c r="II30" s="512"/>
      <c r="IJ30" s="513">
        <f t="shared" si="79"/>
        <v>0</v>
      </c>
      <c r="IK30" s="514">
        <f t="shared" si="191"/>
        <v>0</v>
      </c>
      <c r="IL30" s="512"/>
      <c r="IM30" s="513">
        <f t="shared" si="80"/>
        <v>0</v>
      </c>
      <c r="IN30" s="514">
        <f t="shared" si="192"/>
        <v>0</v>
      </c>
      <c r="IO30" s="512"/>
      <c r="IP30" s="513">
        <f t="shared" si="81"/>
        <v>0</v>
      </c>
      <c r="IQ30" s="514">
        <f t="shared" si="193"/>
        <v>0</v>
      </c>
      <c r="IR30" s="512"/>
      <c r="IS30" s="513">
        <f t="shared" si="82"/>
        <v>0</v>
      </c>
      <c r="IT30" s="514">
        <f t="shared" si="194"/>
        <v>0</v>
      </c>
      <c r="IU30" s="512"/>
      <c r="IV30" s="513">
        <f t="shared" si="83"/>
        <v>0</v>
      </c>
      <c r="IW30" s="514">
        <f t="shared" si="195"/>
        <v>0</v>
      </c>
      <c r="IX30" s="512"/>
      <c r="IY30" s="513">
        <f t="shared" si="84"/>
        <v>0</v>
      </c>
      <c r="IZ30" s="514">
        <f t="shared" si="196"/>
        <v>0</v>
      </c>
      <c r="JA30" s="512"/>
      <c r="JB30" s="513">
        <f t="shared" si="85"/>
        <v>0</v>
      </c>
      <c r="JC30" s="514">
        <f t="shared" si="197"/>
        <v>0</v>
      </c>
      <c r="JD30" s="512"/>
      <c r="JE30" s="513">
        <f t="shared" si="86"/>
        <v>0</v>
      </c>
      <c r="JF30" s="514">
        <f t="shared" si="198"/>
        <v>0</v>
      </c>
      <c r="JG30" s="512"/>
      <c r="JH30" s="513">
        <f t="shared" si="87"/>
        <v>0</v>
      </c>
      <c r="JI30" s="514">
        <f t="shared" si="199"/>
        <v>0</v>
      </c>
      <c r="JJ30" s="512"/>
      <c r="JK30" s="514" t="str">
        <f t="shared" si="88"/>
        <v>0</v>
      </c>
      <c r="JL30" s="514" t="str">
        <f t="shared" si="89"/>
        <v>0</v>
      </c>
      <c r="JM30" s="512"/>
      <c r="JN30" s="514" t="str">
        <f t="shared" si="90"/>
        <v>0</v>
      </c>
      <c r="JO30" s="514" t="str">
        <f t="shared" si="91"/>
        <v>0</v>
      </c>
      <c r="JP30" s="512"/>
      <c r="JQ30" s="514" t="str">
        <f t="shared" si="92"/>
        <v>0</v>
      </c>
      <c r="JR30" s="514" t="str">
        <f t="shared" si="93"/>
        <v>0</v>
      </c>
      <c r="JS30" s="512"/>
      <c r="JT30" s="514" t="str">
        <f t="shared" si="94"/>
        <v>0</v>
      </c>
      <c r="JU30" s="514" t="str">
        <f t="shared" si="95"/>
        <v>0</v>
      </c>
      <c r="JV30" s="512"/>
      <c r="JW30" s="514" t="str">
        <f t="shared" si="96"/>
        <v>0</v>
      </c>
      <c r="JX30" s="514" t="str">
        <f t="shared" si="97"/>
        <v>0</v>
      </c>
      <c r="JY30" s="512"/>
      <c r="JZ30" s="514" t="str">
        <f t="shared" si="98"/>
        <v>0</v>
      </c>
      <c r="KA30" s="514" t="str">
        <f t="shared" si="99"/>
        <v>0</v>
      </c>
      <c r="KB30" s="512"/>
      <c r="KC30" s="514" t="str">
        <f t="shared" si="100"/>
        <v>0</v>
      </c>
      <c r="KD30" s="514" t="str">
        <f t="shared" si="101"/>
        <v>0</v>
      </c>
      <c r="KE30" s="512"/>
      <c r="KF30" s="514" t="str">
        <f t="shared" si="102"/>
        <v>0</v>
      </c>
      <c r="KG30" s="514" t="str">
        <f t="shared" si="103"/>
        <v>0</v>
      </c>
      <c r="KH30" s="512"/>
      <c r="KI30" s="514" t="str">
        <f t="shared" si="104"/>
        <v>0</v>
      </c>
      <c r="KJ30" s="514" t="str">
        <f t="shared" si="105"/>
        <v>0</v>
      </c>
      <c r="KK30" s="512"/>
      <c r="KL30" s="514" t="str">
        <f t="shared" si="106"/>
        <v>0</v>
      </c>
      <c r="KM30" s="514" t="str">
        <f t="shared" si="107"/>
        <v>0</v>
      </c>
      <c r="KN30" s="512"/>
      <c r="KO30" s="514" t="str">
        <f t="shared" si="108"/>
        <v>0</v>
      </c>
      <c r="KP30" s="514" t="str">
        <f t="shared" si="109"/>
        <v>0</v>
      </c>
      <c r="KQ30" s="512"/>
      <c r="KR30" s="514" t="str">
        <f t="shared" si="110"/>
        <v>0</v>
      </c>
      <c r="KS30" s="514" t="str">
        <f t="shared" si="111"/>
        <v>0</v>
      </c>
      <c r="KT30" s="514">
        <f t="shared" si="201"/>
        <v>0</v>
      </c>
      <c r="KU30" s="514">
        <f t="shared" si="202"/>
        <v>0</v>
      </c>
      <c r="KV30" s="263">
        <f t="shared" si="204"/>
        <v>417.90461819074665</v>
      </c>
    </row>
    <row r="31" spans="1:308" ht="15" customHeight="1">
      <c r="A31" s="471">
        <f t="shared" si="200"/>
        <v>45952</v>
      </c>
      <c r="B31" s="472" t="str">
        <f>+Report1!B30</f>
        <v>Toilet/Facial</v>
      </c>
      <c r="C31" s="473" t="str">
        <f>+Report1!C30</f>
        <v>12/12/12,5</v>
      </c>
      <c r="D31" s="474">
        <f>+Report1!P30</f>
        <v>40.959000000000003</v>
      </c>
      <c r="E31" s="475">
        <f>+Report1!R30</f>
        <v>37.927999999999997</v>
      </c>
      <c r="F31" s="512"/>
      <c r="G31" s="513">
        <f t="shared" si="0"/>
        <v>0</v>
      </c>
      <c r="H31" s="514">
        <f t="shared" si="113"/>
        <v>0</v>
      </c>
      <c r="I31" s="512">
        <v>23.255813953488314</v>
      </c>
      <c r="J31" s="513">
        <f t="shared" si="1"/>
        <v>0.61315687496014326</v>
      </c>
      <c r="K31" s="514">
        <f t="shared" si="114"/>
        <v>0</v>
      </c>
      <c r="L31" s="512"/>
      <c r="M31" s="513">
        <f t="shared" si="2"/>
        <v>0</v>
      </c>
      <c r="N31" s="514">
        <f t="shared" si="115"/>
        <v>0</v>
      </c>
      <c r="O31" s="512">
        <v>24.000000000000014</v>
      </c>
      <c r="P31" s="513">
        <f t="shared" si="3"/>
        <v>0.63277789495886982</v>
      </c>
      <c r="Q31" s="514">
        <f t="shared" si="116"/>
        <v>0</v>
      </c>
      <c r="R31" s="512">
        <v>5.1250000000000142</v>
      </c>
      <c r="S31" s="513">
        <f t="shared" si="4"/>
        <v>0.13512444631934228</v>
      </c>
      <c r="T31" s="514">
        <f t="shared" si="117"/>
        <v>0</v>
      </c>
      <c r="U31" s="512">
        <v>6.2499999999999858</v>
      </c>
      <c r="V31" s="513">
        <f t="shared" si="5"/>
        <v>0.16478591014553856</v>
      </c>
      <c r="W31" s="514">
        <f t="shared" si="118"/>
        <v>0</v>
      </c>
      <c r="X31" s="512"/>
      <c r="Y31" s="513">
        <f t="shared" si="6"/>
        <v>0</v>
      </c>
      <c r="Z31" s="514">
        <f t="shared" si="119"/>
        <v>0</v>
      </c>
      <c r="AA31" s="512"/>
      <c r="AB31" s="513">
        <f t="shared" si="7"/>
        <v>0</v>
      </c>
      <c r="AC31" s="514">
        <f t="shared" si="120"/>
        <v>0</v>
      </c>
      <c r="AD31" s="512"/>
      <c r="AE31" s="513">
        <f t="shared" si="8"/>
        <v>0</v>
      </c>
      <c r="AF31" s="514">
        <f t="shared" si="121"/>
        <v>0</v>
      </c>
      <c r="AG31" s="512"/>
      <c r="AH31" s="513">
        <f t="shared" si="9"/>
        <v>0</v>
      </c>
      <c r="AI31" s="514">
        <f t="shared" si="122"/>
        <v>0</v>
      </c>
      <c r="AJ31" s="512"/>
      <c r="AK31" s="513">
        <f t="shared" si="10"/>
        <v>0</v>
      </c>
      <c r="AL31" s="514">
        <f t="shared" si="123"/>
        <v>0</v>
      </c>
      <c r="AM31" s="512"/>
      <c r="AN31" s="513">
        <f t="shared" si="11"/>
        <v>0</v>
      </c>
      <c r="AO31" s="514">
        <f t="shared" si="124"/>
        <v>0</v>
      </c>
      <c r="AP31" s="512">
        <v>39.42307692307692</v>
      </c>
      <c r="AQ31" s="513">
        <f t="shared" si="12"/>
        <v>1.0394188178410917</v>
      </c>
      <c r="AR31" s="514">
        <f t="shared" si="125"/>
        <v>0</v>
      </c>
      <c r="AS31" s="512"/>
      <c r="AT31" s="513">
        <f t="shared" si="13"/>
        <v>0</v>
      </c>
      <c r="AU31" s="514">
        <f t="shared" si="126"/>
        <v>0</v>
      </c>
      <c r="AV31" s="512">
        <v>5.5500000000000114</v>
      </c>
      <c r="AW31" s="513">
        <f t="shared" si="14"/>
        <v>0.14632988820923887</v>
      </c>
      <c r="AX31" s="514">
        <f t="shared" si="127"/>
        <v>0</v>
      </c>
      <c r="AY31" s="512">
        <v>58.333333333333336</v>
      </c>
      <c r="AZ31" s="513">
        <f t="shared" si="15"/>
        <v>1.53800182802503</v>
      </c>
      <c r="BA31" s="514">
        <f t="shared" si="128"/>
        <v>0</v>
      </c>
      <c r="BB31" s="512"/>
      <c r="BC31" s="513">
        <f t="shared" si="16"/>
        <v>0</v>
      </c>
      <c r="BD31" s="514">
        <f t="shared" si="129"/>
        <v>0</v>
      </c>
      <c r="BE31" s="512"/>
      <c r="BF31" s="513">
        <f t="shared" si="17"/>
        <v>0</v>
      </c>
      <c r="BG31" s="514">
        <f t="shared" si="130"/>
        <v>0</v>
      </c>
      <c r="BH31" s="512"/>
      <c r="BI31" s="513">
        <f t="shared" si="18"/>
        <v>0</v>
      </c>
      <c r="BJ31" s="514">
        <f t="shared" si="131"/>
        <v>0</v>
      </c>
      <c r="BK31" s="512"/>
      <c r="BL31" s="513">
        <f t="shared" si="19"/>
        <v>0</v>
      </c>
      <c r="BM31" s="514">
        <f t="shared" si="132"/>
        <v>0</v>
      </c>
      <c r="BN31" s="512"/>
      <c r="BO31" s="513">
        <f t="shared" si="20"/>
        <v>0</v>
      </c>
      <c r="BP31" s="514">
        <f t="shared" si="133"/>
        <v>0</v>
      </c>
      <c r="BQ31" s="512">
        <v>35.897435897435884</v>
      </c>
      <c r="BR31" s="513">
        <f t="shared" si="21"/>
        <v>0.94646266340001806</v>
      </c>
      <c r="BS31" s="514">
        <f t="shared" si="134"/>
        <v>0</v>
      </c>
      <c r="BT31" s="512"/>
      <c r="BU31" s="513">
        <f t="shared" si="22"/>
        <v>0</v>
      </c>
      <c r="BV31" s="514">
        <f t="shared" si="135"/>
        <v>0</v>
      </c>
      <c r="BW31" s="512"/>
      <c r="BX31" s="513">
        <f t="shared" si="23"/>
        <v>0</v>
      </c>
      <c r="BY31" s="514">
        <f t="shared" si="136"/>
        <v>0</v>
      </c>
      <c r="BZ31" s="512"/>
      <c r="CA31" s="513">
        <f t="shared" si="24"/>
        <v>0</v>
      </c>
      <c r="CB31" s="514">
        <f t="shared" si="137"/>
        <v>0</v>
      </c>
      <c r="CC31" s="512"/>
      <c r="CD31" s="513">
        <f t="shared" si="25"/>
        <v>0</v>
      </c>
      <c r="CE31" s="514">
        <f t="shared" si="138"/>
        <v>0</v>
      </c>
      <c r="CF31" s="512">
        <v>9</v>
      </c>
      <c r="CG31" s="513">
        <f t="shared" si="26"/>
        <v>0.23729171060957605</v>
      </c>
      <c r="CH31" s="514">
        <f t="shared" si="139"/>
        <v>0</v>
      </c>
      <c r="CI31" s="512"/>
      <c r="CJ31" s="513">
        <f t="shared" si="27"/>
        <v>0</v>
      </c>
      <c r="CK31" s="514">
        <f t="shared" si="140"/>
        <v>0</v>
      </c>
      <c r="CL31" s="512"/>
      <c r="CM31" s="513">
        <f t="shared" si="28"/>
        <v>0</v>
      </c>
      <c r="CN31" s="514">
        <f t="shared" si="141"/>
        <v>0</v>
      </c>
      <c r="CO31" s="512"/>
      <c r="CP31" s="513">
        <f t="shared" si="29"/>
        <v>0</v>
      </c>
      <c r="CQ31" s="514">
        <f t="shared" si="142"/>
        <v>0</v>
      </c>
      <c r="CR31" s="512"/>
      <c r="CS31" s="513">
        <f t="shared" si="30"/>
        <v>0</v>
      </c>
      <c r="CT31" s="514">
        <f t="shared" si="143"/>
        <v>0</v>
      </c>
      <c r="CU31" s="512"/>
      <c r="CV31" s="513">
        <f t="shared" si="31"/>
        <v>0</v>
      </c>
      <c r="CW31" s="514">
        <f t="shared" si="144"/>
        <v>0</v>
      </c>
      <c r="CX31" s="512"/>
      <c r="CY31" s="513">
        <f t="shared" si="32"/>
        <v>0</v>
      </c>
      <c r="CZ31" s="514">
        <f t="shared" si="145"/>
        <v>0</v>
      </c>
      <c r="DA31" s="512"/>
      <c r="DB31" s="513">
        <f t="shared" si="33"/>
        <v>0</v>
      </c>
      <c r="DC31" s="514">
        <f t="shared" si="146"/>
        <v>0</v>
      </c>
      <c r="DD31" s="512"/>
      <c r="DE31" s="513">
        <f t="shared" si="34"/>
        <v>0</v>
      </c>
      <c r="DF31" s="514">
        <f t="shared" si="147"/>
        <v>0</v>
      </c>
      <c r="DG31" s="512"/>
      <c r="DH31" s="513">
        <f t="shared" si="35"/>
        <v>0</v>
      </c>
      <c r="DI31" s="514">
        <f t="shared" si="203"/>
        <v>0</v>
      </c>
      <c r="DJ31" s="512"/>
      <c r="DK31" s="513">
        <f t="shared" si="36"/>
        <v>0</v>
      </c>
      <c r="DL31" s="514">
        <f t="shared" si="148"/>
        <v>0</v>
      </c>
      <c r="DM31" s="512"/>
      <c r="DN31" s="513">
        <f t="shared" si="37"/>
        <v>0</v>
      </c>
      <c r="DO31" s="514">
        <f t="shared" si="149"/>
        <v>0</v>
      </c>
      <c r="DP31" s="512"/>
      <c r="DQ31" s="513">
        <f t="shared" si="38"/>
        <v>0</v>
      </c>
      <c r="DR31" s="514">
        <f t="shared" si="150"/>
        <v>0</v>
      </c>
      <c r="DS31" s="512"/>
      <c r="DT31" s="513">
        <f t="shared" si="39"/>
        <v>0</v>
      </c>
      <c r="DU31" s="514">
        <f t="shared" si="151"/>
        <v>0</v>
      </c>
      <c r="DV31" s="512"/>
      <c r="DW31" s="513">
        <f t="shared" si="40"/>
        <v>0</v>
      </c>
      <c r="DX31" s="514">
        <f t="shared" si="152"/>
        <v>0</v>
      </c>
      <c r="DY31" s="512"/>
      <c r="DZ31" s="513">
        <f t="shared" si="41"/>
        <v>0</v>
      </c>
      <c r="EA31" s="514">
        <f t="shared" si="153"/>
        <v>0</v>
      </c>
      <c r="EB31" s="512">
        <v>58.705882352941217</v>
      </c>
      <c r="EC31" s="513">
        <f t="shared" si="42"/>
        <v>1.5478243607082161</v>
      </c>
      <c r="ED31" s="514">
        <f t="shared" si="154"/>
        <v>0</v>
      </c>
      <c r="EE31" s="512">
        <v>7.2674418604651123</v>
      </c>
      <c r="EF31" s="513">
        <f t="shared" si="43"/>
        <v>0.19161152342504517</v>
      </c>
      <c r="EG31" s="514">
        <f t="shared" si="155"/>
        <v>0</v>
      </c>
      <c r="EH31" s="512">
        <v>3</v>
      </c>
      <c r="EI31" s="513">
        <f t="shared" si="44"/>
        <v>7.9097236869858686E-2</v>
      </c>
      <c r="EJ31" s="514">
        <f t="shared" si="156"/>
        <v>0</v>
      </c>
      <c r="EK31" s="512"/>
      <c r="EL31" s="513">
        <f t="shared" si="45"/>
        <v>0</v>
      </c>
      <c r="EM31" s="514">
        <f t="shared" si="157"/>
        <v>0</v>
      </c>
      <c r="EN31" s="512"/>
      <c r="EO31" s="513">
        <f t="shared" si="46"/>
        <v>0</v>
      </c>
      <c r="EP31" s="514">
        <f t="shared" si="158"/>
        <v>0</v>
      </c>
      <c r="EQ31" s="512"/>
      <c r="ER31" s="513">
        <f t="shared" si="47"/>
        <v>0</v>
      </c>
      <c r="ES31" s="514">
        <f t="shared" si="159"/>
        <v>0</v>
      </c>
      <c r="ET31" s="512"/>
      <c r="EU31" s="513">
        <f t="shared" si="48"/>
        <v>0</v>
      </c>
      <c r="EV31" s="514">
        <f t="shared" si="160"/>
        <v>0</v>
      </c>
      <c r="EW31" s="512"/>
      <c r="EX31" s="513">
        <f t="shared" si="49"/>
        <v>0</v>
      </c>
      <c r="EY31" s="514">
        <f t="shared" si="161"/>
        <v>0</v>
      </c>
      <c r="EZ31" s="512"/>
      <c r="FA31" s="513">
        <f t="shared" si="50"/>
        <v>0</v>
      </c>
      <c r="FB31" s="514">
        <f t="shared" si="162"/>
        <v>0</v>
      </c>
      <c r="FC31" s="512"/>
      <c r="FD31" s="513">
        <f t="shared" si="51"/>
        <v>0</v>
      </c>
      <c r="FE31" s="514">
        <f t="shared" si="163"/>
        <v>0</v>
      </c>
      <c r="FF31" s="512"/>
      <c r="FG31" s="513">
        <f t="shared" si="52"/>
        <v>0</v>
      </c>
      <c r="FH31" s="514">
        <f t="shared" si="164"/>
        <v>0</v>
      </c>
      <c r="FI31" s="512"/>
      <c r="FJ31" s="513">
        <f t="shared" si="53"/>
        <v>0</v>
      </c>
      <c r="FK31" s="514">
        <f t="shared" si="165"/>
        <v>0</v>
      </c>
      <c r="FL31" s="512"/>
      <c r="FM31" s="513">
        <f t="shared" si="54"/>
        <v>0</v>
      </c>
      <c r="FN31" s="514">
        <f t="shared" si="166"/>
        <v>0</v>
      </c>
      <c r="FO31" s="512"/>
      <c r="FP31" s="513">
        <f t="shared" si="55"/>
        <v>0</v>
      </c>
      <c r="FQ31" s="514">
        <f t="shared" si="167"/>
        <v>0</v>
      </c>
      <c r="FR31" s="512"/>
      <c r="FS31" s="513">
        <f t="shared" si="56"/>
        <v>0</v>
      </c>
      <c r="FT31" s="514">
        <f t="shared" si="168"/>
        <v>0</v>
      </c>
      <c r="FU31" s="512"/>
      <c r="FV31" s="513">
        <f t="shared" si="57"/>
        <v>0</v>
      </c>
      <c r="FW31" s="514">
        <f t="shared" si="169"/>
        <v>0</v>
      </c>
      <c r="FX31" s="512"/>
      <c r="FY31" s="513">
        <f t="shared" si="58"/>
        <v>0</v>
      </c>
      <c r="FZ31" s="514">
        <f t="shared" si="170"/>
        <v>0</v>
      </c>
      <c r="GA31" s="512"/>
      <c r="GB31" s="513">
        <f t="shared" si="59"/>
        <v>0</v>
      </c>
      <c r="GC31" s="514">
        <f t="shared" si="171"/>
        <v>0</v>
      </c>
      <c r="GD31" s="512"/>
      <c r="GE31" s="513">
        <f t="shared" si="60"/>
        <v>0</v>
      </c>
      <c r="GF31" s="514">
        <f t="shared" si="172"/>
        <v>0</v>
      </c>
      <c r="GG31" s="512"/>
      <c r="GH31" s="513">
        <f t="shared" si="61"/>
        <v>0</v>
      </c>
      <c r="GI31" s="514">
        <f t="shared" si="173"/>
        <v>0</v>
      </c>
      <c r="GJ31" s="512"/>
      <c r="GK31" s="513">
        <f t="shared" si="62"/>
        <v>0</v>
      </c>
      <c r="GL31" s="514">
        <f t="shared" si="174"/>
        <v>0</v>
      </c>
      <c r="GM31" s="512"/>
      <c r="GN31" s="513">
        <f t="shared" si="63"/>
        <v>0</v>
      </c>
      <c r="GO31" s="514">
        <f t="shared" si="175"/>
        <v>0</v>
      </c>
      <c r="GP31" s="512"/>
      <c r="GQ31" s="513">
        <f t="shared" si="64"/>
        <v>0</v>
      </c>
      <c r="GR31" s="514">
        <f t="shared" si="176"/>
        <v>0</v>
      </c>
      <c r="GS31" s="512"/>
      <c r="GT31" s="513">
        <f t="shared" si="65"/>
        <v>0</v>
      </c>
      <c r="GU31" s="514">
        <f t="shared" si="177"/>
        <v>0</v>
      </c>
      <c r="GV31" s="512"/>
      <c r="GW31" s="513">
        <f t="shared" si="66"/>
        <v>0</v>
      </c>
      <c r="GX31" s="514">
        <f t="shared" si="178"/>
        <v>0</v>
      </c>
      <c r="GY31" s="512"/>
      <c r="GZ31" s="513">
        <f t="shared" si="67"/>
        <v>0</v>
      </c>
      <c r="HA31" s="514">
        <f t="shared" si="179"/>
        <v>0</v>
      </c>
      <c r="HB31" s="512"/>
      <c r="HC31" s="513">
        <f t="shared" si="68"/>
        <v>0</v>
      </c>
      <c r="HD31" s="514">
        <f t="shared" si="180"/>
        <v>0</v>
      </c>
      <c r="HE31" s="512"/>
      <c r="HF31" s="513">
        <f t="shared" si="69"/>
        <v>0</v>
      </c>
      <c r="HG31" s="514">
        <f t="shared" si="181"/>
        <v>0</v>
      </c>
      <c r="HH31" s="512"/>
      <c r="HI31" s="513">
        <f t="shared" si="70"/>
        <v>0</v>
      </c>
      <c r="HJ31" s="514">
        <f t="shared" si="182"/>
        <v>0</v>
      </c>
      <c r="HK31" s="512"/>
      <c r="HL31" s="513">
        <f t="shared" si="71"/>
        <v>0</v>
      </c>
      <c r="HM31" s="514">
        <f t="shared" si="183"/>
        <v>0</v>
      </c>
      <c r="HN31" s="512"/>
      <c r="HO31" s="513">
        <f t="shared" si="72"/>
        <v>0</v>
      </c>
      <c r="HP31" s="514">
        <f t="shared" si="184"/>
        <v>0</v>
      </c>
      <c r="HQ31" s="512"/>
      <c r="HR31" s="513">
        <f t="shared" si="73"/>
        <v>0</v>
      </c>
      <c r="HS31" s="514">
        <f t="shared" si="185"/>
        <v>0</v>
      </c>
      <c r="HT31" s="512"/>
      <c r="HU31" s="513">
        <f t="shared" si="74"/>
        <v>0</v>
      </c>
      <c r="HV31" s="514">
        <f t="shared" si="186"/>
        <v>0</v>
      </c>
      <c r="HW31" s="512"/>
      <c r="HX31" s="513">
        <f t="shared" si="75"/>
        <v>0</v>
      </c>
      <c r="HY31" s="514">
        <f t="shared" si="187"/>
        <v>0</v>
      </c>
      <c r="HZ31" s="512"/>
      <c r="IA31" s="513">
        <f t="shared" si="76"/>
        <v>0</v>
      </c>
      <c r="IB31" s="514">
        <f t="shared" si="188"/>
        <v>0</v>
      </c>
      <c r="IC31" s="512"/>
      <c r="ID31" s="513">
        <f t="shared" si="77"/>
        <v>0</v>
      </c>
      <c r="IE31" s="514">
        <f t="shared" si="189"/>
        <v>0</v>
      </c>
      <c r="IF31" s="512"/>
      <c r="IG31" s="513">
        <f t="shared" si="78"/>
        <v>0</v>
      </c>
      <c r="IH31" s="514">
        <f t="shared" si="190"/>
        <v>0</v>
      </c>
      <c r="II31" s="512"/>
      <c r="IJ31" s="513">
        <f t="shared" si="79"/>
        <v>0</v>
      </c>
      <c r="IK31" s="514">
        <f t="shared" si="191"/>
        <v>0</v>
      </c>
      <c r="IL31" s="512"/>
      <c r="IM31" s="513">
        <f t="shared" si="80"/>
        <v>0</v>
      </c>
      <c r="IN31" s="514">
        <f t="shared" si="192"/>
        <v>0</v>
      </c>
      <c r="IO31" s="512"/>
      <c r="IP31" s="513">
        <f t="shared" si="81"/>
        <v>0</v>
      </c>
      <c r="IQ31" s="514">
        <f t="shared" si="193"/>
        <v>0</v>
      </c>
      <c r="IR31" s="512"/>
      <c r="IS31" s="513">
        <f t="shared" si="82"/>
        <v>0</v>
      </c>
      <c r="IT31" s="514">
        <f t="shared" si="194"/>
        <v>0</v>
      </c>
      <c r="IU31" s="512"/>
      <c r="IV31" s="513">
        <f t="shared" si="83"/>
        <v>0</v>
      </c>
      <c r="IW31" s="514">
        <f t="shared" si="195"/>
        <v>0</v>
      </c>
      <c r="IX31" s="512"/>
      <c r="IY31" s="513">
        <f t="shared" si="84"/>
        <v>0</v>
      </c>
      <c r="IZ31" s="514">
        <f t="shared" si="196"/>
        <v>0</v>
      </c>
      <c r="JA31" s="512"/>
      <c r="JB31" s="513">
        <f t="shared" si="85"/>
        <v>0</v>
      </c>
      <c r="JC31" s="514">
        <f t="shared" si="197"/>
        <v>0</v>
      </c>
      <c r="JD31" s="512"/>
      <c r="JE31" s="513">
        <f t="shared" si="86"/>
        <v>0</v>
      </c>
      <c r="JF31" s="514">
        <f t="shared" si="198"/>
        <v>0</v>
      </c>
      <c r="JG31" s="512"/>
      <c r="JH31" s="513">
        <f t="shared" si="87"/>
        <v>0</v>
      </c>
      <c r="JI31" s="514">
        <f t="shared" si="199"/>
        <v>0</v>
      </c>
      <c r="JJ31" s="512"/>
      <c r="JK31" s="514" t="str">
        <f t="shared" si="88"/>
        <v>0</v>
      </c>
      <c r="JL31" s="514" t="str">
        <f t="shared" si="89"/>
        <v>0</v>
      </c>
      <c r="JM31" s="512"/>
      <c r="JN31" s="514" t="str">
        <f t="shared" si="90"/>
        <v>0</v>
      </c>
      <c r="JO31" s="514" t="str">
        <f t="shared" si="91"/>
        <v>0</v>
      </c>
      <c r="JP31" s="512"/>
      <c r="JQ31" s="514" t="str">
        <f t="shared" si="92"/>
        <v>0</v>
      </c>
      <c r="JR31" s="514" t="str">
        <f t="shared" si="93"/>
        <v>0</v>
      </c>
      <c r="JS31" s="512"/>
      <c r="JT31" s="514" t="str">
        <f t="shared" si="94"/>
        <v>0</v>
      </c>
      <c r="JU31" s="514" t="str">
        <f t="shared" si="95"/>
        <v>0</v>
      </c>
      <c r="JV31" s="512"/>
      <c r="JW31" s="514" t="str">
        <f t="shared" si="96"/>
        <v>0</v>
      </c>
      <c r="JX31" s="514" t="str">
        <f t="shared" si="97"/>
        <v>0</v>
      </c>
      <c r="JY31" s="512"/>
      <c r="JZ31" s="514" t="str">
        <f t="shared" si="98"/>
        <v>0</v>
      </c>
      <c r="KA31" s="514" t="str">
        <f t="shared" si="99"/>
        <v>0</v>
      </c>
      <c r="KB31" s="512"/>
      <c r="KC31" s="514" t="str">
        <f t="shared" si="100"/>
        <v>0</v>
      </c>
      <c r="KD31" s="514" t="str">
        <f t="shared" si="101"/>
        <v>0</v>
      </c>
      <c r="KE31" s="512"/>
      <c r="KF31" s="514" t="str">
        <f t="shared" si="102"/>
        <v>0</v>
      </c>
      <c r="KG31" s="514" t="str">
        <f t="shared" si="103"/>
        <v>0</v>
      </c>
      <c r="KH31" s="512"/>
      <c r="KI31" s="514" t="str">
        <f t="shared" si="104"/>
        <v>0</v>
      </c>
      <c r="KJ31" s="514" t="str">
        <f t="shared" si="105"/>
        <v>0</v>
      </c>
      <c r="KK31" s="512"/>
      <c r="KL31" s="514" t="str">
        <f t="shared" si="106"/>
        <v>0</v>
      </c>
      <c r="KM31" s="514" t="str">
        <f t="shared" si="107"/>
        <v>0</v>
      </c>
      <c r="KN31" s="512"/>
      <c r="KO31" s="514" t="str">
        <f t="shared" si="108"/>
        <v>0</v>
      </c>
      <c r="KP31" s="514" t="str">
        <f t="shared" si="109"/>
        <v>0</v>
      </c>
      <c r="KQ31" s="512"/>
      <c r="KR31" s="514" t="str">
        <f t="shared" si="110"/>
        <v>0</v>
      </c>
      <c r="KS31" s="514" t="str">
        <f t="shared" si="111"/>
        <v>0</v>
      </c>
      <c r="KT31" s="514">
        <f t="shared" si="201"/>
        <v>0</v>
      </c>
      <c r="KU31" s="514">
        <f t="shared" si="202"/>
        <v>0</v>
      </c>
      <c r="KV31" s="263">
        <f t="shared" si="204"/>
        <v>275.80798432074079</v>
      </c>
    </row>
    <row r="32" spans="1:308" ht="15" customHeight="1">
      <c r="A32" s="471">
        <f t="shared" si="200"/>
        <v>45953</v>
      </c>
      <c r="B32" s="472" t="str">
        <f>+Report1!B31</f>
        <v>Toilet</v>
      </c>
      <c r="C32" s="473" t="str">
        <f>+Report1!C31</f>
        <v>12,5/13/14,5</v>
      </c>
      <c r="D32" s="474">
        <f>+Report1!P31</f>
        <v>48.402999999999999</v>
      </c>
      <c r="E32" s="475">
        <f>+Report1!R31</f>
        <v>42.213000000000001</v>
      </c>
      <c r="F32" s="512"/>
      <c r="G32" s="513">
        <f t="shared" si="0"/>
        <v>0</v>
      </c>
      <c r="H32" s="514">
        <f t="shared" si="113"/>
        <v>0</v>
      </c>
      <c r="I32" s="512"/>
      <c r="J32" s="513">
        <f t="shared" si="1"/>
        <v>0</v>
      </c>
      <c r="K32" s="514">
        <f t="shared" si="114"/>
        <v>0</v>
      </c>
      <c r="L32" s="512"/>
      <c r="M32" s="513">
        <f t="shared" si="2"/>
        <v>0</v>
      </c>
      <c r="N32" s="514">
        <f t="shared" si="115"/>
        <v>0</v>
      </c>
      <c r="O32" s="512">
        <v>24</v>
      </c>
      <c r="P32" s="513">
        <f t="shared" si="3"/>
        <v>0.56854523488025011</v>
      </c>
      <c r="Q32" s="514">
        <f t="shared" si="116"/>
        <v>0</v>
      </c>
      <c r="R32" s="512">
        <v>7.6874999999999858</v>
      </c>
      <c r="S32" s="513">
        <f t="shared" si="4"/>
        <v>0.18211214554757979</v>
      </c>
      <c r="T32" s="514">
        <f t="shared" si="117"/>
        <v>0</v>
      </c>
      <c r="U32" s="512">
        <v>7.8125000000000142</v>
      </c>
      <c r="V32" s="513">
        <f t="shared" si="5"/>
        <v>0.18507331864591509</v>
      </c>
      <c r="W32" s="514">
        <f t="shared" si="118"/>
        <v>0</v>
      </c>
      <c r="X32" s="512"/>
      <c r="Y32" s="513">
        <f t="shared" si="6"/>
        <v>0</v>
      </c>
      <c r="Z32" s="514">
        <f t="shared" si="119"/>
        <v>0</v>
      </c>
      <c r="AA32" s="512"/>
      <c r="AB32" s="513">
        <f t="shared" si="7"/>
        <v>0</v>
      </c>
      <c r="AC32" s="514">
        <f t="shared" si="120"/>
        <v>0</v>
      </c>
      <c r="AD32" s="512"/>
      <c r="AE32" s="513">
        <f t="shared" si="8"/>
        <v>0</v>
      </c>
      <c r="AF32" s="514">
        <f t="shared" si="121"/>
        <v>0</v>
      </c>
      <c r="AG32" s="512"/>
      <c r="AH32" s="513">
        <f t="shared" si="9"/>
        <v>0</v>
      </c>
      <c r="AI32" s="514">
        <f t="shared" si="122"/>
        <v>0</v>
      </c>
      <c r="AJ32" s="512"/>
      <c r="AK32" s="513">
        <f t="shared" si="10"/>
        <v>0</v>
      </c>
      <c r="AL32" s="514">
        <f t="shared" si="123"/>
        <v>0</v>
      </c>
      <c r="AM32" s="512"/>
      <c r="AN32" s="513">
        <f t="shared" si="11"/>
        <v>0</v>
      </c>
      <c r="AO32" s="514">
        <f t="shared" si="124"/>
        <v>0</v>
      </c>
      <c r="AP32" s="512">
        <v>63.076923076923094</v>
      </c>
      <c r="AQ32" s="513">
        <f t="shared" si="12"/>
        <v>1.494253501928863</v>
      </c>
      <c r="AR32" s="514">
        <f t="shared" si="125"/>
        <v>0</v>
      </c>
      <c r="AS32" s="512"/>
      <c r="AT32" s="513">
        <f t="shared" si="13"/>
        <v>0</v>
      </c>
      <c r="AU32" s="514">
        <f t="shared" si="126"/>
        <v>0</v>
      </c>
      <c r="AV32" s="512">
        <v>2.7750000000000341</v>
      </c>
      <c r="AW32" s="513">
        <f t="shared" si="14"/>
        <v>6.5738042783029735E-2</v>
      </c>
      <c r="AX32" s="514">
        <f t="shared" si="127"/>
        <v>0</v>
      </c>
      <c r="AY32" s="512">
        <v>53.666666666666686</v>
      </c>
      <c r="AZ32" s="513">
        <f t="shared" si="15"/>
        <v>1.2713303168850043</v>
      </c>
      <c r="BA32" s="514">
        <f t="shared" si="128"/>
        <v>0</v>
      </c>
      <c r="BB32" s="512"/>
      <c r="BC32" s="513">
        <f t="shared" si="16"/>
        <v>0</v>
      </c>
      <c r="BD32" s="514">
        <f t="shared" si="129"/>
        <v>0</v>
      </c>
      <c r="BE32" s="512"/>
      <c r="BF32" s="513">
        <f t="shared" si="17"/>
        <v>0</v>
      </c>
      <c r="BG32" s="514">
        <f t="shared" si="130"/>
        <v>0</v>
      </c>
      <c r="BH32" s="512"/>
      <c r="BI32" s="513">
        <f t="shared" si="18"/>
        <v>0</v>
      </c>
      <c r="BJ32" s="514">
        <f t="shared" si="131"/>
        <v>0</v>
      </c>
      <c r="BK32" s="512"/>
      <c r="BL32" s="513">
        <f t="shared" si="19"/>
        <v>0</v>
      </c>
      <c r="BM32" s="514">
        <f t="shared" si="132"/>
        <v>0</v>
      </c>
      <c r="BN32" s="512"/>
      <c r="BO32" s="513">
        <f t="shared" si="20"/>
        <v>0</v>
      </c>
      <c r="BP32" s="514">
        <f t="shared" si="133"/>
        <v>0</v>
      </c>
      <c r="BQ32" s="512">
        <v>51.28</v>
      </c>
      <c r="BR32" s="513">
        <f t="shared" si="21"/>
        <v>1.2147916518608011</v>
      </c>
      <c r="BS32" s="514">
        <f t="shared" si="134"/>
        <v>0</v>
      </c>
      <c r="BT32" s="512"/>
      <c r="BU32" s="513">
        <f t="shared" si="22"/>
        <v>0</v>
      </c>
      <c r="BV32" s="514">
        <f t="shared" si="135"/>
        <v>0</v>
      </c>
      <c r="BW32" s="512"/>
      <c r="BX32" s="513">
        <f t="shared" si="23"/>
        <v>0</v>
      </c>
      <c r="BY32" s="514">
        <f t="shared" si="136"/>
        <v>0</v>
      </c>
      <c r="BZ32" s="512"/>
      <c r="CA32" s="513">
        <f t="shared" si="24"/>
        <v>0</v>
      </c>
      <c r="CB32" s="514">
        <f t="shared" si="137"/>
        <v>0</v>
      </c>
      <c r="CC32" s="512"/>
      <c r="CD32" s="513">
        <f t="shared" si="25"/>
        <v>0</v>
      </c>
      <c r="CE32" s="514">
        <f t="shared" si="138"/>
        <v>0</v>
      </c>
      <c r="CF32" s="512">
        <v>9</v>
      </c>
      <c r="CG32" s="513">
        <f t="shared" si="26"/>
        <v>0.2132044630800938</v>
      </c>
      <c r="CH32" s="514">
        <f t="shared" si="139"/>
        <v>0</v>
      </c>
      <c r="CI32" s="512"/>
      <c r="CJ32" s="513">
        <f t="shared" si="27"/>
        <v>0</v>
      </c>
      <c r="CK32" s="514">
        <f t="shared" si="140"/>
        <v>0</v>
      </c>
      <c r="CL32" s="512"/>
      <c r="CM32" s="513">
        <f t="shared" si="28"/>
        <v>0</v>
      </c>
      <c r="CN32" s="514">
        <f t="shared" si="141"/>
        <v>0</v>
      </c>
      <c r="CO32" s="512"/>
      <c r="CP32" s="513">
        <f t="shared" si="29"/>
        <v>0</v>
      </c>
      <c r="CQ32" s="514">
        <f t="shared" si="142"/>
        <v>0</v>
      </c>
      <c r="CR32" s="512"/>
      <c r="CS32" s="513">
        <f t="shared" si="30"/>
        <v>0</v>
      </c>
      <c r="CT32" s="514">
        <f t="shared" si="143"/>
        <v>0</v>
      </c>
      <c r="CU32" s="512"/>
      <c r="CV32" s="513">
        <f t="shared" si="31"/>
        <v>0</v>
      </c>
      <c r="CW32" s="514">
        <f t="shared" si="144"/>
        <v>0</v>
      </c>
      <c r="CX32" s="512"/>
      <c r="CY32" s="513">
        <f t="shared" si="32"/>
        <v>0</v>
      </c>
      <c r="CZ32" s="514">
        <f t="shared" si="145"/>
        <v>0</v>
      </c>
      <c r="DA32" s="512"/>
      <c r="DB32" s="513">
        <f t="shared" si="33"/>
        <v>0</v>
      </c>
      <c r="DC32" s="514">
        <f t="shared" si="146"/>
        <v>0</v>
      </c>
      <c r="DD32" s="512"/>
      <c r="DE32" s="513">
        <f t="shared" si="34"/>
        <v>0</v>
      </c>
      <c r="DF32" s="514">
        <f t="shared" si="147"/>
        <v>0</v>
      </c>
      <c r="DG32" s="512"/>
      <c r="DH32" s="513">
        <f t="shared" si="35"/>
        <v>0</v>
      </c>
      <c r="DI32" s="514">
        <f t="shared" si="203"/>
        <v>0</v>
      </c>
      <c r="DJ32" s="512"/>
      <c r="DK32" s="513">
        <f t="shared" si="36"/>
        <v>0</v>
      </c>
      <c r="DL32" s="514">
        <f t="shared" si="148"/>
        <v>0</v>
      </c>
      <c r="DM32" s="512"/>
      <c r="DN32" s="513">
        <f t="shared" si="37"/>
        <v>0</v>
      </c>
      <c r="DO32" s="514">
        <f t="shared" si="149"/>
        <v>0</v>
      </c>
      <c r="DP32" s="512"/>
      <c r="DQ32" s="513">
        <f t="shared" si="38"/>
        <v>0</v>
      </c>
      <c r="DR32" s="514">
        <f t="shared" si="150"/>
        <v>0</v>
      </c>
      <c r="DS32" s="512"/>
      <c r="DT32" s="513">
        <f t="shared" si="39"/>
        <v>0</v>
      </c>
      <c r="DU32" s="514">
        <f t="shared" si="151"/>
        <v>0</v>
      </c>
      <c r="DV32" s="512"/>
      <c r="DW32" s="513">
        <f t="shared" si="40"/>
        <v>0</v>
      </c>
      <c r="DX32" s="514">
        <f t="shared" si="152"/>
        <v>0</v>
      </c>
      <c r="DY32" s="512"/>
      <c r="DZ32" s="513">
        <f t="shared" si="41"/>
        <v>0</v>
      </c>
      <c r="EA32" s="514">
        <f t="shared" si="153"/>
        <v>0</v>
      </c>
      <c r="EB32" s="512">
        <v>58.705882352941103</v>
      </c>
      <c r="EC32" s="513">
        <f t="shared" si="42"/>
        <v>1.3907062363002181</v>
      </c>
      <c r="ED32" s="514">
        <f t="shared" si="154"/>
        <v>0</v>
      </c>
      <c r="EE32" s="512">
        <v>14.534883720930281</v>
      </c>
      <c r="EF32" s="513">
        <f t="shared" si="43"/>
        <v>0.34432245329472627</v>
      </c>
      <c r="EG32" s="514">
        <f t="shared" si="155"/>
        <v>0</v>
      </c>
      <c r="EH32" s="512">
        <v>3</v>
      </c>
      <c r="EI32" s="513">
        <f t="shared" si="44"/>
        <v>7.1068154360031263E-2</v>
      </c>
      <c r="EJ32" s="514">
        <f t="shared" si="156"/>
        <v>0</v>
      </c>
      <c r="EK32" s="512"/>
      <c r="EL32" s="513">
        <f t="shared" si="45"/>
        <v>0</v>
      </c>
      <c r="EM32" s="514">
        <f t="shared" si="157"/>
        <v>0</v>
      </c>
      <c r="EN32" s="512"/>
      <c r="EO32" s="513">
        <f t="shared" si="46"/>
        <v>0</v>
      </c>
      <c r="EP32" s="514">
        <f t="shared" si="158"/>
        <v>0</v>
      </c>
      <c r="EQ32" s="512"/>
      <c r="ER32" s="513">
        <f t="shared" si="47"/>
        <v>0</v>
      </c>
      <c r="ES32" s="514">
        <f t="shared" si="159"/>
        <v>0</v>
      </c>
      <c r="ET32" s="512"/>
      <c r="EU32" s="513">
        <f t="shared" si="48"/>
        <v>0</v>
      </c>
      <c r="EV32" s="514">
        <f t="shared" si="160"/>
        <v>0</v>
      </c>
      <c r="EW32" s="512"/>
      <c r="EX32" s="513">
        <f t="shared" si="49"/>
        <v>0</v>
      </c>
      <c r="EY32" s="514">
        <f t="shared" si="161"/>
        <v>0</v>
      </c>
      <c r="EZ32" s="512"/>
      <c r="FA32" s="513">
        <f t="shared" si="50"/>
        <v>0</v>
      </c>
      <c r="FB32" s="514">
        <f t="shared" si="162"/>
        <v>0</v>
      </c>
      <c r="FC32" s="512"/>
      <c r="FD32" s="513">
        <f t="shared" si="51"/>
        <v>0</v>
      </c>
      <c r="FE32" s="514">
        <f t="shared" si="163"/>
        <v>0</v>
      </c>
      <c r="FF32" s="512"/>
      <c r="FG32" s="513">
        <f t="shared" si="52"/>
        <v>0</v>
      </c>
      <c r="FH32" s="514">
        <f t="shared" si="164"/>
        <v>0</v>
      </c>
      <c r="FI32" s="512"/>
      <c r="FJ32" s="513">
        <f t="shared" si="53"/>
        <v>0</v>
      </c>
      <c r="FK32" s="514">
        <f t="shared" si="165"/>
        <v>0</v>
      </c>
      <c r="FL32" s="512"/>
      <c r="FM32" s="513">
        <f t="shared" si="54"/>
        <v>0</v>
      </c>
      <c r="FN32" s="514">
        <f t="shared" si="166"/>
        <v>0</v>
      </c>
      <c r="FO32" s="512"/>
      <c r="FP32" s="513">
        <f t="shared" si="55"/>
        <v>0</v>
      </c>
      <c r="FQ32" s="514">
        <f t="shared" si="167"/>
        <v>0</v>
      </c>
      <c r="FR32" s="512"/>
      <c r="FS32" s="513">
        <f t="shared" si="56"/>
        <v>0</v>
      </c>
      <c r="FT32" s="514">
        <f t="shared" si="168"/>
        <v>0</v>
      </c>
      <c r="FU32" s="512"/>
      <c r="FV32" s="513">
        <f t="shared" si="57"/>
        <v>0</v>
      </c>
      <c r="FW32" s="514">
        <f t="shared" si="169"/>
        <v>0</v>
      </c>
      <c r="FX32" s="512"/>
      <c r="FY32" s="513">
        <f t="shared" si="58"/>
        <v>0</v>
      </c>
      <c r="FZ32" s="514">
        <f t="shared" si="170"/>
        <v>0</v>
      </c>
      <c r="GA32" s="512"/>
      <c r="GB32" s="513">
        <f t="shared" si="59"/>
        <v>0</v>
      </c>
      <c r="GC32" s="514">
        <f t="shared" si="171"/>
        <v>0</v>
      </c>
      <c r="GD32" s="512"/>
      <c r="GE32" s="513">
        <f t="shared" si="60"/>
        <v>0</v>
      </c>
      <c r="GF32" s="514">
        <f t="shared" si="172"/>
        <v>0</v>
      </c>
      <c r="GG32" s="512"/>
      <c r="GH32" s="513">
        <f t="shared" si="61"/>
        <v>0</v>
      </c>
      <c r="GI32" s="514">
        <f t="shared" si="173"/>
        <v>0</v>
      </c>
      <c r="GJ32" s="512"/>
      <c r="GK32" s="513">
        <f t="shared" si="62"/>
        <v>0</v>
      </c>
      <c r="GL32" s="514">
        <f t="shared" si="174"/>
        <v>0</v>
      </c>
      <c r="GM32" s="512"/>
      <c r="GN32" s="513">
        <f t="shared" si="63"/>
        <v>0</v>
      </c>
      <c r="GO32" s="514">
        <f t="shared" si="175"/>
        <v>0</v>
      </c>
      <c r="GP32" s="512"/>
      <c r="GQ32" s="513">
        <f t="shared" si="64"/>
        <v>0</v>
      </c>
      <c r="GR32" s="514">
        <f t="shared" si="176"/>
        <v>0</v>
      </c>
      <c r="GS32" s="512"/>
      <c r="GT32" s="513">
        <f t="shared" si="65"/>
        <v>0</v>
      </c>
      <c r="GU32" s="514">
        <f t="shared" si="177"/>
        <v>0</v>
      </c>
      <c r="GV32" s="512"/>
      <c r="GW32" s="513">
        <f t="shared" si="66"/>
        <v>0</v>
      </c>
      <c r="GX32" s="514">
        <f t="shared" si="178"/>
        <v>0</v>
      </c>
      <c r="GY32" s="512"/>
      <c r="GZ32" s="513">
        <f t="shared" si="67"/>
        <v>0</v>
      </c>
      <c r="HA32" s="514">
        <f t="shared" si="179"/>
        <v>0</v>
      </c>
      <c r="HB32" s="512"/>
      <c r="HC32" s="513">
        <f t="shared" si="68"/>
        <v>0</v>
      </c>
      <c r="HD32" s="514">
        <f t="shared" si="180"/>
        <v>0</v>
      </c>
      <c r="HE32" s="512"/>
      <c r="HF32" s="513">
        <f t="shared" si="69"/>
        <v>0</v>
      </c>
      <c r="HG32" s="514">
        <f t="shared" si="181"/>
        <v>0</v>
      </c>
      <c r="HH32" s="512"/>
      <c r="HI32" s="513">
        <f t="shared" si="70"/>
        <v>0</v>
      </c>
      <c r="HJ32" s="514">
        <f t="shared" si="182"/>
        <v>0</v>
      </c>
      <c r="HK32" s="512"/>
      <c r="HL32" s="513">
        <f t="shared" si="71"/>
        <v>0</v>
      </c>
      <c r="HM32" s="514">
        <f t="shared" si="183"/>
        <v>0</v>
      </c>
      <c r="HN32" s="512"/>
      <c r="HO32" s="513">
        <f t="shared" si="72"/>
        <v>0</v>
      </c>
      <c r="HP32" s="514">
        <f t="shared" si="184"/>
        <v>0</v>
      </c>
      <c r="HQ32" s="512"/>
      <c r="HR32" s="513">
        <f t="shared" si="73"/>
        <v>0</v>
      </c>
      <c r="HS32" s="514">
        <f t="shared" si="185"/>
        <v>0</v>
      </c>
      <c r="HT32" s="512"/>
      <c r="HU32" s="513">
        <f t="shared" si="74"/>
        <v>0</v>
      </c>
      <c r="HV32" s="514">
        <f t="shared" si="186"/>
        <v>0</v>
      </c>
      <c r="HW32" s="512"/>
      <c r="HX32" s="513">
        <f t="shared" si="75"/>
        <v>0</v>
      </c>
      <c r="HY32" s="514">
        <f t="shared" si="187"/>
        <v>0</v>
      </c>
      <c r="HZ32" s="512"/>
      <c r="IA32" s="513">
        <f t="shared" si="76"/>
        <v>0</v>
      </c>
      <c r="IB32" s="514">
        <f t="shared" si="188"/>
        <v>0</v>
      </c>
      <c r="IC32" s="512"/>
      <c r="ID32" s="513">
        <f t="shared" si="77"/>
        <v>0</v>
      </c>
      <c r="IE32" s="514">
        <f t="shared" si="189"/>
        <v>0</v>
      </c>
      <c r="IF32" s="512"/>
      <c r="IG32" s="513">
        <f t="shared" si="78"/>
        <v>0</v>
      </c>
      <c r="IH32" s="514">
        <f t="shared" si="190"/>
        <v>0</v>
      </c>
      <c r="II32" s="512"/>
      <c r="IJ32" s="513">
        <f t="shared" si="79"/>
        <v>0</v>
      </c>
      <c r="IK32" s="514">
        <f t="shared" si="191"/>
        <v>0</v>
      </c>
      <c r="IL32" s="512"/>
      <c r="IM32" s="513">
        <f t="shared" si="80"/>
        <v>0</v>
      </c>
      <c r="IN32" s="514">
        <f t="shared" si="192"/>
        <v>0</v>
      </c>
      <c r="IO32" s="512"/>
      <c r="IP32" s="513">
        <f t="shared" si="81"/>
        <v>0</v>
      </c>
      <c r="IQ32" s="514">
        <f t="shared" si="193"/>
        <v>0</v>
      </c>
      <c r="IR32" s="512"/>
      <c r="IS32" s="513">
        <f t="shared" si="82"/>
        <v>0</v>
      </c>
      <c r="IT32" s="514">
        <f t="shared" si="194"/>
        <v>0</v>
      </c>
      <c r="IU32" s="512"/>
      <c r="IV32" s="513">
        <f t="shared" si="83"/>
        <v>0</v>
      </c>
      <c r="IW32" s="514">
        <f t="shared" si="195"/>
        <v>0</v>
      </c>
      <c r="IX32" s="512"/>
      <c r="IY32" s="513">
        <f t="shared" si="84"/>
        <v>0</v>
      </c>
      <c r="IZ32" s="514">
        <f t="shared" si="196"/>
        <v>0</v>
      </c>
      <c r="JA32" s="512"/>
      <c r="JB32" s="513">
        <f t="shared" si="85"/>
        <v>0</v>
      </c>
      <c r="JC32" s="514">
        <f t="shared" si="197"/>
        <v>0</v>
      </c>
      <c r="JD32" s="512"/>
      <c r="JE32" s="513">
        <f t="shared" si="86"/>
        <v>0</v>
      </c>
      <c r="JF32" s="514">
        <f t="shared" si="198"/>
        <v>0</v>
      </c>
      <c r="JG32" s="512"/>
      <c r="JH32" s="513">
        <f t="shared" si="87"/>
        <v>0</v>
      </c>
      <c r="JI32" s="514">
        <f t="shared" si="199"/>
        <v>0</v>
      </c>
      <c r="JJ32" s="512"/>
      <c r="JK32" s="514" t="str">
        <f t="shared" si="88"/>
        <v>0</v>
      </c>
      <c r="JL32" s="514" t="str">
        <f t="shared" si="89"/>
        <v>0</v>
      </c>
      <c r="JM32" s="512"/>
      <c r="JN32" s="514" t="str">
        <f t="shared" si="90"/>
        <v>0</v>
      </c>
      <c r="JO32" s="514" t="str">
        <f t="shared" si="91"/>
        <v>0</v>
      </c>
      <c r="JP32" s="512"/>
      <c r="JQ32" s="514" t="str">
        <f t="shared" si="92"/>
        <v>0</v>
      </c>
      <c r="JR32" s="514" t="str">
        <f t="shared" si="93"/>
        <v>0</v>
      </c>
      <c r="JS32" s="512"/>
      <c r="JT32" s="514" t="str">
        <f t="shared" si="94"/>
        <v>0</v>
      </c>
      <c r="JU32" s="514" t="str">
        <f t="shared" si="95"/>
        <v>0</v>
      </c>
      <c r="JV32" s="512"/>
      <c r="JW32" s="514" t="str">
        <f t="shared" si="96"/>
        <v>0</v>
      </c>
      <c r="JX32" s="514" t="str">
        <f t="shared" si="97"/>
        <v>0</v>
      </c>
      <c r="JY32" s="512"/>
      <c r="JZ32" s="514" t="str">
        <f t="shared" si="98"/>
        <v>0</v>
      </c>
      <c r="KA32" s="514" t="str">
        <f t="shared" si="99"/>
        <v>0</v>
      </c>
      <c r="KB32" s="512"/>
      <c r="KC32" s="514" t="str">
        <f t="shared" si="100"/>
        <v>0</v>
      </c>
      <c r="KD32" s="514" t="str">
        <f t="shared" si="101"/>
        <v>0</v>
      </c>
      <c r="KE32" s="512"/>
      <c r="KF32" s="514" t="str">
        <f t="shared" si="102"/>
        <v>0</v>
      </c>
      <c r="KG32" s="514" t="str">
        <f t="shared" si="103"/>
        <v>0</v>
      </c>
      <c r="KH32" s="512"/>
      <c r="KI32" s="514" t="str">
        <f t="shared" si="104"/>
        <v>0</v>
      </c>
      <c r="KJ32" s="514" t="str">
        <f t="shared" si="105"/>
        <v>0</v>
      </c>
      <c r="KK32" s="512"/>
      <c r="KL32" s="514" t="str">
        <f t="shared" si="106"/>
        <v>0</v>
      </c>
      <c r="KM32" s="514" t="str">
        <f t="shared" si="107"/>
        <v>0</v>
      </c>
      <c r="KN32" s="512"/>
      <c r="KO32" s="514" t="str">
        <f t="shared" si="108"/>
        <v>0</v>
      </c>
      <c r="KP32" s="514" t="str">
        <f t="shared" si="109"/>
        <v>0</v>
      </c>
      <c r="KQ32" s="512"/>
      <c r="KR32" s="514" t="str">
        <f t="shared" si="110"/>
        <v>0</v>
      </c>
      <c r="KS32" s="514" t="str">
        <f t="shared" si="111"/>
        <v>0</v>
      </c>
      <c r="KT32" s="514">
        <f t="shared" si="201"/>
        <v>0</v>
      </c>
      <c r="KU32" s="514">
        <f t="shared" si="202"/>
        <v>0</v>
      </c>
      <c r="KV32" s="263">
        <f t="shared" si="204"/>
        <v>295.53935581746117</v>
      </c>
    </row>
    <row r="33" spans="1:16384" ht="15" customHeight="1">
      <c r="A33" s="471">
        <f t="shared" si="200"/>
        <v>45954</v>
      </c>
      <c r="B33" s="472" t="str">
        <f>+Report1!B32</f>
        <v>Toilet/Facial</v>
      </c>
      <c r="C33" s="473" t="str">
        <f>+Report1!C32</f>
        <v>14,5/12/16</v>
      </c>
      <c r="D33" s="474">
        <f>+Report1!P32</f>
        <v>39.926000000000002</v>
      </c>
      <c r="E33" s="475">
        <f>+Report1!R32</f>
        <v>38.56</v>
      </c>
      <c r="F33" s="512"/>
      <c r="G33" s="513">
        <f t="shared" si="0"/>
        <v>0</v>
      </c>
      <c r="H33" s="514">
        <f t="shared" si="113"/>
        <v>0</v>
      </c>
      <c r="I33" s="512">
        <v>290.69767441860472</v>
      </c>
      <c r="J33" s="513">
        <f t="shared" si="1"/>
        <v>7.5388401042169271</v>
      </c>
      <c r="K33" s="514">
        <f t="shared" si="114"/>
        <v>0</v>
      </c>
      <c r="L33" s="512"/>
      <c r="M33" s="513">
        <f t="shared" si="2"/>
        <v>0</v>
      </c>
      <c r="N33" s="514">
        <f t="shared" si="115"/>
        <v>0</v>
      </c>
      <c r="O33" s="512">
        <v>20.999999999999986</v>
      </c>
      <c r="P33" s="513">
        <f t="shared" si="3"/>
        <v>0.54460580912863032</v>
      </c>
      <c r="Q33" s="514">
        <f t="shared" si="116"/>
        <v>0</v>
      </c>
      <c r="R33" s="512">
        <v>7.6875</v>
      </c>
      <c r="S33" s="513">
        <f t="shared" si="4"/>
        <v>0.19936462655601658</v>
      </c>
      <c r="T33" s="514">
        <f t="shared" si="117"/>
        <v>0</v>
      </c>
      <c r="U33" s="512">
        <v>7.8124999999999858</v>
      </c>
      <c r="V33" s="513">
        <f t="shared" si="5"/>
        <v>0.20260632780082949</v>
      </c>
      <c r="W33" s="514">
        <f t="shared" si="118"/>
        <v>0</v>
      </c>
      <c r="X33" s="512"/>
      <c r="Y33" s="513">
        <f t="shared" si="6"/>
        <v>0</v>
      </c>
      <c r="Z33" s="514">
        <f t="shared" si="119"/>
        <v>0</v>
      </c>
      <c r="AA33" s="512"/>
      <c r="AB33" s="513">
        <f t="shared" si="7"/>
        <v>0</v>
      </c>
      <c r="AC33" s="514">
        <f t="shared" si="120"/>
        <v>0</v>
      </c>
      <c r="AD33" s="512"/>
      <c r="AE33" s="513">
        <f t="shared" si="8"/>
        <v>0</v>
      </c>
      <c r="AF33" s="514">
        <f t="shared" si="121"/>
        <v>0</v>
      </c>
      <c r="AG33" s="512"/>
      <c r="AH33" s="513">
        <f t="shared" si="9"/>
        <v>0</v>
      </c>
      <c r="AI33" s="514">
        <f t="shared" si="122"/>
        <v>0</v>
      </c>
      <c r="AJ33" s="512"/>
      <c r="AK33" s="513">
        <f t="shared" si="10"/>
        <v>0</v>
      </c>
      <c r="AL33" s="514">
        <f t="shared" si="123"/>
        <v>0</v>
      </c>
      <c r="AM33" s="512"/>
      <c r="AN33" s="513">
        <f t="shared" si="11"/>
        <v>0</v>
      </c>
      <c r="AO33" s="514">
        <f t="shared" si="124"/>
        <v>0</v>
      </c>
      <c r="AP33" s="512">
        <v>49.935897435897402</v>
      </c>
      <c r="AQ33" s="513">
        <f t="shared" si="12"/>
        <v>1.2950180870305341</v>
      </c>
      <c r="AR33" s="514">
        <f t="shared" si="125"/>
        <v>0</v>
      </c>
      <c r="AS33" s="512"/>
      <c r="AT33" s="513">
        <f t="shared" si="13"/>
        <v>0</v>
      </c>
      <c r="AU33" s="514">
        <f t="shared" si="126"/>
        <v>0</v>
      </c>
      <c r="AV33" s="512">
        <v>5.5499999999999829</v>
      </c>
      <c r="AW33" s="513">
        <f t="shared" si="14"/>
        <v>0.14393153526970909</v>
      </c>
      <c r="AX33" s="514">
        <f t="shared" si="127"/>
        <v>0</v>
      </c>
      <c r="AY33" s="512">
        <v>65.333333333333329</v>
      </c>
      <c r="AZ33" s="513">
        <f t="shared" si="15"/>
        <v>1.6943291839557397</v>
      </c>
      <c r="BA33" s="514">
        <f t="shared" si="128"/>
        <v>0</v>
      </c>
      <c r="BB33" s="512"/>
      <c r="BC33" s="513">
        <f t="shared" si="16"/>
        <v>0</v>
      </c>
      <c r="BD33" s="514">
        <f t="shared" si="129"/>
        <v>0</v>
      </c>
      <c r="BE33" s="512"/>
      <c r="BF33" s="513">
        <f t="shared" si="17"/>
        <v>0</v>
      </c>
      <c r="BG33" s="514">
        <f t="shared" si="130"/>
        <v>0</v>
      </c>
      <c r="BH33" s="512"/>
      <c r="BI33" s="513">
        <f t="shared" si="18"/>
        <v>0</v>
      </c>
      <c r="BJ33" s="514">
        <f t="shared" si="131"/>
        <v>0</v>
      </c>
      <c r="BK33" s="512"/>
      <c r="BL33" s="513">
        <f t="shared" si="19"/>
        <v>0</v>
      </c>
      <c r="BM33" s="514">
        <f t="shared" si="132"/>
        <v>0</v>
      </c>
      <c r="BN33" s="512"/>
      <c r="BO33" s="513">
        <f t="shared" si="20"/>
        <v>0</v>
      </c>
      <c r="BP33" s="514">
        <f t="shared" si="133"/>
        <v>0</v>
      </c>
      <c r="BQ33" s="512">
        <v>40.69645569620252</v>
      </c>
      <c r="BR33" s="513">
        <f t="shared" si="21"/>
        <v>1.055406008718945</v>
      </c>
      <c r="BS33" s="514">
        <f t="shared" si="134"/>
        <v>0</v>
      </c>
      <c r="BT33" s="512"/>
      <c r="BU33" s="513">
        <f t="shared" si="22"/>
        <v>0</v>
      </c>
      <c r="BV33" s="514">
        <f t="shared" si="135"/>
        <v>0</v>
      </c>
      <c r="BW33" s="512"/>
      <c r="BX33" s="513">
        <f t="shared" si="23"/>
        <v>0</v>
      </c>
      <c r="BY33" s="514">
        <f t="shared" si="136"/>
        <v>0</v>
      </c>
      <c r="BZ33" s="512"/>
      <c r="CA33" s="513">
        <f t="shared" si="24"/>
        <v>0</v>
      </c>
      <c r="CB33" s="514">
        <f t="shared" si="137"/>
        <v>0</v>
      </c>
      <c r="CC33" s="512"/>
      <c r="CD33" s="513">
        <f t="shared" si="25"/>
        <v>0</v>
      </c>
      <c r="CE33" s="514">
        <f t="shared" si="138"/>
        <v>0</v>
      </c>
      <c r="CF33" s="512">
        <v>9</v>
      </c>
      <c r="CG33" s="513">
        <f t="shared" si="26"/>
        <v>0.23340248962655599</v>
      </c>
      <c r="CH33" s="514">
        <f t="shared" si="139"/>
        <v>0</v>
      </c>
      <c r="CI33" s="512"/>
      <c r="CJ33" s="513">
        <f t="shared" si="27"/>
        <v>0</v>
      </c>
      <c r="CK33" s="514">
        <f t="shared" si="140"/>
        <v>0</v>
      </c>
      <c r="CL33" s="512"/>
      <c r="CM33" s="513">
        <f t="shared" si="28"/>
        <v>0</v>
      </c>
      <c r="CN33" s="514">
        <f t="shared" si="141"/>
        <v>0</v>
      </c>
      <c r="CO33" s="512"/>
      <c r="CP33" s="513">
        <f t="shared" si="29"/>
        <v>0</v>
      </c>
      <c r="CQ33" s="514">
        <f t="shared" si="142"/>
        <v>0</v>
      </c>
      <c r="CR33" s="512"/>
      <c r="CS33" s="513">
        <f t="shared" si="30"/>
        <v>0</v>
      </c>
      <c r="CT33" s="514">
        <f t="shared" si="143"/>
        <v>0</v>
      </c>
      <c r="CU33" s="512"/>
      <c r="CV33" s="513">
        <f t="shared" si="31"/>
        <v>0</v>
      </c>
      <c r="CW33" s="514">
        <f t="shared" si="144"/>
        <v>0</v>
      </c>
      <c r="CX33" s="512"/>
      <c r="CY33" s="513">
        <f t="shared" si="32"/>
        <v>0</v>
      </c>
      <c r="CZ33" s="514">
        <f t="shared" si="145"/>
        <v>0</v>
      </c>
      <c r="DA33" s="512"/>
      <c r="DB33" s="513">
        <f t="shared" si="33"/>
        <v>0</v>
      </c>
      <c r="DC33" s="514">
        <f t="shared" si="146"/>
        <v>0</v>
      </c>
      <c r="DD33" s="512"/>
      <c r="DE33" s="513">
        <f t="shared" si="34"/>
        <v>0</v>
      </c>
      <c r="DF33" s="514">
        <f t="shared" si="147"/>
        <v>0</v>
      </c>
      <c r="DG33" s="512"/>
      <c r="DH33" s="513">
        <f t="shared" si="35"/>
        <v>0</v>
      </c>
      <c r="DI33" s="514">
        <f t="shared" si="203"/>
        <v>0</v>
      </c>
      <c r="DJ33" s="512"/>
      <c r="DK33" s="513">
        <f t="shared" si="36"/>
        <v>0</v>
      </c>
      <c r="DL33" s="514">
        <f t="shared" si="148"/>
        <v>0</v>
      </c>
      <c r="DM33" s="512"/>
      <c r="DN33" s="513">
        <f t="shared" si="37"/>
        <v>0</v>
      </c>
      <c r="DO33" s="514">
        <f t="shared" si="149"/>
        <v>0</v>
      </c>
      <c r="DP33" s="512"/>
      <c r="DQ33" s="513">
        <f t="shared" si="38"/>
        <v>0</v>
      </c>
      <c r="DR33" s="514">
        <f t="shared" si="150"/>
        <v>0</v>
      </c>
      <c r="DS33" s="512"/>
      <c r="DT33" s="513">
        <f t="shared" si="39"/>
        <v>0</v>
      </c>
      <c r="DU33" s="514">
        <f t="shared" si="151"/>
        <v>0</v>
      </c>
      <c r="DV33" s="512"/>
      <c r="DW33" s="513">
        <f t="shared" si="40"/>
        <v>0</v>
      </c>
      <c r="DX33" s="514">
        <f t="shared" si="152"/>
        <v>0</v>
      </c>
      <c r="DY33" s="512"/>
      <c r="DZ33" s="513">
        <f t="shared" si="41"/>
        <v>0</v>
      </c>
      <c r="EA33" s="514">
        <f t="shared" si="153"/>
        <v>0</v>
      </c>
      <c r="EB33" s="512">
        <v>70.44705882352946</v>
      </c>
      <c r="EC33" s="513">
        <f t="shared" si="42"/>
        <v>1.8269465462533572</v>
      </c>
      <c r="ED33" s="514">
        <f t="shared" si="154"/>
        <v>0</v>
      </c>
      <c r="EE33" s="512">
        <v>7.2674418604651123</v>
      </c>
      <c r="EF33" s="513">
        <f t="shared" si="43"/>
        <v>0.18847100260542302</v>
      </c>
      <c r="EG33" s="514">
        <f t="shared" si="155"/>
        <v>0</v>
      </c>
      <c r="EH33" s="512">
        <v>3</v>
      </c>
      <c r="EI33" s="513">
        <f t="shared" si="44"/>
        <v>7.7800829875518673E-2</v>
      </c>
      <c r="EJ33" s="514">
        <f t="shared" si="156"/>
        <v>0</v>
      </c>
      <c r="EK33" s="512"/>
      <c r="EL33" s="513">
        <f t="shared" si="45"/>
        <v>0</v>
      </c>
      <c r="EM33" s="514">
        <f t="shared" si="157"/>
        <v>0</v>
      </c>
      <c r="EN33" s="512"/>
      <c r="EO33" s="513">
        <f t="shared" si="46"/>
        <v>0</v>
      </c>
      <c r="EP33" s="514">
        <f t="shared" si="158"/>
        <v>0</v>
      </c>
      <c r="EQ33" s="512"/>
      <c r="ER33" s="513">
        <f t="shared" si="47"/>
        <v>0</v>
      </c>
      <c r="ES33" s="514">
        <f t="shared" si="159"/>
        <v>0</v>
      </c>
      <c r="ET33" s="512"/>
      <c r="EU33" s="513">
        <f t="shared" si="48"/>
        <v>0</v>
      </c>
      <c r="EV33" s="514">
        <f t="shared" si="160"/>
        <v>0</v>
      </c>
      <c r="EW33" s="512"/>
      <c r="EX33" s="513">
        <f t="shared" si="49"/>
        <v>0</v>
      </c>
      <c r="EY33" s="514">
        <f t="shared" si="161"/>
        <v>0</v>
      </c>
      <c r="EZ33" s="512"/>
      <c r="FA33" s="513">
        <f t="shared" si="50"/>
        <v>0</v>
      </c>
      <c r="FB33" s="514">
        <f t="shared" si="162"/>
        <v>0</v>
      </c>
      <c r="FC33" s="512"/>
      <c r="FD33" s="513">
        <f t="shared" si="51"/>
        <v>0</v>
      </c>
      <c r="FE33" s="514">
        <f t="shared" si="163"/>
        <v>0</v>
      </c>
      <c r="FF33" s="512"/>
      <c r="FG33" s="513">
        <f t="shared" si="52"/>
        <v>0</v>
      </c>
      <c r="FH33" s="514">
        <f t="shared" si="164"/>
        <v>0</v>
      </c>
      <c r="FI33" s="512"/>
      <c r="FJ33" s="513">
        <f t="shared" si="53"/>
        <v>0</v>
      </c>
      <c r="FK33" s="514">
        <f t="shared" si="165"/>
        <v>0</v>
      </c>
      <c r="FL33" s="512"/>
      <c r="FM33" s="513">
        <f t="shared" si="54"/>
        <v>0</v>
      </c>
      <c r="FN33" s="514">
        <f t="shared" si="166"/>
        <v>0</v>
      </c>
      <c r="FO33" s="512"/>
      <c r="FP33" s="513">
        <f t="shared" si="55"/>
        <v>0</v>
      </c>
      <c r="FQ33" s="514">
        <f t="shared" si="167"/>
        <v>0</v>
      </c>
      <c r="FR33" s="512"/>
      <c r="FS33" s="513">
        <f t="shared" si="56"/>
        <v>0</v>
      </c>
      <c r="FT33" s="514">
        <f t="shared" si="168"/>
        <v>0</v>
      </c>
      <c r="FU33" s="512"/>
      <c r="FV33" s="513">
        <f t="shared" si="57"/>
        <v>0</v>
      </c>
      <c r="FW33" s="514">
        <f t="shared" si="169"/>
        <v>0</v>
      </c>
      <c r="FX33" s="512"/>
      <c r="FY33" s="513">
        <f t="shared" si="58"/>
        <v>0</v>
      </c>
      <c r="FZ33" s="514">
        <f t="shared" si="170"/>
        <v>0</v>
      </c>
      <c r="GA33" s="512"/>
      <c r="GB33" s="513">
        <f t="shared" si="59"/>
        <v>0</v>
      </c>
      <c r="GC33" s="514">
        <f t="shared" si="171"/>
        <v>0</v>
      </c>
      <c r="GD33" s="512"/>
      <c r="GE33" s="513">
        <f t="shared" si="60"/>
        <v>0</v>
      </c>
      <c r="GF33" s="514">
        <f t="shared" si="172"/>
        <v>0</v>
      </c>
      <c r="GG33" s="512"/>
      <c r="GH33" s="513">
        <f t="shared" si="61"/>
        <v>0</v>
      </c>
      <c r="GI33" s="514">
        <f t="shared" si="173"/>
        <v>0</v>
      </c>
      <c r="GJ33" s="512"/>
      <c r="GK33" s="513">
        <f t="shared" si="62"/>
        <v>0</v>
      </c>
      <c r="GL33" s="514">
        <f t="shared" si="174"/>
        <v>0</v>
      </c>
      <c r="GM33" s="512"/>
      <c r="GN33" s="513">
        <f t="shared" si="63"/>
        <v>0</v>
      </c>
      <c r="GO33" s="514">
        <f t="shared" si="175"/>
        <v>0</v>
      </c>
      <c r="GP33" s="512"/>
      <c r="GQ33" s="513">
        <f t="shared" si="64"/>
        <v>0</v>
      </c>
      <c r="GR33" s="514">
        <f t="shared" si="176"/>
        <v>0</v>
      </c>
      <c r="GS33" s="512"/>
      <c r="GT33" s="513">
        <f t="shared" si="65"/>
        <v>0</v>
      </c>
      <c r="GU33" s="514">
        <f t="shared" si="177"/>
        <v>0</v>
      </c>
      <c r="GV33" s="512"/>
      <c r="GW33" s="513">
        <f t="shared" si="66"/>
        <v>0</v>
      </c>
      <c r="GX33" s="514">
        <f t="shared" si="178"/>
        <v>0</v>
      </c>
      <c r="GY33" s="512"/>
      <c r="GZ33" s="513">
        <f t="shared" si="67"/>
        <v>0</v>
      </c>
      <c r="HA33" s="514">
        <f t="shared" si="179"/>
        <v>0</v>
      </c>
      <c r="HB33" s="512"/>
      <c r="HC33" s="513">
        <f t="shared" si="68"/>
        <v>0</v>
      </c>
      <c r="HD33" s="514">
        <f t="shared" si="180"/>
        <v>0</v>
      </c>
      <c r="HE33" s="512"/>
      <c r="HF33" s="513">
        <f t="shared" si="69"/>
        <v>0</v>
      </c>
      <c r="HG33" s="514">
        <f t="shared" si="181"/>
        <v>0</v>
      </c>
      <c r="HH33" s="512"/>
      <c r="HI33" s="513">
        <f t="shared" si="70"/>
        <v>0</v>
      </c>
      <c r="HJ33" s="514">
        <f t="shared" si="182"/>
        <v>0</v>
      </c>
      <c r="HK33" s="512"/>
      <c r="HL33" s="513">
        <f t="shared" si="71"/>
        <v>0</v>
      </c>
      <c r="HM33" s="514">
        <f t="shared" si="183"/>
        <v>0</v>
      </c>
      <c r="HN33" s="512"/>
      <c r="HO33" s="513">
        <f t="shared" si="72"/>
        <v>0</v>
      </c>
      <c r="HP33" s="514">
        <f t="shared" si="184"/>
        <v>0</v>
      </c>
      <c r="HQ33" s="512"/>
      <c r="HR33" s="513">
        <f t="shared" si="73"/>
        <v>0</v>
      </c>
      <c r="HS33" s="514">
        <f t="shared" si="185"/>
        <v>0</v>
      </c>
      <c r="HT33" s="512"/>
      <c r="HU33" s="513">
        <f t="shared" si="74"/>
        <v>0</v>
      </c>
      <c r="HV33" s="514">
        <f t="shared" si="186"/>
        <v>0</v>
      </c>
      <c r="HW33" s="512"/>
      <c r="HX33" s="513">
        <f t="shared" si="75"/>
        <v>0</v>
      </c>
      <c r="HY33" s="514">
        <f t="shared" si="187"/>
        <v>0</v>
      </c>
      <c r="HZ33" s="512"/>
      <c r="IA33" s="513">
        <f t="shared" si="76"/>
        <v>0</v>
      </c>
      <c r="IB33" s="514">
        <f t="shared" si="188"/>
        <v>0</v>
      </c>
      <c r="IC33" s="512"/>
      <c r="ID33" s="513">
        <f t="shared" si="77"/>
        <v>0</v>
      </c>
      <c r="IE33" s="514">
        <f t="shared" si="189"/>
        <v>0</v>
      </c>
      <c r="IF33" s="512"/>
      <c r="IG33" s="513">
        <f t="shared" si="78"/>
        <v>0</v>
      </c>
      <c r="IH33" s="514">
        <f t="shared" si="190"/>
        <v>0</v>
      </c>
      <c r="II33" s="512"/>
      <c r="IJ33" s="513">
        <f t="shared" si="79"/>
        <v>0</v>
      </c>
      <c r="IK33" s="514">
        <f t="shared" si="191"/>
        <v>0</v>
      </c>
      <c r="IL33" s="512"/>
      <c r="IM33" s="513">
        <f t="shared" si="80"/>
        <v>0</v>
      </c>
      <c r="IN33" s="514">
        <f t="shared" si="192"/>
        <v>0</v>
      </c>
      <c r="IO33" s="512"/>
      <c r="IP33" s="513">
        <f t="shared" si="81"/>
        <v>0</v>
      </c>
      <c r="IQ33" s="514">
        <f t="shared" si="193"/>
        <v>0</v>
      </c>
      <c r="IR33" s="512"/>
      <c r="IS33" s="513">
        <f t="shared" si="82"/>
        <v>0</v>
      </c>
      <c r="IT33" s="514">
        <f t="shared" si="194"/>
        <v>0</v>
      </c>
      <c r="IU33" s="512"/>
      <c r="IV33" s="513">
        <f t="shared" si="83"/>
        <v>0</v>
      </c>
      <c r="IW33" s="514">
        <f t="shared" si="195"/>
        <v>0</v>
      </c>
      <c r="IX33" s="512"/>
      <c r="IY33" s="513">
        <f t="shared" si="84"/>
        <v>0</v>
      </c>
      <c r="IZ33" s="514">
        <f t="shared" si="196"/>
        <v>0</v>
      </c>
      <c r="JA33" s="512"/>
      <c r="JB33" s="513">
        <f t="shared" si="85"/>
        <v>0</v>
      </c>
      <c r="JC33" s="514">
        <f t="shared" si="197"/>
        <v>0</v>
      </c>
      <c r="JD33" s="512"/>
      <c r="JE33" s="513">
        <f t="shared" si="86"/>
        <v>0</v>
      </c>
      <c r="JF33" s="514">
        <f t="shared" si="198"/>
        <v>0</v>
      </c>
      <c r="JG33" s="512"/>
      <c r="JH33" s="513">
        <f t="shared" si="87"/>
        <v>0</v>
      </c>
      <c r="JI33" s="514">
        <f t="shared" si="199"/>
        <v>0</v>
      </c>
      <c r="JJ33" s="512"/>
      <c r="JK33" s="514" t="str">
        <f t="shared" si="88"/>
        <v>0</v>
      </c>
      <c r="JL33" s="514" t="str">
        <f t="shared" si="89"/>
        <v>0</v>
      </c>
      <c r="JM33" s="512"/>
      <c r="JN33" s="514" t="str">
        <f t="shared" si="90"/>
        <v>0</v>
      </c>
      <c r="JO33" s="514" t="str">
        <f t="shared" si="91"/>
        <v>0</v>
      </c>
      <c r="JP33" s="512"/>
      <c r="JQ33" s="514" t="str">
        <f t="shared" si="92"/>
        <v>0</v>
      </c>
      <c r="JR33" s="514" t="str">
        <f t="shared" si="93"/>
        <v>0</v>
      </c>
      <c r="JS33" s="512"/>
      <c r="JT33" s="514" t="str">
        <f t="shared" si="94"/>
        <v>0</v>
      </c>
      <c r="JU33" s="514" t="str">
        <f t="shared" si="95"/>
        <v>0</v>
      </c>
      <c r="JV33" s="512"/>
      <c r="JW33" s="514" t="str">
        <f t="shared" si="96"/>
        <v>0</v>
      </c>
      <c r="JX33" s="514" t="str">
        <f t="shared" si="97"/>
        <v>0</v>
      </c>
      <c r="JY33" s="512"/>
      <c r="JZ33" s="514" t="str">
        <f t="shared" si="98"/>
        <v>0</v>
      </c>
      <c r="KA33" s="514" t="str">
        <f t="shared" si="99"/>
        <v>0</v>
      </c>
      <c r="KB33" s="512"/>
      <c r="KC33" s="514" t="str">
        <f t="shared" si="100"/>
        <v>0</v>
      </c>
      <c r="KD33" s="514" t="str">
        <f t="shared" si="101"/>
        <v>0</v>
      </c>
      <c r="KE33" s="512"/>
      <c r="KF33" s="514" t="str">
        <f t="shared" si="102"/>
        <v>0</v>
      </c>
      <c r="KG33" s="514" t="str">
        <f t="shared" si="103"/>
        <v>0</v>
      </c>
      <c r="KH33" s="512"/>
      <c r="KI33" s="514" t="str">
        <f t="shared" si="104"/>
        <v>0</v>
      </c>
      <c r="KJ33" s="514" t="str">
        <f t="shared" si="105"/>
        <v>0</v>
      </c>
      <c r="KK33" s="512"/>
      <c r="KL33" s="514" t="str">
        <f t="shared" si="106"/>
        <v>0</v>
      </c>
      <c r="KM33" s="514" t="str">
        <f t="shared" si="107"/>
        <v>0</v>
      </c>
      <c r="KN33" s="512"/>
      <c r="KO33" s="514" t="str">
        <f t="shared" si="108"/>
        <v>0</v>
      </c>
      <c r="KP33" s="514" t="str">
        <f t="shared" si="109"/>
        <v>0</v>
      </c>
      <c r="KQ33" s="512"/>
      <c r="KR33" s="514" t="str">
        <f t="shared" si="110"/>
        <v>0</v>
      </c>
      <c r="KS33" s="514" t="str">
        <f t="shared" si="111"/>
        <v>0</v>
      </c>
      <c r="KT33" s="514">
        <f t="shared" si="201"/>
        <v>0</v>
      </c>
      <c r="KU33" s="514">
        <f t="shared" si="202"/>
        <v>0</v>
      </c>
      <c r="KV33" s="263">
        <f t="shared" si="204"/>
        <v>578.42786156803254</v>
      </c>
    </row>
    <row r="34" spans="1:16384" ht="15" customHeight="1">
      <c r="A34" s="471">
        <f t="shared" si="200"/>
        <v>45955</v>
      </c>
      <c r="B34" s="472" t="str">
        <f>+Report1!B33</f>
        <v>Facial/Toilet</v>
      </c>
      <c r="C34" s="473" t="str">
        <f>+Report1!C33</f>
        <v>12/13</v>
      </c>
      <c r="D34" s="474">
        <f>+Report1!P33</f>
        <v>30.018000000000001</v>
      </c>
      <c r="E34" s="475">
        <f>+Report1!R33</f>
        <v>23.135000000000002</v>
      </c>
      <c r="F34" s="512"/>
      <c r="G34" s="513">
        <f t="shared" si="0"/>
        <v>0</v>
      </c>
      <c r="H34" s="514">
        <f t="shared" si="113"/>
        <v>0</v>
      </c>
      <c r="I34" s="512">
        <v>13.396753488372156</v>
      </c>
      <c r="J34" s="513">
        <f t="shared" si="1"/>
        <v>0.57906866169752125</v>
      </c>
      <c r="K34" s="514">
        <f t="shared" si="114"/>
        <v>0</v>
      </c>
      <c r="L34" s="512"/>
      <c r="M34" s="513">
        <f t="shared" si="2"/>
        <v>0</v>
      </c>
      <c r="N34" s="514">
        <f t="shared" si="115"/>
        <v>0</v>
      </c>
      <c r="O34" s="512">
        <v>24</v>
      </c>
      <c r="P34" s="513">
        <f t="shared" si="3"/>
        <v>1.0373892370866651</v>
      </c>
      <c r="Q34" s="514">
        <f t="shared" si="116"/>
        <v>0</v>
      </c>
      <c r="R34" s="512">
        <v>7.6875000000000071</v>
      </c>
      <c r="S34" s="513">
        <f t="shared" si="4"/>
        <v>0.33228874000432274</v>
      </c>
      <c r="T34" s="514">
        <f t="shared" si="117"/>
        <v>0</v>
      </c>
      <c r="U34" s="512">
        <v>7.03125</v>
      </c>
      <c r="V34" s="513">
        <f t="shared" si="5"/>
        <v>0.30392262805273396</v>
      </c>
      <c r="W34" s="514">
        <f t="shared" si="118"/>
        <v>0</v>
      </c>
      <c r="X34" s="512"/>
      <c r="Y34" s="513">
        <f t="shared" si="6"/>
        <v>0</v>
      </c>
      <c r="Z34" s="514">
        <f t="shared" si="119"/>
        <v>0</v>
      </c>
      <c r="AA34" s="512"/>
      <c r="AB34" s="513">
        <f t="shared" si="7"/>
        <v>0</v>
      </c>
      <c r="AC34" s="514">
        <f t="shared" si="120"/>
        <v>0</v>
      </c>
      <c r="AD34" s="512"/>
      <c r="AE34" s="513">
        <f t="shared" si="8"/>
        <v>0</v>
      </c>
      <c r="AF34" s="514">
        <f t="shared" si="121"/>
        <v>0</v>
      </c>
      <c r="AG34" s="512"/>
      <c r="AH34" s="513">
        <f t="shared" si="9"/>
        <v>0</v>
      </c>
      <c r="AI34" s="514">
        <f t="shared" si="122"/>
        <v>0</v>
      </c>
      <c r="AJ34" s="512"/>
      <c r="AK34" s="513">
        <f t="shared" si="10"/>
        <v>0</v>
      </c>
      <c r="AL34" s="514">
        <f t="shared" si="123"/>
        <v>0</v>
      </c>
      <c r="AM34" s="512"/>
      <c r="AN34" s="513">
        <f t="shared" si="11"/>
        <v>0</v>
      </c>
      <c r="AO34" s="514">
        <f t="shared" si="124"/>
        <v>0</v>
      </c>
      <c r="AP34" s="512">
        <v>68.081076923076921</v>
      </c>
      <c r="AQ34" s="513">
        <f t="shared" si="12"/>
        <v>2.9427740187195557</v>
      </c>
      <c r="AR34" s="514">
        <f t="shared" si="125"/>
        <v>0</v>
      </c>
      <c r="AS34" s="512"/>
      <c r="AT34" s="513">
        <f t="shared" si="13"/>
        <v>0</v>
      </c>
      <c r="AU34" s="514">
        <f t="shared" si="126"/>
        <v>0</v>
      </c>
      <c r="AV34" s="512">
        <v>7.9925000000000352</v>
      </c>
      <c r="AW34" s="513">
        <f t="shared" si="14"/>
        <v>0.34547222822563367</v>
      </c>
      <c r="AX34" s="514">
        <f t="shared" si="127"/>
        <v>0</v>
      </c>
      <c r="AY34" s="512">
        <v>69.851199999999977</v>
      </c>
      <c r="AZ34" s="513">
        <f t="shared" si="15"/>
        <v>3.0192867948995019</v>
      </c>
      <c r="BA34" s="514">
        <f t="shared" si="128"/>
        <v>0</v>
      </c>
      <c r="BB34" s="512"/>
      <c r="BC34" s="513">
        <f t="shared" si="16"/>
        <v>0</v>
      </c>
      <c r="BD34" s="514">
        <f t="shared" si="129"/>
        <v>0</v>
      </c>
      <c r="BE34" s="512"/>
      <c r="BF34" s="513">
        <f t="shared" si="17"/>
        <v>0</v>
      </c>
      <c r="BG34" s="514">
        <f t="shared" si="130"/>
        <v>0</v>
      </c>
      <c r="BH34" s="512"/>
      <c r="BI34" s="513">
        <f t="shared" si="18"/>
        <v>0</v>
      </c>
      <c r="BJ34" s="514">
        <f t="shared" si="131"/>
        <v>0</v>
      </c>
      <c r="BK34" s="512"/>
      <c r="BL34" s="513">
        <f t="shared" si="19"/>
        <v>0</v>
      </c>
      <c r="BM34" s="514">
        <f t="shared" si="132"/>
        <v>0</v>
      </c>
      <c r="BN34" s="512"/>
      <c r="BO34" s="513">
        <f t="shared" si="20"/>
        <v>0</v>
      </c>
      <c r="BP34" s="514">
        <f t="shared" si="133"/>
        <v>0</v>
      </c>
      <c r="BQ34" s="512"/>
      <c r="BR34" s="513">
        <f t="shared" si="21"/>
        <v>0</v>
      </c>
      <c r="BS34" s="514">
        <f t="shared" si="134"/>
        <v>0</v>
      </c>
      <c r="BT34" s="512"/>
      <c r="BU34" s="513">
        <f t="shared" si="22"/>
        <v>0</v>
      </c>
      <c r="BV34" s="514">
        <f t="shared" si="135"/>
        <v>0</v>
      </c>
      <c r="BW34" s="512"/>
      <c r="BX34" s="513">
        <f t="shared" si="23"/>
        <v>0</v>
      </c>
      <c r="BY34" s="514">
        <f t="shared" si="136"/>
        <v>0</v>
      </c>
      <c r="BZ34" s="512"/>
      <c r="CA34" s="513">
        <f t="shared" si="24"/>
        <v>0</v>
      </c>
      <c r="CB34" s="514">
        <f t="shared" si="137"/>
        <v>0</v>
      </c>
      <c r="CC34" s="512"/>
      <c r="CD34" s="513">
        <f t="shared" si="25"/>
        <v>0</v>
      </c>
      <c r="CE34" s="514">
        <f t="shared" si="138"/>
        <v>0</v>
      </c>
      <c r="CF34" s="512">
        <v>9</v>
      </c>
      <c r="CG34" s="513">
        <f t="shared" si="26"/>
        <v>0.38902096390749941</v>
      </c>
      <c r="CH34" s="514">
        <f t="shared" si="139"/>
        <v>0</v>
      </c>
      <c r="CI34" s="512"/>
      <c r="CJ34" s="513">
        <f t="shared" si="27"/>
        <v>0</v>
      </c>
      <c r="CK34" s="514">
        <f t="shared" si="140"/>
        <v>0</v>
      </c>
      <c r="CL34" s="512"/>
      <c r="CM34" s="513">
        <f t="shared" si="28"/>
        <v>0</v>
      </c>
      <c r="CN34" s="514">
        <f t="shared" si="141"/>
        <v>0</v>
      </c>
      <c r="CO34" s="512"/>
      <c r="CP34" s="513">
        <f t="shared" si="29"/>
        <v>0</v>
      </c>
      <c r="CQ34" s="514">
        <f t="shared" si="142"/>
        <v>0</v>
      </c>
      <c r="CR34" s="512"/>
      <c r="CS34" s="513">
        <f t="shared" si="30"/>
        <v>0</v>
      </c>
      <c r="CT34" s="514">
        <f t="shared" si="143"/>
        <v>0</v>
      </c>
      <c r="CU34" s="512"/>
      <c r="CV34" s="513">
        <f t="shared" si="31"/>
        <v>0</v>
      </c>
      <c r="CW34" s="514">
        <f t="shared" si="144"/>
        <v>0</v>
      </c>
      <c r="CX34" s="512"/>
      <c r="CY34" s="513">
        <f t="shared" si="32"/>
        <v>0</v>
      </c>
      <c r="CZ34" s="514">
        <f t="shared" si="145"/>
        <v>0</v>
      </c>
      <c r="DA34" s="512"/>
      <c r="DB34" s="513">
        <f t="shared" si="33"/>
        <v>0</v>
      </c>
      <c r="DC34" s="514">
        <f t="shared" si="146"/>
        <v>0</v>
      </c>
      <c r="DD34" s="512"/>
      <c r="DE34" s="513">
        <f t="shared" si="34"/>
        <v>0</v>
      </c>
      <c r="DF34" s="514">
        <f t="shared" si="147"/>
        <v>0</v>
      </c>
      <c r="DG34" s="512"/>
      <c r="DH34" s="513">
        <f t="shared" si="35"/>
        <v>0</v>
      </c>
      <c r="DI34" s="514">
        <f t="shared" si="203"/>
        <v>0</v>
      </c>
      <c r="DJ34" s="512"/>
      <c r="DK34" s="513">
        <f t="shared" si="36"/>
        <v>0</v>
      </c>
      <c r="DL34" s="514">
        <f t="shared" si="148"/>
        <v>0</v>
      </c>
      <c r="DM34" s="512"/>
      <c r="DN34" s="513">
        <f t="shared" si="37"/>
        <v>0</v>
      </c>
      <c r="DO34" s="514">
        <f t="shared" si="149"/>
        <v>0</v>
      </c>
      <c r="DP34" s="512"/>
      <c r="DQ34" s="513">
        <f t="shared" si="38"/>
        <v>0</v>
      </c>
      <c r="DR34" s="514">
        <f t="shared" si="150"/>
        <v>0</v>
      </c>
      <c r="DS34" s="512"/>
      <c r="DT34" s="513">
        <f t="shared" si="39"/>
        <v>0</v>
      </c>
      <c r="DU34" s="514">
        <f t="shared" si="151"/>
        <v>0</v>
      </c>
      <c r="DV34" s="512"/>
      <c r="DW34" s="513">
        <f t="shared" si="40"/>
        <v>0</v>
      </c>
      <c r="DX34" s="514">
        <f t="shared" si="152"/>
        <v>0</v>
      </c>
      <c r="DY34" s="512"/>
      <c r="DZ34" s="513">
        <f t="shared" si="41"/>
        <v>0</v>
      </c>
      <c r="EA34" s="514">
        <f t="shared" si="153"/>
        <v>0</v>
      </c>
      <c r="EB34" s="512">
        <v>70.44705882352946</v>
      </c>
      <c r="EC34" s="513">
        <f t="shared" si="42"/>
        <v>3.0450425253308602</v>
      </c>
      <c r="ED34" s="514">
        <f t="shared" si="154"/>
        <v>0</v>
      </c>
      <c r="EE34" s="512">
        <v>14.534883720930225</v>
      </c>
      <c r="EF34" s="513">
        <f t="shared" si="43"/>
        <v>0.62826383059996649</v>
      </c>
      <c r="EG34" s="514">
        <f t="shared" si="155"/>
        <v>0</v>
      </c>
      <c r="EH34" s="512">
        <v>3</v>
      </c>
      <c r="EI34" s="513">
        <f t="shared" si="44"/>
        <v>0.12967365463583314</v>
      </c>
      <c r="EJ34" s="514">
        <f t="shared" si="156"/>
        <v>0</v>
      </c>
      <c r="EK34" s="512"/>
      <c r="EL34" s="513">
        <f t="shared" si="45"/>
        <v>0</v>
      </c>
      <c r="EM34" s="514">
        <f t="shared" si="157"/>
        <v>0</v>
      </c>
      <c r="EN34" s="512"/>
      <c r="EO34" s="513">
        <f t="shared" si="46"/>
        <v>0</v>
      </c>
      <c r="EP34" s="514">
        <f t="shared" si="158"/>
        <v>0</v>
      </c>
      <c r="EQ34" s="512"/>
      <c r="ER34" s="513">
        <f t="shared" si="47"/>
        <v>0</v>
      </c>
      <c r="ES34" s="514">
        <f t="shared" si="159"/>
        <v>0</v>
      </c>
      <c r="ET34" s="512"/>
      <c r="EU34" s="513">
        <f t="shared" si="48"/>
        <v>0</v>
      </c>
      <c r="EV34" s="514">
        <f t="shared" si="160"/>
        <v>0</v>
      </c>
      <c r="EW34" s="512"/>
      <c r="EX34" s="513">
        <f t="shared" si="49"/>
        <v>0</v>
      </c>
      <c r="EY34" s="514">
        <f t="shared" si="161"/>
        <v>0</v>
      </c>
      <c r="EZ34" s="512"/>
      <c r="FA34" s="513">
        <f t="shared" si="50"/>
        <v>0</v>
      </c>
      <c r="FB34" s="514">
        <f t="shared" si="162"/>
        <v>0</v>
      </c>
      <c r="FC34" s="512"/>
      <c r="FD34" s="513">
        <f t="shared" si="51"/>
        <v>0</v>
      </c>
      <c r="FE34" s="514">
        <f t="shared" si="163"/>
        <v>0</v>
      </c>
      <c r="FF34" s="512"/>
      <c r="FG34" s="513">
        <f t="shared" si="52"/>
        <v>0</v>
      </c>
      <c r="FH34" s="514">
        <f t="shared" si="164"/>
        <v>0</v>
      </c>
      <c r="FI34" s="512"/>
      <c r="FJ34" s="513">
        <f t="shared" si="53"/>
        <v>0</v>
      </c>
      <c r="FK34" s="514">
        <f t="shared" si="165"/>
        <v>0</v>
      </c>
      <c r="FL34" s="512"/>
      <c r="FM34" s="513">
        <f t="shared" si="54"/>
        <v>0</v>
      </c>
      <c r="FN34" s="514">
        <f t="shared" si="166"/>
        <v>0</v>
      </c>
      <c r="FO34" s="512"/>
      <c r="FP34" s="513">
        <f t="shared" si="55"/>
        <v>0</v>
      </c>
      <c r="FQ34" s="514">
        <f t="shared" si="167"/>
        <v>0</v>
      </c>
      <c r="FR34" s="512"/>
      <c r="FS34" s="513">
        <f t="shared" si="56"/>
        <v>0</v>
      </c>
      <c r="FT34" s="514">
        <f t="shared" si="168"/>
        <v>0</v>
      </c>
      <c r="FU34" s="512"/>
      <c r="FV34" s="513">
        <f t="shared" si="57"/>
        <v>0</v>
      </c>
      <c r="FW34" s="514">
        <f t="shared" si="169"/>
        <v>0</v>
      </c>
      <c r="FX34" s="512"/>
      <c r="FY34" s="513">
        <f t="shared" si="58"/>
        <v>0</v>
      </c>
      <c r="FZ34" s="514">
        <f t="shared" si="170"/>
        <v>0</v>
      </c>
      <c r="GA34" s="512"/>
      <c r="GB34" s="513">
        <f t="shared" si="59"/>
        <v>0</v>
      </c>
      <c r="GC34" s="514">
        <f t="shared" si="171"/>
        <v>0</v>
      </c>
      <c r="GD34" s="512"/>
      <c r="GE34" s="513">
        <f t="shared" si="60"/>
        <v>0</v>
      </c>
      <c r="GF34" s="514">
        <f t="shared" si="172"/>
        <v>0</v>
      </c>
      <c r="GG34" s="512"/>
      <c r="GH34" s="513">
        <f t="shared" si="61"/>
        <v>0</v>
      </c>
      <c r="GI34" s="514">
        <f t="shared" si="173"/>
        <v>0</v>
      </c>
      <c r="GJ34" s="512"/>
      <c r="GK34" s="513">
        <f t="shared" si="62"/>
        <v>0</v>
      </c>
      <c r="GL34" s="514">
        <f t="shared" si="174"/>
        <v>0</v>
      </c>
      <c r="GM34" s="512"/>
      <c r="GN34" s="513">
        <f t="shared" si="63"/>
        <v>0</v>
      </c>
      <c r="GO34" s="514">
        <f t="shared" si="175"/>
        <v>0</v>
      </c>
      <c r="GP34" s="512"/>
      <c r="GQ34" s="513">
        <f t="shared" si="64"/>
        <v>0</v>
      </c>
      <c r="GR34" s="514">
        <f t="shared" si="176"/>
        <v>0</v>
      </c>
      <c r="GS34" s="512"/>
      <c r="GT34" s="513">
        <f t="shared" si="65"/>
        <v>0</v>
      </c>
      <c r="GU34" s="514">
        <f t="shared" si="177"/>
        <v>0</v>
      </c>
      <c r="GV34" s="512"/>
      <c r="GW34" s="513">
        <f t="shared" si="66"/>
        <v>0</v>
      </c>
      <c r="GX34" s="514">
        <f t="shared" si="178"/>
        <v>0</v>
      </c>
      <c r="GY34" s="512"/>
      <c r="GZ34" s="513">
        <f t="shared" si="67"/>
        <v>0</v>
      </c>
      <c r="HA34" s="514">
        <f t="shared" si="179"/>
        <v>0</v>
      </c>
      <c r="HB34" s="512"/>
      <c r="HC34" s="513">
        <f t="shared" si="68"/>
        <v>0</v>
      </c>
      <c r="HD34" s="514">
        <f t="shared" si="180"/>
        <v>0</v>
      </c>
      <c r="HE34" s="512"/>
      <c r="HF34" s="513">
        <f t="shared" si="69"/>
        <v>0</v>
      </c>
      <c r="HG34" s="514">
        <f t="shared" si="181"/>
        <v>0</v>
      </c>
      <c r="HH34" s="512"/>
      <c r="HI34" s="513">
        <f t="shared" si="70"/>
        <v>0</v>
      </c>
      <c r="HJ34" s="514">
        <f t="shared" si="182"/>
        <v>0</v>
      </c>
      <c r="HK34" s="512"/>
      <c r="HL34" s="513">
        <f t="shared" si="71"/>
        <v>0</v>
      </c>
      <c r="HM34" s="514">
        <f t="shared" si="183"/>
        <v>0</v>
      </c>
      <c r="HN34" s="512"/>
      <c r="HO34" s="513">
        <f t="shared" si="72"/>
        <v>0</v>
      </c>
      <c r="HP34" s="514">
        <f t="shared" si="184"/>
        <v>0</v>
      </c>
      <c r="HQ34" s="512"/>
      <c r="HR34" s="513">
        <f t="shared" si="73"/>
        <v>0</v>
      </c>
      <c r="HS34" s="514">
        <f t="shared" si="185"/>
        <v>0</v>
      </c>
      <c r="HT34" s="512"/>
      <c r="HU34" s="513">
        <f t="shared" si="74"/>
        <v>0</v>
      </c>
      <c r="HV34" s="514">
        <f t="shared" si="186"/>
        <v>0</v>
      </c>
      <c r="HW34" s="512"/>
      <c r="HX34" s="513">
        <f t="shared" si="75"/>
        <v>0</v>
      </c>
      <c r="HY34" s="514">
        <f t="shared" si="187"/>
        <v>0</v>
      </c>
      <c r="HZ34" s="512"/>
      <c r="IA34" s="513">
        <f t="shared" si="76"/>
        <v>0</v>
      </c>
      <c r="IB34" s="514">
        <f t="shared" si="188"/>
        <v>0</v>
      </c>
      <c r="IC34" s="512"/>
      <c r="ID34" s="513">
        <f t="shared" si="77"/>
        <v>0</v>
      </c>
      <c r="IE34" s="514">
        <f t="shared" si="189"/>
        <v>0</v>
      </c>
      <c r="IF34" s="512"/>
      <c r="IG34" s="513">
        <f t="shared" si="78"/>
        <v>0</v>
      </c>
      <c r="IH34" s="514">
        <f t="shared" si="190"/>
        <v>0</v>
      </c>
      <c r="II34" s="512"/>
      <c r="IJ34" s="513">
        <f t="shared" si="79"/>
        <v>0</v>
      </c>
      <c r="IK34" s="514">
        <f t="shared" si="191"/>
        <v>0</v>
      </c>
      <c r="IL34" s="512"/>
      <c r="IM34" s="513">
        <f t="shared" si="80"/>
        <v>0</v>
      </c>
      <c r="IN34" s="514">
        <f t="shared" si="192"/>
        <v>0</v>
      </c>
      <c r="IO34" s="512"/>
      <c r="IP34" s="513">
        <f t="shared" si="81"/>
        <v>0</v>
      </c>
      <c r="IQ34" s="514">
        <f t="shared" si="193"/>
        <v>0</v>
      </c>
      <c r="IR34" s="512"/>
      <c r="IS34" s="513">
        <f t="shared" si="82"/>
        <v>0</v>
      </c>
      <c r="IT34" s="514">
        <f t="shared" si="194"/>
        <v>0</v>
      </c>
      <c r="IU34" s="512"/>
      <c r="IV34" s="513">
        <f t="shared" si="83"/>
        <v>0</v>
      </c>
      <c r="IW34" s="514">
        <f t="shared" si="195"/>
        <v>0</v>
      </c>
      <c r="IX34" s="512"/>
      <c r="IY34" s="513">
        <f t="shared" si="84"/>
        <v>0</v>
      </c>
      <c r="IZ34" s="514">
        <f t="shared" si="196"/>
        <v>0</v>
      </c>
      <c r="JA34" s="512"/>
      <c r="JB34" s="513">
        <f t="shared" si="85"/>
        <v>0</v>
      </c>
      <c r="JC34" s="514">
        <f t="shared" si="197"/>
        <v>0</v>
      </c>
      <c r="JD34" s="512"/>
      <c r="JE34" s="513">
        <f t="shared" si="86"/>
        <v>0</v>
      </c>
      <c r="JF34" s="514">
        <f t="shared" si="198"/>
        <v>0</v>
      </c>
      <c r="JG34" s="512"/>
      <c r="JH34" s="513">
        <f t="shared" si="87"/>
        <v>0</v>
      </c>
      <c r="JI34" s="514">
        <f t="shared" si="199"/>
        <v>0</v>
      </c>
      <c r="JJ34" s="512"/>
      <c r="JK34" s="514" t="str">
        <f t="shared" si="88"/>
        <v>0</v>
      </c>
      <c r="JL34" s="514" t="str">
        <f t="shared" si="89"/>
        <v>0</v>
      </c>
      <c r="JM34" s="512"/>
      <c r="JN34" s="514" t="str">
        <f t="shared" si="90"/>
        <v>0</v>
      </c>
      <c r="JO34" s="514" t="str">
        <f t="shared" si="91"/>
        <v>0</v>
      </c>
      <c r="JP34" s="512"/>
      <c r="JQ34" s="514" t="str">
        <f t="shared" si="92"/>
        <v>0</v>
      </c>
      <c r="JR34" s="514" t="str">
        <f t="shared" si="93"/>
        <v>0</v>
      </c>
      <c r="JS34" s="512"/>
      <c r="JT34" s="514" t="str">
        <f t="shared" si="94"/>
        <v>0</v>
      </c>
      <c r="JU34" s="514" t="str">
        <f t="shared" si="95"/>
        <v>0</v>
      </c>
      <c r="JV34" s="512"/>
      <c r="JW34" s="514" t="str">
        <f t="shared" si="96"/>
        <v>0</v>
      </c>
      <c r="JX34" s="514" t="str">
        <f t="shared" si="97"/>
        <v>0</v>
      </c>
      <c r="JY34" s="512"/>
      <c r="JZ34" s="514" t="str">
        <f t="shared" si="98"/>
        <v>0</v>
      </c>
      <c r="KA34" s="514" t="str">
        <f t="shared" si="99"/>
        <v>0</v>
      </c>
      <c r="KB34" s="512"/>
      <c r="KC34" s="514" t="str">
        <f t="shared" si="100"/>
        <v>0</v>
      </c>
      <c r="KD34" s="514" t="str">
        <f t="shared" si="101"/>
        <v>0</v>
      </c>
      <c r="KE34" s="512"/>
      <c r="KF34" s="514" t="str">
        <f t="shared" si="102"/>
        <v>0</v>
      </c>
      <c r="KG34" s="514" t="str">
        <f t="shared" si="103"/>
        <v>0</v>
      </c>
      <c r="KH34" s="512"/>
      <c r="KI34" s="514" t="str">
        <f t="shared" si="104"/>
        <v>0</v>
      </c>
      <c r="KJ34" s="514" t="str">
        <f t="shared" si="105"/>
        <v>0</v>
      </c>
      <c r="KK34" s="512"/>
      <c r="KL34" s="514" t="str">
        <f t="shared" si="106"/>
        <v>0</v>
      </c>
      <c r="KM34" s="514" t="str">
        <f t="shared" si="107"/>
        <v>0</v>
      </c>
      <c r="KN34" s="512"/>
      <c r="KO34" s="514" t="str">
        <f t="shared" si="108"/>
        <v>0</v>
      </c>
      <c r="KP34" s="514" t="str">
        <f t="shared" si="109"/>
        <v>0</v>
      </c>
      <c r="KQ34" s="512"/>
      <c r="KR34" s="514" t="str">
        <f t="shared" si="110"/>
        <v>0</v>
      </c>
      <c r="KS34" s="514" t="str">
        <f t="shared" si="111"/>
        <v>0</v>
      </c>
      <c r="KT34" s="514">
        <f t="shared" si="201"/>
        <v>0</v>
      </c>
      <c r="KU34" s="514">
        <f t="shared" si="202"/>
        <v>0</v>
      </c>
      <c r="KV34" s="263">
        <f t="shared" si="204"/>
        <v>295.02222295590877</v>
      </c>
    </row>
    <row r="35" spans="1:16384" ht="15" customHeight="1">
      <c r="A35" s="471">
        <f t="shared" si="200"/>
        <v>45956</v>
      </c>
      <c r="B35" s="472" t="str">
        <f>+Report1!B34</f>
        <v>Toilet</v>
      </c>
      <c r="C35" s="473" t="str">
        <f>+Report1!C34</f>
        <v>13</v>
      </c>
      <c r="D35" s="474">
        <f>+Report1!P34</f>
        <v>35.652999999999999</v>
      </c>
      <c r="E35" s="475">
        <f>+Report1!R34</f>
        <v>24.103000000000002</v>
      </c>
      <c r="F35" s="512"/>
      <c r="G35" s="513">
        <f t="shared" si="0"/>
        <v>0</v>
      </c>
      <c r="H35" s="514">
        <f t="shared" si="113"/>
        <v>0</v>
      </c>
      <c r="I35" s="512">
        <v>9.863399999999956</v>
      </c>
      <c r="J35" s="513">
        <f t="shared" si="1"/>
        <v>0.40921876944778474</v>
      </c>
      <c r="K35" s="514">
        <f t="shared" si="114"/>
        <v>0</v>
      </c>
      <c r="L35" s="512"/>
      <c r="M35" s="513">
        <f t="shared" si="2"/>
        <v>0</v>
      </c>
      <c r="N35" s="514">
        <f t="shared" si="115"/>
        <v>0</v>
      </c>
      <c r="O35" s="512">
        <v>24</v>
      </c>
      <c r="P35" s="513">
        <f t="shared" si="3"/>
        <v>0.99572667302825368</v>
      </c>
      <c r="Q35" s="514">
        <f t="shared" si="116"/>
        <v>0</v>
      </c>
      <c r="R35" s="512">
        <v>7.6875000000000071</v>
      </c>
      <c r="S35" s="513">
        <f t="shared" si="4"/>
        <v>0.31894369995436278</v>
      </c>
      <c r="T35" s="514">
        <f t="shared" si="117"/>
        <v>0</v>
      </c>
      <c r="U35" s="512">
        <v>7.03125</v>
      </c>
      <c r="V35" s="513">
        <f t="shared" si="5"/>
        <v>0.29171679873874617</v>
      </c>
      <c r="W35" s="514">
        <f t="shared" si="118"/>
        <v>0</v>
      </c>
      <c r="X35" s="512"/>
      <c r="Y35" s="513">
        <f t="shared" si="6"/>
        <v>0</v>
      </c>
      <c r="Z35" s="514">
        <f t="shared" si="119"/>
        <v>0</v>
      </c>
      <c r="AA35" s="512"/>
      <c r="AB35" s="513">
        <f t="shared" si="7"/>
        <v>0</v>
      </c>
      <c r="AC35" s="514">
        <f t="shared" si="120"/>
        <v>0</v>
      </c>
      <c r="AD35" s="512"/>
      <c r="AE35" s="513">
        <f t="shared" si="8"/>
        <v>0</v>
      </c>
      <c r="AF35" s="514">
        <f t="shared" si="121"/>
        <v>0</v>
      </c>
      <c r="AG35" s="512"/>
      <c r="AH35" s="513">
        <f t="shared" si="9"/>
        <v>0</v>
      </c>
      <c r="AI35" s="514">
        <f t="shared" si="122"/>
        <v>0</v>
      </c>
      <c r="AJ35" s="512"/>
      <c r="AK35" s="513">
        <f t="shared" si="10"/>
        <v>0</v>
      </c>
      <c r="AL35" s="514">
        <f t="shared" si="123"/>
        <v>0</v>
      </c>
      <c r="AM35" s="512"/>
      <c r="AN35" s="513">
        <f t="shared" si="11"/>
        <v>0</v>
      </c>
      <c r="AO35" s="514">
        <f t="shared" si="124"/>
        <v>0</v>
      </c>
      <c r="AP35" s="512">
        <v>50.182999999999993</v>
      </c>
      <c r="AQ35" s="513">
        <f t="shared" si="12"/>
        <v>2.0820229846907021</v>
      </c>
      <c r="AR35" s="514">
        <f t="shared" si="125"/>
        <v>0</v>
      </c>
      <c r="AS35" s="512"/>
      <c r="AT35" s="513">
        <f t="shared" si="13"/>
        <v>0</v>
      </c>
      <c r="AU35" s="514">
        <f t="shared" si="126"/>
        <v>0</v>
      </c>
      <c r="AV35" s="512">
        <v>5.8880000000000052</v>
      </c>
      <c r="AW35" s="513">
        <f t="shared" si="14"/>
        <v>0.24428494378293178</v>
      </c>
      <c r="AX35" s="514">
        <f t="shared" si="127"/>
        <v>0</v>
      </c>
      <c r="AY35" s="512">
        <v>51.483200000000011</v>
      </c>
      <c r="AZ35" s="513">
        <f t="shared" si="15"/>
        <v>2.1359664772020084</v>
      </c>
      <c r="BA35" s="514">
        <f t="shared" si="128"/>
        <v>0</v>
      </c>
      <c r="BB35" s="512"/>
      <c r="BC35" s="513">
        <f t="shared" si="16"/>
        <v>0</v>
      </c>
      <c r="BD35" s="514">
        <f t="shared" si="129"/>
        <v>0</v>
      </c>
      <c r="BE35" s="512"/>
      <c r="BF35" s="513">
        <f t="shared" si="17"/>
        <v>0</v>
      </c>
      <c r="BG35" s="514">
        <f t="shared" si="130"/>
        <v>0</v>
      </c>
      <c r="BH35" s="512"/>
      <c r="BI35" s="513">
        <f t="shared" si="18"/>
        <v>0</v>
      </c>
      <c r="BJ35" s="514">
        <f t="shared" si="131"/>
        <v>0</v>
      </c>
      <c r="BK35" s="512"/>
      <c r="BL35" s="513">
        <f t="shared" si="19"/>
        <v>0</v>
      </c>
      <c r="BM35" s="514">
        <f t="shared" si="132"/>
        <v>0</v>
      </c>
      <c r="BN35" s="512"/>
      <c r="BO35" s="513">
        <f t="shared" si="20"/>
        <v>0</v>
      </c>
      <c r="BP35" s="514">
        <f t="shared" si="133"/>
        <v>0</v>
      </c>
      <c r="BQ35" s="512"/>
      <c r="BR35" s="513">
        <f t="shared" si="21"/>
        <v>0</v>
      </c>
      <c r="BS35" s="514">
        <f t="shared" si="134"/>
        <v>0</v>
      </c>
      <c r="BT35" s="512"/>
      <c r="BU35" s="513">
        <f t="shared" si="22"/>
        <v>0</v>
      </c>
      <c r="BV35" s="514">
        <f t="shared" si="135"/>
        <v>0</v>
      </c>
      <c r="BW35" s="512"/>
      <c r="BX35" s="513">
        <f t="shared" si="23"/>
        <v>0</v>
      </c>
      <c r="BY35" s="514">
        <f t="shared" si="136"/>
        <v>0</v>
      </c>
      <c r="BZ35" s="512"/>
      <c r="CA35" s="513">
        <f t="shared" si="24"/>
        <v>0</v>
      </c>
      <c r="CB35" s="514">
        <f t="shared" si="137"/>
        <v>0</v>
      </c>
      <c r="CC35" s="512"/>
      <c r="CD35" s="513">
        <f t="shared" si="25"/>
        <v>0</v>
      </c>
      <c r="CE35" s="514">
        <f t="shared" si="138"/>
        <v>0</v>
      </c>
      <c r="CF35" s="512">
        <v>9</v>
      </c>
      <c r="CG35" s="513">
        <f t="shared" si="26"/>
        <v>0.3733975023855951</v>
      </c>
      <c r="CH35" s="514">
        <f t="shared" si="139"/>
        <v>0</v>
      </c>
      <c r="CI35" s="512"/>
      <c r="CJ35" s="513">
        <f t="shared" si="27"/>
        <v>0</v>
      </c>
      <c r="CK35" s="514">
        <f t="shared" si="140"/>
        <v>0</v>
      </c>
      <c r="CL35" s="512"/>
      <c r="CM35" s="513">
        <f t="shared" si="28"/>
        <v>0</v>
      </c>
      <c r="CN35" s="514">
        <f t="shared" si="141"/>
        <v>0</v>
      </c>
      <c r="CO35" s="512"/>
      <c r="CP35" s="513">
        <f t="shared" si="29"/>
        <v>0</v>
      </c>
      <c r="CQ35" s="514">
        <f t="shared" si="142"/>
        <v>0</v>
      </c>
      <c r="CR35" s="512"/>
      <c r="CS35" s="513">
        <f t="shared" si="30"/>
        <v>0</v>
      </c>
      <c r="CT35" s="514">
        <f t="shared" si="143"/>
        <v>0</v>
      </c>
      <c r="CU35" s="512"/>
      <c r="CV35" s="513">
        <f t="shared" si="31"/>
        <v>0</v>
      </c>
      <c r="CW35" s="514">
        <f t="shared" si="144"/>
        <v>0</v>
      </c>
      <c r="CX35" s="512"/>
      <c r="CY35" s="513">
        <f t="shared" si="32"/>
        <v>0</v>
      </c>
      <c r="CZ35" s="514">
        <f t="shared" si="145"/>
        <v>0</v>
      </c>
      <c r="DA35" s="512"/>
      <c r="DB35" s="513">
        <f t="shared" si="33"/>
        <v>0</v>
      </c>
      <c r="DC35" s="514">
        <f t="shared" si="146"/>
        <v>0</v>
      </c>
      <c r="DD35" s="512"/>
      <c r="DE35" s="513">
        <f t="shared" si="34"/>
        <v>0</v>
      </c>
      <c r="DF35" s="514">
        <f t="shared" si="147"/>
        <v>0</v>
      </c>
      <c r="DG35" s="512"/>
      <c r="DH35" s="513">
        <f t="shared" si="35"/>
        <v>0</v>
      </c>
      <c r="DI35" s="514">
        <f t="shared" si="203"/>
        <v>0</v>
      </c>
      <c r="DJ35" s="512"/>
      <c r="DK35" s="513">
        <f t="shared" si="36"/>
        <v>0</v>
      </c>
      <c r="DL35" s="514">
        <f t="shared" si="148"/>
        <v>0</v>
      </c>
      <c r="DM35" s="512"/>
      <c r="DN35" s="513">
        <f t="shared" si="37"/>
        <v>0</v>
      </c>
      <c r="DO35" s="514">
        <f t="shared" si="149"/>
        <v>0</v>
      </c>
      <c r="DP35" s="512"/>
      <c r="DQ35" s="513">
        <f t="shared" si="38"/>
        <v>0</v>
      </c>
      <c r="DR35" s="514">
        <f t="shared" si="150"/>
        <v>0</v>
      </c>
      <c r="DS35" s="512"/>
      <c r="DT35" s="513">
        <f t="shared" si="39"/>
        <v>0</v>
      </c>
      <c r="DU35" s="514">
        <f t="shared" si="151"/>
        <v>0</v>
      </c>
      <c r="DV35" s="512"/>
      <c r="DW35" s="513">
        <f t="shared" si="40"/>
        <v>0</v>
      </c>
      <c r="DX35" s="514">
        <f t="shared" si="152"/>
        <v>0</v>
      </c>
      <c r="DY35" s="512"/>
      <c r="DZ35" s="513">
        <f t="shared" si="41"/>
        <v>0</v>
      </c>
      <c r="EA35" s="514">
        <f t="shared" si="153"/>
        <v>0</v>
      </c>
      <c r="EB35" s="512">
        <v>58.705882352941103</v>
      </c>
      <c r="EC35" s="513">
        <f t="shared" si="42"/>
        <v>2.4356255384367547</v>
      </c>
      <c r="ED35" s="514">
        <f t="shared" si="154"/>
        <v>0</v>
      </c>
      <c r="EE35" s="512">
        <v>14.534883720930225</v>
      </c>
      <c r="EF35" s="513">
        <f t="shared" si="43"/>
        <v>0.60303214209559908</v>
      </c>
      <c r="EG35" s="514">
        <f t="shared" si="155"/>
        <v>0</v>
      </c>
      <c r="EH35" s="512">
        <v>3</v>
      </c>
      <c r="EI35" s="513">
        <f t="shared" si="44"/>
        <v>0.12446583412853171</v>
      </c>
      <c r="EJ35" s="514">
        <f t="shared" si="156"/>
        <v>0</v>
      </c>
      <c r="EK35" s="512"/>
      <c r="EL35" s="513">
        <f t="shared" si="45"/>
        <v>0</v>
      </c>
      <c r="EM35" s="514">
        <f t="shared" si="157"/>
        <v>0</v>
      </c>
      <c r="EN35" s="512"/>
      <c r="EO35" s="513">
        <f t="shared" si="46"/>
        <v>0</v>
      </c>
      <c r="EP35" s="514">
        <f t="shared" si="158"/>
        <v>0</v>
      </c>
      <c r="EQ35" s="512"/>
      <c r="ER35" s="513">
        <f t="shared" si="47"/>
        <v>0</v>
      </c>
      <c r="ES35" s="514">
        <f t="shared" si="159"/>
        <v>0</v>
      </c>
      <c r="ET35" s="512"/>
      <c r="EU35" s="513">
        <f t="shared" si="48"/>
        <v>0</v>
      </c>
      <c r="EV35" s="514">
        <f t="shared" si="160"/>
        <v>0</v>
      </c>
      <c r="EW35" s="512"/>
      <c r="EX35" s="513">
        <f t="shared" si="49"/>
        <v>0</v>
      </c>
      <c r="EY35" s="514">
        <f t="shared" si="161"/>
        <v>0</v>
      </c>
      <c r="EZ35" s="512"/>
      <c r="FA35" s="513">
        <f t="shared" si="50"/>
        <v>0</v>
      </c>
      <c r="FB35" s="514">
        <f t="shared" si="162"/>
        <v>0</v>
      </c>
      <c r="FC35" s="512"/>
      <c r="FD35" s="513">
        <f t="shared" si="51"/>
        <v>0</v>
      </c>
      <c r="FE35" s="514">
        <f t="shared" si="163"/>
        <v>0</v>
      </c>
      <c r="FF35" s="512"/>
      <c r="FG35" s="513">
        <f t="shared" si="52"/>
        <v>0</v>
      </c>
      <c r="FH35" s="514">
        <f t="shared" si="164"/>
        <v>0</v>
      </c>
      <c r="FI35" s="512"/>
      <c r="FJ35" s="513">
        <f t="shared" si="53"/>
        <v>0</v>
      </c>
      <c r="FK35" s="514">
        <f t="shared" si="165"/>
        <v>0</v>
      </c>
      <c r="FL35" s="512"/>
      <c r="FM35" s="513">
        <f t="shared" si="54"/>
        <v>0</v>
      </c>
      <c r="FN35" s="514">
        <f t="shared" si="166"/>
        <v>0</v>
      </c>
      <c r="FO35" s="512"/>
      <c r="FP35" s="513">
        <f t="shared" si="55"/>
        <v>0</v>
      </c>
      <c r="FQ35" s="514">
        <f t="shared" si="167"/>
        <v>0</v>
      </c>
      <c r="FR35" s="512"/>
      <c r="FS35" s="513">
        <f t="shared" si="56"/>
        <v>0</v>
      </c>
      <c r="FT35" s="514">
        <f t="shared" si="168"/>
        <v>0</v>
      </c>
      <c r="FU35" s="512"/>
      <c r="FV35" s="513">
        <f t="shared" si="57"/>
        <v>0</v>
      </c>
      <c r="FW35" s="514">
        <f t="shared" si="169"/>
        <v>0</v>
      </c>
      <c r="FX35" s="512"/>
      <c r="FY35" s="513">
        <f t="shared" si="58"/>
        <v>0</v>
      </c>
      <c r="FZ35" s="514">
        <f t="shared" si="170"/>
        <v>0</v>
      </c>
      <c r="GA35" s="512"/>
      <c r="GB35" s="513">
        <f t="shared" si="59"/>
        <v>0</v>
      </c>
      <c r="GC35" s="514">
        <f t="shared" si="171"/>
        <v>0</v>
      </c>
      <c r="GD35" s="512"/>
      <c r="GE35" s="513">
        <f t="shared" si="60"/>
        <v>0</v>
      </c>
      <c r="GF35" s="514">
        <f t="shared" si="172"/>
        <v>0</v>
      </c>
      <c r="GG35" s="512"/>
      <c r="GH35" s="513">
        <f t="shared" si="61"/>
        <v>0</v>
      </c>
      <c r="GI35" s="514">
        <f t="shared" si="173"/>
        <v>0</v>
      </c>
      <c r="GJ35" s="512"/>
      <c r="GK35" s="513">
        <f t="shared" si="62"/>
        <v>0</v>
      </c>
      <c r="GL35" s="514">
        <f t="shared" si="174"/>
        <v>0</v>
      </c>
      <c r="GM35" s="512"/>
      <c r="GN35" s="513">
        <f t="shared" si="63"/>
        <v>0</v>
      </c>
      <c r="GO35" s="514">
        <f t="shared" si="175"/>
        <v>0</v>
      </c>
      <c r="GP35" s="512"/>
      <c r="GQ35" s="513">
        <f t="shared" si="64"/>
        <v>0</v>
      </c>
      <c r="GR35" s="514">
        <f t="shared" si="176"/>
        <v>0</v>
      </c>
      <c r="GS35" s="512"/>
      <c r="GT35" s="513">
        <f t="shared" si="65"/>
        <v>0</v>
      </c>
      <c r="GU35" s="514">
        <f t="shared" si="177"/>
        <v>0</v>
      </c>
      <c r="GV35" s="512"/>
      <c r="GW35" s="513">
        <f t="shared" si="66"/>
        <v>0</v>
      </c>
      <c r="GX35" s="514">
        <f t="shared" si="178"/>
        <v>0</v>
      </c>
      <c r="GY35" s="512"/>
      <c r="GZ35" s="513">
        <f t="shared" si="67"/>
        <v>0</v>
      </c>
      <c r="HA35" s="514">
        <f t="shared" si="179"/>
        <v>0</v>
      </c>
      <c r="HB35" s="512"/>
      <c r="HC35" s="513">
        <f t="shared" si="68"/>
        <v>0</v>
      </c>
      <c r="HD35" s="514">
        <f t="shared" si="180"/>
        <v>0</v>
      </c>
      <c r="HE35" s="512"/>
      <c r="HF35" s="513">
        <f t="shared" si="69"/>
        <v>0</v>
      </c>
      <c r="HG35" s="514">
        <f t="shared" si="181"/>
        <v>0</v>
      </c>
      <c r="HH35" s="512"/>
      <c r="HI35" s="513">
        <f t="shared" si="70"/>
        <v>0</v>
      </c>
      <c r="HJ35" s="514">
        <f t="shared" si="182"/>
        <v>0</v>
      </c>
      <c r="HK35" s="512"/>
      <c r="HL35" s="513">
        <f t="shared" si="71"/>
        <v>0</v>
      </c>
      <c r="HM35" s="514">
        <f t="shared" si="183"/>
        <v>0</v>
      </c>
      <c r="HN35" s="512"/>
      <c r="HO35" s="513">
        <f t="shared" si="72"/>
        <v>0</v>
      </c>
      <c r="HP35" s="514">
        <f t="shared" si="184"/>
        <v>0</v>
      </c>
      <c r="HQ35" s="512"/>
      <c r="HR35" s="513">
        <f t="shared" si="73"/>
        <v>0</v>
      </c>
      <c r="HS35" s="514">
        <f t="shared" si="185"/>
        <v>0</v>
      </c>
      <c r="HT35" s="512"/>
      <c r="HU35" s="513">
        <f t="shared" si="74"/>
        <v>0</v>
      </c>
      <c r="HV35" s="514">
        <f t="shared" si="186"/>
        <v>0</v>
      </c>
      <c r="HW35" s="512"/>
      <c r="HX35" s="513">
        <f t="shared" si="75"/>
        <v>0</v>
      </c>
      <c r="HY35" s="514">
        <f t="shared" si="187"/>
        <v>0</v>
      </c>
      <c r="HZ35" s="512"/>
      <c r="IA35" s="513">
        <f t="shared" si="76"/>
        <v>0</v>
      </c>
      <c r="IB35" s="514">
        <f t="shared" si="188"/>
        <v>0</v>
      </c>
      <c r="IC35" s="512"/>
      <c r="ID35" s="513">
        <f t="shared" si="77"/>
        <v>0</v>
      </c>
      <c r="IE35" s="514">
        <f t="shared" si="189"/>
        <v>0</v>
      </c>
      <c r="IF35" s="512"/>
      <c r="IG35" s="513">
        <f t="shared" si="78"/>
        <v>0</v>
      </c>
      <c r="IH35" s="514">
        <f t="shared" si="190"/>
        <v>0</v>
      </c>
      <c r="II35" s="512"/>
      <c r="IJ35" s="513">
        <f t="shared" si="79"/>
        <v>0</v>
      </c>
      <c r="IK35" s="514">
        <f t="shared" si="191"/>
        <v>0</v>
      </c>
      <c r="IL35" s="512"/>
      <c r="IM35" s="513">
        <f t="shared" si="80"/>
        <v>0</v>
      </c>
      <c r="IN35" s="514">
        <f t="shared" si="192"/>
        <v>0</v>
      </c>
      <c r="IO35" s="512"/>
      <c r="IP35" s="513">
        <f t="shared" si="81"/>
        <v>0</v>
      </c>
      <c r="IQ35" s="514">
        <f t="shared" si="193"/>
        <v>0</v>
      </c>
      <c r="IR35" s="512"/>
      <c r="IS35" s="513">
        <f t="shared" si="82"/>
        <v>0</v>
      </c>
      <c r="IT35" s="514">
        <f t="shared" si="194"/>
        <v>0</v>
      </c>
      <c r="IU35" s="512"/>
      <c r="IV35" s="513">
        <f t="shared" si="83"/>
        <v>0</v>
      </c>
      <c r="IW35" s="514">
        <f t="shared" si="195"/>
        <v>0</v>
      </c>
      <c r="IX35" s="512"/>
      <c r="IY35" s="513">
        <f t="shared" si="84"/>
        <v>0</v>
      </c>
      <c r="IZ35" s="514">
        <f t="shared" si="196"/>
        <v>0</v>
      </c>
      <c r="JA35" s="512"/>
      <c r="JB35" s="513">
        <f t="shared" si="85"/>
        <v>0</v>
      </c>
      <c r="JC35" s="514">
        <f t="shared" si="197"/>
        <v>0</v>
      </c>
      <c r="JD35" s="512"/>
      <c r="JE35" s="513">
        <f t="shared" si="86"/>
        <v>0</v>
      </c>
      <c r="JF35" s="514">
        <f t="shared" si="198"/>
        <v>0</v>
      </c>
      <c r="JG35" s="512"/>
      <c r="JH35" s="513">
        <f t="shared" si="87"/>
        <v>0</v>
      </c>
      <c r="JI35" s="514">
        <f t="shared" si="199"/>
        <v>0</v>
      </c>
      <c r="JJ35" s="512"/>
      <c r="JK35" s="514" t="str">
        <f t="shared" si="88"/>
        <v>0</v>
      </c>
      <c r="JL35" s="514" t="str">
        <f t="shared" si="89"/>
        <v>0</v>
      </c>
      <c r="JM35" s="512"/>
      <c r="JN35" s="514" t="str">
        <f t="shared" si="90"/>
        <v>0</v>
      </c>
      <c r="JO35" s="514" t="str">
        <f t="shared" si="91"/>
        <v>0</v>
      </c>
      <c r="JP35" s="512"/>
      <c r="JQ35" s="514" t="str">
        <f t="shared" si="92"/>
        <v>0</v>
      </c>
      <c r="JR35" s="514" t="str">
        <f t="shared" si="93"/>
        <v>0</v>
      </c>
      <c r="JS35" s="512"/>
      <c r="JT35" s="514" t="str">
        <f t="shared" si="94"/>
        <v>0</v>
      </c>
      <c r="JU35" s="514" t="str">
        <f t="shared" si="95"/>
        <v>0</v>
      </c>
      <c r="JV35" s="512"/>
      <c r="JW35" s="514" t="str">
        <f t="shared" si="96"/>
        <v>0</v>
      </c>
      <c r="JX35" s="514" t="str">
        <f t="shared" si="97"/>
        <v>0</v>
      </c>
      <c r="JY35" s="512"/>
      <c r="JZ35" s="514" t="str">
        <f t="shared" si="98"/>
        <v>0</v>
      </c>
      <c r="KA35" s="514" t="str">
        <f t="shared" si="99"/>
        <v>0</v>
      </c>
      <c r="KB35" s="512"/>
      <c r="KC35" s="514" t="str">
        <f t="shared" si="100"/>
        <v>0</v>
      </c>
      <c r="KD35" s="514" t="str">
        <f t="shared" si="101"/>
        <v>0</v>
      </c>
      <c r="KE35" s="512"/>
      <c r="KF35" s="514" t="str">
        <f t="shared" si="102"/>
        <v>0</v>
      </c>
      <c r="KG35" s="514" t="str">
        <f t="shared" si="103"/>
        <v>0</v>
      </c>
      <c r="KH35" s="512"/>
      <c r="KI35" s="514" t="str">
        <f t="shared" si="104"/>
        <v>0</v>
      </c>
      <c r="KJ35" s="514" t="str">
        <f t="shared" si="105"/>
        <v>0</v>
      </c>
      <c r="KK35" s="512"/>
      <c r="KL35" s="514" t="str">
        <f t="shared" si="106"/>
        <v>0</v>
      </c>
      <c r="KM35" s="514" t="str">
        <f t="shared" si="107"/>
        <v>0</v>
      </c>
      <c r="KN35" s="512"/>
      <c r="KO35" s="514" t="str">
        <f t="shared" si="108"/>
        <v>0</v>
      </c>
      <c r="KP35" s="514" t="str">
        <f t="shared" si="109"/>
        <v>0</v>
      </c>
      <c r="KQ35" s="512"/>
      <c r="KR35" s="514" t="str">
        <f t="shared" si="110"/>
        <v>0</v>
      </c>
      <c r="KS35" s="514" t="str">
        <f t="shared" si="111"/>
        <v>0</v>
      </c>
      <c r="KT35" s="514">
        <f t="shared" si="201"/>
        <v>0</v>
      </c>
      <c r="KU35" s="514">
        <f t="shared" si="202"/>
        <v>0</v>
      </c>
      <c r="KV35" s="263">
        <f t="shared" si="204"/>
        <v>241.37711607387129</v>
      </c>
    </row>
    <row r="36" spans="1:16384" ht="15" customHeight="1">
      <c r="A36" s="471">
        <f t="shared" si="200"/>
        <v>45957</v>
      </c>
      <c r="B36" s="472" t="str">
        <f>+Report1!B35</f>
        <v>Toilet</v>
      </c>
      <c r="C36" s="473" t="str">
        <f>+Report1!C35</f>
        <v>13</v>
      </c>
      <c r="D36" s="474">
        <f>+Report1!P35</f>
        <v>33.917999999999999</v>
      </c>
      <c r="E36" s="475">
        <f>+Report1!R35</f>
        <v>27.523</v>
      </c>
      <c r="F36" s="512"/>
      <c r="G36" s="513">
        <f t="shared" si="0"/>
        <v>0</v>
      </c>
      <c r="H36" s="514">
        <f t="shared" si="113"/>
        <v>0</v>
      </c>
      <c r="I36" s="512"/>
      <c r="J36" s="513">
        <f t="shared" si="1"/>
        <v>0</v>
      </c>
      <c r="K36" s="514">
        <f t="shared" si="114"/>
        <v>0</v>
      </c>
      <c r="L36" s="512"/>
      <c r="M36" s="513">
        <f t="shared" si="2"/>
        <v>0</v>
      </c>
      <c r="N36" s="514">
        <f t="shared" si="115"/>
        <v>0</v>
      </c>
      <c r="O36" s="512">
        <v>21.000000000000028</v>
      </c>
      <c r="P36" s="513">
        <f t="shared" si="3"/>
        <v>0.76299821967082182</v>
      </c>
      <c r="Q36" s="514">
        <f t="shared" si="116"/>
        <v>0</v>
      </c>
      <c r="R36" s="512">
        <v>5.1249999999999929</v>
      </c>
      <c r="S36" s="513">
        <f t="shared" si="4"/>
        <v>0.18620789884823577</v>
      </c>
      <c r="T36" s="514">
        <f t="shared" si="117"/>
        <v>0</v>
      </c>
      <c r="U36" s="512">
        <v>6.2500000000000142</v>
      </c>
      <c r="V36" s="513">
        <f t="shared" si="5"/>
        <v>0.22708280347345908</v>
      </c>
      <c r="W36" s="514">
        <f t="shared" si="118"/>
        <v>0</v>
      </c>
      <c r="X36" s="512"/>
      <c r="Y36" s="513">
        <f t="shared" si="6"/>
        <v>0</v>
      </c>
      <c r="Z36" s="514">
        <f t="shared" si="119"/>
        <v>0</v>
      </c>
      <c r="AA36" s="512"/>
      <c r="AB36" s="513">
        <f t="shared" si="7"/>
        <v>0</v>
      </c>
      <c r="AC36" s="514">
        <f t="shared" si="120"/>
        <v>0</v>
      </c>
      <c r="AD36" s="512"/>
      <c r="AE36" s="513">
        <f t="shared" si="8"/>
        <v>0</v>
      </c>
      <c r="AF36" s="514">
        <f t="shared" si="121"/>
        <v>0</v>
      </c>
      <c r="AG36" s="512"/>
      <c r="AH36" s="513">
        <f t="shared" si="9"/>
        <v>0</v>
      </c>
      <c r="AI36" s="514">
        <f t="shared" si="122"/>
        <v>0</v>
      </c>
      <c r="AJ36" s="512"/>
      <c r="AK36" s="513">
        <f t="shared" si="10"/>
        <v>0</v>
      </c>
      <c r="AL36" s="514">
        <f t="shared" si="123"/>
        <v>0</v>
      </c>
      <c r="AM36" s="512"/>
      <c r="AN36" s="513">
        <f t="shared" si="11"/>
        <v>0</v>
      </c>
      <c r="AO36" s="514">
        <f t="shared" si="124"/>
        <v>0</v>
      </c>
      <c r="AP36" s="512">
        <v>52.569256410256457</v>
      </c>
      <c r="AQ36" s="513">
        <f t="shared" si="12"/>
        <v>1.9100118595449791</v>
      </c>
      <c r="AR36" s="514">
        <f t="shared" si="125"/>
        <v>0</v>
      </c>
      <c r="AS36" s="512"/>
      <c r="AT36" s="513">
        <f t="shared" si="13"/>
        <v>0</v>
      </c>
      <c r="AU36" s="514">
        <f t="shared" si="126"/>
        <v>0</v>
      </c>
      <c r="AV36" s="512">
        <v>2.7694999999999652</v>
      </c>
      <c r="AW36" s="513">
        <f t="shared" si="14"/>
        <v>0.1006249318751577</v>
      </c>
      <c r="AX36" s="514">
        <f t="shared" si="127"/>
        <v>0</v>
      </c>
      <c r="AY36" s="512">
        <v>48.998933333333355</v>
      </c>
      <c r="AZ36" s="513">
        <f t="shared" si="15"/>
        <v>1.7802904237667898</v>
      </c>
      <c r="BA36" s="514">
        <f t="shared" si="128"/>
        <v>0</v>
      </c>
      <c r="BB36" s="512"/>
      <c r="BC36" s="513">
        <f t="shared" si="16"/>
        <v>0</v>
      </c>
      <c r="BD36" s="514">
        <f t="shared" si="129"/>
        <v>0</v>
      </c>
      <c r="BE36" s="512"/>
      <c r="BF36" s="513">
        <f t="shared" si="17"/>
        <v>0</v>
      </c>
      <c r="BG36" s="514">
        <f t="shared" si="130"/>
        <v>0</v>
      </c>
      <c r="BH36" s="512"/>
      <c r="BI36" s="513">
        <f t="shared" si="18"/>
        <v>0</v>
      </c>
      <c r="BJ36" s="514">
        <f t="shared" si="131"/>
        <v>0</v>
      </c>
      <c r="BK36" s="512"/>
      <c r="BL36" s="513">
        <f t="shared" si="19"/>
        <v>0</v>
      </c>
      <c r="BM36" s="514">
        <f t="shared" si="132"/>
        <v>0</v>
      </c>
      <c r="BN36" s="512"/>
      <c r="BO36" s="513">
        <f t="shared" si="20"/>
        <v>0</v>
      </c>
      <c r="BP36" s="514">
        <f t="shared" si="133"/>
        <v>0</v>
      </c>
      <c r="BQ36" s="512"/>
      <c r="BR36" s="513">
        <f t="shared" si="21"/>
        <v>0</v>
      </c>
      <c r="BS36" s="514">
        <f t="shared" si="134"/>
        <v>0</v>
      </c>
      <c r="BT36" s="512"/>
      <c r="BU36" s="513">
        <f t="shared" si="22"/>
        <v>0</v>
      </c>
      <c r="BV36" s="514">
        <f t="shared" si="135"/>
        <v>0</v>
      </c>
      <c r="BW36" s="512"/>
      <c r="BX36" s="513">
        <f t="shared" si="23"/>
        <v>0</v>
      </c>
      <c r="BY36" s="514">
        <f t="shared" si="136"/>
        <v>0</v>
      </c>
      <c r="BZ36" s="512"/>
      <c r="CA36" s="513">
        <f t="shared" si="24"/>
        <v>0</v>
      </c>
      <c r="CB36" s="514">
        <f t="shared" si="137"/>
        <v>0</v>
      </c>
      <c r="CC36" s="512"/>
      <c r="CD36" s="513">
        <f t="shared" si="25"/>
        <v>0</v>
      </c>
      <c r="CE36" s="514">
        <f t="shared" si="138"/>
        <v>0</v>
      </c>
      <c r="CF36" s="512">
        <v>9</v>
      </c>
      <c r="CG36" s="513">
        <f t="shared" si="26"/>
        <v>0.32699923700178035</v>
      </c>
      <c r="CH36" s="514">
        <f t="shared" si="139"/>
        <v>0</v>
      </c>
      <c r="CI36" s="512"/>
      <c r="CJ36" s="513">
        <f t="shared" si="27"/>
        <v>0</v>
      </c>
      <c r="CK36" s="514">
        <f t="shared" si="140"/>
        <v>0</v>
      </c>
      <c r="CL36" s="512"/>
      <c r="CM36" s="513">
        <f t="shared" si="28"/>
        <v>0</v>
      </c>
      <c r="CN36" s="514">
        <f t="shared" si="141"/>
        <v>0</v>
      </c>
      <c r="CO36" s="512"/>
      <c r="CP36" s="513">
        <f t="shared" si="29"/>
        <v>0</v>
      </c>
      <c r="CQ36" s="514">
        <f t="shared" si="142"/>
        <v>0</v>
      </c>
      <c r="CR36" s="512"/>
      <c r="CS36" s="513">
        <f t="shared" si="30"/>
        <v>0</v>
      </c>
      <c r="CT36" s="514">
        <f t="shared" si="143"/>
        <v>0</v>
      </c>
      <c r="CU36" s="512"/>
      <c r="CV36" s="513">
        <f t="shared" si="31"/>
        <v>0</v>
      </c>
      <c r="CW36" s="514">
        <f t="shared" si="144"/>
        <v>0</v>
      </c>
      <c r="CX36" s="512"/>
      <c r="CY36" s="513">
        <f t="shared" si="32"/>
        <v>0</v>
      </c>
      <c r="CZ36" s="514">
        <f t="shared" si="145"/>
        <v>0</v>
      </c>
      <c r="DA36" s="512"/>
      <c r="DB36" s="513">
        <f t="shared" si="33"/>
        <v>0</v>
      </c>
      <c r="DC36" s="514">
        <f t="shared" si="146"/>
        <v>0</v>
      </c>
      <c r="DD36" s="512"/>
      <c r="DE36" s="513">
        <f t="shared" si="34"/>
        <v>0</v>
      </c>
      <c r="DF36" s="514">
        <f t="shared" si="147"/>
        <v>0</v>
      </c>
      <c r="DG36" s="512"/>
      <c r="DH36" s="513">
        <f t="shared" si="35"/>
        <v>0</v>
      </c>
      <c r="DI36" s="514">
        <f t="shared" si="203"/>
        <v>0</v>
      </c>
      <c r="DJ36" s="512"/>
      <c r="DK36" s="513">
        <f t="shared" si="36"/>
        <v>0</v>
      </c>
      <c r="DL36" s="514">
        <f t="shared" si="148"/>
        <v>0</v>
      </c>
      <c r="DM36" s="512"/>
      <c r="DN36" s="513">
        <f t="shared" si="37"/>
        <v>0</v>
      </c>
      <c r="DO36" s="514">
        <f t="shared" si="149"/>
        <v>0</v>
      </c>
      <c r="DP36" s="512"/>
      <c r="DQ36" s="513">
        <f t="shared" si="38"/>
        <v>0</v>
      </c>
      <c r="DR36" s="514">
        <f t="shared" si="150"/>
        <v>0</v>
      </c>
      <c r="DS36" s="512"/>
      <c r="DT36" s="513">
        <f t="shared" si="39"/>
        <v>0</v>
      </c>
      <c r="DU36" s="514">
        <f t="shared" si="151"/>
        <v>0</v>
      </c>
      <c r="DV36" s="512"/>
      <c r="DW36" s="513">
        <f t="shared" si="40"/>
        <v>0</v>
      </c>
      <c r="DX36" s="514">
        <f t="shared" si="152"/>
        <v>0</v>
      </c>
      <c r="DY36" s="512"/>
      <c r="DZ36" s="513">
        <f t="shared" si="41"/>
        <v>0</v>
      </c>
      <c r="EA36" s="514">
        <f t="shared" si="153"/>
        <v>0</v>
      </c>
      <c r="EB36" s="512">
        <v>58.70588235294116</v>
      </c>
      <c r="EC36" s="513">
        <f t="shared" si="42"/>
        <v>2.1329754152142266</v>
      </c>
      <c r="ED36" s="514">
        <f t="shared" si="154"/>
        <v>0</v>
      </c>
      <c r="EE36" s="512">
        <v>7.2674418604651123</v>
      </c>
      <c r="EF36" s="513">
        <f t="shared" si="43"/>
        <v>0.26404977148076564</v>
      </c>
      <c r="EG36" s="514">
        <f t="shared" si="155"/>
        <v>0</v>
      </c>
      <c r="EH36" s="512">
        <v>2</v>
      </c>
      <c r="EI36" s="513">
        <f t="shared" si="44"/>
        <v>7.2666497111506745E-2</v>
      </c>
      <c r="EJ36" s="514">
        <f t="shared" si="156"/>
        <v>0</v>
      </c>
      <c r="EK36" s="512"/>
      <c r="EL36" s="513">
        <f t="shared" si="45"/>
        <v>0</v>
      </c>
      <c r="EM36" s="514">
        <f t="shared" si="157"/>
        <v>0</v>
      </c>
      <c r="EN36" s="512"/>
      <c r="EO36" s="513">
        <f t="shared" si="46"/>
        <v>0</v>
      </c>
      <c r="EP36" s="514">
        <f t="shared" si="158"/>
        <v>0</v>
      </c>
      <c r="EQ36" s="512"/>
      <c r="ER36" s="513">
        <f t="shared" si="47"/>
        <v>0</v>
      </c>
      <c r="ES36" s="514">
        <f t="shared" si="159"/>
        <v>0</v>
      </c>
      <c r="ET36" s="512"/>
      <c r="EU36" s="513">
        <f t="shared" si="48"/>
        <v>0</v>
      </c>
      <c r="EV36" s="514">
        <f t="shared" si="160"/>
        <v>0</v>
      </c>
      <c r="EW36" s="512"/>
      <c r="EX36" s="513">
        <f t="shared" si="49"/>
        <v>0</v>
      </c>
      <c r="EY36" s="514">
        <f t="shared" si="161"/>
        <v>0</v>
      </c>
      <c r="EZ36" s="512"/>
      <c r="FA36" s="513">
        <f t="shared" si="50"/>
        <v>0</v>
      </c>
      <c r="FB36" s="514">
        <f t="shared" si="162"/>
        <v>0</v>
      </c>
      <c r="FC36" s="512"/>
      <c r="FD36" s="513">
        <f t="shared" si="51"/>
        <v>0</v>
      </c>
      <c r="FE36" s="514">
        <f t="shared" si="163"/>
        <v>0</v>
      </c>
      <c r="FF36" s="512"/>
      <c r="FG36" s="513">
        <f t="shared" si="52"/>
        <v>0</v>
      </c>
      <c r="FH36" s="514">
        <f t="shared" si="164"/>
        <v>0</v>
      </c>
      <c r="FI36" s="512"/>
      <c r="FJ36" s="513">
        <f t="shared" si="53"/>
        <v>0</v>
      </c>
      <c r="FK36" s="514">
        <f t="shared" si="165"/>
        <v>0</v>
      </c>
      <c r="FL36" s="512"/>
      <c r="FM36" s="513">
        <f t="shared" si="54"/>
        <v>0</v>
      </c>
      <c r="FN36" s="514">
        <f t="shared" si="166"/>
        <v>0</v>
      </c>
      <c r="FO36" s="512"/>
      <c r="FP36" s="513">
        <f t="shared" si="55"/>
        <v>0</v>
      </c>
      <c r="FQ36" s="514">
        <f t="shared" si="167"/>
        <v>0</v>
      </c>
      <c r="FR36" s="512"/>
      <c r="FS36" s="513">
        <f t="shared" si="56"/>
        <v>0</v>
      </c>
      <c r="FT36" s="514">
        <f t="shared" si="168"/>
        <v>0</v>
      </c>
      <c r="FU36" s="512"/>
      <c r="FV36" s="513">
        <f t="shared" si="57"/>
        <v>0</v>
      </c>
      <c r="FW36" s="514">
        <f t="shared" si="169"/>
        <v>0</v>
      </c>
      <c r="FX36" s="512"/>
      <c r="FY36" s="513">
        <f t="shared" si="58"/>
        <v>0</v>
      </c>
      <c r="FZ36" s="514">
        <f t="shared" si="170"/>
        <v>0</v>
      </c>
      <c r="GA36" s="512"/>
      <c r="GB36" s="513">
        <f t="shared" si="59"/>
        <v>0</v>
      </c>
      <c r="GC36" s="514">
        <f t="shared" si="171"/>
        <v>0</v>
      </c>
      <c r="GD36" s="512"/>
      <c r="GE36" s="513">
        <f t="shared" si="60"/>
        <v>0</v>
      </c>
      <c r="GF36" s="514">
        <f t="shared" si="172"/>
        <v>0</v>
      </c>
      <c r="GG36" s="512"/>
      <c r="GH36" s="513">
        <f t="shared" si="61"/>
        <v>0</v>
      </c>
      <c r="GI36" s="514">
        <f t="shared" si="173"/>
        <v>0</v>
      </c>
      <c r="GJ36" s="512"/>
      <c r="GK36" s="513">
        <f t="shared" si="62"/>
        <v>0</v>
      </c>
      <c r="GL36" s="514">
        <f t="shared" si="174"/>
        <v>0</v>
      </c>
      <c r="GM36" s="512"/>
      <c r="GN36" s="513">
        <f t="shared" si="63"/>
        <v>0</v>
      </c>
      <c r="GO36" s="514">
        <f t="shared" si="175"/>
        <v>0</v>
      </c>
      <c r="GP36" s="512"/>
      <c r="GQ36" s="513">
        <f t="shared" si="64"/>
        <v>0</v>
      </c>
      <c r="GR36" s="514">
        <f t="shared" si="176"/>
        <v>0</v>
      </c>
      <c r="GS36" s="512"/>
      <c r="GT36" s="513">
        <f t="shared" si="65"/>
        <v>0</v>
      </c>
      <c r="GU36" s="514">
        <f t="shared" si="177"/>
        <v>0</v>
      </c>
      <c r="GV36" s="512"/>
      <c r="GW36" s="513">
        <f t="shared" si="66"/>
        <v>0</v>
      </c>
      <c r="GX36" s="514">
        <f t="shared" si="178"/>
        <v>0</v>
      </c>
      <c r="GY36" s="512"/>
      <c r="GZ36" s="513">
        <f t="shared" si="67"/>
        <v>0</v>
      </c>
      <c r="HA36" s="514">
        <f t="shared" si="179"/>
        <v>0</v>
      </c>
      <c r="HB36" s="512"/>
      <c r="HC36" s="513">
        <f t="shared" si="68"/>
        <v>0</v>
      </c>
      <c r="HD36" s="514">
        <f t="shared" si="180"/>
        <v>0</v>
      </c>
      <c r="HE36" s="512"/>
      <c r="HF36" s="513">
        <f t="shared" si="69"/>
        <v>0</v>
      </c>
      <c r="HG36" s="514">
        <f t="shared" si="181"/>
        <v>0</v>
      </c>
      <c r="HH36" s="512"/>
      <c r="HI36" s="513">
        <f t="shared" si="70"/>
        <v>0</v>
      </c>
      <c r="HJ36" s="514">
        <f t="shared" si="182"/>
        <v>0</v>
      </c>
      <c r="HK36" s="512"/>
      <c r="HL36" s="513">
        <f t="shared" si="71"/>
        <v>0</v>
      </c>
      <c r="HM36" s="514">
        <f t="shared" si="183"/>
        <v>0</v>
      </c>
      <c r="HN36" s="512"/>
      <c r="HO36" s="513">
        <f t="shared" si="72"/>
        <v>0</v>
      </c>
      <c r="HP36" s="514">
        <f t="shared" si="184"/>
        <v>0</v>
      </c>
      <c r="HQ36" s="512"/>
      <c r="HR36" s="513">
        <f t="shared" si="73"/>
        <v>0</v>
      </c>
      <c r="HS36" s="514">
        <f t="shared" si="185"/>
        <v>0</v>
      </c>
      <c r="HT36" s="512"/>
      <c r="HU36" s="513">
        <f t="shared" si="74"/>
        <v>0</v>
      </c>
      <c r="HV36" s="514">
        <f t="shared" si="186"/>
        <v>0</v>
      </c>
      <c r="HW36" s="512"/>
      <c r="HX36" s="513">
        <f t="shared" si="75"/>
        <v>0</v>
      </c>
      <c r="HY36" s="514">
        <f t="shared" si="187"/>
        <v>0</v>
      </c>
      <c r="HZ36" s="512"/>
      <c r="IA36" s="513">
        <f t="shared" si="76"/>
        <v>0</v>
      </c>
      <c r="IB36" s="514">
        <f t="shared" si="188"/>
        <v>0</v>
      </c>
      <c r="IC36" s="512"/>
      <c r="ID36" s="513">
        <f t="shared" si="77"/>
        <v>0</v>
      </c>
      <c r="IE36" s="514">
        <f t="shared" si="189"/>
        <v>0</v>
      </c>
      <c r="IF36" s="512"/>
      <c r="IG36" s="513">
        <f t="shared" si="78"/>
        <v>0</v>
      </c>
      <c r="IH36" s="514">
        <f t="shared" si="190"/>
        <v>0</v>
      </c>
      <c r="II36" s="512"/>
      <c r="IJ36" s="513">
        <f t="shared" si="79"/>
        <v>0</v>
      </c>
      <c r="IK36" s="514">
        <f t="shared" si="191"/>
        <v>0</v>
      </c>
      <c r="IL36" s="512"/>
      <c r="IM36" s="513">
        <f t="shared" si="80"/>
        <v>0</v>
      </c>
      <c r="IN36" s="514">
        <f t="shared" si="192"/>
        <v>0</v>
      </c>
      <c r="IO36" s="512"/>
      <c r="IP36" s="513">
        <f t="shared" si="81"/>
        <v>0</v>
      </c>
      <c r="IQ36" s="514">
        <f t="shared" si="193"/>
        <v>0</v>
      </c>
      <c r="IR36" s="512"/>
      <c r="IS36" s="513">
        <f t="shared" si="82"/>
        <v>0</v>
      </c>
      <c r="IT36" s="514">
        <f t="shared" si="194"/>
        <v>0</v>
      </c>
      <c r="IU36" s="512"/>
      <c r="IV36" s="513">
        <f t="shared" si="83"/>
        <v>0</v>
      </c>
      <c r="IW36" s="514">
        <f t="shared" si="195"/>
        <v>0</v>
      </c>
      <c r="IX36" s="512"/>
      <c r="IY36" s="513">
        <f t="shared" si="84"/>
        <v>0</v>
      </c>
      <c r="IZ36" s="514">
        <f t="shared" si="196"/>
        <v>0</v>
      </c>
      <c r="JA36" s="512"/>
      <c r="JB36" s="513">
        <f t="shared" si="85"/>
        <v>0</v>
      </c>
      <c r="JC36" s="514">
        <f t="shared" si="197"/>
        <v>0</v>
      </c>
      <c r="JD36" s="512"/>
      <c r="JE36" s="513">
        <f t="shared" si="86"/>
        <v>0</v>
      </c>
      <c r="JF36" s="514">
        <f t="shared" si="198"/>
        <v>0</v>
      </c>
      <c r="JG36" s="512"/>
      <c r="JH36" s="513">
        <f t="shared" si="87"/>
        <v>0</v>
      </c>
      <c r="JI36" s="514">
        <f t="shared" si="199"/>
        <v>0</v>
      </c>
      <c r="JJ36" s="512"/>
      <c r="JK36" s="514" t="str">
        <f t="shared" si="88"/>
        <v>0</v>
      </c>
      <c r="JL36" s="514" t="str">
        <f t="shared" si="89"/>
        <v>0</v>
      </c>
      <c r="JM36" s="512"/>
      <c r="JN36" s="514" t="str">
        <f t="shared" si="90"/>
        <v>0</v>
      </c>
      <c r="JO36" s="514" t="str">
        <f t="shared" si="91"/>
        <v>0</v>
      </c>
      <c r="JP36" s="512"/>
      <c r="JQ36" s="514" t="str">
        <f t="shared" si="92"/>
        <v>0</v>
      </c>
      <c r="JR36" s="514" t="str">
        <f t="shared" si="93"/>
        <v>0</v>
      </c>
      <c r="JS36" s="512"/>
      <c r="JT36" s="514" t="str">
        <f t="shared" si="94"/>
        <v>0</v>
      </c>
      <c r="JU36" s="514" t="str">
        <f t="shared" si="95"/>
        <v>0</v>
      </c>
      <c r="JV36" s="512"/>
      <c r="JW36" s="514" t="str">
        <f t="shared" si="96"/>
        <v>0</v>
      </c>
      <c r="JX36" s="514" t="str">
        <f t="shared" si="97"/>
        <v>0</v>
      </c>
      <c r="JY36" s="512"/>
      <c r="JZ36" s="514" t="str">
        <f t="shared" si="98"/>
        <v>0</v>
      </c>
      <c r="KA36" s="514" t="str">
        <f t="shared" si="99"/>
        <v>0</v>
      </c>
      <c r="KB36" s="512"/>
      <c r="KC36" s="514" t="str">
        <f t="shared" si="100"/>
        <v>0</v>
      </c>
      <c r="KD36" s="514" t="str">
        <f t="shared" si="101"/>
        <v>0</v>
      </c>
      <c r="KE36" s="512"/>
      <c r="KF36" s="514" t="str">
        <f t="shared" si="102"/>
        <v>0</v>
      </c>
      <c r="KG36" s="514" t="str">
        <f t="shared" si="103"/>
        <v>0</v>
      </c>
      <c r="KH36" s="512"/>
      <c r="KI36" s="514" t="str">
        <f t="shared" si="104"/>
        <v>0</v>
      </c>
      <c r="KJ36" s="514" t="str">
        <f t="shared" si="105"/>
        <v>0</v>
      </c>
      <c r="KK36" s="512"/>
      <c r="KL36" s="514" t="str">
        <f t="shared" si="106"/>
        <v>0</v>
      </c>
      <c r="KM36" s="514" t="str">
        <f t="shared" si="107"/>
        <v>0</v>
      </c>
      <c r="KN36" s="512"/>
      <c r="KO36" s="514" t="str">
        <f t="shared" si="108"/>
        <v>0</v>
      </c>
      <c r="KP36" s="514" t="str">
        <f t="shared" si="109"/>
        <v>0</v>
      </c>
      <c r="KQ36" s="512"/>
      <c r="KR36" s="514" t="str">
        <f t="shared" si="110"/>
        <v>0</v>
      </c>
      <c r="KS36" s="514" t="str">
        <f t="shared" si="111"/>
        <v>0</v>
      </c>
      <c r="KT36" s="514">
        <f t="shared" si="201"/>
        <v>0</v>
      </c>
      <c r="KU36" s="514">
        <f t="shared" si="202"/>
        <v>0</v>
      </c>
      <c r="KV36" s="263">
        <f t="shared" si="204"/>
        <v>213.68601395699608</v>
      </c>
    </row>
    <row r="37" spans="1:16384" ht="15" customHeight="1">
      <c r="A37" s="471">
        <f t="shared" si="200"/>
        <v>45958</v>
      </c>
      <c r="B37" s="472" t="str">
        <f>+Report1!B36</f>
        <v>Toilet</v>
      </c>
      <c r="C37" s="473" t="str">
        <f>+Report1!C36</f>
        <v>13</v>
      </c>
      <c r="D37" s="474">
        <f>+Report1!P36</f>
        <v>44.515000000000001</v>
      </c>
      <c r="E37" s="475">
        <f>+Report1!R36</f>
        <v>50.752000000000002</v>
      </c>
      <c r="F37" s="512"/>
      <c r="G37" s="513">
        <f t="shared" si="0"/>
        <v>0</v>
      </c>
      <c r="H37" s="514">
        <f t="shared" si="113"/>
        <v>0</v>
      </c>
      <c r="I37" s="512"/>
      <c r="J37" s="513">
        <f t="shared" si="1"/>
        <v>0</v>
      </c>
      <c r="K37" s="514">
        <f t="shared" si="114"/>
        <v>0</v>
      </c>
      <c r="L37" s="512"/>
      <c r="M37" s="513">
        <f t="shared" si="2"/>
        <v>0</v>
      </c>
      <c r="N37" s="514">
        <f t="shared" si="115"/>
        <v>0</v>
      </c>
      <c r="O37" s="512">
        <v>23.999999999999972</v>
      </c>
      <c r="P37" s="513">
        <f t="shared" si="3"/>
        <v>0.47288776796973458</v>
      </c>
      <c r="Q37" s="514">
        <f t="shared" si="116"/>
        <v>0</v>
      </c>
      <c r="R37" s="512">
        <v>5.1250000000000071</v>
      </c>
      <c r="S37" s="513">
        <f t="shared" si="4"/>
        <v>0.10098124211853733</v>
      </c>
      <c r="T37" s="514">
        <f t="shared" si="117"/>
        <v>0</v>
      </c>
      <c r="U37" s="512">
        <v>6.2500000000000142</v>
      </c>
      <c r="V37" s="513">
        <f t="shared" si="5"/>
        <v>0.12314785624211881</v>
      </c>
      <c r="W37" s="514">
        <f t="shared" si="118"/>
        <v>0</v>
      </c>
      <c r="X37" s="512"/>
      <c r="Y37" s="513">
        <f t="shared" si="6"/>
        <v>0</v>
      </c>
      <c r="Z37" s="514">
        <f t="shared" si="119"/>
        <v>0</v>
      </c>
      <c r="AA37" s="512"/>
      <c r="AB37" s="513">
        <f t="shared" si="7"/>
        <v>0</v>
      </c>
      <c r="AC37" s="514">
        <f t="shared" si="120"/>
        <v>0</v>
      </c>
      <c r="AD37" s="512"/>
      <c r="AE37" s="513">
        <f t="shared" si="8"/>
        <v>0</v>
      </c>
      <c r="AF37" s="514">
        <f t="shared" si="121"/>
        <v>0</v>
      </c>
      <c r="AG37" s="512"/>
      <c r="AH37" s="513">
        <f t="shared" si="9"/>
        <v>0</v>
      </c>
      <c r="AI37" s="514">
        <f t="shared" si="122"/>
        <v>0</v>
      </c>
      <c r="AJ37" s="512"/>
      <c r="AK37" s="513">
        <f t="shared" si="10"/>
        <v>0</v>
      </c>
      <c r="AL37" s="514">
        <f t="shared" si="123"/>
        <v>0</v>
      </c>
      <c r="AM37" s="512"/>
      <c r="AN37" s="513">
        <f t="shared" si="11"/>
        <v>0</v>
      </c>
      <c r="AO37" s="514">
        <f t="shared" si="124"/>
        <v>0</v>
      </c>
      <c r="AP37" s="512">
        <v>39.423076923076906</v>
      </c>
      <c r="AQ37" s="513">
        <f t="shared" si="12"/>
        <v>0.7767787855272088</v>
      </c>
      <c r="AR37" s="514">
        <f t="shared" si="125"/>
        <v>0</v>
      </c>
      <c r="AS37" s="512"/>
      <c r="AT37" s="513">
        <f t="shared" si="13"/>
        <v>0</v>
      </c>
      <c r="AU37" s="514">
        <f t="shared" si="126"/>
        <v>0</v>
      </c>
      <c r="AV37" s="512">
        <v>5.5500000000000114</v>
      </c>
      <c r="AW37" s="513">
        <f t="shared" si="14"/>
        <v>0.10935529634300148</v>
      </c>
      <c r="AX37" s="514">
        <f t="shared" si="127"/>
        <v>0</v>
      </c>
      <c r="AY37" s="512">
        <v>60.666666666666686</v>
      </c>
      <c r="AZ37" s="513">
        <f t="shared" si="15"/>
        <v>1.195355191256831</v>
      </c>
      <c r="BA37" s="514">
        <f t="shared" si="128"/>
        <v>0</v>
      </c>
      <c r="BB37" s="512"/>
      <c r="BC37" s="513">
        <f t="shared" si="16"/>
        <v>0</v>
      </c>
      <c r="BD37" s="514">
        <f t="shared" si="129"/>
        <v>0</v>
      </c>
      <c r="BE37" s="512"/>
      <c r="BF37" s="513">
        <f t="shared" si="17"/>
        <v>0</v>
      </c>
      <c r="BG37" s="514">
        <f t="shared" si="130"/>
        <v>0</v>
      </c>
      <c r="BH37" s="512"/>
      <c r="BI37" s="513">
        <f t="shared" si="18"/>
        <v>0</v>
      </c>
      <c r="BJ37" s="514">
        <f t="shared" si="131"/>
        <v>0</v>
      </c>
      <c r="BK37" s="512"/>
      <c r="BL37" s="513">
        <f t="shared" si="19"/>
        <v>0</v>
      </c>
      <c r="BM37" s="514">
        <f t="shared" si="132"/>
        <v>0</v>
      </c>
      <c r="BN37" s="512"/>
      <c r="BO37" s="513">
        <f t="shared" si="20"/>
        <v>0</v>
      </c>
      <c r="BP37" s="514">
        <f t="shared" si="133"/>
        <v>0</v>
      </c>
      <c r="BQ37" s="512"/>
      <c r="BR37" s="513">
        <f t="shared" si="21"/>
        <v>0</v>
      </c>
      <c r="BS37" s="514">
        <f t="shared" si="134"/>
        <v>0</v>
      </c>
      <c r="BT37" s="512"/>
      <c r="BU37" s="513">
        <f t="shared" si="22"/>
        <v>0</v>
      </c>
      <c r="BV37" s="514">
        <f t="shared" si="135"/>
        <v>0</v>
      </c>
      <c r="BW37" s="512"/>
      <c r="BX37" s="513">
        <f t="shared" si="23"/>
        <v>0</v>
      </c>
      <c r="BY37" s="514">
        <f t="shared" si="136"/>
        <v>0</v>
      </c>
      <c r="BZ37" s="512"/>
      <c r="CA37" s="513">
        <f t="shared" si="24"/>
        <v>0</v>
      </c>
      <c r="CB37" s="514">
        <f t="shared" si="137"/>
        <v>0</v>
      </c>
      <c r="CC37" s="512"/>
      <c r="CD37" s="513">
        <f t="shared" si="25"/>
        <v>0</v>
      </c>
      <c r="CE37" s="514">
        <f t="shared" si="138"/>
        <v>0</v>
      </c>
      <c r="CF37" s="512">
        <v>9</v>
      </c>
      <c r="CG37" s="513">
        <f t="shared" si="26"/>
        <v>0.1773329129886507</v>
      </c>
      <c r="CH37" s="514">
        <f t="shared" si="139"/>
        <v>0</v>
      </c>
      <c r="CI37" s="512"/>
      <c r="CJ37" s="513">
        <f t="shared" si="27"/>
        <v>0</v>
      </c>
      <c r="CK37" s="514">
        <f t="shared" si="140"/>
        <v>0</v>
      </c>
      <c r="CL37" s="512"/>
      <c r="CM37" s="513">
        <f t="shared" si="28"/>
        <v>0</v>
      </c>
      <c r="CN37" s="514">
        <f t="shared" si="141"/>
        <v>0</v>
      </c>
      <c r="CO37" s="512"/>
      <c r="CP37" s="513">
        <f t="shared" si="29"/>
        <v>0</v>
      </c>
      <c r="CQ37" s="514">
        <f t="shared" si="142"/>
        <v>0</v>
      </c>
      <c r="CR37" s="512"/>
      <c r="CS37" s="513">
        <f t="shared" si="30"/>
        <v>0</v>
      </c>
      <c r="CT37" s="514">
        <f t="shared" si="143"/>
        <v>0</v>
      </c>
      <c r="CU37" s="512"/>
      <c r="CV37" s="513">
        <f t="shared" si="31"/>
        <v>0</v>
      </c>
      <c r="CW37" s="514">
        <f t="shared" si="144"/>
        <v>0</v>
      </c>
      <c r="CX37" s="512"/>
      <c r="CY37" s="513">
        <f t="shared" si="32"/>
        <v>0</v>
      </c>
      <c r="CZ37" s="514">
        <f t="shared" si="145"/>
        <v>0</v>
      </c>
      <c r="DA37" s="512"/>
      <c r="DB37" s="513">
        <f t="shared" si="33"/>
        <v>0</v>
      </c>
      <c r="DC37" s="514">
        <f t="shared" si="146"/>
        <v>0</v>
      </c>
      <c r="DD37" s="512"/>
      <c r="DE37" s="513">
        <f t="shared" si="34"/>
        <v>0</v>
      </c>
      <c r="DF37" s="514">
        <f t="shared" si="147"/>
        <v>0</v>
      </c>
      <c r="DG37" s="512"/>
      <c r="DH37" s="513">
        <f t="shared" si="35"/>
        <v>0</v>
      </c>
      <c r="DI37" s="514">
        <f t="shared" si="203"/>
        <v>0</v>
      </c>
      <c r="DJ37" s="512"/>
      <c r="DK37" s="513">
        <f t="shared" si="36"/>
        <v>0</v>
      </c>
      <c r="DL37" s="514">
        <f t="shared" si="148"/>
        <v>0</v>
      </c>
      <c r="DM37" s="512"/>
      <c r="DN37" s="513">
        <f t="shared" si="37"/>
        <v>0</v>
      </c>
      <c r="DO37" s="514">
        <f t="shared" si="149"/>
        <v>0</v>
      </c>
      <c r="DP37" s="512"/>
      <c r="DQ37" s="513">
        <f t="shared" si="38"/>
        <v>0</v>
      </c>
      <c r="DR37" s="514">
        <f t="shared" si="150"/>
        <v>0</v>
      </c>
      <c r="DS37" s="512"/>
      <c r="DT37" s="513">
        <f t="shared" si="39"/>
        <v>0</v>
      </c>
      <c r="DU37" s="514">
        <f t="shared" si="151"/>
        <v>0</v>
      </c>
      <c r="DV37" s="512"/>
      <c r="DW37" s="513">
        <f t="shared" si="40"/>
        <v>0</v>
      </c>
      <c r="DX37" s="514">
        <f t="shared" si="152"/>
        <v>0</v>
      </c>
      <c r="DY37" s="512"/>
      <c r="DZ37" s="513">
        <f t="shared" si="41"/>
        <v>0</v>
      </c>
      <c r="EA37" s="514">
        <f t="shared" si="153"/>
        <v>0</v>
      </c>
      <c r="EB37" s="512">
        <v>70.44705882352946</v>
      </c>
      <c r="EC37" s="513">
        <f t="shared" si="42"/>
        <v>1.3880646836288117</v>
      </c>
      <c r="ED37" s="514">
        <f t="shared" si="154"/>
        <v>0</v>
      </c>
      <c r="EE37" s="512">
        <v>7.2674418604651123</v>
      </c>
      <c r="EF37" s="513">
        <f t="shared" si="43"/>
        <v>0.14319518167688194</v>
      </c>
      <c r="EG37" s="514">
        <f t="shared" si="155"/>
        <v>0</v>
      </c>
      <c r="EH37" s="512">
        <v>2</v>
      </c>
      <c r="EI37" s="513">
        <f t="shared" si="44"/>
        <v>3.9407313997477933E-2</v>
      </c>
      <c r="EJ37" s="514">
        <f t="shared" si="156"/>
        <v>0</v>
      </c>
      <c r="EK37" s="512"/>
      <c r="EL37" s="513">
        <f t="shared" si="45"/>
        <v>0</v>
      </c>
      <c r="EM37" s="514">
        <f t="shared" si="157"/>
        <v>0</v>
      </c>
      <c r="EN37" s="512"/>
      <c r="EO37" s="513">
        <f t="shared" si="46"/>
        <v>0</v>
      </c>
      <c r="EP37" s="514">
        <f t="shared" si="158"/>
        <v>0</v>
      </c>
      <c r="EQ37" s="512"/>
      <c r="ER37" s="513">
        <f t="shared" si="47"/>
        <v>0</v>
      </c>
      <c r="ES37" s="514">
        <f t="shared" si="159"/>
        <v>0</v>
      </c>
      <c r="ET37" s="512"/>
      <c r="EU37" s="513">
        <f t="shared" si="48"/>
        <v>0</v>
      </c>
      <c r="EV37" s="514">
        <f t="shared" si="160"/>
        <v>0</v>
      </c>
      <c r="EW37" s="512"/>
      <c r="EX37" s="513">
        <f t="shared" si="49"/>
        <v>0</v>
      </c>
      <c r="EY37" s="514">
        <f t="shared" si="161"/>
        <v>0</v>
      </c>
      <c r="EZ37" s="512"/>
      <c r="FA37" s="513">
        <f t="shared" si="50"/>
        <v>0</v>
      </c>
      <c r="FB37" s="514">
        <f t="shared" si="162"/>
        <v>0</v>
      </c>
      <c r="FC37" s="512"/>
      <c r="FD37" s="513">
        <f t="shared" si="51"/>
        <v>0</v>
      </c>
      <c r="FE37" s="514">
        <f t="shared" si="163"/>
        <v>0</v>
      </c>
      <c r="FF37" s="512"/>
      <c r="FG37" s="513">
        <f t="shared" si="52"/>
        <v>0</v>
      </c>
      <c r="FH37" s="514">
        <f t="shared" si="164"/>
        <v>0</v>
      </c>
      <c r="FI37" s="512"/>
      <c r="FJ37" s="513">
        <f t="shared" si="53"/>
        <v>0</v>
      </c>
      <c r="FK37" s="514">
        <f t="shared" si="165"/>
        <v>0</v>
      </c>
      <c r="FL37" s="512"/>
      <c r="FM37" s="513">
        <f t="shared" si="54"/>
        <v>0</v>
      </c>
      <c r="FN37" s="514">
        <f t="shared" si="166"/>
        <v>0</v>
      </c>
      <c r="FO37" s="512"/>
      <c r="FP37" s="513">
        <f t="shared" si="55"/>
        <v>0</v>
      </c>
      <c r="FQ37" s="514">
        <f t="shared" si="167"/>
        <v>0</v>
      </c>
      <c r="FR37" s="512"/>
      <c r="FS37" s="513">
        <f t="shared" si="56"/>
        <v>0</v>
      </c>
      <c r="FT37" s="514">
        <f t="shared" si="168"/>
        <v>0</v>
      </c>
      <c r="FU37" s="512"/>
      <c r="FV37" s="513">
        <f t="shared" si="57"/>
        <v>0</v>
      </c>
      <c r="FW37" s="514">
        <f t="shared" si="169"/>
        <v>0</v>
      </c>
      <c r="FX37" s="512"/>
      <c r="FY37" s="513">
        <f t="shared" si="58"/>
        <v>0</v>
      </c>
      <c r="FZ37" s="514">
        <f t="shared" si="170"/>
        <v>0</v>
      </c>
      <c r="GA37" s="512"/>
      <c r="GB37" s="513">
        <f t="shared" si="59"/>
        <v>0</v>
      </c>
      <c r="GC37" s="514">
        <f t="shared" si="171"/>
        <v>0</v>
      </c>
      <c r="GD37" s="512"/>
      <c r="GE37" s="513">
        <f t="shared" si="60"/>
        <v>0</v>
      </c>
      <c r="GF37" s="514">
        <f t="shared" si="172"/>
        <v>0</v>
      </c>
      <c r="GG37" s="512"/>
      <c r="GH37" s="513">
        <f t="shared" si="61"/>
        <v>0</v>
      </c>
      <c r="GI37" s="514">
        <f t="shared" si="173"/>
        <v>0</v>
      </c>
      <c r="GJ37" s="512"/>
      <c r="GK37" s="513">
        <f t="shared" si="62"/>
        <v>0</v>
      </c>
      <c r="GL37" s="514">
        <f t="shared" si="174"/>
        <v>0</v>
      </c>
      <c r="GM37" s="512"/>
      <c r="GN37" s="513">
        <f t="shared" si="63"/>
        <v>0</v>
      </c>
      <c r="GO37" s="514">
        <f t="shared" si="175"/>
        <v>0</v>
      </c>
      <c r="GP37" s="512"/>
      <c r="GQ37" s="513">
        <f t="shared" si="64"/>
        <v>0</v>
      </c>
      <c r="GR37" s="514">
        <f t="shared" si="176"/>
        <v>0</v>
      </c>
      <c r="GS37" s="512"/>
      <c r="GT37" s="513">
        <f t="shared" si="65"/>
        <v>0</v>
      </c>
      <c r="GU37" s="514">
        <f t="shared" si="177"/>
        <v>0</v>
      </c>
      <c r="GV37" s="512"/>
      <c r="GW37" s="513">
        <f t="shared" si="66"/>
        <v>0</v>
      </c>
      <c r="GX37" s="514">
        <f t="shared" si="178"/>
        <v>0</v>
      </c>
      <c r="GY37" s="512"/>
      <c r="GZ37" s="513">
        <f t="shared" si="67"/>
        <v>0</v>
      </c>
      <c r="HA37" s="514">
        <f t="shared" si="179"/>
        <v>0</v>
      </c>
      <c r="HB37" s="512"/>
      <c r="HC37" s="513">
        <f t="shared" si="68"/>
        <v>0</v>
      </c>
      <c r="HD37" s="514">
        <f t="shared" si="180"/>
        <v>0</v>
      </c>
      <c r="HE37" s="512"/>
      <c r="HF37" s="513">
        <f t="shared" si="69"/>
        <v>0</v>
      </c>
      <c r="HG37" s="514">
        <f t="shared" si="181"/>
        <v>0</v>
      </c>
      <c r="HH37" s="512"/>
      <c r="HI37" s="513">
        <f t="shared" si="70"/>
        <v>0</v>
      </c>
      <c r="HJ37" s="514">
        <f t="shared" si="182"/>
        <v>0</v>
      </c>
      <c r="HK37" s="512"/>
      <c r="HL37" s="513">
        <f t="shared" si="71"/>
        <v>0</v>
      </c>
      <c r="HM37" s="514">
        <f t="shared" si="183"/>
        <v>0</v>
      </c>
      <c r="HN37" s="512"/>
      <c r="HO37" s="513">
        <f t="shared" si="72"/>
        <v>0</v>
      </c>
      <c r="HP37" s="514">
        <f t="shared" si="184"/>
        <v>0</v>
      </c>
      <c r="HQ37" s="512"/>
      <c r="HR37" s="513">
        <f t="shared" si="73"/>
        <v>0</v>
      </c>
      <c r="HS37" s="514">
        <f t="shared" si="185"/>
        <v>0</v>
      </c>
      <c r="HT37" s="512"/>
      <c r="HU37" s="513">
        <f t="shared" si="74"/>
        <v>0</v>
      </c>
      <c r="HV37" s="514">
        <f t="shared" si="186"/>
        <v>0</v>
      </c>
      <c r="HW37" s="512"/>
      <c r="HX37" s="513">
        <f t="shared" si="75"/>
        <v>0</v>
      </c>
      <c r="HY37" s="514">
        <f t="shared" si="187"/>
        <v>0</v>
      </c>
      <c r="HZ37" s="512"/>
      <c r="IA37" s="513">
        <f t="shared" si="76"/>
        <v>0</v>
      </c>
      <c r="IB37" s="514">
        <f t="shared" si="188"/>
        <v>0</v>
      </c>
      <c r="IC37" s="512"/>
      <c r="ID37" s="513">
        <f t="shared" si="77"/>
        <v>0</v>
      </c>
      <c r="IE37" s="514">
        <f t="shared" si="189"/>
        <v>0</v>
      </c>
      <c r="IF37" s="512"/>
      <c r="IG37" s="513">
        <f t="shared" si="78"/>
        <v>0</v>
      </c>
      <c r="IH37" s="514">
        <f t="shared" si="190"/>
        <v>0</v>
      </c>
      <c r="II37" s="512"/>
      <c r="IJ37" s="513">
        <f t="shared" si="79"/>
        <v>0</v>
      </c>
      <c r="IK37" s="514">
        <f t="shared" si="191"/>
        <v>0</v>
      </c>
      <c r="IL37" s="512"/>
      <c r="IM37" s="513">
        <f t="shared" si="80"/>
        <v>0</v>
      </c>
      <c r="IN37" s="514">
        <f t="shared" si="192"/>
        <v>0</v>
      </c>
      <c r="IO37" s="512"/>
      <c r="IP37" s="513">
        <f t="shared" si="81"/>
        <v>0</v>
      </c>
      <c r="IQ37" s="514">
        <f t="shared" si="193"/>
        <v>0</v>
      </c>
      <c r="IR37" s="512"/>
      <c r="IS37" s="513">
        <f t="shared" si="82"/>
        <v>0</v>
      </c>
      <c r="IT37" s="514">
        <f t="shared" si="194"/>
        <v>0</v>
      </c>
      <c r="IU37" s="512"/>
      <c r="IV37" s="513">
        <f t="shared" si="83"/>
        <v>0</v>
      </c>
      <c r="IW37" s="514">
        <f t="shared" si="195"/>
        <v>0</v>
      </c>
      <c r="IX37" s="512"/>
      <c r="IY37" s="513">
        <f t="shared" si="84"/>
        <v>0</v>
      </c>
      <c r="IZ37" s="514">
        <f t="shared" si="196"/>
        <v>0</v>
      </c>
      <c r="JA37" s="512"/>
      <c r="JB37" s="513">
        <f t="shared" si="85"/>
        <v>0</v>
      </c>
      <c r="JC37" s="514">
        <f t="shared" si="197"/>
        <v>0</v>
      </c>
      <c r="JD37" s="512"/>
      <c r="JE37" s="513">
        <f t="shared" si="86"/>
        <v>0</v>
      </c>
      <c r="JF37" s="514">
        <f t="shared" si="198"/>
        <v>0</v>
      </c>
      <c r="JG37" s="512"/>
      <c r="JH37" s="513">
        <f t="shared" si="87"/>
        <v>0</v>
      </c>
      <c r="JI37" s="514">
        <f t="shared" si="199"/>
        <v>0</v>
      </c>
      <c r="JJ37" s="512"/>
      <c r="JK37" s="514" t="str">
        <f t="shared" si="88"/>
        <v>0</v>
      </c>
      <c r="JL37" s="514" t="str">
        <f t="shared" si="89"/>
        <v>0</v>
      </c>
      <c r="JM37" s="512"/>
      <c r="JN37" s="514" t="str">
        <f t="shared" si="90"/>
        <v>0</v>
      </c>
      <c r="JO37" s="514" t="str">
        <f t="shared" si="91"/>
        <v>0</v>
      </c>
      <c r="JP37" s="512"/>
      <c r="JQ37" s="514" t="str">
        <f t="shared" si="92"/>
        <v>0</v>
      </c>
      <c r="JR37" s="514" t="str">
        <f t="shared" si="93"/>
        <v>0</v>
      </c>
      <c r="JS37" s="512"/>
      <c r="JT37" s="514" t="str">
        <f t="shared" si="94"/>
        <v>0</v>
      </c>
      <c r="JU37" s="514" t="str">
        <f t="shared" si="95"/>
        <v>0</v>
      </c>
      <c r="JV37" s="512"/>
      <c r="JW37" s="514" t="str">
        <f t="shared" si="96"/>
        <v>0</v>
      </c>
      <c r="JX37" s="514" t="str">
        <f t="shared" si="97"/>
        <v>0</v>
      </c>
      <c r="JY37" s="512"/>
      <c r="JZ37" s="514" t="str">
        <f t="shared" si="98"/>
        <v>0</v>
      </c>
      <c r="KA37" s="514" t="str">
        <f t="shared" si="99"/>
        <v>0</v>
      </c>
      <c r="KB37" s="512"/>
      <c r="KC37" s="514" t="str">
        <f t="shared" si="100"/>
        <v>0</v>
      </c>
      <c r="KD37" s="514" t="str">
        <f t="shared" si="101"/>
        <v>0</v>
      </c>
      <c r="KE37" s="512"/>
      <c r="KF37" s="514" t="str">
        <f t="shared" si="102"/>
        <v>0</v>
      </c>
      <c r="KG37" s="514" t="str">
        <f t="shared" si="103"/>
        <v>0</v>
      </c>
      <c r="KH37" s="512"/>
      <c r="KI37" s="514" t="str">
        <f t="shared" si="104"/>
        <v>0</v>
      </c>
      <c r="KJ37" s="514" t="str">
        <f t="shared" si="105"/>
        <v>0</v>
      </c>
      <c r="KK37" s="512"/>
      <c r="KL37" s="514" t="str">
        <f t="shared" si="106"/>
        <v>0</v>
      </c>
      <c r="KM37" s="514" t="str">
        <f t="shared" si="107"/>
        <v>0</v>
      </c>
      <c r="KN37" s="512"/>
      <c r="KO37" s="514" t="str">
        <f t="shared" si="108"/>
        <v>0</v>
      </c>
      <c r="KP37" s="514" t="str">
        <f t="shared" si="109"/>
        <v>0</v>
      </c>
      <c r="KQ37" s="512"/>
      <c r="KR37" s="514" t="str">
        <f t="shared" si="110"/>
        <v>0</v>
      </c>
      <c r="KS37" s="514" t="str">
        <f t="shared" si="111"/>
        <v>0</v>
      </c>
      <c r="KT37" s="514">
        <f t="shared" si="201"/>
        <v>0</v>
      </c>
      <c r="KU37" s="514">
        <f t="shared" si="202"/>
        <v>0</v>
      </c>
      <c r="KV37" s="263">
        <f t="shared" si="204"/>
        <v>229.72924427373817</v>
      </c>
    </row>
    <row r="38" spans="1:16384" ht="15" customHeight="1">
      <c r="A38" s="471">
        <f t="shared" si="200"/>
        <v>45959</v>
      </c>
      <c r="B38" s="472" t="str">
        <f>+Report1!B37</f>
        <v>Toilet/Facial</v>
      </c>
      <c r="C38" s="473" t="str">
        <f>+Report1!C37</f>
        <v>13/13</v>
      </c>
      <c r="D38" s="474">
        <f>+Report1!P37</f>
        <v>46.292000000000002</v>
      </c>
      <c r="E38" s="475">
        <f>+Report1!R37</f>
        <v>41.235999999999997</v>
      </c>
      <c r="F38" s="512"/>
      <c r="G38" s="513">
        <f t="shared" si="0"/>
        <v>0</v>
      </c>
      <c r="H38" s="514">
        <f t="shared" si="113"/>
        <v>0</v>
      </c>
      <c r="I38" s="512">
        <v>81.391009302325529</v>
      </c>
      <c r="J38" s="513">
        <f t="shared" si="1"/>
        <v>1.9737852677836243</v>
      </c>
      <c r="K38" s="514">
        <f t="shared" si="114"/>
        <v>0</v>
      </c>
      <c r="L38" s="512"/>
      <c r="M38" s="513">
        <f t="shared" si="2"/>
        <v>0</v>
      </c>
      <c r="N38" s="514">
        <f t="shared" si="115"/>
        <v>0</v>
      </c>
      <c r="O38" s="512">
        <v>24.000000000000028</v>
      </c>
      <c r="P38" s="513">
        <f t="shared" si="3"/>
        <v>0.58201571442429023</v>
      </c>
      <c r="Q38" s="514">
        <f t="shared" si="116"/>
        <v>0</v>
      </c>
      <c r="R38" s="512">
        <v>7.6874999999999929</v>
      </c>
      <c r="S38" s="513">
        <f t="shared" si="4"/>
        <v>0.18642690852653004</v>
      </c>
      <c r="T38" s="514">
        <f t="shared" si="117"/>
        <v>0</v>
      </c>
      <c r="U38" s="512">
        <v>6.25</v>
      </c>
      <c r="V38" s="513">
        <f t="shared" si="5"/>
        <v>0.15156659229799205</v>
      </c>
      <c r="W38" s="514">
        <f t="shared" si="118"/>
        <v>0</v>
      </c>
      <c r="X38" s="512"/>
      <c r="Y38" s="513">
        <f t="shared" si="6"/>
        <v>0</v>
      </c>
      <c r="Z38" s="514">
        <f t="shared" si="119"/>
        <v>0</v>
      </c>
      <c r="AA38" s="512"/>
      <c r="AB38" s="513">
        <f t="shared" si="7"/>
        <v>0</v>
      </c>
      <c r="AC38" s="514">
        <f t="shared" si="120"/>
        <v>0</v>
      </c>
      <c r="AD38" s="512"/>
      <c r="AE38" s="513">
        <f t="shared" si="8"/>
        <v>0</v>
      </c>
      <c r="AF38" s="514">
        <f t="shared" si="121"/>
        <v>0</v>
      </c>
      <c r="AG38" s="512"/>
      <c r="AH38" s="513">
        <f t="shared" si="9"/>
        <v>0</v>
      </c>
      <c r="AI38" s="514">
        <f t="shared" si="122"/>
        <v>0</v>
      </c>
      <c r="AJ38" s="512"/>
      <c r="AK38" s="513">
        <f t="shared" si="10"/>
        <v>0</v>
      </c>
      <c r="AL38" s="514">
        <f t="shared" si="123"/>
        <v>0</v>
      </c>
      <c r="AM38" s="512"/>
      <c r="AN38" s="513">
        <f t="shared" si="11"/>
        <v>0</v>
      </c>
      <c r="AO38" s="514">
        <f t="shared" si="124"/>
        <v>0</v>
      </c>
      <c r="AP38" s="512">
        <v>36.794871794871824</v>
      </c>
      <c r="AQ38" s="513">
        <f t="shared" si="12"/>
        <v>0.89229973311843602</v>
      </c>
      <c r="AR38" s="514">
        <f t="shared" si="125"/>
        <v>0</v>
      </c>
      <c r="AS38" s="512"/>
      <c r="AT38" s="513">
        <f t="shared" si="13"/>
        <v>0</v>
      </c>
      <c r="AU38" s="514">
        <f t="shared" si="126"/>
        <v>0</v>
      </c>
      <c r="AV38" s="512">
        <v>5.5500000000000114</v>
      </c>
      <c r="AW38" s="513">
        <f t="shared" si="14"/>
        <v>0.13459113396061723</v>
      </c>
      <c r="AX38" s="514">
        <f t="shared" si="127"/>
        <v>0</v>
      </c>
      <c r="AY38" s="512">
        <v>63</v>
      </c>
      <c r="AZ38" s="513">
        <f t="shared" si="15"/>
        <v>1.5277912503637598</v>
      </c>
      <c r="BA38" s="514">
        <f t="shared" si="128"/>
        <v>0</v>
      </c>
      <c r="BB38" s="512"/>
      <c r="BC38" s="513">
        <f t="shared" si="16"/>
        <v>0</v>
      </c>
      <c r="BD38" s="514">
        <f t="shared" si="129"/>
        <v>0</v>
      </c>
      <c r="BE38" s="512"/>
      <c r="BF38" s="513">
        <f t="shared" si="17"/>
        <v>0</v>
      </c>
      <c r="BG38" s="514">
        <f t="shared" si="130"/>
        <v>0</v>
      </c>
      <c r="BH38" s="512"/>
      <c r="BI38" s="513">
        <f t="shared" si="18"/>
        <v>0</v>
      </c>
      <c r="BJ38" s="514">
        <f t="shared" si="131"/>
        <v>0</v>
      </c>
      <c r="BK38" s="512"/>
      <c r="BL38" s="513">
        <f t="shared" si="19"/>
        <v>0</v>
      </c>
      <c r="BM38" s="514">
        <f t="shared" si="132"/>
        <v>0</v>
      </c>
      <c r="BN38" s="512"/>
      <c r="BO38" s="513">
        <f t="shared" si="20"/>
        <v>0</v>
      </c>
      <c r="BP38" s="514">
        <f t="shared" si="133"/>
        <v>0</v>
      </c>
      <c r="BQ38" s="512"/>
      <c r="BR38" s="513">
        <f t="shared" si="21"/>
        <v>0</v>
      </c>
      <c r="BS38" s="514">
        <f t="shared" si="134"/>
        <v>0</v>
      </c>
      <c r="BT38" s="512"/>
      <c r="BU38" s="513">
        <f t="shared" si="22"/>
        <v>0</v>
      </c>
      <c r="BV38" s="514">
        <f t="shared" si="135"/>
        <v>0</v>
      </c>
      <c r="BW38" s="512"/>
      <c r="BX38" s="513">
        <f t="shared" si="23"/>
        <v>0</v>
      </c>
      <c r="BY38" s="514">
        <f t="shared" si="136"/>
        <v>0</v>
      </c>
      <c r="BZ38" s="512"/>
      <c r="CA38" s="513">
        <f t="shared" si="24"/>
        <v>0</v>
      </c>
      <c r="CB38" s="514">
        <f t="shared" si="137"/>
        <v>0</v>
      </c>
      <c r="CC38" s="512"/>
      <c r="CD38" s="513">
        <f t="shared" si="25"/>
        <v>0</v>
      </c>
      <c r="CE38" s="514">
        <f t="shared" si="138"/>
        <v>0</v>
      </c>
      <c r="CF38" s="512">
        <v>7</v>
      </c>
      <c r="CG38" s="513">
        <f t="shared" si="26"/>
        <v>0.1697545833737511</v>
      </c>
      <c r="CH38" s="514">
        <f t="shared" si="139"/>
        <v>0</v>
      </c>
      <c r="CI38" s="512"/>
      <c r="CJ38" s="513">
        <f t="shared" si="27"/>
        <v>0</v>
      </c>
      <c r="CK38" s="514">
        <f t="shared" si="140"/>
        <v>0</v>
      </c>
      <c r="CL38" s="512"/>
      <c r="CM38" s="513">
        <f t="shared" si="28"/>
        <v>0</v>
      </c>
      <c r="CN38" s="514">
        <f t="shared" si="141"/>
        <v>0</v>
      </c>
      <c r="CO38" s="512"/>
      <c r="CP38" s="513">
        <f t="shared" si="29"/>
        <v>0</v>
      </c>
      <c r="CQ38" s="514">
        <f t="shared" si="142"/>
        <v>0</v>
      </c>
      <c r="CR38" s="512"/>
      <c r="CS38" s="513">
        <f t="shared" si="30"/>
        <v>0</v>
      </c>
      <c r="CT38" s="514">
        <f t="shared" si="143"/>
        <v>0</v>
      </c>
      <c r="CU38" s="512"/>
      <c r="CV38" s="513">
        <f t="shared" si="31"/>
        <v>0</v>
      </c>
      <c r="CW38" s="514">
        <f t="shared" si="144"/>
        <v>0</v>
      </c>
      <c r="CX38" s="512"/>
      <c r="CY38" s="513">
        <f t="shared" si="32"/>
        <v>0</v>
      </c>
      <c r="CZ38" s="514">
        <f t="shared" si="145"/>
        <v>0</v>
      </c>
      <c r="DA38" s="512"/>
      <c r="DB38" s="513">
        <f t="shared" si="33"/>
        <v>0</v>
      </c>
      <c r="DC38" s="514">
        <f t="shared" si="146"/>
        <v>0</v>
      </c>
      <c r="DD38" s="512"/>
      <c r="DE38" s="513">
        <f t="shared" si="34"/>
        <v>0</v>
      </c>
      <c r="DF38" s="514">
        <f t="shared" si="147"/>
        <v>0</v>
      </c>
      <c r="DG38" s="512"/>
      <c r="DH38" s="513">
        <f t="shared" si="35"/>
        <v>0</v>
      </c>
      <c r="DI38" s="514">
        <f t="shared" si="203"/>
        <v>0</v>
      </c>
      <c r="DJ38" s="512"/>
      <c r="DK38" s="513">
        <f t="shared" si="36"/>
        <v>0</v>
      </c>
      <c r="DL38" s="514">
        <f t="shared" si="148"/>
        <v>0</v>
      </c>
      <c r="DM38" s="512"/>
      <c r="DN38" s="513">
        <f t="shared" si="37"/>
        <v>0</v>
      </c>
      <c r="DO38" s="514">
        <f t="shared" si="149"/>
        <v>0</v>
      </c>
      <c r="DP38" s="512"/>
      <c r="DQ38" s="513">
        <f t="shared" si="38"/>
        <v>0</v>
      </c>
      <c r="DR38" s="514">
        <f t="shared" si="150"/>
        <v>0</v>
      </c>
      <c r="DS38" s="512"/>
      <c r="DT38" s="513">
        <f t="shared" si="39"/>
        <v>0</v>
      </c>
      <c r="DU38" s="514">
        <f t="shared" si="151"/>
        <v>0</v>
      </c>
      <c r="DV38" s="512"/>
      <c r="DW38" s="513">
        <f t="shared" si="40"/>
        <v>0</v>
      </c>
      <c r="DX38" s="514">
        <f t="shared" si="152"/>
        <v>0</v>
      </c>
      <c r="DY38" s="512"/>
      <c r="DZ38" s="513">
        <f t="shared" si="41"/>
        <v>0</v>
      </c>
      <c r="EA38" s="514">
        <f t="shared" si="153"/>
        <v>0</v>
      </c>
      <c r="EB38" s="512">
        <v>35.22352941176473</v>
      </c>
      <c r="EC38" s="513">
        <f t="shared" si="42"/>
        <v>0.85419365146388426</v>
      </c>
      <c r="ED38" s="514">
        <f t="shared" si="154"/>
        <v>0</v>
      </c>
      <c r="EE38" s="512">
        <v>7.2674418604651407</v>
      </c>
      <c r="EF38" s="513">
        <f t="shared" si="43"/>
        <v>0.17624022360231695</v>
      </c>
      <c r="EG38" s="514">
        <f t="shared" si="155"/>
        <v>0</v>
      </c>
      <c r="EH38" s="512">
        <v>1</v>
      </c>
      <c r="EI38" s="513">
        <f t="shared" si="44"/>
        <v>2.425065476767873E-2</v>
      </c>
      <c r="EJ38" s="514">
        <f t="shared" si="156"/>
        <v>0</v>
      </c>
      <c r="EK38" s="512"/>
      <c r="EL38" s="513">
        <f t="shared" si="45"/>
        <v>0</v>
      </c>
      <c r="EM38" s="514">
        <f t="shared" si="157"/>
        <v>0</v>
      </c>
      <c r="EN38" s="512"/>
      <c r="EO38" s="513">
        <f t="shared" si="46"/>
        <v>0</v>
      </c>
      <c r="EP38" s="514">
        <f t="shared" si="158"/>
        <v>0</v>
      </c>
      <c r="EQ38" s="512"/>
      <c r="ER38" s="513">
        <f t="shared" si="47"/>
        <v>0</v>
      </c>
      <c r="ES38" s="514">
        <f t="shared" si="159"/>
        <v>0</v>
      </c>
      <c r="ET38" s="512"/>
      <c r="EU38" s="513">
        <f t="shared" si="48"/>
        <v>0</v>
      </c>
      <c r="EV38" s="514">
        <f t="shared" si="160"/>
        <v>0</v>
      </c>
      <c r="EW38" s="512"/>
      <c r="EX38" s="513">
        <f t="shared" si="49"/>
        <v>0</v>
      </c>
      <c r="EY38" s="514">
        <f t="shared" si="161"/>
        <v>0</v>
      </c>
      <c r="EZ38" s="512"/>
      <c r="FA38" s="513">
        <f t="shared" si="50"/>
        <v>0</v>
      </c>
      <c r="FB38" s="514">
        <f t="shared" si="162"/>
        <v>0</v>
      </c>
      <c r="FC38" s="512"/>
      <c r="FD38" s="513">
        <f t="shared" si="51"/>
        <v>0</v>
      </c>
      <c r="FE38" s="514">
        <f t="shared" si="163"/>
        <v>0</v>
      </c>
      <c r="FF38" s="512"/>
      <c r="FG38" s="513">
        <f t="shared" si="52"/>
        <v>0</v>
      </c>
      <c r="FH38" s="514">
        <f t="shared" si="164"/>
        <v>0</v>
      </c>
      <c r="FI38" s="512"/>
      <c r="FJ38" s="513">
        <f t="shared" si="53"/>
        <v>0</v>
      </c>
      <c r="FK38" s="514">
        <f t="shared" si="165"/>
        <v>0</v>
      </c>
      <c r="FL38" s="512"/>
      <c r="FM38" s="513">
        <f t="shared" si="54"/>
        <v>0</v>
      </c>
      <c r="FN38" s="514">
        <f t="shared" si="166"/>
        <v>0</v>
      </c>
      <c r="FO38" s="512"/>
      <c r="FP38" s="513">
        <f t="shared" si="55"/>
        <v>0</v>
      </c>
      <c r="FQ38" s="514">
        <f t="shared" si="167"/>
        <v>0</v>
      </c>
      <c r="FR38" s="512"/>
      <c r="FS38" s="513">
        <f t="shared" si="56"/>
        <v>0</v>
      </c>
      <c r="FT38" s="514">
        <f t="shared" si="168"/>
        <v>0</v>
      </c>
      <c r="FU38" s="512"/>
      <c r="FV38" s="513">
        <f t="shared" si="57"/>
        <v>0</v>
      </c>
      <c r="FW38" s="514">
        <f t="shared" si="169"/>
        <v>0</v>
      </c>
      <c r="FX38" s="512"/>
      <c r="FY38" s="513">
        <f t="shared" si="58"/>
        <v>0</v>
      </c>
      <c r="FZ38" s="514">
        <f t="shared" si="170"/>
        <v>0</v>
      </c>
      <c r="GA38" s="512"/>
      <c r="GB38" s="513">
        <f t="shared" si="59"/>
        <v>0</v>
      </c>
      <c r="GC38" s="514">
        <f t="shared" si="171"/>
        <v>0</v>
      </c>
      <c r="GD38" s="512"/>
      <c r="GE38" s="513">
        <f t="shared" si="60"/>
        <v>0</v>
      </c>
      <c r="GF38" s="514">
        <f t="shared" si="172"/>
        <v>0</v>
      </c>
      <c r="GG38" s="512"/>
      <c r="GH38" s="513">
        <f t="shared" si="61"/>
        <v>0</v>
      </c>
      <c r="GI38" s="514">
        <f t="shared" si="173"/>
        <v>0</v>
      </c>
      <c r="GJ38" s="512"/>
      <c r="GK38" s="513">
        <f t="shared" si="62"/>
        <v>0</v>
      </c>
      <c r="GL38" s="514">
        <f t="shared" si="174"/>
        <v>0</v>
      </c>
      <c r="GM38" s="512"/>
      <c r="GN38" s="513">
        <f t="shared" si="63"/>
        <v>0</v>
      </c>
      <c r="GO38" s="514">
        <f t="shared" si="175"/>
        <v>0</v>
      </c>
      <c r="GP38" s="512"/>
      <c r="GQ38" s="513">
        <f t="shared" si="64"/>
        <v>0</v>
      </c>
      <c r="GR38" s="514">
        <f t="shared" si="176"/>
        <v>0</v>
      </c>
      <c r="GS38" s="512"/>
      <c r="GT38" s="513">
        <f t="shared" si="65"/>
        <v>0</v>
      </c>
      <c r="GU38" s="514">
        <f t="shared" si="177"/>
        <v>0</v>
      </c>
      <c r="GV38" s="512"/>
      <c r="GW38" s="513">
        <f t="shared" si="66"/>
        <v>0</v>
      </c>
      <c r="GX38" s="514">
        <f t="shared" si="178"/>
        <v>0</v>
      </c>
      <c r="GY38" s="512"/>
      <c r="GZ38" s="513">
        <f t="shared" si="67"/>
        <v>0</v>
      </c>
      <c r="HA38" s="514">
        <f t="shared" si="179"/>
        <v>0</v>
      </c>
      <c r="HB38" s="512"/>
      <c r="HC38" s="513">
        <f t="shared" si="68"/>
        <v>0</v>
      </c>
      <c r="HD38" s="514">
        <f t="shared" si="180"/>
        <v>0</v>
      </c>
      <c r="HE38" s="512"/>
      <c r="HF38" s="513">
        <f t="shared" si="69"/>
        <v>0</v>
      </c>
      <c r="HG38" s="514">
        <f t="shared" si="181"/>
        <v>0</v>
      </c>
      <c r="HH38" s="512"/>
      <c r="HI38" s="513">
        <f t="shared" si="70"/>
        <v>0</v>
      </c>
      <c r="HJ38" s="514">
        <f t="shared" si="182"/>
        <v>0</v>
      </c>
      <c r="HK38" s="512"/>
      <c r="HL38" s="513">
        <f t="shared" si="71"/>
        <v>0</v>
      </c>
      <c r="HM38" s="514">
        <f t="shared" si="183"/>
        <v>0</v>
      </c>
      <c r="HN38" s="512"/>
      <c r="HO38" s="513">
        <f t="shared" si="72"/>
        <v>0</v>
      </c>
      <c r="HP38" s="514">
        <f t="shared" si="184"/>
        <v>0</v>
      </c>
      <c r="HQ38" s="512"/>
      <c r="HR38" s="513">
        <f t="shared" si="73"/>
        <v>0</v>
      </c>
      <c r="HS38" s="514">
        <f t="shared" si="185"/>
        <v>0</v>
      </c>
      <c r="HT38" s="512"/>
      <c r="HU38" s="513">
        <f t="shared" si="74"/>
        <v>0</v>
      </c>
      <c r="HV38" s="514">
        <f t="shared" si="186"/>
        <v>0</v>
      </c>
      <c r="HW38" s="512"/>
      <c r="HX38" s="513">
        <f t="shared" si="75"/>
        <v>0</v>
      </c>
      <c r="HY38" s="514">
        <f t="shared" si="187"/>
        <v>0</v>
      </c>
      <c r="HZ38" s="512"/>
      <c r="IA38" s="513">
        <f t="shared" si="76"/>
        <v>0</v>
      </c>
      <c r="IB38" s="514">
        <f t="shared" si="188"/>
        <v>0</v>
      </c>
      <c r="IC38" s="512"/>
      <c r="ID38" s="513">
        <f t="shared" si="77"/>
        <v>0</v>
      </c>
      <c r="IE38" s="514">
        <f t="shared" si="189"/>
        <v>0</v>
      </c>
      <c r="IF38" s="512"/>
      <c r="IG38" s="513">
        <f t="shared" si="78"/>
        <v>0</v>
      </c>
      <c r="IH38" s="514">
        <f t="shared" si="190"/>
        <v>0</v>
      </c>
      <c r="II38" s="512"/>
      <c r="IJ38" s="513">
        <f t="shared" si="79"/>
        <v>0</v>
      </c>
      <c r="IK38" s="514">
        <f t="shared" si="191"/>
        <v>0</v>
      </c>
      <c r="IL38" s="512"/>
      <c r="IM38" s="513">
        <f t="shared" si="80"/>
        <v>0</v>
      </c>
      <c r="IN38" s="514">
        <f t="shared" si="192"/>
        <v>0</v>
      </c>
      <c r="IO38" s="512"/>
      <c r="IP38" s="513">
        <f t="shared" si="81"/>
        <v>0</v>
      </c>
      <c r="IQ38" s="514">
        <f t="shared" si="193"/>
        <v>0</v>
      </c>
      <c r="IR38" s="512"/>
      <c r="IS38" s="513">
        <f t="shared" si="82"/>
        <v>0</v>
      </c>
      <c r="IT38" s="514">
        <f t="shared" si="194"/>
        <v>0</v>
      </c>
      <c r="IU38" s="512"/>
      <c r="IV38" s="513">
        <f t="shared" si="83"/>
        <v>0</v>
      </c>
      <c r="IW38" s="514">
        <f t="shared" si="195"/>
        <v>0</v>
      </c>
      <c r="IX38" s="512"/>
      <c r="IY38" s="513">
        <f t="shared" si="84"/>
        <v>0</v>
      </c>
      <c r="IZ38" s="514">
        <f t="shared" si="196"/>
        <v>0</v>
      </c>
      <c r="JA38" s="512"/>
      <c r="JB38" s="513">
        <f t="shared" si="85"/>
        <v>0</v>
      </c>
      <c r="JC38" s="514">
        <f t="shared" si="197"/>
        <v>0</v>
      </c>
      <c r="JD38" s="512"/>
      <c r="JE38" s="513">
        <f t="shared" si="86"/>
        <v>0</v>
      </c>
      <c r="JF38" s="514">
        <f t="shared" si="198"/>
        <v>0</v>
      </c>
      <c r="JG38" s="512"/>
      <c r="JH38" s="513">
        <f t="shared" si="87"/>
        <v>0</v>
      </c>
      <c r="JI38" s="514">
        <f t="shared" si="199"/>
        <v>0</v>
      </c>
      <c r="JJ38" s="512"/>
      <c r="JK38" s="514" t="str">
        <f t="shared" si="88"/>
        <v>0</v>
      </c>
      <c r="JL38" s="514" t="str">
        <f t="shared" si="89"/>
        <v>0</v>
      </c>
      <c r="JM38" s="512"/>
      <c r="JN38" s="514" t="str">
        <f t="shared" si="90"/>
        <v>0</v>
      </c>
      <c r="JO38" s="514" t="str">
        <f t="shared" si="91"/>
        <v>0</v>
      </c>
      <c r="JP38" s="512"/>
      <c r="JQ38" s="514" t="str">
        <f t="shared" si="92"/>
        <v>0</v>
      </c>
      <c r="JR38" s="514" t="str">
        <f t="shared" si="93"/>
        <v>0</v>
      </c>
      <c r="JS38" s="512"/>
      <c r="JT38" s="514" t="str">
        <f t="shared" si="94"/>
        <v>0</v>
      </c>
      <c r="JU38" s="514" t="str">
        <f t="shared" si="95"/>
        <v>0</v>
      </c>
      <c r="JV38" s="512"/>
      <c r="JW38" s="514" t="str">
        <f t="shared" si="96"/>
        <v>0</v>
      </c>
      <c r="JX38" s="514" t="str">
        <f t="shared" si="97"/>
        <v>0</v>
      </c>
      <c r="JY38" s="512"/>
      <c r="JZ38" s="514" t="str">
        <f t="shared" si="98"/>
        <v>0</v>
      </c>
      <c r="KA38" s="514" t="str">
        <f t="shared" si="99"/>
        <v>0</v>
      </c>
      <c r="KB38" s="512"/>
      <c r="KC38" s="514" t="str">
        <f t="shared" si="100"/>
        <v>0</v>
      </c>
      <c r="KD38" s="514" t="str">
        <f t="shared" si="101"/>
        <v>0</v>
      </c>
      <c r="KE38" s="512"/>
      <c r="KF38" s="514" t="str">
        <f t="shared" si="102"/>
        <v>0</v>
      </c>
      <c r="KG38" s="514" t="str">
        <f t="shared" si="103"/>
        <v>0</v>
      </c>
      <c r="KH38" s="512"/>
      <c r="KI38" s="514" t="str">
        <f t="shared" si="104"/>
        <v>0</v>
      </c>
      <c r="KJ38" s="514" t="str">
        <f t="shared" si="105"/>
        <v>0</v>
      </c>
      <c r="KK38" s="512"/>
      <c r="KL38" s="514" t="str">
        <f t="shared" si="106"/>
        <v>0</v>
      </c>
      <c r="KM38" s="514" t="str">
        <f t="shared" si="107"/>
        <v>0</v>
      </c>
      <c r="KN38" s="512"/>
      <c r="KO38" s="514" t="str">
        <f t="shared" si="108"/>
        <v>0</v>
      </c>
      <c r="KP38" s="514" t="str">
        <f t="shared" si="109"/>
        <v>0</v>
      </c>
      <c r="KQ38" s="512"/>
      <c r="KR38" s="514" t="str">
        <f t="shared" si="110"/>
        <v>0</v>
      </c>
      <c r="KS38" s="514" t="str">
        <f t="shared" si="111"/>
        <v>0</v>
      </c>
      <c r="KT38" s="514">
        <f t="shared" si="201"/>
        <v>0</v>
      </c>
      <c r="KU38" s="514">
        <f t="shared" si="202"/>
        <v>0</v>
      </c>
      <c r="KV38" s="263">
        <f t="shared" si="204"/>
        <v>275.16435236942732</v>
      </c>
    </row>
    <row r="39" spans="1:16384" ht="15" customHeight="1">
      <c r="A39" s="471">
        <f t="shared" si="200"/>
        <v>45960</v>
      </c>
      <c r="B39" s="472" t="str">
        <f>+Report1!B38</f>
        <v>Toilet/Facial</v>
      </c>
      <c r="C39" s="473" t="str">
        <f>+Report1!C38</f>
        <v>13/12/16/14/13,5</v>
      </c>
      <c r="D39" s="474">
        <f>+Report1!P38</f>
        <v>47.581000000000003</v>
      </c>
      <c r="E39" s="475">
        <f>+Report1!R38</f>
        <v>38.847999999999999</v>
      </c>
      <c r="F39" s="512"/>
      <c r="G39" s="513">
        <f t="shared" si="0"/>
        <v>0</v>
      </c>
      <c r="H39" s="514">
        <f t="shared" si="113"/>
        <v>0</v>
      </c>
      <c r="I39" s="512">
        <v>116.27906976744191</v>
      </c>
      <c r="J39" s="513">
        <f t="shared" si="1"/>
        <v>2.9931803379180888</v>
      </c>
      <c r="K39" s="514">
        <f t="shared" si="114"/>
        <v>0</v>
      </c>
      <c r="L39" s="512"/>
      <c r="M39" s="513">
        <f t="shared" si="2"/>
        <v>0</v>
      </c>
      <c r="N39" s="514">
        <f t="shared" si="115"/>
        <v>0</v>
      </c>
      <c r="O39" s="512">
        <v>23.999999999999972</v>
      </c>
      <c r="P39" s="513">
        <f t="shared" si="3"/>
        <v>0.61779242174629256</v>
      </c>
      <c r="Q39" s="514">
        <f t="shared" si="116"/>
        <v>0</v>
      </c>
      <c r="R39" s="512">
        <v>5.1250000000000036</v>
      </c>
      <c r="S39" s="513">
        <f t="shared" si="4"/>
        <v>0.1319244233937398</v>
      </c>
      <c r="T39" s="514">
        <f t="shared" si="117"/>
        <v>0</v>
      </c>
      <c r="U39" s="512">
        <v>6.25</v>
      </c>
      <c r="V39" s="513">
        <f t="shared" si="5"/>
        <v>0.16088344316309722</v>
      </c>
      <c r="W39" s="514">
        <f t="shared" si="118"/>
        <v>0</v>
      </c>
      <c r="X39" s="512"/>
      <c r="Y39" s="513">
        <f t="shared" si="6"/>
        <v>0</v>
      </c>
      <c r="Z39" s="514">
        <f t="shared" si="119"/>
        <v>0</v>
      </c>
      <c r="AA39" s="512"/>
      <c r="AB39" s="513">
        <f t="shared" si="7"/>
        <v>0</v>
      </c>
      <c r="AC39" s="514">
        <f t="shared" si="120"/>
        <v>0</v>
      </c>
      <c r="AD39" s="512"/>
      <c r="AE39" s="513">
        <f t="shared" si="8"/>
        <v>0</v>
      </c>
      <c r="AF39" s="514">
        <f t="shared" si="121"/>
        <v>0</v>
      </c>
      <c r="AG39" s="512"/>
      <c r="AH39" s="513">
        <f t="shared" si="9"/>
        <v>0</v>
      </c>
      <c r="AI39" s="514">
        <f t="shared" si="122"/>
        <v>0</v>
      </c>
      <c r="AJ39" s="512"/>
      <c r="AK39" s="513">
        <f t="shared" si="10"/>
        <v>0</v>
      </c>
      <c r="AL39" s="514">
        <f t="shared" si="123"/>
        <v>0</v>
      </c>
      <c r="AM39" s="512"/>
      <c r="AN39" s="513">
        <f t="shared" si="11"/>
        <v>0</v>
      </c>
      <c r="AO39" s="514">
        <f t="shared" si="124"/>
        <v>0</v>
      </c>
      <c r="AP39" s="512">
        <v>36.79487179487171</v>
      </c>
      <c r="AQ39" s="513">
        <f t="shared" si="12"/>
        <v>0.94714970641659058</v>
      </c>
      <c r="AR39" s="514">
        <f t="shared" si="125"/>
        <v>0</v>
      </c>
      <c r="AS39" s="512"/>
      <c r="AT39" s="513">
        <f t="shared" si="13"/>
        <v>0</v>
      </c>
      <c r="AU39" s="514">
        <f t="shared" si="126"/>
        <v>0</v>
      </c>
      <c r="AV39" s="512">
        <v>2.7750000000000057</v>
      </c>
      <c r="AW39" s="513">
        <f t="shared" si="14"/>
        <v>7.1432248764415299E-2</v>
      </c>
      <c r="AX39" s="514">
        <f t="shared" si="127"/>
        <v>0</v>
      </c>
      <c r="AY39" s="512">
        <v>51.333333333333343</v>
      </c>
      <c r="AZ39" s="513">
        <f t="shared" si="15"/>
        <v>1.3213893465129052</v>
      </c>
      <c r="BA39" s="514">
        <f t="shared" si="128"/>
        <v>0</v>
      </c>
      <c r="BB39" s="512"/>
      <c r="BC39" s="513">
        <f t="shared" si="16"/>
        <v>0</v>
      </c>
      <c r="BD39" s="514">
        <f t="shared" si="129"/>
        <v>0</v>
      </c>
      <c r="BE39" s="512"/>
      <c r="BF39" s="513">
        <f t="shared" si="17"/>
        <v>0</v>
      </c>
      <c r="BG39" s="514">
        <f t="shared" si="130"/>
        <v>0</v>
      </c>
      <c r="BH39" s="512"/>
      <c r="BI39" s="513">
        <f t="shared" si="18"/>
        <v>0</v>
      </c>
      <c r="BJ39" s="514">
        <f t="shared" si="131"/>
        <v>0</v>
      </c>
      <c r="BK39" s="512"/>
      <c r="BL39" s="513">
        <f t="shared" si="19"/>
        <v>0</v>
      </c>
      <c r="BM39" s="514">
        <f t="shared" si="132"/>
        <v>0</v>
      </c>
      <c r="BN39" s="512"/>
      <c r="BO39" s="513">
        <f t="shared" si="20"/>
        <v>0</v>
      </c>
      <c r="BP39" s="514">
        <f t="shared" si="133"/>
        <v>0</v>
      </c>
      <c r="BQ39" s="512"/>
      <c r="BR39" s="513">
        <f t="shared" si="21"/>
        <v>0</v>
      </c>
      <c r="BS39" s="514">
        <f t="shared" si="134"/>
        <v>0</v>
      </c>
      <c r="BT39" s="512"/>
      <c r="BU39" s="513">
        <f t="shared" si="22"/>
        <v>0</v>
      </c>
      <c r="BV39" s="514">
        <f t="shared" si="135"/>
        <v>0</v>
      </c>
      <c r="BW39" s="512"/>
      <c r="BX39" s="513">
        <f t="shared" si="23"/>
        <v>0</v>
      </c>
      <c r="BY39" s="514">
        <f t="shared" si="136"/>
        <v>0</v>
      </c>
      <c r="BZ39" s="512"/>
      <c r="CA39" s="513">
        <f t="shared" si="24"/>
        <v>0</v>
      </c>
      <c r="CB39" s="514">
        <f t="shared" si="137"/>
        <v>0</v>
      </c>
      <c r="CC39" s="512"/>
      <c r="CD39" s="513">
        <f t="shared" si="25"/>
        <v>0</v>
      </c>
      <c r="CE39" s="514">
        <f t="shared" si="138"/>
        <v>0</v>
      </c>
      <c r="CF39" s="512">
        <v>8</v>
      </c>
      <c r="CG39" s="513">
        <f t="shared" si="26"/>
        <v>0.20593080724876442</v>
      </c>
      <c r="CH39" s="514">
        <f t="shared" si="139"/>
        <v>0</v>
      </c>
      <c r="CI39" s="512"/>
      <c r="CJ39" s="513">
        <f t="shared" si="27"/>
        <v>0</v>
      </c>
      <c r="CK39" s="514">
        <f t="shared" si="140"/>
        <v>0</v>
      </c>
      <c r="CL39" s="512"/>
      <c r="CM39" s="513">
        <f t="shared" si="28"/>
        <v>0</v>
      </c>
      <c r="CN39" s="514">
        <f t="shared" si="141"/>
        <v>0</v>
      </c>
      <c r="CO39" s="512"/>
      <c r="CP39" s="513">
        <f t="shared" si="29"/>
        <v>0</v>
      </c>
      <c r="CQ39" s="514">
        <f t="shared" si="142"/>
        <v>0</v>
      </c>
      <c r="CR39" s="512"/>
      <c r="CS39" s="513">
        <f t="shared" si="30"/>
        <v>0</v>
      </c>
      <c r="CT39" s="514">
        <f t="shared" si="143"/>
        <v>0</v>
      </c>
      <c r="CU39" s="512"/>
      <c r="CV39" s="513">
        <f t="shared" si="31"/>
        <v>0</v>
      </c>
      <c r="CW39" s="514">
        <f t="shared" si="144"/>
        <v>0</v>
      </c>
      <c r="CX39" s="512"/>
      <c r="CY39" s="513">
        <f t="shared" si="32"/>
        <v>0</v>
      </c>
      <c r="CZ39" s="514">
        <f t="shared" si="145"/>
        <v>0</v>
      </c>
      <c r="DA39" s="512"/>
      <c r="DB39" s="513">
        <f t="shared" si="33"/>
        <v>0</v>
      </c>
      <c r="DC39" s="514">
        <f t="shared" si="146"/>
        <v>0</v>
      </c>
      <c r="DD39" s="512"/>
      <c r="DE39" s="513">
        <f t="shared" si="34"/>
        <v>0</v>
      </c>
      <c r="DF39" s="514">
        <f t="shared" si="147"/>
        <v>0</v>
      </c>
      <c r="DG39" s="512"/>
      <c r="DH39" s="513">
        <f t="shared" si="35"/>
        <v>0</v>
      </c>
      <c r="DI39" s="514">
        <f t="shared" si="203"/>
        <v>0</v>
      </c>
      <c r="DJ39" s="512"/>
      <c r="DK39" s="513">
        <f t="shared" si="36"/>
        <v>0</v>
      </c>
      <c r="DL39" s="514">
        <f t="shared" si="148"/>
        <v>0</v>
      </c>
      <c r="DM39" s="512"/>
      <c r="DN39" s="513">
        <f t="shared" si="37"/>
        <v>0</v>
      </c>
      <c r="DO39" s="514">
        <f t="shared" si="149"/>
        <v>0</v>
      </c>
      <c r="DP39" s="512"/>
      <c r="DQ39" s="513">
        <f t="shared" si="38"/>
        <v>0</v>
      </c>
      <c r="DR39" s="514">
        <f t="shared" si="150"/>
        <v>0</v>
      </c>
      <c r="DS39" s="512"/>
      <c r="DT39" s="513">
        <f t="shared" si="39"/>
        <v>0</v>
      </c>
      <c r="DU39" s="514">
        <f t="shared" si="151"/>
        <v>0</v>
      </c>
      <c r="DV39" s="512"/>
      <c r="DW39" s="513">
        <f t="shared" si="40"/>
        <v>0</v>
      </c>
      <c r="DX39" s="514">
        <f t="shared" si="152"/>
        <v>0</v>
      </c>
      <c r="DY39" s="512"/>
      <c r="DZ39" s="513">
        <f t="shared" si="41"/>
        <v>0</v>
      </c>
      <c r="EA39" s="514">
        <f t="shared" si="153"/>
        <v>0</v>
      </c>
      <c r="EB39" s="512">
        <v>140.89411764705892</v>
      </c>
      <c r="EC39" s="513">
        <f t="shared" si="42"/>
        <v>3.6268049229576533</v>
      </c>
      <c r="ED39" s="514">
        <f t="shared" si="154"/>
        <v>0</v>
      </c>
      <c r="EE39" s="512">
        <v>14.534883720930225</v>
      </c>
      <c r="EF39" s="513">
        <f t="shared" si="43"/>
        <v>0.37414754223976071</v>
      </c>
      <c r="EG39" s="514">
        <f t="shared" si="155"/>
        <v>0</v>
      </c>
      <c r="EH39" s="512">
        <v>1</v>
      </c>
      <c r="EI39" s="513">
        <f t="shared" si="44"/>
        <v>2.5741350906095552E-2</v>
      </c>
      <c r="EJ39" s="514">
        <f t="shared" si="156"/>
        <v>0</v>
      </c>
      <c r="EK39" s="512">
        <v>58.139534883721012</v>
      </c>
      <c r="EL39" s="513">
        <f t="shared" si="45"/>
        <v>1.496590168959046</v>
      </c>
      <c r="EM39" s="514">
        <f t="shared" si="157"/>
        <v>0</v>
      </c>
      <c r="EN39" s="512"/>
      <c r="EO39" s="513">
        <f t="shared" si="46"/>
        <v>0</v>
      </c>
      <c r="EP39" s="514">
        <f t="shared" si="158"/>
        <v>0</v>
      </c>
      <c r="EQ39" s="512"/>
      <c r="ER39" s="513">
        <f t="shared" si="47"/>
        <v>0</v>
      </c>
      <c r="ES39" s="514">
        <f t="shared" si="159"/>
        <v>0</v>
      </c>
      <c r="ET39" s="512"/>
      <c r="EU39" s="513">
        <f t="shared" si="48"/>
        <v>0</v>
      </c>
      <c r="EV39" s="514">
        <f t="shared" si="160"/>
        <v>0</v>
      </c>
      <c r="EW39" s="512"/>
      <c r="EX39" s="513">
        <f t="shared" si="49"/>
        <v>0</v>
      </c>
      <c r="EY39" s="514">
        <f t="shared" si="161"/>
        <v>0</v>
      </c>
      <c r="EZ39" s="512"/>
      <c r="FA39" s="513">
        <f t="shared" si="50"/>
        <v>0</v>
      </c>
      <c r="FB39" s="514">
        <f t="shared" si="162"/>
        <v>0</v>
      </c>
      <c r="FC39" s="512"/>
      <c r="FD39" s="513">
        <f t="shared" si="51"/>
        <v>0</v>
      </c>
      <c r="FE39" s="514">
        <f t="shared" si="163"/>
        <v>0</v>
      </c>
      <c r="FF39" s="512"/>
      <c r="FG39" s="513">
        <f t="shared" si="52"/>
        <v>0</v>
      </c>
      <c r="FH39" s="514">
        <f t="shared" si="164"/>
        <v>0</v>
      </c>
      <c r="FI39" s="512"/>
      <c r="FJ39" s="513">
        <f t="shared" si="53"/>
        <v>0</v>
      </c>
      <c r="FK39" s="514">
        <f t="shared" si="165"/>
        <v>0</v>
      </c>
      <c r="FL39" s="512"/>
      <c r="FM39" s="513">
        <f t="shared" si="54"/>
        <v>0</v>
      </c>
      <c r="FN39" s="514">
        <f t="shared" si="166"/>
        <v>0</v>
      </c>
      <c r="FO39" s="512"/>
      <c r="FP39" s="513">
        <f t="shared" si="55"/>
        <v>0</v>
      </c>
      <c r="FQ39" s="514">
        <f t="shared" si="167"/>
        <v>0</v>
      </c>
      <c r="FR39" s="512"/>
      <c r="FS39" s="513">
        <f t="shared" si="56"/>
        <v>0</v>
      </c>
      <c r="FT39" s="514">
        <f t="shared" si="168"/>
        <v>0</v>
      </c>
      <c r="FU39" s="512"/>
      <c r="FV39" s="513">
        <f t="shared" si="57"/>
        <v>0</v>
      </c>
      <c r="FW39" s="514">
        <f t="shared" si="169"/>
        <v>0</v>
      </c>
      <c r="FX39" s="512"/>
      <c r="FY39" s="513">
        <f t="shared" si="58"/>
        <v>0</v>
      </c>
      <c r="FZ39" s="514">
        <f t="shared" si="170"/>
        <v>0</v>
      </c>
      <c r="GA39" s="512"/>
      <c r="GB39" s="513">
        <f t="shared" si="59"/>
        <v>0</v>
      </c>
      <c r="GC39" s="514">
        <f t="shared" si="171"/>
        <v>0</v>
      </c>
      <c r="GD39" s="512"/>
      <c r="GE39" s="513">
        <f t="shared" si="60"/>
        <v>0</v>
      </c>
      <c r="GF39" s="514">
        <f t="shared" si="172"/>
        <v>0</v>
      </c>
      <c r="GG39" s="512">
        <v>2.6763934972652761</v>
      </c>
      <c r="GH39" s="513">
        <f t="shared" si="61"/>
        <v>6.889398417589776E-2</v>
      </c>
      <c r="GI39" s="514">
        <f t="shared" si="173"/>
        <v>0</v>
      </c>
      <c r="GJ39" s="512">
        <v>2.6763934972652761</v>
      </c>
      <c r="GK39" s="513">
        <f t="shared" si="62"/>
        <v>6.889398417589776E-2</v>
      </c>
      <c r="GL39" s="514">
        <f t="shared" si="174"/>
        <v>0</v>
      </c>
      <c r="GM39" s="512"/>
      <c r="GN39" s="513">
        <f t="shared" si="63"/>
        <v>0</v>
      </c>
      <c r="GO39" s="514">
        <f t="shared" si="175"/>
        <v>0</v>
      </c>
      <c r="GP39" s="512">
        <v>13.38196748632638</v>
      </c>
      <c r="GQ39" s="513">
        <f t="shared" si="64"/>
        <v>0.3444699208794888</v>
      </c>
      <c r="GR39" s="514">
        <f t="shared" si="176"/>
        <v>0</v>
      </c>
      <c r="GS39" s="512">
        <v>90.997378907019382</v>
      </c>
      <c r="GT39" s="513">
        <f t="shared" si="65"/>
        <v>2.3423954619805238</v>
      </c>
      <c r="GU39" s="514">
        <f t="shared" si="177"/>
        <v>0</v>
      </c>
      <c r="GV39" s="512">
        <v>16.058360983591655</v>
      </c>
      <c r="GW39" s="513">
        <f t="shared" si="66"/>
        <v>0.4133639050553865</v>
      </c>
      <c r="GX39" s="514">
        <f t="shared" si="178"/>
        <v>0</v>
      </c>
      <c r="GY39" s="512"/>
      <c r="GZ39" s="513">
        <f t="shared" si="67"/>
        <v>0</v>
      </c>
      <c r="HA39" s="514">
        <f t="shared" si="179"/>
        <v>0</v>
      </c>
      <c r="HB39" s="512"/>
      <c r="HC39" s="513">
        <f t="shared" si="68"/>
        <v>0</v>
      </c>
      <c r="HD39" s="514">
        <f t="shared" si="180"/>
        <v>0</v>
      </c>
      <c r="HE39" s="512"/>
      <c r="HF39" s="513">
        <f t="shared" si="69"/>
        <v>0</v>
      </c>
      <c r="HG39" s="514">
        <f t="shared" si="181"/>
        <v>0</v>
      </c>
      <c r="HH39" s="512"/>
      <c r="HI39" s="513">
        <f t="shared" si="70"/>
        <v>0</v>
      </c>
      <c r="HJ39" s="514">
        <f t="shared" si="182"/>
        <v>0</v>
      </c>
      <c r="HK39" s="512"/>
      <c r="HL39" s="513">
        <f t="shared" si="71"/>
        <v>0</v>
      </c>
      <c r="HM39" s="514">
        <f t="shared" si="183"/>
        <v>0</v>
      </c>
      <c r="HN39" s="512">
        <v>480.412632759117</v>
      </c>
      <c r="HO39" s="513">
        <f t="shared" si="72"/>
        <v>12.366470159573646</v>
      </c>
      <c r="HP39" s="514">
        <f t="shared" si="184"/>
        <v>0</v>
      </c>
      <c r="HQ39" s="512"/>
      <c r="HR39" s="513">
        <f t="shared" si="73"/>
        <v>0</v>
      </c>
      <c r="HS39" s="514">
        <f t="shared" si="185"/>
        <v>0</v>
      </c>
      <c r="HT39" s="512"/>
      <c r="HU39" s="513">
        <f t="shared" si="74"/>
        <v>0</v>
      </c>
      <c r="HV39" s="514">
        <f t="shared" si="186"/>
        <v>0</v>
      </c>
      <c r="HW39" s="512"/>
      <c r="HX39" s="513">
        <f t="shared" si="75"/>
        <v>0</v>
      </c>
      <c r="HY39" s="514">
        <f t="shared" si="187"/>
        <v>0</v>
      </c>
      <c r="HZ39" s="512"/>
      <c r="IA39" s="513">
        <f t="shared" si="76"/>
        <v>0</v>
      </c>
      <c r="IB39" s="514">
        <f t="shared" si="188"/>
        <v>0</v>
      </c>
      <c r="IC39" s="512"/>
      <c r="ID39" s="513">
        <f t="shared" si="77"/>
        <v>0</v>
      </c>
      <c r="IE39" s="514">
        <f t="shared" si="189"/>
        <v>0</v>
      </c>
      <c r="IF39" s="512"/>
      <c r="IG39" s="513">
        <f t="shared" si="78"/>
        <v>0</v>
      </c>
      <c r="IH39" s="514">
        <f t="shared" si="190"/>
        <v>0</v>
      </c>
      <c r="II39" s="512">
        <v>12.043770737693741</v>
      </c>
      <c r="IJ39" s="513">
        <f t="shared" si="79"/>
        <v>0.31002292879153986</v>
      </c>
      <c r="IK39" s="514">
        <f t="shared" si="191"/>
        <v>0</v>
      </c>
      <c r="IL39" s="512"/>
      <c r="IM39" s="513">
        <f t="shared" si="80"/>
        <v>0</v>
      </c>
      <c r="IN39" s="514">
        <f t="shared" si="192"/>
        <v>0</v>
      </c>
      <c r="IO39" s="512"/>
      <c r="IP39" s="513">
        <f t="shared" si="81"/>
        <v>0</v>
      </c>
      <c r="IQ39" s="514">
        <f t="shared" si="193"/>
        <v>0</v>
      </c>
      <c r="IR39" s="512">
        <v>18.734754480856932</v>
      </c>
      <c r="IS39" s="513">
        <f t="shared" si="82"/>
        <v>0.48225788923128432</v>
      </c>
      <c r="IT39" s="514">
        <f t="shared" si="194"/>
        <v>0</v>
      </c>
      <c r="IU39" s="512"/>
      <c r="IV39" s="513">
        <f t="shared" si="83"/>
        <v>0</v>
      </c>
      <c r="IW39" s="514">
        <f t="shared" si="195"/>
        <v>0</v>
      </c>
      <c r="IX39" s="512"/>
      <c r="IY39" s="513">
        <f t="shared" si="84"/>
        <v>0</v>
      </c>
      <c r="IZ39" s="514">
        <f t="shared" si="196"/>
        <v>0</v>
      </c>
      <c r="JA39" s="512"/>
      <c r="JB39" s="513">
        <f t="shared" si="85"/>
        <v>0</v>
      </c>
      <c r="JC39" s="514">
        <f t="shared" si="197"/>
        <v>0</v>
      </c>
      <c r="JD39" s="512"/>
      <c r="JE39" s="513">
        <f t="shared" si="86"/>
        <v>0</v>
      </c>
      <c r="JF39" s="514">
        <f t="shared" si="198"/>
        <v>0</v>
      </c>
      <c r="JG39" s="512"/>
      <c r="JH39" s="513">
        <f t="shared" si="87"/>
        <v>0</v>
      </c>
      <c r="JI39" s="514">
        <f t="shared" si="199"/>
        <v>0</v>
      </c>
      <c r="JJ39" s="512">
        <v>12.043770737693741</v>
      </c>
      <c r="JK39" s="514" t="str">
        <f t="shared" si="88"/>
        <v>0</v>
      </c>
      <c r="JL39" s="514" t="str">
        <f t="shared" si="89"/>
        <v>0</v>
      </c>
      <c r="JM39" s="512"/>
      <c r="JN39" s="514" t="str">
        <f t="shared" si="90"/>
        <v>0</v>
      </c>
      <c r="JO39" s="514" t="str">
        <f t="shared" si="91"/>
        <v>0</v>
      </c>
      <c r="JP39" s="512"/>
      <c r="JQ39" s="514" t="str">
        <f t="shared" si="92"/>
        <v>0</v>
      </c>
      <c r="JR39" s="514" t="str">
        <f t="shared" si="93"/>
        <v>0</v>
      </c>
      <c r="JS39" s="512"/>
      <c r="JT39" s="514" t="str">
        <f t="shared" si="94"/>
        <v>0</v>
      </c>
      <c r="JU39" s="514" t="str">
        <f t="shared" si="95"/>
        <v>0</v>
      </c>
      <c r="JV39" s="512"/>
      <c r="JW39" s="514" t="str">
        <f t="shared" si="96"/>
        <v>0</v>
      </c>
      <c r="JX39" s="514" t="str">
        <f t="shared" si="97"/>
        <v>0</v>
      </c>
      <c r="JY39" s="512"/>
      <c r="JZ39" s="514" t="str">
        <f t="shared" si="98"/>
        <v>0</v>
      </c>
      <c r="KA39" s="514" t="str">
        <f t="shared" si="99"/>
        <v>0</v>
      </c>
      <c r="KB39" s="512"/>
      <c r="KC39" s="514" t="str">
        <f t="shared" si="100"/>
        <v>0</v>
      </c>
      <c r="KD39" s="514" t="str">
        <f t="shared" si="101"/>
        <v>0</v>
      </c>
      <c r="KE39" s="512"/>
      <c r="KF39" s="514" t="str">
        <f t="shared" si="102"/>
        <v>0</v>
      </c>
      <c r="KG39" s="514" t="str">
        <f t="shared" si="103"/>
        <v>0</v>
      </c>
      <c r="KH39" s="512"/>
      <c r="KI39" s="514" t="str">
        <f t="shared" si="104"/>
        <v>0</v>
      </c>
      <c r="KJ39" s="514" t="str">
        <f t="shared" si="105"/>
        <v>0</v>
      </c>
      <c r="KK39" s="512"/>
      <c r="KL39" s="514" t="str">
        <f t="shared" si="106"/>
        <v>0</v>
      </c>
      <c r="KM39" s="514" t="str">
        <f t="shared" si="107"/>
        <v>0</v>
      </c>
      <c r="KN39" s="512"/>
      <c r="KO39" s="514" t="str">
        <f t="shared" si="108"/>
        <v>0</v>
      </c>
      <c r="KP39" s="514" t="str">
        <f t="shared" si="109"/>
        <v>0</v>
      </c>
      <c r="KQ39" s="512"/>
      <c r="KR39" s="514" t="str">
        <f t="shared" si="110"/>
        <v>0</v>
      </c>
      <c r="KS39" s="514" t="str">
        <f t="shared" si="111"/>
        <v>0</v>
      </c>
      <c r="KT39" s="514">
        <f t="shared" si="201"/>
        <v>0</v>
      </c>
      <c r="KU39" s="514">
        <f t="shared" si="202"/>
        <v>0</v>
      </c>
      <c r="KV39" s="263">
        <f>+F39+I39+L39+O39+R39+U39+X39+AA39+AD39+AG39+AJ39+AM39+AP39+AS39+AV39+AY39+BB39+BE39+BH39+BK39+BN39+BQ39+BT39+BW39+BZ39+CC39+CF39+CI39+CL39+CO39+CR39+CU39+CX39+DA39+DD39+DJ39+DM39+DP39+DS39+DV39+DY39+EB39+EE39+EH39+JJ39+IR39+II39+HN39+GV39+GS39+GP39+GJ39+GG39+EK39</f>
        <v>1114.1512342341866</v>
      </c>
    </row>
    <row r="40" spans="1:16384" ht="15" customHeight="1">
      <c r="A40" s="471">
        <f t="shared" si="200"/>
        <v>45961</v>
      </c>
      <c r="B40" s="472" t="str">
        <f>+Report1!B39</f>
        <v>Toilet</v>
      </c>
      <c r="C40" s="473" t="str">
        <f>+Report1!C39</f>
        <v>13,5</v>
      </c>
      <c r="D40" s="474">
        <f>+Report1!P39</f>
        <v>39.597000000000001</v>
      </c>
      <c r="E40" s="475">
        <f>+Report1!R39</f>
        <v>39.340000000000003</v>
      </c>
      <c r="F40" s="512"/>
      <c r="G40" s="513">
        <f t="shared" si="0"/>
        <v>0</v>
      </c>
      <c r="H40" s="514">
        <f t="shared" si="113"/>
        <v>0</v>
      </c>
      <c r="I40" s="512"/>
      <c r="J40" s="513">
        <f t="shared" si="1"/>
        <v>0</v>
      </c>
      <c r="K40" s="514">
        <f t="shared" si="114"/>
        <v>0</v>
      </c>
      <c r="L40" s="512"/>
      <c r="M40" s="513">
        <f t="shared" si="2"/>
        <v>0</v>
      </c>
      <c r="N40" s="514">
        <f t="shared" si="115"/>
        <v>0</v>
      </c>
      <c r="O40" s="512">
        <v>30</v>
      </c>
      <c r="P40" s="513">
        <f t="shared" si="3"/>
        <v>0.76258261311642084</v>
      </c>
      <c r="Q40" s="514">
        <f t="shared" si="116"/>
        <v>0</v>
      </c>
      <c r="R40" s="512">
        <v>7.6875000000000036</v>
      </c>
      <c r="S40" s="513">
        <f t="shared" si="4"/>
        <v>0.19541179461108293</v>
      </c>
      <c r="T40" s="514">
        <f t="shared" si="117"/>
        <v>0</v>
      </c>
      <c r="U40" s="512">
        <v>6.2499999999999929</v>
      </c>
      <c r="V40" s="513">
        <f t="shared" si="5"/>
        <v>0.1588713777325875</v>
      </c>
      <c r="W40" s="514">
        <f t="shared" si="118"/>
        <v>0</v>
      </c>
      <c r="X40" s="512"/>
      <c r="Y40" s="513">
        <f t="shared" si="6"/>
        <v>0</v>
      </c>
      <c r="Z40" s="514">
        <f t="shared" si="119"/>
        <v>0</v>
      </c>
      <c r="AA40" s="512"/>
      <c r="AB40" s="513">
        <f t="shared" si="7"/>
        <v>0</v>
      </c>
      <c r="AC40" s="514">
        <f t="shared" si="120"/>
        <v>0</v>
      </c>
      <c r="AD40" s="512"/>
      <c r="AE40" s="513">
        <f t="shared" si="8"/>
        <v>0</v>
      </c>
      <c r="AF40" s="514">
        <f t="shared" si="121"/>
        <v>0</v>
      </c>
      <c r="AG40" s="512"/>
      <c r="AH40" s="513">
        <f t="shared" si="9"/>
        <v>0</v>
      </c>
      <c r="AI40" s="514">
        <f t="shared" si="122"/>
        <v>0</v>
      </c>
      <c r="AJ40" s="512"/>
      <c r="AK40" s="513">
        <f t="shared" si="10"/>
        <v>0</v>
      </c>
      <c r="AL40" s="514">
        <f t="shared" si="123"/>
        <v>0</v>
      </c>
      <c r="AM40" s="512"/>
      <c r="AN40" s="513">
        <f t="shared" si="11"/>
        <v>0</v>
      </c>
      <c r="AO40" s="514">
        <f t="shared" si="124"/>
        <v>0</v>
      </c>
      <c r="AP40" s="512">
        <v>42.051282051282072</v>
      </c>
      <c r="AQ40" s="513">
        <f t="shared" si="12"/>
        <v>1.068919218385411</v>
      </c>
      <c r="AR40" s="514">
        <f t="shared" si="125"/>
        <v>0</v>
      </c>
      <c r="AS40" s="512"/>
      <c r="AT40" s="513">
        <f t="shared" si="13"/>
        <v>0</v>
      </c>
      <c r="AU40" s="514">
        <f t="shared" si="126"/>
        <v>0</v>
      </c>
      <c r="AV40" s="512"/>
      <c r="AW40" s="513">
        <f t="shared" si="14"/>
        <v>0</v>
      </c>
      <c r="AX40" s="514">
        <f t="shared" si="127"/>
        <v>0</v>
      </c>
      <c r="AY40" s="512">
        <v>42</v>
      </c>
      <c r="AZ40" s="513">
        <f t="shared" si="15"/>
        <v>1.0676156583629892</v>
      </c>
      <c r="BA40" s="514">
        <f t="shared" si="128"/>
        <v>0</v>
      </c>
      <c r="BB40" s="512"/>
      <c r="BC40" s="513">
        <f t="shared" si="16"/>
        <v>0</v>
      </c>
      <c r="BD40" s="514">
        <f t="shared" si="129"/>
        <v>0</v>
      </c>
      <c r="BE40" s="512"/>
      <c r="BF40" s="513">
        <f t="shared" si="17"/>
        <v>0</v>
      </c>
      <c r="BG40" s="514">
        <f t="shared" si="130"/>
        <v>0</v>
      </c>
      <c r="BH40" s="512"/>
      <c r="BI40" s="513">
        <f t="shared" si="18"/>
        <v>0</v>
      </c>
      <c r="BJ40" s="514">
        <f t="shared" si="131"/>
        <v>0</v>
      </c>
      <c r="BK40" s="512"/>
      <c r="BL40" s="513">
        <f t="shared" si="19"/>
        <v>0</v>
      </c>
      <c r="BM40" s="514">
        <f t="shared" si="132"/>
        <v>0</v>
      </c>
      <c r="BN40" s="512"/>
      <c r="BO40" s="513">
        <f t="shared" si="20"/>
        <v>0</v>
      </c>
      <c r="BP40" s="514">
        <f t="shared" si="133"/>
        <v>0</v>
      </c>
      <c r="BQ40" s="512"/>
      <c r="BR40" s="513">
        <f t="shared" si="21"/>
        <v>0</v>
      </c>
      <c r="BS40" s="514">
        <f t="shared" si="134"/>
        <v>0</v>
      </c>
      <c r="BT40" s="512"/>
      <c r="BU40" s="513">
        <f t="shared" si="22"/>
        <v>0</v>
      </c>
      <c r="BV40" s="514">
        <f t="shared" si="135"/>
        <v>0</v>
      </c>
      <c r="BW40" s="512"/>
      <c r="BX40" s="513">
        <f t="shared" si="23"/>
        <v>0</v>
      </c>
      <c r="BY40" s="514">
        <f t="shared" si="136"/>
        <v>0</v>
      </c>
      <c r="BZ40" s="512"/>
      <c r="CA40" s="513">
        <f t="shared" si="24"/>
        <v>0</v>
      </c>
      <c r="CB40" s="514">
        <f t="shared" si="137"/>
        <v>0</v>
      </c>
      <c r="CC40" s="512"/>
      <c r="CD40" s="513">
        <f t="shared" si="25"/>
        <v>0</v>
      </c>
      <c r="CE40" s="514">
        <f t="shared" si="138"/>
        <v>0</v>
      </c>
      <c r="CF40" s="512">
        <v>10</v>
      </c>
      <c r="CG40" s="513">
        <f t="shared" si="26"/>
        <v>0.2541942043721403</v>
      </c>
      <c r="CH40" s="514">
        <f t="shared" si="139"/>
        <v>0</v>
      </c>
      <c r="CI40" s="512"/>
      <c r="CJ40" s="513">
        <f t="shared" si="27"/>
        <v>0</v>
      </c>
      <c r="CK40" s="514">
        <f t="shared" si="140"/>
        <v>0</v>
      </c>
      <c r="CL40" s="512"/>
      <c r="CM40" s="513">
        <f t="shared" si="28"/>
        <v>0</v>
      </c>
      <c r="CN40" s="514">
        <f t="shared" si="141"/>
        <v>0</v>
      </c>
      <c r="CO40" s="512"/>
      <c r="CP40" s="513">
        <f t="shared" si="29"/>
        <v>0</v>
      </c>
      <c r="CQ40" s="514">
        <f t="shared" si="142"/>
        <v>0</v>
      </c>
      <c r="CR40" s="512"/>
      <c r="CS40" s="513">
        <f t="shared" si="30"/>
        <v>0</v>
      </c>
      <c r="CT40" s="514">
        <f t="shared" si="143"/>
        <v>0</v>
      </c>
      <c r="CU40" s="512"/>
      <c r="CV40" s="513">
        <f t="shared" si="31"/>
        <v>0</v>
      </c>
      <c r="CW40" s="514">
        <f t="shared" si="144"/>
        <v>0</v>
      </c>
      <c r="CX40" s="512"/>
      <c r="CY40" s="513">
        <f t="shared" si="32"/>
        <v>0</v>
      </c>
      <c r="CZ40" s="514">
        <f t="shared" si="145"/>
        <v>0</v>
      </c>
      <c r="DA40" s="512">
        <v>101.74465116279066</v>
      </c>
      <c r="DB40" s="513">
        <f t="shared" si="33"/>
        <v>2.5862900651446532</v>
      </c>
      <c r="DC40" s="514">
        <f t="shared" si="146"/>
        <v>0</v>
      </c>
      <c r="DD40" s="512"/>
      <c r="DE40" s="513">
        <f t="shared" si="34"/>
        <v>0</v>
      </c>
      <c r="DF40" s="514">
        <f t="shared" si="147"/>
        <v>0</v>
      </c>
      <c r="DG40" s="512"/>
      <c r="DH40" s="513">
        <f t="shared" si="35"/>
        <v>0</v>
      </c>
      <c r="DI40" s="514">
        <f t="shared" si="203"/>
        <v>0</v>
      </c>
      <c r="DJ40" s="512"/>
      <c r="DK40" s="513">
        <f t="shared" si="36"/>
        <v>0</v>
      </c>
      <c r="DL40" s="514">
        <f t="shared" si="148"/>
        <v>0</v>
      </c>
      <c r="DM40" s="512"/>
      <c r="DN40" s="513">
        <f t="shared" si="37"/>
        <v>0</v>
      </c>
      <c r="DO40" s="514">
        <f t="shared" si="149"/>
        <v>0</v>
      </c>
      <c r="DP40" s="512"/>
      <c r="DQ40" s="513">
        <f t="shared" si="38"/>
        <v>0</v>
      </c>
      <c r="DR40" s="514">
        <f t="shared" si="150"/>
        <v>0</v>
      </c>
      <c r="DS40" s="512"/>
      <c r="DT40" s="513">
        <f t="shared" si="39"/>
        <v>0</v>
      </c>
      <c r="DU40" s="514">
        <f t="shared" si="151"/>
        <v>0</v>
      </c>
      <c r="DV40" s="512"/>
      <c r="DW40" s="513">
        <f t="shared" si="40"/>
        <v>0</v>
      </c>
      <c r="DX40" s="514">
        <f t="shared" si="152"/>
        <v>0</v>
      </c>
      <c r="DY40" s="512">
        <v>6.47</v>
      </c>
      <c r="DZ40" s="513">
        <f t="shared" si="41"/>
        <v>0.16446365022877477</v>
      </c>
      <c r="EA40" s="514">
        <f t="shared" si="153"/>
        <v>0</v>
      </c>
      <c r="EB40" s="512">
        <v>211.34117647058815</v>
      </c>
      <c r="EC40" s="513">
        <f t="shared" si="42"/>
        <v>5.3721702204013253</v>
      </c>
      <c r="ED40" s="514">
        <f t="shared" si="154"/>
        <v>0</v>
      </c>
      <c r="EE40" s="512">
        <v>7.2674418604651123</v>
      </c>
      <c r="EF40" s="513">
        <f t="shared" si="43"/>
        <v>0.18473416015417163</v>
      </c>
      <c r="EG40" s="514">
        <f t="shared" si="155"/>
        <v>0</v>
      </c>
      <c r="EH40" s="512"/>
      <c r="EI40" s="513">
        <f t="shared" si="44"/>
        <v>0</v>
      </c>
      <c r="EJ40" s="514">
        <f t="shared" si="156"/>
        <v>0</v>
      </c>
      <c r="EK40" s="512"/>
      <c r="EL40" s="513">
        <f t="shared" si="45"/>
        <v>0</v>
      </c>
      <c r="EM40" s="514">
        <f t="shared" si="157"/>
        <v>0</v>
      </c>
      <c r="EN40" s="512"/>
      <c r="EO40" s="513">
        <f t="shared" si="46"/>
        <v>0</v>
      </c>
      <c r="EP40" s="514">
        <f t="shared" si="158"/>
        <v>0</v>
      </c>
      <c r="EQ40" s="512"/>
      <c r="ER40" s="513">
        <f t="shared" si="47"/>
        <v>0</v>
      </c>
      <c r="ES40" s="514">
        <f t="shared" si="159"/>
        <v>0</v>
      </c>
      <c r="ET40" s="512"/>
      <c r="EU40" s="513">
        <f t="shared" si="48"/>
        <v>0</v>
      </c>
      <c r="EV40" s="514">
        <f t="shared" si="160"/>
        <v>0</v>
      </c>
      <c r="EW40" s="512"/>
      <c r="EX40" s="513">
        <f t="shared" si="49"/>
        <v>0</v>
      </c>
      <c r="EY40" s="514">
        <f t="shared" si="161"/>
        <v>0</v>
      </c>
      <c r="EZ40" s="512"/>
      <c r="FA40" s="513">
        <f t="shared" si="50"/>
        <v>0</v>
      </c>
      <c r="FB40" s="514">
        <f t="shared" si="162"/>
        <v>0</v>
      </c>
      <c r="FC40" s="512"/>
      <c r="FD40" s="513">
        <f t="shared" si="51"/>
        <v>0</v>
      </c>
      <c r="FE40" s="514">
        <f t="shared" si="163"/>
        <v>0</v>
      </c>
      <c r="FF40" s="512"/>
      <c r="FG40" s="513">
        <f t="shared" si="52"/>
        <v>0</v>
      </c>
      <c r="FH40" s="514">
        <f t="shared" si="164"/>
        <v>0</v>
      </c>
      <c r="FI40" s="512"/>
      <c r="FJ40" s="513">
        <f t="shared" si="53"/>
        <v>0</v>
      </c>
      <c r="FK40" s="514">
        <f t="shared" si="165"/>
        <v>0</v>
      </c>
      <c r="FL40" s="512"/>
      <c r="FM40" s="513">
        <f t="shared" si="54"/>
        <v>0</v>
      </c>
      <c r="FN40" s="514">
        <f t="shared" si="166"/>
        <v>0</v>
      </c>
      <c r="FO40" s="512"/>
      <c r="FP40" s="513">
        <f t="shared" si="55"/>
        <v>0</v>
      </c>
      <c r="FQ40" s="514">
        <f t="shared" si="167"/>
        <v>0</v>
      </c>
      <c r="FR40" s="512"/>
      <c r="FS40" s="513">
        <f t="shared" si="56"/>
        <v>0</v>
      </c>
      <c r="FT40" s="514">
        <f t="shared" si="168"/>
        <v>0</v>
      </c>
      <c r="FU40" s="512"/>
      <c r="FV40" s="513">
        <f t="shared" si="57"/>
        <v>0</v>
      </c>
      <c r="FW40" s="514">
        <f t="shared" si="169"/>
        <v>0</v>
      </c>
      <c r="FX40" s="512"/>
      <c r="FY40" s="513">
        <f t="shared" si="58"/>
        <v>0</v>
      </c>
      <c r="FZ40" s="514">
        <f t="shared" si="170"/>
        <v>0</v>
      </c>
      <c r="GA40" s="512"/>
      <c r="GB40" s="513">
        <f t="shared" si="59"/>
        <v>0</v>
      </c>
      <c r="GC40" s="514">
        <f t="shared" si="171"/>
        <v>0</v>
      </c>
      <c r="GD40" s="512"/>
      <c r="GE40" s="513">
        <f t="shared" si="60"/>
        <v>0</v>
      </c>
      <c r="GF40" s="514">
        <f t="shared" si="172"/>
        <v>0</v>
      </c>
      <c r="GG40" s="512">
        <v>7.2111672291965121</v>
      </c>
      <c r="GH40" s="513">
        <f t="shared" si="61"/>
        <v>0.18330369164200588</v>
      </c>
      <c r="GI40" s="514">
        <f t="shared" si="173"/>
        <v>0</v>
      </c>
      <c r="GJ40" s="512">
        <v>7.2111672291965121</v>
      </c>
      <c r="GK40" s="513">
        <f t="shared" si="62"/>
        <v>0.18330369164200588</v>
      </c>
      <c r="GL40" s="514">
        <f t="shared" si="174"/>
        <v>0</v>
      </c>
      <c r="GM40" s="512"/>
      <c r="GN40" s="513">
        <f t="shared" si="63"/>
        <v>0</v>
      </c>
      <c r="GO40" s="514">
        <f t="shared" si="175"/>
        <v>0</v>
      </c>
      <c r="GP40" s="512">
        <v>28.844668916786048</v>
      </c>
      <c r="GQ40" s="513">
        <f t="shared" si="64"/>
        <v>0.73321476656802353</v>
      </c>
      <c r="GR40" s="514">
        <f t="shared" si="176"/>
        <v>0</v>
      </c>
      <c r="GS40" s="512">
        <v>168.26056868125195</v>
      </c>
      <c r="GT40" s="513">
        <f t="shared" si="65"/>
        <v>4.2770861383134706</v>
      </c>
      <c r="GU40" s="514">
        <f t="shared" si="177"/>
        <v>0</v>
      </c>
      <c r="GV40" s="512">
        <v>28.844668916786048</v>
      </c>
      <c r="GW40" s="513">
        <f t="shared" si="66"/>
        <v>0.73321476656802353</v>
      </c>
      <c r="GX40" s="514">
        <f t="shared" si="178"/>
        <v>0</v>
      </c>
      <c r="GY40" s="512"/>
      <c r="GZ40" s="513">
        <f t="shared" si="67"/>
        <v>0</v>
      </c>
      <c r="HA40" s="514">
        <f t="shared" si="179"/>
        <v>0</v>
      </c>
      <c r="HB40" s="512"/>
      <c r="HC40" s="513">
        <f t="shared" si="68"/>
        <v>0</v>
      </c>
      <c r="HD40" s="514">
        <f t="shared" si="180"/>
        <v>0</v>
      </c>
      <c r="HE40" s="512"/>
      <c r="HF40" s="513">
        <f t="shared" si="69"/>
        <v>0</v>
      </c>
      <c r="HG40" s="514">
        <f t="shared" si="181"/>
        <v>0</v>
      </c>
      <c r="HH40" s="512"/>
      <c r="HI40" s="513">
        <f t="shared" si="70"/>
        <v>0</v>
      </c>
      <c r="HJ40" s="514">
        <f t="shared" si="182"/>
        <v>0</v>
      </c>
      <c r="HK40" s="512"/>
      <c r="HL40" s="513">
        <f t="shared" si="71"/>
        <v>0</v>
      </c>
      <c r="HM40" s="514">
        <f t="shared" si="183"/>
        <v>0</v>
      </c>
      <c r="HN40" s="512">
        <v>865.34006750358151</v>
      </c>
      <c r="HO40" s="513">
        <f t="shared" si="72"/>
        <v>21.996442997040706</v>
      </c>
      <c r="HP40" s="514">
        <f t="shared" si="184"/>
        <v>0</v>
      </c>
      <c r="HQ40" s="512"/>
      <c r="HR40" s="513">
        <f t="shared" si="73"/>
        <v>0</v>
      </c>
      <c r="HS40" s="514">
        <f t="shared" si="185"/>
        <v>0</v>
      </c>
      <c r="HT40" s="512"/>
      <c r="HU40" s="513">
        <f t="shared" si="74"/>
        <v>0</v>
      </c>
      <c r="HV40" s="514">
        <f t="shared" si="186"/>
        <v>0</v>
      </c>
      <c r="HW40" s="512"/>
      <c r="HX40" s="513">
        <f t="shared" si="75"/>
        <v>0</v>
      </c>
      <c r="HY40" s="514">
        <f t="shared" si="187"/>
        <v>0</v>
      </c>
      <c r="HZ40" s="512"/>
      <c r="IA40" s="513">
        <f t="shared" si="76"/>
        <v>0</v>
      </c>
      <c r="IB40" s="514">
        <f t="shared" si="188"/>
        <v>0</v>
      </c>
      <c r="IC40" s="512"/>
      <c r="ID40" s="513">
        <f t="shared" si="77"/>
        <v>0</v>
      </c>
      <c r="IE40" s="514">
        <f t="shared" si="189"/>
        <v>0</v>
      </c>
      <c r="IF40" s="512"/>
      <c r="IG40" s="513">
        <f t="shared" si="78"/>
        <v>0</v>
      </c>
      <c r="IH40" s="514">
        <f t="shared" si="190"/>
        <v>0</v>
      </c>
      <c r="II40" s="512">
        <v>24.037224097321708</v>
      </c>
      <c r="IJ40" s="513">
        <f t="shared" si="79"/>
        <v>0.61101230547335295</v>
      </c>
      <c r="IK40" s="514">
        <f t="shared" si="191"/>
        <v>0</v>
      </c>
      <c r="IL40" s="512"/>
      <c r="IM40" s="513">
        <f t="shared" si="80"/>
        <v>0</v>
      </c>
      <c r="IN40" s="514">
        <f t="shared" si="192"/>
        <v>0</v>
      </c>
      <c r="IO40" s="512"/>
      <c r="IP40" s="513">
        <f t="shared" si="81"/>
        <v>0</v>
      </c>
      <c r="IQ40" s="514">
        <f t="shared" si="193"/>
        <v>0</v>
      </c>
      <c r="IR40" s="512">
        <v>43.267003375179073</v>
      </c>
      <c r="IS40" s="513">
        <f t="shared" si="82"/>
        <v>1.0998221498520353</v>
      </c>
      <c r="IT40" s="514">
        <f t="shared" si="194"/>
        <v>0</v>
      </c>
      <c r="IU40" s="512"/>
      <c r="IV40" s="513">
        <f t="shared" si="83"/>
        <v>0</v>
      </c>
      <c r="IW40" s="514">
        <f t="shared" si="195"/>
        <v>0</v>
      </c>
      <c r="IX40" s="512"/>
      <c r="IY40" s="513">
        <f t="shared" si="84"/>
        <v>0</v>
      </c>
      <c r="IZ40" s="514">
        <f t="shared" si="196"/>
        <v>0</v>
      </c>
      <c r="JA40" s="512"/>
      <c r="JB40" s="513">
        <f t="shared" si="85"/>
        <v>0</v>
      </c>
      <c r="JC40" s="514">
        <f t="shared" si="197"/>
        <v>0</v>
      </c>
      <c r="JD40" s="512"/>
      <c r="JE40" s="513">
        <f t="shared" si="86"/>
        <v>0</v>
      </c>
      <c r="JF40" s="514">
        <f t="shared" si="198"/>
        <v>0</v>
      </c>
      <c r="JG40" s="512"/>
      <c r="JH40" s="513">
        <f t="shared" si="87"/>
        <v>0</v>
      </c>
      <c r="JI40" s="514">
        <f t="shared" si="199"/>
        <v>0</v>
      </c>
      <c r="JJ40" s="512">
        <v>14.422334458393024</v>
      </c>
      <c r="JK40" s="514" t="str">
        <f t="shared" si="88"/>
        <v>0</v>
      </c>
      <c r="JL40" s="514" t="str">
        <f t="shared" si="89"/>
        <v>0</v>
      </c>
      <c r="JM40" s="512"/>
      <c r="JN40" s="514" t="str">
        <f t="shared" si="90"/>
        <v>0</v>
      </c>
      <c r="JO40" s="514" t="str">
        <f t="shared" si="91"/>
        <v>0</v>
      </c>
      <c r="JP40" s="512"/>
      <c r="JQ40" s="514" t="str">
        <f t="shared" si="92"/>
        <v>0</v>
      </c>
      <c r="JR40" s="514" t="str">
        <f t="shared" si="93"/>
        <v>0</v>
      </c>
      <c r="JS40" s="512"/>
      <c r="JT40" s="514" t="str">
        <f t="shared" si="94"/>
        <v>0</v>
      </c>
      <c r="JU40" s="514" t="str">
        <f t="shared" si="95"/>
        <v>0</v>
      </c>
      <c r="JV40" s="512"/>
      <c r="JW40" s="514" t="str">
        <f t="shared" si="96"/>
        <v>0</v>
      </c>
      <c r="JX40" s="514" t="str">
        <f t="shared" si="97"/>
        <v>0</v>
      </c>
      <c r="JY40" s="512"/>
      <c r="JZ40" s="514" t="str">
        <f t="shared" si="98"/>
        <v>0</v>
      </c>
      <c r="KA40" s="514" t="str">
        <f t="shared" si="99"/>
        <v>0</v>
      </c>
      <c r="KB40" s="512"/>
      <c r="KC40" s="514" t="str">
        <f t="shared" si="100"/>
        <v>0</v>
      </c>
      <c r="KD40" s="514" t="str">
        <f t="shared" si="101"/>
        <v>0</v>
      </c>
      <c r="KE40" s="512"/>
      <c r="KF40" s="514" t="str">
        <f t="shared" si="102"/>
        <v>0</v>
      </c>
      <c r="KG40" s="514" t="str">
        <f t="shared" si="103"/>
        <v>0</v>
      </c>
      <c r="KH40" s="512"/>
      <c r="KI40" s="514" t="str">
        <f t="shared" si="104"/>
        <v>0</v>
      </c>
      <c r="KJ40" s="514" t="str">
        <f t="shared" si="105"/>
        <v>0</v>
      </c>
      <c r="KK40" s="512"/>
      <c r="KL40" s="514" t="str">
        <f t="shared" si="106"/>
        <v>0</v>
      </c>
      <c r="KM40" s="514" t="str">
        <f t="shared" si="107"/>
        <v>0</v>
      </c>
      <c r="KN40" s="512"/>
      <c r="KO40" s="514" t="str">
        <f t="shared" si="108"/>
        <v>0</v>
      </c>
      <c r="KP40" s="514" t="str">
        <f t="shared" si="109"/>
        <v>0</v>
      </c>
      <c r="KQ40" s="512"/>
      <c r="KR40" s="514" t="str">
        <f t="shared" si="110"/>
        <v>0</v>
      </c>
      <c r="KS40" s="514" t="str">
        <f t="shared" si="111"/>
        <v>0</v>
      </c>
      <c r="KT40" s="514">
        <f t="shared" si="201"/>
        <v>0</v>
      </c>
      <c r="KU40" s="514">
        <f t="shared" si="202"/>
        <v>0</v>
      </c>
      <c r="KV40" s="263">
        <f>+F40+I40+L40+O40+R40+U40+X40+AA40+AD40+AG40+AJ40+AM40+AP40+AS40+AV40+AY40+BB40+BE40+BH40+BK40+BN40+BQ40+BT40+BW40+BZ40+CC40+CF40+CI40+CL40+CO40+CR40+CU40+CX40+DA40+DD40+DJ40+DM40+DP40+DS40+DV40+DY40+EB40+EE40+EH40+JJ40+IR40+II40+HN40+GV40+GS40+GP40+GJ40+GG40+EK40</f>
        <v>1652.2509219528183</v>
      </c>
    </row>
    <row r="41" spans="1:16384" s="476" customFormat="1" ht="15" customHeight="1" thickBot="1">
      <c r="A41" s="731" t="s">
        <v>28</v>
      </c>
      <c r="B41" s="732"/>
      <c r="C41" s="733"/>
      <c r="D41" s="477">
        <f>SUM(D10:D40)</f>
        <v>979.25900000000013</v>
      </c>
      <c r="E41" s="477">
        <f>SUM(E10:E40)</f>
        <v>904.63799999999992</v>
      </c>
      <c r="F41" s="512"/>
      <c r="G41" s="513"/>
      <c r="H41" s="514"/>
      <c r="I41" s="512"/>
      <c r="J41" s="513"/>
      <c r="K41" s="514"/>
      <c r="L41" s="512"/>
      <c r="M41" s="513"/>
      <c r="N41" s="514"/>
      <c r="O41" s="512"/>
      <c r="P41" s="513"/>
      <c r="Q41" s="514"/>
      <c r="R41" s="512"/>
      <c r="S41" s="513"/>
      <c r="T41" s="514"/>
      <c r="U41" s="512"/>
      <c r="V41" s="513"/>
      <c r="W41" s="514"/>
      <c r="X41" s="512"/>
      <c r="Y41" s="513"/>
      <c r="Z41" s="514"/>
      <c r="AA41" s="512"/>
      <c r="AB41" s="513"/>
      <c r="AC41" s="514"/>
      <c r="AD41" s="512"/>
      <c r="AE41" s="513"/>
      <c r="AF41" s="514"/>
      <c r="AG41" s="512"/>
      <c r="AH41" s="513"/>
      <c r="AI41" s="514"/>
      <c r="AJ41" s="512"/>
      <c r="AK41" s="513"/>
      <c r="AL41" s="514"/>
      <c r="AM41" s="512"/>
      <c r="AN41" s="513"/>
      <c r="AO41" s="514"/>
      <c r="AP41" s="512"/>
      <c r="AQ41" s="513"/>
      <c r="AR41" s="514"/>
      <c r="AS41" s="512"/>
      <c r="AT41" s="513"/>
      <c r="AU41" s="514"/>
      <c r="AV41" s="512"/>
      <c r="AW41" s="513"/>
      <c r="AX41" s="514"/>
      <c r="AY41" s="512"/>
      <c r="AZ41" s="513"/>
      <c r="BA41" s="514"/>
      <c r="BB41" s="512"/>
      <c r="BC41" s="513"/>
      <c r="BD41" s="514"/>
      <c r="BE41" s="512"/>
      <c r="BF41" s="513"/>
      <c r="BG41" s="514"/>
      <c r="BH41" s="512"/>
      <c r="BI41" s="513"/>
      <c r="BJ41" s="514"/>
      <c r="BK41" s="512"/>
      <c r="BL41" s="513"/>
      <c r="BM41" s="514"/>
      <c r="BN41" s="512"/>
      <c r="BO41" s="513"/>
      <c r="BP41" s="514"/>
      <c r="BQ41" s="512"/>
      <c r="BR41" s="513"/>
      <c r="BS41" s="514"/>
      <c r="BT41" s="512"/>
      <c r="BU41" s="513"/>
      <c r="BV41" s="514"/>
      <c r="BW41" s="512"/>
      <c r="BX41" s="513"/>
      <c r="BY41" s="514"/>
      <c r="BZ41" s="512"/>
      <c r="CA41" s="513"/>
      <c r="CB41" s="514"/>
      <c r="CC41" s="512"/>
      <c r="CD41" s="513"/>
      <c r="CE41" s="514"/>
      <c r="CF41" s="512"/>
      <c r="CG41" s="513"/>
      <c r="CH41" s="514"/>
      <c r="CI41" s="512"/>
      <c r="CJ41" s="513"/>
      <c r="CK41" s="514"/>
      <c r="CL41" s="512"/>
      <c r="CM41" s="513"/>
      <c r="CN41" s="514"/>
      <c r="CO41" s="512"/>
      <c r="CP41" s="513"/>
      <c r="CQ41" s="514"/>
      <c r="CR41" s="512"/>
      <c r="CS41" s="513"/>
      <c r="CT41" s="514"/>
      <c r="CU41" s="512"/>
      <c r="CV41" s="513"/>
      <c r="CW41" s="514"/>
      <c r="CX41" s="512"/>
      <c r="CY41" s="513"/>
      <c r="CZ41" s="514"/>
      <c r="DA41" s="512"/>
      <c r="DB41" s="513"/>
      <c r="DC41" s="514"/>
      <c r="DD41" s="512"/>
      <c r="DE41" s="513"/>
      <c r="DF41" s="514"/>
      <c r="DG41" s="512"/>
      <c r="DH41" s="513"/>
      <c r="DI41" s="514"/>
      <c r="DJ41" s="512"/>
      <c r="DK41" s="513"/>
      <c r="DL41" s="514"/>
      <c r="DM41" s="512"/>
      <c r="DN41" s="513"/>
      <c r="DO41" s="514"/>
      <c r="DP41" s="512"/>
      <c r="DQ41" s="513"/>
      <c r="DR41" s="514"/>
      <c r="DS41" s="512"/>
      <c r="DT41" s="513"/>
      <c r="DU41" s="514"/>
      <c r="DV41" s="512"/>
      <c r="DW41" s="513"/>
      <c r="DX41" s="514"/>
      <c r="DY41" s="512"/>
      <c r="DZ41" s="513"/>
      <c r="EA41" s="514"/>
      <c r="EB41" s="512"/>
      <c r="EC41" s="513"/>
      <c r="ED41" s="514"/>
      <c r="EE41" s="512"/>
      <c r="EF41" s="513"/>
      <c r="EG41" s="514"/>
      <c r="EH41" s="512"/>
      <c r="EI41" s="513"/>
      <c r="EJ41" s="514"/>
      <c r="EK41" s="512"/>
      <c r="EL41" s="513"/>
      <c r="EM41" s="514"/>
      <c r="EN41" s="512"/>
      <c r="EO41" s="513"/>
      <c r="EP41" s="514"/>
      <c r="EQ41" s="512"/>
      <c r="ER41" s="513"/>
      <c r="ES41" s="514"/>
      <c r="ET41" s="512"/>
      <c r="EU41" s="513"/>
      <c r="EV41" s="514"/>
      <c r="EW41" s="512"/>
      <c r="EX41" s="513"/>
      <c r="EY41" s="514"/>
      <c r="EZ41" s="512"/>
      <c r="FA41" s="513"/>
      <c r="FB41" s="514"/>
      <c r="FC41" s="512"/>
      <c r="FD41" s="513"/>
      <c r="FE41" s="514"/>
      <c r="FF41" s="512"/>
      <c r="FG41" s="513"/>
      <c r="FH41" s="514"/>
      <c r="FI41" s="512"/>
      <c r="FJ41" s="513"/>
      <c r="FK41" s="514"/>
      <c r="FL41" s="512"/>
      <c r="FM41" s="513"/>
      <c r="FN41" s="514"/>
      <c r="FO41" s="512"/>
      <c r="FP41" s="513"/>
      <c r="FQ41" s="514"/>
      <c r="FR41" s="512"/>
      <c r="FS41" s="513"/>
      <c r="FT41" s="514"/>
      <c r="FU41" s="512"/>
      <c r="FV41" s="513"/>
      <c r="FW41" s="514"/>
      <c r="FX41" s="512"/>
      <c r="FY41" s="513"/>
      <c r="FZ41" s="514"/>
      <c r="GA41" s="512"/>
      <c r="GB41" s="513"/>
      <c r="GC41" s="514"/>
      <c r="GD41" s="512"/>
      <c r="GE41" s="513"/>
      <c r="GF41" s="514"/>
      <c r="GG41" s="512"/>
      <c r="GH41" s="513"/>
      <c r="GI41" s="514"/>
      <c r="GJ41" s="512"/>
      <c r="GK41" s="513"/>
      <c r="GL41" s="514"/>
      <c r="GM41" s="512"/>
      <c r="GN41" s="513"/>
      <c r="GO41" s="514"/>
      <c r="GP41" s="512"/>
      <c r="GQ41" s="513"/>
      <c r="GR41" s="514"/>
      <c r="GS41" s="512"/>
      <c r="GT41" s="513"/>
      <c r="GU41" s="514"/>
      <c r="GV41" s="512"/>
      <c r="GW41" s="513"/>
      <c r="GX41" s="514"/>
      <c r="GY41" s="512"/>
      <c r="GZ41" s="513"/>
      <c r="HA41" s="514"/>
      <c r="HB41" s="512"/>
      <c r="HC41" s="513"/>
      <c r="HD41" s="514"/>
      <c r="HE41" s="512"/>
      <c r="HF41" s="513"/>
      <c r="HG41" s="514"/>
      <c r="HH41" s="512"/>
      <c r="HI41" s="513"/>
      <c r="HJ41" s="514"/>
      <c r="HK41" s="512"/>
      <c r="HL41" s="513"/>
      <c r="HM41" s="514"/>
      <c r="HN41" s="512"/>
      <c r="HO41" s="513"/>
      <c r="HP41" s="514"/>
      <c r="HQ41" s="512"/>
      <c r="HR41" s="513"/>
      <c r="HS41" s="514"/>
      <c r="HT41" s="512"/>
      <c r="HU41" s="513"/>
      <c r="HV41" s="514"/>
      <c r="HW41" s="512"/>
      <c r="HX41" s="513"/>
      <c r="HY41" s="514"/>
      <c r="HZ41" s="512"/>
      <c r="IA41" s="513"/>
      <c r="IB41" s="514"/>
      <c r="IC41" s="512"/>
      <c r="ID41" s="513"/>
      <c r="IE41" s="514"/>
      <c r="IF41" s="512"/>
      <c r="IG41" s="513"/>
      <c r="IH41" s="514"/>
      <c r="II41" s="512"/>
      <c r="IJ41" s="513"/>
      <c r="IK41" s="514"/>
      <c r="IL41" s="512"/>
      <c r="IM41" s="513"/>
      <c r="IN41" s="514"/>
      <c r="IO41" s="512"/>
      <c r="IP41" s="513"/>
      <c r="IQ41" s="514"/>
      <c r="IR41" s="512"/>
      <c r="IS41" s="513"/>
      <c r="IT41" s="514"/>
      <c r="IU41" s="512"/>
      <c r="IV41" s="513"/>
      <c r="IW41" s="514"/>
      <c r="IX41" s="512"/>
      <c r="IY41" s="513"/>
      <c r="IZ41" s="514"/>
      <c r="JA41" s="512"/>
      <c r="JB41" s="513"/>
      <c r="JC41" s="514"/>
      <c r="JD41" s="512"/>
      <c r="JE41" s="513"/>
      <c r="JF41" s="514"/>
      <c r="JG41" s="512"/>
      <c r="JH41" s="513"/>
      <c r="JI41" s="514"/>
      <c r="JJ41" s="512"/>
      <c r="JK41" s="514"/>
      <c r="JL41" s="514"/>
      <c r="JM41" s="512"/>
      <c r="JN41" s="514"/>
      <c r="JO41" s="514"/>
      <c r="JP41" s="512"/>
      <c r="JQ41" s="514"/>
      <c r="JR41" s="514"/>
      <c r="JS41" s="512"/>
      <c r="JT41" s="514"/>
      <c r="JU41" s="514"/>
      <c r="JV41" s="512"/>
      <c r="JW41" s="514"/>
      <c r="JX41" s="514"/>
      <c r="JY41" s="512"/>
      <c r="JZ41" s="514"/>
      <c r="KA41" s="514"/>
      <c r="KB41" s="512"/>
      <c r="KC41" s="514"/>
      <c r="KD41" s="514"/>
      <c r="KE41" s="512"/>
      <c r="KF41" s="514"/>
      <c r="KG41" s="514"/>
      <c r="KH41" s="512"/>
      <c r="KI41" s="514"/>
      <c r="KJ41" s="514"/>
      <c r="KK41" s="512"/>
      <c r="KL41" s="514"/>
      <c r="KM41" s="514"/>
      <c r="KN41" s="512"/>
      <c r="KO41" s="514"/>
      <c r="KP41" s="514"/>
      <c r="KQ41" s="512"/>
      <c r="KR41" s="514"/>
      <c r="KS41" s="514"/>
      <c r="KT41" s="514"/>
      <c r="KU41" s="514"/>
      <c r="KV41" s="548">
        <f>SUM(KV10:KV40)</f>
        <v>15591.037721638024</v>
      </c>
      <c r="KW41" s="260"/>
      <c r="KX41" s="260"/>
      <c r="KY41" s="260"/>
      <c r="KZ41" s="260"/>
      <c r="LA41" s="260"/>
      <c r="LB41" s="260"/>
      <c r="LC41" s="260"/>
      <c r="LD41" s="260"/>
      <c r="LE41" s="260"/>
      <c r="LF41" s="260"/>
      <c r="LG41" s="260"/>
      <c r="LH41" s="260"/>
      <c r="LI41" s="260"/>
      <c r="LJ41" s="260"/>
      <c r="LK41" s="260"/>
      <c r="LL41" s="260"/>
      <c r="LM41" s="260"/>
      <c r="LN41" s="260"/>
      <c r="LO41" s="260"/>
      <c r="LP41" s="260"/>
      <c r="LQ41" s="260"/>
      <c r="LR41" s="260"/>
      <c r="LS41" s="260"/>
      <c r="LT41" s="260"/>
      <c r="LU41" s="260"/>
      <c r="LV41" s="260"/>
      <c r="LW41" s="260"/>
      <c r="LX41" s="260"/>
      <c r="LY41" s="260"/>
      <c r="LZ41" s="260"/>
      <c r="MA41" s="260"/>
      <c r="MB41" s="260"/>
      <c r="MC41" s="260"/>
      <c r="MD41" s="260"/>
      <c r="ME41" s="260"/>
      <c r="MF41" s="260"/>
      <c r="MG41" s="260"/>
      <c r="MH41" s="260"/>
      <c r="MI41" s="260"/>
      <c r="MJ41" s="260"/>
      <c r="MK41" s="260"/>
      <c r="ML41" s="260"/>
      <c r="MM41" s="260"/>
      <c r="MN41" s="260"/>
      <c r="MO41" s="260"/>
      <c r="MP41" s="260"/>
      <c r="MQ41" s="260"/>
      <c r="MR41" s="260"/>
      <c r="MS41" s="260"/>
      <c r="MT41" s="260"/>
      <c r="MU41" s="260"/>
      <c r="MV41" s="260"/>
      <c r="MW41" s="260"/>
      <c r="MX41" s="260"/>
      <c r="MY41" s="260"/>
      <c r="MZ41" s="260"/>
      <c r="NA41" s="260"/>
      <c r="NB41" s="260"/>
      <c r="NC41" s="260"/>
      <c r="ND41" s="260"/>
      <c r="NE41" s="260"/>
      <c r="NF41" s="260"/>
      <c r="NG41" s="260"/>
      <c r="NH41" s="260"/>
      <c r="NI41" s="260"/>
      <c r="NJ41" s="260"/>
      <c r="NK41" s="260"/>
      <c r="NL41" s="260"/>
      <c r="NM41" s="260"/>
      <c r="NN41" s="260"/>
      <c r="NO41" s="260"/>
      <c r="NP41" s="260"/>
      <c r="NQ41" s="260"/>
      <c r="NR41" s="260"/>
      <c r="NS41" s="260"/>
      <c r="NT41" s="260"/>
      <c r="NU41" s="260"/>
      <c r="NV41" s="260"/>
      <c r="NW41" s="260"/>
      <c r="NX41" s="260"/>
      <c r="NY41" s="260"/>
      <c r="NZ41" s="260"/>
      <c r="OA41" s="260"/>
      <c r="OB41" s="260"/>
      <c r="OC41" s="260"/>
      <c r="OD41" s="260"/>
      <c r="OE41" s="260"/>
      <c r="OF41" s="260"/>
      <c r="OG41" s="260"/>
      <c r="OH41" s="260"/>
      <c r="OI41" s="260"/>
      <c r="OJ41" s="260"/>
      <c r="OK41" s="260"/>
      <c r="OL41" s="260"/>
      <c r="OM41" s="260"/>
      <c r="ON41" s="260"/>
      <c r="OO41" s="260"/>
      <c r="OP41" s="260"/>
      <c r="OQ41" s="260"/>
      <c r="OR41" s="260"/>
      <c r="OS41" s="260"/>
      <c r="OT41" s="260"/>
      <c r="OU41" s="260"/>
      <c r="OV41" s="260"/>
      <c r="OW41" s="260"/>
      <c r="OX41" s="260"/>
      <c r="OY41" s="260"/>
      <c r="OZ41" s="260"/>
      <c r="PA41" s="260"/>
      <c r="PB41" s="260"/>
      <c r="PC41" s="260"/>
      <c r="PD41" s="260"/>
      <c r="PE41" s="260"/>
      <c r="PF41" s="260"/>
      <c r="PG41" s="260"/>
      <c r="PH41" s="260"/>
      <c r="PI41" s="260"/>
      <c r="PJ41" s="260"/>
      <c r="PK41" s="260"/>
      <c r="PL41" s="260"/>
      <c r="PM41" s="260"/>
      <c r="PN41" s="260"/>
      <c r="PO41" s="260"/>
      <c r="PP41" s="260"/>
      <c r="PQ41" s="260"/>
      <c r="PR41" s="260"/>
      <c r="PS41" s="260"/>
      <c r="PT41" s="260"/>
      <c r="PU41" s="260"/>
      <c r="PV41" s="260"/>
      <c r="PW41" s="260"/>
      <c r="PX41" s="260"/>
      <c r="PY41" s="260"/>
      <c r="PZ41" s="260"/>
      <c r="QA41" s="260"/>
      <c r="QB41" s="260"/>
      <c r="QC41" s="260"/>
      <c r="QD41" s="260"/>
      <c r="QE41" s="260"/>
      <c r="QF41" s="260"/>
      <c r="QG41" s="260"/>
      <c r="QH41" s="260"/>
      <c r="QI41" s="260"/>
      <c r="QJ41" s="260"/>
      <c r="QK41" s="260"/>
      <c r="QL41" s="260"/>
      <c r="QM41" s="260"/>
      <c r="QN41" s="260"/>
      <c r="QO41" s="260"/>
      <c r="QP41" s="260"/>
      <c r="QQ41" s="260"/>
      <c r="QR41" s="260"/>
      <c r="QS41" s="260"/>
      <c r="QT41" s="260"/>
      <c r="QU41" s="260"/>
      <c r="QV41" s="260"/>
      <c r="QW41" s="260"/>
      <c r="QX41" s="260"/>
      <c r="QY41" s="260"/>
      <c r="QZ41" s="260"/>
      <c r="RA41" s="260"/>
      <c r="RB41" s="260"/>
      <c r="RC41" s="260"/>
      <c r="RD41" s="260"/>
      <c r="RE41" s="260"/>
      <c r="RF41" s="260"/>
      <c r="RG41" s="260"/>
      <c r="RH41" s="260"/>
      <c r="RI41" s="260"/>
      <c r="RJ41" s="260"/>
      <c r="RK41" s="260"/>
      <c r="RL41" s="260"/>
      <c r="RM41" s="260"/>
      <c r="RN41" s="260"/>
      <c r="RO41" s="260"/>
      <c r="RP41" s="260"/>
      <c r="RQ41" s="260"/>
      <c r="RR41" s="260"/>
      <c r="RS41" s="260"/>
      <c r="RT41" s="260"/>
      <c r="RU41" s="260"/>
      <c r="RV41" s="260"/>
      <c r="RW41" s="260"/>
      <c r="RX41" s="260"/>
      <c r="RY41" s="260"/>
      <c r="RZ41" s="260"/>
      <c r="SA41" s="260"/>
      <c r="SB41" s="260"/>
      <c r="SC41" s="260"/>
      <c r="SD41" s="260"/>
      <c r="SE41" s="260"/>
      <c r="SF41" s="260"/>
      <c r="SG41" s="260"/>
      <c r="SH41" s="260"/>
      <c r="SI41" s="260"/>
      <c r="SJ41" s="260"/>
      <c r="SK41" s="260"/>
      <c r="SL41" s="260"/>
      <c r="SM41" s="260"/>
      <c r="SN41" s="260"/>
      <c r="SO41" s="260"/>
      <c r="SP41" s="260"/>
      <c r="SQ41" s="260"/>
      <c r="SR41" s="260"/>
      <c r="SS41" s="260"/>
      <c r="ST41" s="260"/>
      <c r="SU41" s="260"/>
      <c r="SV41" s="260"/>
      <c r="SW41" s="260"/>
      <c r="SX41" s="260"/>
      <c r="SY41" s="260"/>
      <c r="SZ41" s="260"/>
      <c r="TA41" s="260"/>
      <c r="TB41" s="260"/>
      <c r="TC41" s="260"/>
      <c r="TD41" s="260"/>
      <c r="TE41" s="260"/>
      <c r="TF41" s="260"/>
      <c r="TG41" s="260"/>
      <c r="TH41" s="260"/>
      <c r="TI41" s="260"/>
      <c r="TJ41" s="260"/>
      <c r="TK41" s="260"/>
      <c r="TL41" s="260"/>
      <c r="TM41" s="260"/>
      <c r="TN41" s="260"/>
      <c r="TO41" s="260"/>
      <c r="TP41" s="260"/>
      <c r="TQ41" s="260"/>
      <c r="TR41" s="260"/>
      <c r="TS41" s="260"/>
      <c r="TT41" s="260"/>
      <c r="TU41" s="260"/>
      <c r="TV41" s="260"/>
      <c r="TW41" s="260"/>
      <c r="TX41" s="260"/>
      <c r="TY41" s="260"/>
      <c r="TZ41" s="260"/>
      <c r="UA41" s="260"/>
      <c r="UB41" s="260"/>
      <c r="UC41" s="260"/>
      <c r="UD41" s="260"/>
      <c r="UE41" s="260"/>
      <c r="UF41" s="260"/>
      <c r="UG41" s="260"/>
      <c r="UH41" s="260"/>
      <c r="UI41" s="260"/>
      <c r="UJ41" s="260"/>
      <c r="UK41" s="260"/>
      <c r="UL41" s="260"/>
      <c r="UM41" s="260"/>
      <c r="UN41" s="260"/>
      <c r="UO41" s="260"/>
      <c r="UP41" s="260"/>
      <c r="UQ41" s="260"/>
      <c r="UR41" s="260"/>
      <c r="US41" s="260"/>
      <c r="UT41" s="260"/>
      <c r="UU41" s="260"/>
      <c r="UV41" s="260"/>
      <c r="UW41" s="260"/>
      <c r="UX41" s="260"/>
      <c r="UY41" s="260"/>
      <c r="UZ41" s="260"/>
      <c r="VA41" s="260"/>
      <c r="VB41" s="260"/>
      <c r="VC41" s="260"/>
      <c r="VD41" s="260"/>
      <c r="VE41" s="260"/>
      <c r="VF41" s="260"/>
      <c r="VG41" s="260"/>
      <c r="VH41" s="260"/>
      <c r="VI41" s="260"/>
      <c r="VJ41" s="260"/>
      <c r="VK41" s="260"/>
      <c r="VL41" s="260"/>
      <c r="VM41" s="260"/>
      <c r="VN41" s="260"/>
      <c r="VO41" s="260"/>
      <c r="VP41" s="260"/>
      <c r="VQ41" s="260"/>
      <c r="VR41" s="260"/>
      <c r="VS41" s="260"/>
      <c r="VT41" s="260"/>
      <c r="VU41" s="260"/>
      <c r="VV41" s="260"/>
      <c r="VW41" s="260"/>
      <c r="VX41" s="260"/>
      <c r="VY41" s="260"/>
      <c r="VZ41" s="260"/>
      <c r="WA41" s="260"/>
      <c r="WB41" s="260"/>
      <c r="WC41" s="260"/>
      <c r="WD41" s="260"/>
      <c r="WE41" s="260"/>
      <c r="WF41" s="260"/>
      <c r="WG41" s="260"/>
      <c r="WH41" s="260"/>
      <c r="WI41" s="260"/>
      <c r="WJ41" s="260"/>
      <c r="WK41" s="260"/>
      <c r="WL41" s="260"/>
      <c r="WM41" s="260"/>
      <c r="WN41" s="260"/>
      <c r="WO41" s="260"/>
      <c r="WP41" s="260"/>
      <c r="WQ41" s="260"/>
      <c r="WR41" s="260"/>
      <c r="WS41" s="260"/>
      <c r="WT41" s="260"/>
      <c r="WU41" s="260"/>
      <c r="WV41" s="260"/>
      <c r="WW41" s="260"/>
      <c r="WX41" s="260"/>
      <c r="WY41" s="260"/>
      <c r="WZ41" s="260"/>
      <c r="XA41" s="260"/>
      <c r="XB41" s="260"/>
      <c r="XC41" s="260"/>
      <c r="XD41" s="260"/>
      <c r="XE41" s="260"/>
      <c r="XF41" s="260"/>
      <c r="XG41" s="260"/>
      <c r="XH41" s="260"/>
      <c r="XI41" s="260"/>
      <c r="XJ41" s="260"/>
      <c r="XK41" s="260"/>
      <c r="XL41" s="260"/>
      <c r="XM41" s="260"/>
      <c r="XN41" s="260"/>
      <c r="XO41" s="260"/>
      <c r="XP41" s="260"/>
      <c r="XQ41" s="260"/>
      <c r="XR41" s="260"/>
      <c r="XS41" s="260"/>
      <c r="XT41" s="260"/>
      <c r="XU41" s="260"/>
      <c r="XV41" s="260"/>
      <c r="XW41" s="260"/>
      <c r="XX41" s="260"/>
      <c r="XY41" s="260"/>
      <c r="XZ41" s="260"/>
      <c r="YA41" s="260"/>
      <c r="YB41" s="260"/>
      <c r="YC41" s="260"/>
      <c r="YD41" s="260"/>
      <c r="YE41" s="260"/>
      <c r="YF41" s="260"/>
      <c r="YG41" s="260"/>
      <c r="YH41" s="260"/>
      <c r="YI41" s="260"/>
      <c r="YJ41" s="260"/>
      <c r="YK41" s="260"/>
      <c r="YL41" s="260"/>
      <c r="YM41" s="260"/>
      <c r="YN41" s="260"/>
      <c r="YO41" s="260"/>
      <c r="YP41" s="260"/>
      <c r="YQ41" s="260"/>
      <c r="YR41" s="260"/>
      <c r="YS41" s="260"/>
      <c r="YT41" s="260"/>
      <c r="YU41" s="260"/>
      <c r="YV41" s="260"/>
      <c r="YW41" s="260"/>
      <c r="YX41" s="260"/>
      <c r="YY41" s="260"/>
      <c r="YZ41" s="260"/>
      <c r="ZA41" s="260"/>
      <c r="ZB41" s="260"/>
      <c r="ZC41" s="260"/>
      <c r="ZD41" s="260"/>
      <c r="ZE41" s="260"/>
      <c r="ZF41" s="260"/>
      <c r="ZG41" s="260"/>
      <c r="ZH41" s="260"/>
      <c r="ZI41" s="260"/>
      <c r="ZJ41" s="260"/>
      <c r="ZK41" s="260"/>
      <c r="ZL41" s="260"/>
      <c r="ZM41" s="260"/>
      <c r="ZN41" s="260"/>
      <c r="ZO41" s="260"/>
      <c r="ZP41" s="260"/>
      <c r="ZQ41" s="260"/>
      <c r="ZR41" s="260"/>
      <c r="ZS41" s="260"/>
      <c r="ZT41" s="260"/>
      <c r="ZU41" s="260"/>
      <c r="ZV41" s="260"/>
      <c r="ZW41" s="260"/>
      <c r="ZX41" s="260"/>
      <c r="ZY41" s="260"/>
      <c r="ZZ41" s="260"/>
      <c r="AAA41" s="260"/>
      <c r="AAB41" s="260"/>
      <c r="AAC41" s="260"/>
      <c r="AAD41" s="260"/>
      <c r="AAE41" s="260"/>
      <c r="AAF41" s="260"/>
      <c r="AAG41" s="260"/>
      <c r="AAH41" s="260"/>
      <c r="AAI41" s="260"/>
      <c r="AAJ41" s="260"/>
      <c r="AAK41" s="260"/>
      <c r="AAL41" s="260"/>
      <c r="AAM41" s="260"/>
      <c r="AAN41" s="260"/>
      <c r="AAO41" s="260"/>
      <c r="AAP41" s="260"/>
      <c r="AAQ41" s="260"/>
      <c r="AAR41" s="260"/>
      <c r="AAS41" s="260"/>
      <c r="AAT41" s="260"/>
      <c r="AAU41" s="260"/>
      <c r="AAV41" s="260"/>
      <c r="AAW41" s="260"/>
      <c r="AAX41" s="260"/>
      <c r="AAY41" s="260"/>
      <c r="AAZ41" s="260"/>
      <c r="ABA41" s="260"/>
      <c r="ABB41" s="260"/>
      <c r="ABC41" s="260"/>
      <c r="ABD41" s="260"/>
      <c r="ABE41" s="260"/>
      <c r="ABF41" s="260"/>
      <c r="ABG41" s="260"/>
      <c r="ABH41" s="260"/>
      <c r="ABI41" s="260"/>
      <c r="ABJ41" s="260"/>
      <c r="ABK41" s="260"/>
      <c r="ABL41" s="260"/>
      <c r="ABM41" s="260"/>
      <c r="ABN41" s="260"/>
      <c r="ABO41" s="260"/>
      <c r="ABP41" s="260"/>
      <c r="ABQ41" s="260"/>
      <c r="ABR41" s="260"/>
      <c r="ABS41" s="260"/>
      <c r="ABT41" s="260"/>
      <c r="ABU41" s="260"/>
      <c r="ABV41" s="260"/>
      <c r="ABW41" s="260"/>
      <c r="ABX41" s="260"/>
      <c r="ABY41" s="260"/>
      <c r="ABZ41" s="260"/>
      <c r="ACA41" s="260"/>
      <c r="ACB41" s="260"/>
      <c r="ACC41" s="260"/>
      <c r="ACD41" s="260"/>
      <c r="ACE41" s="260"/>
      <c r="ACF41" s="260"/>
      <c r="ACG41" s="260"/>
      <c r="ACH41" s="260"/>
      <c r="ACI41" s="260"/>
      <c r="ACJ41" s="260"/>
      <c r="ACK41" s="260"/>
      <c r="ACL41" s="260"/>
      <c r="ACM41" s="260"/>
      <c r="ACN41" s="260"/>
      <c r="ACO41" s="260"/>
      <c r="ACP41" s="260"/>
      <c r="ACQ41" s="260"/>
      <c r="ACR41" s="260"/>
      <c r="ACS41" s="260"/>
      <c r="ACT41" s="260"/>
      <c r="ACU41" s="260"/>
      <c r="ACV41" s="260"/>
      <c r="ACW41" s="260"/>
      <c r="ACX41" s="260"/>
      <c r="ACY41" s="260"/>
      <c r="ACZ41" s="260"/>
      <c r="ADA41" s="260"/>
      <c r="ADB41" s="260"/>
      <c r="ADC41" s="260"/>
      <c r="ADD41" s="260"/>
      <c r="ADE41" s="260"/>
      <c r="ADF41" s="260"/>
      <c r="ADG41" s="260"/>
      <c r="ADH41" s="260"/>
      <c r="ADI41" s="260"/>
      <c r="ADJ41" s="260"/>
      <c r="ADK41" s="260"/>
      <c r="ADL41" s="260"/>
      <c r="ADM41" s="260"/>
      <c r="ADN41" s="260"/>
      <c r="ADO41" s="260"/>
      <c r="ADP41" s="260"/>
      <c r="ADQ41" s="260"/>
      <c r="ADR41" s="260"/>
      <c r="ADS41" s="260"/>
      <c r="ADT41" s="260"/>
      <c r="ADU41" s="260"/>
      <c r="ADV41" s="260"/>
      <c r="ADW41" s="260"/>
      <c r="ADX41" s="260"/>
      <c r="ADY41" s="260"/>
      <c r="ADZ41" s="260"/>
      <c r="AEA41" s="260"/>
      <c r="AEB41" s="260"/>
      <c r="AEC41" s="260"/>
      <c r="AED41" s="260"/>
      <c r="AEE41" s="260"/>
      <c r="AEF41" s="260"/>
      <c r="AEG41" s="260"/>
      <c r="AEH41" s="260"/>
      <c r="AEI41" s="260"/>
      <c r="AEJ41" s="260"/>
      <c r="AEK41" s="260"/>
      <c r="AEL41" s="260"/>
      <c r="AEM41" s="260"/>
      <c r="AEN41" s="260"/>
      <c r="AEO41" s="260"/>
      <c r="AEP41" s="260"/>
      <c r="AEQ41" s="260"/>
      <c r="AER41" s="260"/>
      <c r="AES41" s="260"/>
      <c r="AET41" s="260"/>
      <c r="AEU41" s="260"/>
      <c r="AEV41" s="260"/>
      <c r="AEW41" s="260"/>
      <c r="AEX41" s="260"/>
      <c r="AEY41" s="260"/>
      <c r="AEZ41" s="260"/>
      <c r="AFA41" s="260"/>
      <c r="AFB41" s="260"/>
      <c r="AFC41" s="260"/>
      <c r="AFD41" s="260"/>
      <c r="AFE41" s="260"/>
      <c r="AFF41" s="260"/>
      <c r="AFG41" s="260"/>
      <c r="AFH41" s="260"/>
      <c r="AFI41" s="260"/>
      <c r="AFJ41" s="260"/>
      <c r="AFK41" s="260"/>
      <c r="AFL41" s="260"/>
      <c r="AFM41" s="260"/>
      <c r="AFN41" s="260"/>
      <c r="AFO41" s="260"/>
      <c r="AFP41" s="260"/>
      <c r="AFQ41" s="260"/>
      <c r="AFR41" s="260"/>
      <c r="AFS41" s="260"/>
      <c r="AFT41" s="260"/>
      <c r="AFU41" s="260"/>
      <c r="AFV41" s="260"/>
      <c r="AFW41" s="260"/>
      <c r="AFX41" s="260"/>
      <c r="AFY41" s="260"/>
      <c r="AFZ41" s="260"/>
      <c r="AGA41" s="260"/>
      <c r="AGB41" s="260"/>
      <c r="AGC41" s="260"/>
      <c r="AGD41" s="260"/>
      <c r="AGE41" s="260"/>
      <c r="AGF41" s="260"/>
      <c r="AGG41" s="260"/>
      <c r="AGH41" s="260"/>
      <c r="AGI41" s="260"/>
      <c r="AGJ41" s="260"/>
      <c r="AGK41" s="260"/>
      <c r="AGL41" s="260"/>
      <c r="AGM41" s="260"/>
      <c r="AGN41" s="260"/>
      <c r="AGO41" s="260"/>
      <c r="AGP41" s="260"/>
      <c r="AGQ41" s="260"/>
      <c r="AGR41" s="260"/>
      <c r="AGS41" s="260"/>
      <c r="AGT41" s="260"/>
      <c r="AGU41" s="260"/>
      <c r="AGV41" s="260"/>
      <c r="AGW41" s="260"/>
      <c r="AGX41" s="260"/>
      <c r="AGY41" s="260"/>
      <c r="AGZ41" s="260"/>
      <c r="AHA41" s="260"/>
      <c r="AHB41" s="260"/>
      <c r="AHC41" s="260"/>
      <c r="AHD41" s="260"/>
      <c r="AHE41" s="260"/>
      <c r="AHF41" s="260"/>
      <c r="AHG41" s="260"/>
      <c r="AHH41" s="260"/>
      <c r="AHI41" s="260"/>
      <c r="AHJ41" s="260"/>
      <c r="AHK41" s="260"/>
      <c r="AHL41" s="260"/>
      <c r="AHM41" s="260"/>
      <c r="AHN41" s="260"/>
      <c r="AHO41" s="260"/>
      <c r="AHP41" s="260"/>
      <c r="AHQ41" s="260"/>
      <c r="AHR41" s="260"/>
      <c r="AHS41" s="260"/>
      <c r="AHT41" s="260"/>
      <c r="AHU41" s="260"/>
      <c r="AHV41" s="260"/>
      <c r="AHW41" s="260"/>
      <c r="AHX41" s="260"/>
      <c r="AHY41" s="260"/>
      <c r="AHZ41" s="260"/>
      <c r="AIA41" s="260"/>
      <c r="AIB41" s="260"/>
      <c r="AIC41" s="260"/>
      <c r="AID41" s="260"/>
      <c r="AIE41" s="260"/>
      <c r="AIF41" s="260"/>
      <c r="AIG41" s="260"/>
      <c r="AIH41" s="260"/>
      <c r="AII41" s="260"/>
      <c r="AIJ41" s="260"/>
      <c r="AIK41" s="260"/>
      <c r="AIL41" s="260"/>
      <c r="AIM41" s="260"/>
      <c r="AIN41" s="260"/>
      <c r="AIO41" s="260"/>
      <c r="AIP41" s="260"/>
      <c r="AIQ41" s="260"/>
      <c r="AIR41" s="260"/>
      <c r="AIS41" s="260"/>
      <c r="AIT41" s="260"/>
      <c r="AIU41" s="260"/>
      <c r="AIV41" s="260"/>
      <c r="AIW41" s="260"/>
      <c r="AIX41" s="260"/>
      <c r="AIY41" s="260"/>
      <c r="AIZ41" s="260"/>
      <c r="AJA41" s="260"/>
      <c r="AJB41" s="260"/>
      <c r="AJC41" s="260"/>
      <c r="AJD41" s="260"/>
      <c r="AJE41" s="260"/>
      <c r="AJF41" s="260"/>
      <c r="AJG41" s="260"/>
      <c r="AJH41" s="260"/>
      <c r="AJI41" s="260"/>
      <c r="AJJ41" s="260"/>
      <c r="AJK41" s="260"/>
      <c r="AJL41" s="260"/>
      <c r="AJM41" s="260"/>
      <c r="AJN41" s="260"/>
      <c r="AJO41" s="260"/>
      <c r="AJP41" s="260"/>
      <c r="AJQ41" s="260"/>
      <c r="AJR41" s="260"/>
      <c r="AJS41" s="260"/>
      <c r="AJT41" s="260"/>
      <c r="AJU41" s="260"/>
      <c r="AJV41" s="260"/>
      <c r="AJW41" s="260"/>
      <c r="AJX41" s="260"/>
      <c r="AJY41" s="260"/>
      <c r="AJZ41" s="260"/>
      <c r="AKA41" s="260"/>
      <c r="AKB41" s="260"/>
      <c r="AKC41" s="260"/>
      <c r="AKD41" s="260"/>
      <c r="AKE41" s="260"/>
      <c r="AKF41" s="260"/>
      <c r="AKG41" s="260"/>
      <c r="AKH41" s="260"/>
      <c r="AKI41" s="260"/>
      <c r="AKJ41" s="260"/>
      <c r="AKK41" s="260"/>
      <c r="AKL41" s="260"/>
      <c r="AKM41" s="260"/>
      <c r="AKN41" s="260"/>
      <c r="AKO41" s="260"/>
      <c r="AKP41" s="260"/>
      <c r="AKQ41" s="260"/>
      <c r="AKR41" s="260"/>
      <c r="AKS41" s="260"/>
      <c r="AKT41" s="260"/>
      <c r="AKU41" s="260"/>
      <c r="AKV41" s="260"/>
      <c r="AKW41" s="260"/>
      <c r="AKX41" s="260"/>
      <c r="AKY41" s="260"/>
      <c r="AKZ41" s="260"/>
      <c r="ALA41" s="260"/>
      <c r="ALB41" s="260"/>
      <c r="ALC41" s="260"/>
      <c r="ALD41" s="260"/>
      <c r="ALE41" s="260"/>
      <c r="ALF41" s="260"/>
      <c r="ALG41" s="260"/>
      <c r="ALH41" s="260"/>
      <c r="ALI41" s="260"/>
      <c r="ALJ41" s="260"/>
      <c r="ALK41" s="260"/>
      <c r="ALL41" s="260"/>
      <c r="ALM41" s="260"/>
      <c r="ALN41" s="260"/>
      <c r="ALO41" s="260"/>
      <c r="ALP41" s="260"/>
      <c r="ALQ41" s="260"/>
      <c r="ALR41" s="260"/>
      <c r="ALS41" s="260"/>
      <c r="ALT41" s="260"/>
      <c r="ALU41" s="260"/>
      <c r="ALV41" s="260"/>
      <c r="ALW41" s="260"/>
      <c r="ALX41" s="260"/>
      <c r="ALY41" s="260"/>
      <c r="ALZ41" s="260"/>
      <c r="AMA41" s="260"/>
      <c r="AMB41" s="260"/>
      <c r="AMC41" s="260"/>
      <c r="AMD41" s="260"/>
      <c r="AME41" s="260"/>
      <c r="AMF41" s="260"/>
      <c r="AMG41" s="260"/>
      <c r="AMH41" s="260"/>
      <c r="AMI41" s="260"/>
      <c r="AMJ41" s="260"/>
      <c r="AMK41" s="260"/>
      <c r="AML41" s="260"/>
      <c r="AMM41" s="260"/>
      <c r="AMN41" s="260"/>
      <c r="AMO41" s="260"/>
      <c r="AMP41" s="260"/>
      <c r="AMQ41" s="260"/>
      <c r="AMR41" s="260"/>
      <c r="AMS41" s="260"/>
      <c r="AMT41" s="260"/>
      <c r="AMU41" s="260"/>
      <c r="AMV41" s="260"/>
      <c r="AMW41" s="260"/>
      <c r="AMX41" s="260"/>
      <c r="AMY41" s="260"/>
      <c r="AMZ41" s="260"/>
      <c r="ANA41" s="260"/>
      <c r="ANB41" s="260"/>
      <c r="ANC41" s="260"/>
      <c r="AND41" s="260"/>
      <c r="ANE41" s="260"/>
      <c r="ANF41" s="260"/>
      <c r="ANG41" s="260"/>
      <c r="ANH41" s="260"/>
      <c r="ANI41" s="260"/>
      <c r="ANJ41" s="260"/>
      <c r="ANK41" s="260"/>
      <c r="ANL41" s="260"/>
      <c r="ANM41" s="260"/>
      <c r="ANN41" s="260"/>
      <c r="ANO41" s="260"/>
      <c r="ANP41" s="260"/>
      <c r="ANQ41" s="260"/>
      <c r="ANR41" s="260"/>
      <c r="ANS41" s="260"/>
      <c r="ANT41" s="260"/>
      <c r="ANU41" s="260"/>
      <c r="ANV41" s="260"/>
      <c r="ANW41" s="260"/>
      <c r="ANX41" s="260"/>
      <c r="ANY41" s="260"/>
      <c r="ANZ41" s="260"/>
      <c r="AOA41" s="260"/>
      <c r="AOB41" s="260"/>
      <c r="AOC41" s="260"/>
      <c r="AOD41" s="260"/>
      <c r="AOE41" s="260"/>
      <c r="AOF41" s="260"/>
      <c r="AOG41" s="260"/>
      <c r="AOH41" s="260"/>
      <c r="AOI41" s="260"/>
      <c r="AOJ41" s="260"/>
      <c r="AOK41" s="260"/>
      <c r="AOL41" s="260"/>
      <c r="AOM41" s="260"/>
      <c r="AON41" s="260"/>
      <c r="AOO41" s="260"/>
      <c r="AOP41" s="260"/>
      <c r="AOQ41" s="260"/>
      <c r="AOR41" s="260"/>
      <c r="AOS41" s="260"/>
      <c r="AOT41" s="260"/>
      <c r="AOU41" s="260"/>
      <c r="AOV41" s="260"/>
      <c r="AOW41" s="260"/>
      <c r="AOX41" s="260"/>
      <c r="AOY41" s="260"/>
      <c r="AOZ41" s="260"/>
      <c r="APA41" s="260"/>
      <c r="APB41" s="260"/>
      <c r="APC41" s="260"/>
      <c r="APD41" s="260"/>
      <c r="APE41" s="260"/>
      <c r="APF41" s="260"/>
      <c r="APG41" s="260"/>
      <c r="APH41" s="260"/>
      <c r="API41" s="260"/>
      <c r="APJ41" s="260"/>
      <c r="APK41" s="260"/>
      <c r="APL41" s="260"/>
      <c r="APM41" s="260"/>
      <c r="APN41" s="260"/>
      <c r="APO41" s="260"/>
      <c r="APP41" s="260"/>
      <c r="APQ41" s="260"/>
      <c r="APR41" s="260"/>
      <c r="APS41" s="260"/>
      <c r="APT41" s="260"/>
      <c r="APU41" s="260"/>
      <c r="APV41" s="260"/>
      <c r="APW41" s="260"/>
      <c r="APX41" s="260"/>
      <c r="APY41" s="260"/>
      <c r="APZ41" s="260"/>
      <c r="AQA41" s="260"/>
      <c r="AQB41" s="260"/>
      <c r="AQC41" s="260"/>
      <c r="AQD41" s="260"/>
      <c r="AQE41" s="260"/>
      <c r="AQF41" s="260"/>
      <c r="AQG41" s="260"/>
      <c r="AQH41" s="260"/>
      <c r="AQI41" s="260"/>
      <c r="AQJ41" s="260"/>
      <c r="AQK41" s="260"/>
      <c r="AQL41" s="260"/>
      <c r="AQM41" s="260"/>
      <c r="AQN41" s="260"/>
      <c r="AQO41" s="260"/>
      <c r="AQP41" s="260"/>
      <c r="AQQ41" s="260"/>
      <c r="AQR41" s="260"/>
      <c r="AQS41" s="260"/>
      <c r="AQT41" s="260"/>
      <c r="AQU41" s="260"/>
      <c r="AQV41" s="260"/>
      <c r="AQW41" s="260"/>
      <c r="AQX41" s="260"/>
      <c r="AQY41" s="260"/>
      <c r="AQZ41" s="260"/>
      <c r="ARA41" s="260"/>
      <c r="ARB41" s="260"/>
      <c r="ARC41" s="260"/>
      <c r="ARD41" s="260"/>
      <c r="ARE41" s="260"/>
      <c r="ARF41" s="260"/>
      <c r="ARG41" s="260"/>
      <c r="ARH41" s="260"/>
      <c r="ARI41" s="260"/>
      <c r="ARJ41" s="260"/>
      <c r="ARK41" s="260"/>
      <c r="ARL41" s="260"/>
      <c r="ARM41" s="260"/>
      <c r="ARN41" s="260"/>
      <c r="ARO41" s="260"/>
      <c r="ARP41" s="260"/>
      <c r="ARQ41" s="260"/>
      <c r="ARR41" s="260"/>
      <c r="ARS41" s="260"/>
      <c r="ART41" s="260"/>
      <c r="ARU41" s="260"/>
      <c r="ARV41" s="260"/>
      <c r="ARW41" s="260"/>
      <c r="ARX41" s="260"/>
      <c r="ARY41" s="260"/>
      <c r="ARZ41" s="260"/>
      <c r="ASA41" s="260"/>
      <c r="ASB41" s="260"/>
      <c r="ASC41" s="260"/>
      <c r="ASD41" s="260"/>
      <c r="ASE41" s="260"/>
      <c r="ASF41" s="260"/>
      <c r="ASG41" s="260"/>
      <c r="ASH41" s="260"/>
      <c r="ASI41" s="260"/>
      <c r="ASJ41" s="260"/>
      <c r="ASK41" s="260"/>
      <c r="ASL41" s="260"/>
      <c r="ASM41" s="260"/>
      <c r="ASN41" s="260"/>
      <c r="ASO41" s="260"/>
      <c r="ASP41" s="260"/>
      <c r="ASQ41" s="260"/>
      <c r="ASR41" s="260"/>
      <c r="ASS41" s="260"/>
      <c r="AST41" s="260"/>
      <c r="ASU41" s="260"/>
      <c r="ASV41" s="260"/>
      <c r="ASW41" s="260"/>
      <c r="ASX41" s="260"/>
      <c r="ASY41" s="260"/>
      <c r="ASZ41" s="260"/>
      <c r="ATA41" s="260"/>
      <c r="ATB41" s="260"/>
      <c r="ATC41" s="260"/>
      <c r="ATD41" s="260"/>
      <c r="ATE41" s="260"/>
      <c r="ATF41" s="260"/>
      <c r="ATG41" s="260"/>
      <c r="ATH41" s="260"/>
      <c r="ATI41" s="260"/>
      <c r="ATJ41" s="260"/>
      <c r="ATK41" s="260"/>
      <c r="ATL41" s="260"/>
      <c r="ATM41" s="260"/>
      <c r="ATN41" s="260"/>
      <c r="ATO41" s="260"/>
      <c r="ATP41" s="260"/>
      <c r="ATQ41" s="260"/>
      <c r="ATR41" s="260"/>
      <c r="ATS41" s="260"/>
      <c r="ATT41" s="260"/>
      <c r="ATU41" s="260"/>
      <c r="ATV41" s="260"/>
      <c r="ATW41" s="260"/>
      <c r="ATX41" s="260"/>
      <c r="ATY41" s="260"/>
      <c r="ATZ41" s="260"/>
      <c r="AUA41" s="260"/>
      <c r="AUB41" s="260"/>
      <c r="AUC41" s="260"/>
      <c r="AUD41" s="260"/>
      <c r="AUE41" s="260"/>
      <c r="AUF41" s="260"/>
      <c r="AUG41" s="260"/>
      <c r="AUH41" s="260"/>
      <c r="AUI41" s="260"/>
      <c r="AUJ41" s="260"/>
      <c r="AUK41" s="260"/>
      <c r="AUL41" s="260"/>
      <c r="AUM41" s="260"/>
      <c r="AUN41" s="260"/>
      <c r="AUO41" s="260"/>
      <c r="AUP41" s="260"/>
      <c r="AUQ41" s="260"/>
      <c r="AUR41" s="260"/>
      <c r="AUS41" s="260"/>
      <c r="AUT41" s="260"/>
      <c r="AUU41" s="260"/>
      <c r="AUV41" s="260"/>
      <c r="AUW41" s="260"/>
      <c r="AUX41" s="260"/>
      <c r="AUY41" s="260"/>
      <c r="AUZ41" s="260"/>
      <c r="AVA41" s="260"/>
      <c r="AVB41" s="260"/>
      <c r="AVC41" s="260"/>
      <c r="AVD41" s="260"/>
      <c r="AVE41" s="260"/>
      <c r="AVF41" s="260"/>
      <c r="AVG41" s="260"/>
      <c r="AVH41" s="260"/>
      <c r="AVI41" s="260"/>
      <c r="AVJ41" s="260"/>
      <c r="AVK41" s="260"/>
      <c r="AVL41" s="260"/>
      <c r="AVM41" s="260"/>
      <c r="AVN41" s="260"/>
      <c r="AVO41" s="260"/>
      <c r="AVP41" s="260"/>
      <c r="AVQ41" s="260"/>
      <c r="AVR41" s="260"/>
      <c r="AVS41" s="260"/>
      <c r="AVT41" s="260"/>
      <c r="AVU41" s="260"/>
      <c r="AVV41" s="260"/>
      <c r="AVW41" s="260"/>
      <c r="AVX41" s="260"/>
      <c r="AVY41" s="260"/>
      <c r="AVZ41" s="260"/>
      <c r="AWA41" s="260"/>
      <c r="AWB41" s="260"/>
      <c r="AWC41" s="260"/>
      <c r="AWD41" s="260"/>
      <c r="AWE41" s="260"/>
      <c r="AWF41" s="260"/>
      <c r="AWG41" s="260"/>
      <c r="AWH41" s="260"/>
      <c r="AWI41" s="260"/>
      <c r="AWJ41" s="260"/>
      <c r="AWK41" s="260"/>
      <c r="AWL41" s="260"/>
      <c r="AWM41" s="260"/>
      <c r="AWN41" s="260"/>
      <c r="AWO41" s="260"/>
      <c r="AWP41" s="260"/>
      <c r="AWQ41" s="260"/>
      <c r="AWR41" s="260"/>
      <c r="AWS41" s="260"/>
      <c r="AWT41" s="260"/>
      <c r="AWU41" s="260"/>
      <c r="AWV41" s="260"/>
      <c r="AWW41" s="260"/>
      <c r="AWX41" s="260"/>
      <c r="AWY41" s="260"/>
      <c r="AWZ41" s="260"/>
      <c r="AXA41" s="260"/>
      <c r="AXB41" s="260"/>
      <c r="AXC41" s="260"/>
      <c r="AXD41" s="260"/>
      <c r="AXE41" s="260"/>
      <c r="AXF41" s="260"/>
      <c r="AXG41" s="260"/>
      <c r="AXH41" s="260"/>
      <c r="AXI41" s="260"/>
      <c r="AXJ41" s="260"/>
      <c r="AXK41" s="260"/>
      <c r="AXL41" s="260"/>
      <c r="AXM41" s="260"/>
      <c r="AXN41" s="260"/>
      <c r="AXO41" s="260"/>
      <c r="AXP41" s="260"/>
      <c r="AXQ41" s="260"/>
      <c r="AXR41" s="260"/>
      <c r="AXS41" s="260"/>
      <c r="AXT41" s="260"/>
      <c r="AXU41" s="260"/>
      <c r="AXV41" s="260"/>
      <c r="AXW41" s="260"/>
      <c r="AXX41" s="260"/>
      <c r="AXY41" s="260"/>
      <c r="AXZ41" s="260"/>
      <c r="AYA41" s="260"/>
      <c r="AYB41" s="260"/>
      <c r="AYC41" s="260"/>
      <c r="AYD41" s="260"/>
      <c r="AYE41" s="260"/>
      <c r="AYF41" s="260"/>
      <c r="AYG41" s="260"/>
      <c r="AYH41" s="260"/>
      <c r="AYI41" s="260"/>
      <c r="AYJ41" s="260"/>
      <c r="AYK41" s="260"/>
      <c r="AYL41" s="260"/>
      <c r="AYM41" s="260"/>
      <c r="AYN41" s="260"/>
      <c r="AYO41" s="260"/>
      <c r="AYP41" s="260"/>
      <c r="AYQ41" s="260"/>
      <c r="AYR41" s="260"/>
      <c r="AYS41" s="260"/>
      <c r="AYT41" s="260"/>
      <c r="AYU41" s="260"/>
      <c r="AYV41" s="260"/>
      <c r="AYW41" s="260"/>
      <c r="AYX41" s="260"/>
      <c r="AYY41" s="260"/>
      <c r="AYZ41" s="260"/>
      <c r="AZA41" s="260"/>
      <c r="AZB41" s="260"/>
      <c r="AZC41" s="260"/>
      <c r="AZD41" s="260"/>
      <c r="AZE41" s="260"/>
      <c r="AZF41" s="260"/>
      <c r="AZG41" s="260"/>
      <c r="AZH41" s="260"/>
      <c r="AZI41" s="260"/>
      <c r="AZJ41" s="260"/>
      <c r="AZK41" s="260"/>
      <c r="AZL41" s="260"/>
      <c r="AZM41" s="260"/>
      <c r="AZN41" s="260"/>
      <c r="AZO41" s="260"/>
      <c r="AZP41" s="260"/>
      <c r="AZQ41" s="260"/>
      <c r="AZR41" s="260"/>
      <c r="AZS41" s="260"/>
      <c r="AZT41" s="260"/>
      <c r="AZU41" s="260"/>
      <c r="AZV41" s="260"/>
      <c r="AZW41" s="260"/>
      <c r="AZX41" s="260"/>
      <c r="AZY41" s="260"/>
      <c r="AZZ41" s="260"/>
      <c r="BAA41" s="260"/>
      <c r="BAB41" s="260"/>
      <c r="BAC41" s="260"/>
      <c r="BAD41" s="260"/>
      <c r="BAE41" s="260"/>
      <c r="BAF41" s="260"/>
      <c r="BAG41" s="260"/>
      <c r="BAH41" s="260"/>
      <c r="BAI41" s="260"/>
      <c r="BAJ41" s="260"/>
      <c r="BAK41" s="260"/>
      <c r="BAL41" s="260"/>
      <c r="BAM41" s="260"/>
      <c r="BAN41" s="260"/>
      <c r="BAO41" s="260"/>
      <c r="BAP41" s="260"/>
      <c r="BAQ41" s="260"/>
      <c r="BAR41" s="260"/>
      <c r="BAS41" s="260"/>
      <c r="BAT41" s="260"/>
      <c r="BAU41" s="260"/>
      <c r="BAV41" s="260"/>
      <c r="BAW41" s="260"/>
      <c r="BAX41" s="260"/>
      <c r="BAY41" s="260"/>
      <c r="BAZ41" s="260"/>
      <c r="BBA41" s="260"/>
      <c r="BBB41" s="260"/>
      <c r="BBC41" s="260"/>
      <c r="BBD41" s="260"/>
      <c r="BBE41" s="260"/>
      <c r="BBF41" s="260"/>
      <c r="BBG41" s="260"/>
      <c r="BBH41" s="260"/>
      <c r="BBI41" s="260"/>
      <c r="BBJ41" s="260"/>
      <c r="BBK41" s="260"/>
      <c r="BBL41" s="260"/>
      <c r="BBM41" s="260"/>
      <c r="BBN41" s="260"/>
      <c r="BBO41" s="260"/>
      <c r="BBP41" s="260"/>
      <c r="BBQ41" s="260"/>
      <c r="BBR41" s="260"/>
      <c r="BBS41" s="260"/>
      <c r="BBT41" s="260"/>
      <c r="BBU41" s="260"/>
      <c r="BBV41" s="260"/>
      <c r="BBW41" s="260"/>
      <c r="BBX41" s="260"/>
      <c r="BBY41" s="260"/>
      <c r="BBZ41" s="260"/>
      <c r="BCA41" s="260"/>
      <c r="BCB41" s="260"/>
      <c r="BCC41" s="260"/>
      <c r="BCD41" s="260"/>
      <c r="BCE41" s="260"/>
      <c r="BCF41" s="260"/>
      <c r="BCG41" s="260"/>
      <c r="BCH41" s="260"/>
      <c r="BCI41" s="260"/>
      <c r="BCJ41" s="260"/>
      <c r="BCK41" s="260"/>
      <c r="BCL41" s="260"/>
      <c r="BCM41" s="260"/>
      <c r="BCN41" s="260"/>
      <c r="BCO41" s="260"/>
      <c r="BCP41" s="260"/>
      <c r="BCQ41" s="260"/>
      <c r="BCR41" s="260"/>
      <c r="BCS41" s="260"/>
      <c r="BCT41" s="260"/>
      <c r="BCU41" s="260"/>
      <c r="BCV41" s="260"/>
      <c r="BCW41" s="260"/>
      <c r="BCX41" s="260"/>
      <c r="BCY41" s="260"/>
      <c r="BCZ41" s="260"/>
      <c r="BDA41" s="260"/>
      <c r="BDB41" s="260"/>
      <c r="BDC41" s="260"/>
      <c r="BDD41" s="260"/>
      <c r="BDE41" s="260"/>
      <c r="BDF41" s="260"/>
      <c r="BDG41" s="260"/>
      <c r="BDH41" s="260"/>
      <c r="BDI41" s="260"/>
      <c r="BDJ41" s="260"/>
      <c r="BDK41" s="260"/>
      <c r="BDL41" s="260"/>
      <c r="BDM41" s="260"/>
      <c r="BDN41" s="260"/>
      <c r="BDO41" s="260"/>
      <c r="BDP41" s="260"/>
      <c r="BDQ41" s="260"/>
      <c r="BDR41" s="260"/>
      <c r="BDS41" s="260"/>
      <c r="BDT41" s="260"/>
      <c r="BDU41" s="260"/>
      <c r="BDV41" s="260"/>
      <c r="BDW41" s="260"/>
      <c r="BDX41" s="260"/>
      <c r="BDY41" s="260"/>
      <c r="BDZ41" s="260"/>
      <c r="BEA41" s="260"/>
      <c r="BEB41" s="260"/>
      <c r="BEC41" s="260"/>
      <c r="BED41" s="260"/>
      <c r="BEE41" s="260"/>
      <c r="BEF41" s="260"/>
      <c r="BEG41" s="260"/>
      <c r="BEH41" s="260"/>
      <c r="BEI41" s="260"/>
      <c r="BEJ41" s="260"/>
      <c r="BEK41" s="260"/>
      <c r="BEL41" s="260"/>
      <c r="BEM41" s="260"/>
      <c r="BEN41" s="260"/>
      <c r="BEO41" s="260"/>
      <c r="BEP41" s="260"/>
      <c r="BEQ41" s="260"/>
      <c r="BER41" s="260"/>
      <c r="BES41" s="260"/>
      <c r="BET41" s="260"/>
      <c r="BEU41" s="260"/>
      <c r="BEV41" s="260"/>
      <c r="BEW41" s="260"/>
      <c r="BEX41" s="260"/>
      <c r="BEY41" s="260"/>
      <c r="BEZ41" s="260"/>
      <c r="BFA41" s="260"/>
      <c r="BFB41" s="260"/>
      <c r="BFC41" s="260"/>
      <c r="BFD41" s="260"/>
      <c r="BFE41" s="260"/>
      <c r="BFF41" s="260"/>
      <c r="BFG41" s="260"/>
      <c r="BFH41" s="260"/>
      <c r="BFI41" s="260"/>
      <c r="BFJ41" s="260"/>
      <c r="BFK41" s="260"/>
      <c r="BFL41" s="260"/>
      <c r="BFM41" s="260"/>
      <c r="BFN41" s="260"/>
      <c r="BFO41" s="260"/>
      <c r="BFP41" s="260"/>
      <c r="BFQ41" s="260"/>
      <c r="BFR41" s="260"/>
      <c r="BFS41" s="260"/>
      <c r="BFT41" s="260"/>
      <c r="BFU41" s="260"/>
      <c r="BFV41" s="260"/>
      <c r="BFW41" s="260"/>
      <c r="BFX41" s="260"/>
      <c r="BFY41" s="260"/>
      <c r="BFZ41" s="260"/>
      <c r="BGA41" s="260"/>
      <c r="BGB41" s="260"/>
      <c r="BGC41" s="260"/>
      <c r="BGD41" s="260"/>
      <c r="BGE41" s="260"/>
      <c r="BGF41" s="260"/>
      <c r="BGG41" s="260"/>
      <c r="BGH41" s="260"/>
      <c r="BGI41" s="260"/>
      <c r="BGJ41" s="260"/>
      <c r="BGK41" s="260"/>
      <c r="BGL41" s="260"/>
      <c r="BGM41" s="260"/>
      <c r="BGN41" s="260"/>
      <c r="BGO41" s="260"/>
      <c r="BGP41" s="260"/>
      <c r="BGQ41" s="260"/>
      <c r="BGR41" s="260"/>
      <c r="BGS41" s="260"/>
      <c r="BGT41" s="260"/>
      <c r="BGU41" s="260"/>
      <c r="BGV41" s="260"/>
      <c r="BGW41" s="260"/>
      <c r="BGX41" s="260"/>
      <c r="BGY41" s="260"/>
      <c r="BGZ41" s="260"/>
      <c r="BHA41" s="260"/>
      <c r="BHB41" s="260"/>
      <c r="BHC41" s="260"/>
      <c r="BHD41" s="260"/>
      <c r="BHE41" s="260"/>
      <c r="BHF41" s="260"/>
      <c r="BHG41" s="260"/>
      <c r="BHH41" s="260"/>
      <c r="BHI41" s="260"/>
      <c r="BHJ41" s="260"/>
      <c r="BHK41" s="260"/>
      <c r="BHL41" s="260"/>
      <c r="BHM41" s="260"/>
      <c r="BHN41" s="260"/>
      <c r="BHO41" s="260"/>
      <c r="BHP41" s="260"/>
      <c r="BHQ41" s="260"/>
      <c r="BHR41" s="260"/>
      <c r="BHS41" s="260"/>
      <c r="BHT41" s="260"/>
      <c r="BHU41" s="260"/>
      <c r="BHV41" s="260"/>
      <c r="BHW41" s="260"/>
      <c r="BHX41" s="260"/>
      <c r="BHY41" s="260"/>
      <c r="BHZ41" s="260"/>
      <c r="BIA41" s="260"/>
      <c r="BIB41" s="260"/>
      <c r="BIC41" s="260"/>
      <c r="BID41" s="260"/>
      <c r="BIE41" s="260"/>
      <c r="BIF41" s="260"/>
      <c r="BIG41" s="260"/>
      <c r="BIH41" s="260"/>
      <c r="BII41" s="260"/>
      <c r="BIJ41" s="260"/>
      <c r="BIK41" s="260"/>
      <c r="BIL41" s="260"/>
      <c r="BIM41" s="260"/>
      <c r="BIN41" s="260"/>
      <c r="BIO41" s="260"/>
      <c r="BIP41" s="260"/>
      <c r="BIQ41" s="260"/>
      <c r="BIR41" s="260"/>
      <c r="BIS41" s="260"/>
      <c r="BIT41" s="260"/>
      <c r="BIU41" s="260"/>
      <c r="BIV41" s="260"/>
      <c r="BIW41" s="260"/>
      <c r="BIX41" s="260"/>
      <c r="BIY41" s="260"/>
      <c r="BIZ41" s="260"/>
      <c r="BJA41" s="260"/>
      <c r="BJB41" s="260"/>
      <c r="BJC41" s="260"/>
      <c r="BJD41" s="260"/>
      <c r="BJE41" s="260"/>
      <c r="BJF41" s="260"/>
      <c r="BJG41" s="260"/>
      <c r="BJH41" s="260"/>
      <c r="BJI41" s="260"/>
      <c r="BJJ41" s="260"/>
      <c r="BJK41" s="260"/>
      <c r="BJL41" s="260"/>
      <c r="BJM41" s="260"/>
      <c r="BJN41" s="260"/>
      <c r="BJO41" s="260"/>
      <c r="BJP41" s="260"/>
      <c r="BJQ41" s="260"/>
      <c r="BJR41" s="260"/>
      <c r="BJS41" s="260"/>
      <c r="BJT41" s="260"/>
      <c r="BJU41" s="260"/>
      <c r="BJV41" s="260"/>
      <c r="BJW41" s="260"/>
      <c r="BJX41" s="260"/>
      <c r="BJY41" s="260"/>
      <c r="BJZ41" s="260"/>
      <c r="BKA41" s="260"/>
      <c r="BKB41" s="260"/>
      <c r="BKC41" s="260"/>
      <c r="BKD41" s="260"/>
      <c r="BKE41" s="260"/>
      <c r="BKF41" s="260"/>
      <c r="BKG41" s="260"/>
      <c r="BKH41" s="260"/>
      <c r="BKI41" s="260"/>
      <c r="BKJ41" s="260"/>
      <c r="BKK41" s="260"/>
      <c r="BKL41" s="260"/>
      <c r="BKM41" s="260"/>
      <c r="BKN41" s="260"/>
      <c r="BKO41" s="260"/>
      <c r="BKP41" s="260"/>
      <c r="BKQ41" s="260"/>
      <c r="BKR41" s="260"/>
      <c r="BKS41" s="260"/>
      <c r="BKT41" s="260"/>
      <c r="BKU41" s="260"/>
      <c r="BKV41" s="260"/>
      <c r="BKW41" s="260"/>
      <c r="BKX41" s="260"/>
      <c r="BKY41" s="260"/>
      <c r="BKZ41" s="260"/>
      <c r="BLA41" s="260"/>
      <c r="BLB41" s="260"/>
      <c r="BLC41" s="260"/>
      <c r="BLD41" s="260"/>
      <c r="BLE41" s="260"/>
      <c r="BLF41" s="260"/>
      <c r="BLG41" s="260"/>
      <c r="BLH41" s="260"/>
      <c r="BLI41" s="260"/>
      <c r="BLJ41" s="260"/>
      <c r="BLK41" s="260"/>
      <c r="BLL41" s="260"/>
      <c r="BLM41" s="260"/>
      <c r="BLN41" s="260"/>
      <c r="BLO41" s="260"/>
      <c r="BLP41" s="260"/>
      <c r="BLQ41" s="260"/>
      <c r="BLR41" s="260"/>
      <c r="BLS41" s="260"/>
      <c r="BLT41" s="260"/>
      <c r="BLU41" s="260"/>
      <c r="BLV41" s="260"/>
      <c r="BLW41" s="260"/>
      <c r="BLX41" s="260"/>
      <c r="BLY41" s="260"/>
      <c r="BLZ41" s="260"/>
      <c r="BMA41" s="260"/>
      <c r="BMB41" s="260"/>
      <c r="BMC41" s="260"/>
      <c r="BMD41" s="260"/>
      <c r="BME41" s="260"/>
      <c r="BMF41" s="260"/>
      <c r="BMG41" s="260"/>
      <c r="BMH41" s="260"/>
      <c r="BMI41" s="260"/>
      <c r="BMJ41" s="260"/>
      <c r="BMK41" s="260"/>
      <c r="BML41" s="260"/>
      <c r="BMM41" s="260"/>
      <c r="BMN41" s="260"/>
      <c r="BMO41" s="260"/>
      <c r="BMP41" s="260"/>
      <c r="BMQ41" s="260"/>
      <c r="BMR41" s="260"/>
      <c r="BMS41" s="260"/>
      <c r="BMT41" s="260"/>
      <c r="BMU41" s="260"/>
      <c r="BMV41" s="260"/>
      <c r="BMW41" s="260"/>
      <c r="BMX41" s="260"/>
      <c r="BMY41" s="260"/>
      <c r="BMZ41" s="260"/>
      <c r="BNA41" s="260"/>
      <c r="BNB41" s="260"/>
      <c r="BNC41" s="260"/>
      <c r="BND41" s="260"/>
      <c r="BNE41" s="260"/>
      <c r="BNF41" s="260"/>
      <c r="BNG41" s="260"/>
      <c r="BNH41" s="260"/>
      <c r="BNI41" s="260"/>
      <c r="BNJ41" s="260"/>
      <c r="BNK41" s="260"/>
      <c r="BNL41" s="260"/>
      <c r="BNM41" s="260"/>
      <c r="BNN41" s="260"/>
      <c r="BNO41" s="260"/>
      <c r="BNP41" s="260"/>
      <c r="BNQ41" s="260"/>
      <c r="BNR41" s="260"/>
      <c r="BNS41" s="260"/>
      <c r="BNT41" s="260"/>
      <c r="BNU41" s="260"/>
      <c r="BNV41" s="260"/>
      <c r="BNW41" s="260"/>
      <c r="BNX41" s="260"/>
      <c r="BNY41" s="260"/>
      <c r="BNZ41" s="260"/>
      <c r="BOA41" s="260"/>
      <c r="BOB41" s="260"/>
      <c r="BOC41" s="260"/>
      <c r="BOD41" s="260"/>
      <c r="BOE41" s="260"/>
      <c r="BOF41" s="260"/>
      <c r="BOG41" s="260"/>
      <c r="BOH41" s="260"/>
      <c r="BOI41" s="260"/>
      <c r="BOJ41" s="260"/>
      <c r="BOK41" s="260"/>
      <c r="BOL41" s="260"/>
      <c r="BOM41" s="260"/>
      <c r="BON41" s="260"/>
      <c r="BOO41" s="260"/>
      <c r="BOP41" s="260"/>
      <c r="BOQ41" s="260"/>
      <c r="BOR41" s="260"/>
      <c r="BOS41" s="260"/>
      <c r="BOT41" s="260"/>
      <c r="BOU41" s="260"/>
      <c r="BOV41" s="260"/>
      <c r="BOW41" s="260"/>
      <c r="BOX41" s="260"/>
      <c r="BOY41" s="260"/>
      <c r="BOZ41" s="260"/>
      <c r="BPA41" s="260"/>
      <c r="BPB41" s="260"/>
      <c r="BPC41" s="260"/>
      <c r="BPD41" s="260"/>
      <c r="BPE41" s="260"/>
      <c r="BPF41" s="260"/>
      <c r="BPG41" s="260"/>
      <c r="BPH41" s="260"/>
      <c r="BPI41" s="260"/>
      <c r="BPJ41" s="260"/>
      <c r="BPK41" s="260"/>
      <c r="BPL41" s="260"/>
      <c r="BPM41" s="260"/>
      <c r="BPN41" s="260"/>
      <c r="BPO41" s="260"/>
      <c r="BPP41" s="260"/>
      <c r="BPQ41" s="260"/>
      <c r="BPR41" s="260"/>
      <c r="BPS41" s="260"/>
      <c r="BPT41" s="260"/>
      <c r="BPU41" s="260"/>
      <c r="BPV41" s="260"/>
      <c r="BPW41" s="260"/>
      <c r="BPX41" s="260"/>
      <c r="BPY41" s="260"/>
      <c r="BPZ41" s="260"/>
      <c r="BQA41" s="260"/>
      <c r="BQB41" s="260"/>
      <c r="BQC41" s="260"/>
      <c r="BQD41" s="260"/>
      <c r="BQE41" s="260"/>
      <c r="BQF41" s="260"/>
      <c r="BQG41" s="260"/>
      <c r="BQH41" s="260"/>
      <c r="BQI41" s="260"/>
      <c r="BQJ41" s="260"/>
      <c r="BQK41" s="260"/>
      <c r="BQL41" s="260"/>
      <c r="BQM41" s="260"/>
      <c r="BQN41" s="260"/>
      <c r="BQO41" s="260"/>
      <c r="BQP41" s="260"/>
      <c r="BQQ41" s="260"/>
      <c r="BQR41" s="260"/>
      <c r="BQS41" s="260"/>
      <c r="BQT41" s="260"/>
      <c r="BQU41" s="260"/>
      <c r="BQV41" s="260"/>
      <c r="BQW41" s="260"/>
      <c r="BQX41" s="260"/>
      <c r="BQY41" s="260"/>
      <c r="BQZ41" s="260"/>
      <c r="BRA41" s="260"/>
      <c r="BRB41" s="260"/>
      <c r="BRC41" s="260"/>
      <c r="BRD41" s="260"/>
      <c r="BRE41" s="260"/>
      <c r="BRF41" s="260"/>
      <c r="BRG41" s="260"/>
      <c r="BRH41" s="260"/>
      <c r="BRI41" s="260"/>
      <c r="BRJ41" s="260"/>
      <c r="BRK41" s="260"/>
      <c r="BRL41" s="260"/>
      <c r="BRM41" s="260"/>
      <c r="BRN41" s="260"/>
      <c r="BRO41" s="260"/>
      <c r="BRP41" s="260"/>
      <c r="BRQ41" s="260"/>
      <c r="BRR41" s="260"/>
      <c r="BRS41" s="260"/>
      <c r="BRT41" s="260"/>
      <c r="BRU41" s="260"/>
      <c r="BRV41" s="260"/>
      <c r="BRW41" s="260"/>
      <c r="BRX41" s="260"/>
      <c r="BRY41" s="260"/>
      <c r="BRZ41" s="260"/>
      <c r="BSA41" s="260"/>
      <c r="BSB41" s="260"/>
      <c r="BSC41" s="260"/>
      <c r="BSD41" s="260"/>
      <c r="BSE41" s="260"/>
      <c r="BSF41" s="260"/>
      <c r="BSG41" s="260"/>
      <c r="BSH41" s="260"/>
      <c r="BSI41" s="260"/>
      <c r="BSJ41" s="260"/>
      <c r="BSK41" s="260"/>
      <c r="BSL41" s="260"/>
      <c r="BSM41" s="260"/>
      <c r="BSN41" s="260"/>
      <c r="BSO41" s="260"/>
      <c r="BSP41" s="260"/>
      <c r="BSQ41" s="260"/>
      <c r="BSR41" s="260"/>
      <c r="BSS41" s="260"/>
      <c r="BST41" s="260"/>
      <c r="BSU41" s="260"/>
      <c r="BSV41" s="260"/>
      <c r="BSW41" s="260"/>
      <c r="BSX41" s="260"/>
      <c r="BSY41" s="260"/>
      <c r="BSZ41" s="260"/>
      <c r="BTA41" s="260"/>
      <c r="BTB41" s="260"/>
      <c r="BTC41" s="260"/>
      <c r="BTD41" s="260"/>
      <c r="BTE41" s="260"/>
      <c r="BTF41" s="260"/>
      <c r="BTG41" s="260"/>
      <c r="BTH41" s="260"/>
      <c r="BTI41" s="260"/>
      <c r="BTJ41" s="260"/>
      <c r="BTK41" s="260"/>
      <c r="BTL41" s="260"/>
      <c r="BTM41" s="260"/>
      <c r="BTN41" s="260"/>
      <c r="BTO41" s="260"/>
      <c r="BTP41" s="260"/>
      <c r="BTQ41" s="260"/>
      <c r="BTR41" s="260"/>
      <c r="BTS41" s="260"/>
      <c r="BTT41" s="260"/>
      <c r="BTU41" s="260"/>
      <c r="BTV41" s="260"/>
      <c r="BTW41" s="260"/>
      <c r="BTX41" s="260"/>
      <c r="BTY41" s="260"/>
      <c r="BTZ41" s="260"/>
      <c r="BUA41" s="260"/>
      <c r="BUB41" s="260"/>
      <c r="BUC41" s="260"/>
      <c r="BUD41" s="260"/>
      <c r="BUE41" s="260"/>
      <c r="BUF41" s="260"/>
      <c r="BUG41" s="260"/>
      <c r="BUH41" s="260"/>
      <c r="BUI41" s="260"/>
      <c r="BUJ41" s="260"/>
      <c r="BUK41" s="260"/>
      <c r="BUL41" s="260"/>
      <c r="BUM41" s="260"/>
      <c r="BUN41" s="260"/>
      <c r="BUO41" s="260"/>
      <c r="BUP41" s="260"/>
      <c r="BUQ41" s="260"/>
      <c r="BUR41" s="260"/>
      <c r="BUS41" s="260"/>
      <c r="BUT41" s="260"/>
      <c r="BUU41" s="260"/>
      <c r="BUV41" s="260"/>
      <c r="BUW41" s="260"/>
      <c r="BUX41" s="260"/>
      <c r="BUY41" s="260"/>
      <c r="BUZ41" s="260"/>
      <c r="BVA41" s="260"/>
      <c r="BVB41" s="260"/>
      <c r="BVC41" s="260"/>
      <c r="BVD41" s="260"/>
      <c r="BVE41" s="260"/>
      <c r="BVF41" s="260"/>
      <c r="BVG41" s="260"/>
      <c r="BVH41" s="260"/>
      <c r="BVI41" s="260"/>
      <c r="BVJ41" s="260"/>
      <c r="BVK41" s="260"/>
      <c r="BVL41" s="260"/>
      <c r="BVM41" s="260"/>
      <c r="BVN41" s="260"/>
      <c r="BVO41" s="260"/>
      <c r="BVP41" s="260"/>
      <c r="BVQ41" s="260"/>
      <c r="BVR41" s="260"/>
      <c r="BVS41" s="260"/>
      <c r="BVT41" s="260"/>
      <c r="BVU41" s="260"/>
      <c r="BVV41" s="260"/>
      <c r="BVW41" s="260"/>
      <c r="BVX41" s="260"/>
      <c r="BVY41" s="260"/>
      <c r="BVZ41" s="260"/>
      <c r="BWA41" s="260"/>
      <c r="BWB41" s="260"/>
      <c r="BWC41" s="260"/>
      <c r="BWD41" s="260"/>
      <c r="BWE41" s="260"/>
      <c r="BWF41" s="260"/>
      <c r="BWG41" s="260"/>
      <c r="BWH41" s="260"/>
      <c r="BWI41" s="260"/>
      <c r="BWJ41" s="260"/>
      <c r="BWK41" s="260"/>
      <c r="BWL41" s="260"/>
      <c r="BWM41" s="260"/>
      <c r="BWN41" s="260"/>
      <c r="BWO41" s="260"/>
      <c r="BWP41" s="260"/>
      <c r="BWQ41" s="260"/>
      <c r="BWR41" s="260"/>
      <c r="BWS41" s="260"/>
      <c r="BWT41" s="260"/>
      <c r="BWU41" s="260"/>
      <c r="BWV41" s="260"/>
      <c r="BWW41" s="260"/>
      <c r="BWX41" s="260"/>
      <c r="BWY41" s="260"/>
      <c r="BWZ41" s="260"/>
      <c r="BXA41" s="260"/>
      <c r="BXB41" s="260"/>
      <c r="BXC41" s="260"/>
      <c r="BXD41" s="260"/>
      <c r="BXE41" s="260"/>
      <c r="BXF41" s="260"/>
      <c r="BXG41" s="260"/>
      <c r="BXH41" s="260"/>
      <c r="BXI41" s="260"/>
      <c r="BXJ41" s="260"/>
      <c r="BXK41" s="260"/>
      <c r="BXL41" s="260"/>
      <c r="BXM41" s="260"/>
      <c r="BXN41" s="260"/>
      <c r="BXO41" s="260"/>
      <c r="BXP41" s="260"/>
      <c r="BXQ41" s="260"/>
      <c r="BXR41" s="260"/>
      <c r="BXS41" s="260"/>
      <c r="BXT41" s="260"/>
      <c r="BXU41" s="260"/>
      <c r="BXV41" s="260"/>
      <c r="BXW41" s="260"/>
      <c r="BXX41" s="260"/>
      <c r="BXY41" s="260"/>
      <c r="BXZ41" s="260"/>
      <c r="BYA41" s="260"/>
      <c r="BYB41" s="260"/>
      <c r="BYC41" s="260"/>
      <c r="BYD41" s="260"/>
      <c r="BYE41" s="260"/>
      <c r="BYF41" s="260"/>
      <c r="BYG41" s="260"/>
      <c r="BYH41" s="260"/>
      <c r="BYI41" s="260"/>
      <c r="BYJ41" s="260"/>
      <c r="BYK41" s="260"/>
      <c r="BYL41" s="260"/>
      <c r="BYM41" s="260"/>
      <c r="BYN41" s="260"/>
      <c r="BYO41" s="260"/>
      <c r="BYP41" s="260"/>
      <c r="BYQ41" s="260"/>
      <c r="BYR41" s="260"/>
      <c r="BYS41" s="260"/>
      <c r="BYT41" s="260"/>
      <c r="BYU41" s="260"/>
      <c r="BYV41" s="260"/>
      <c r="BYW41" s="260"/>
      <c r="BYX41" s="260"/>
      <c r="BYY41" s="260"/>
      <c r="BYZ41" s="260"/>
      <c r="BZA41" s="260"/>
      <c r="BZB41" s="260"/>
      <c r="BZC41" s="260"/>
      <c r="BZD41" s="260"/>
      <c r="BZE41" s="260"/>
      <c r="BZF41" s="260"/>
      <c r="BZG41" s="260"/>
      <c r="BZH41" s="260"/>
      <c r="BZI41" s="260"/>
      <c r="BZJ41" s="260"/>
      <c r="BZK41" s="260"/>
      <c r="BZL41" s="260"/>
      <c r="BZM41" s="260"/>
      <c r="BZN41" s="260"/>
      <c r="BZO41" s="260"/>
      <c r="BZP41" s="260"/>
      <c r="BZQ41" s="260"/>
      <c r="BZR41" s="260"/>
      <c r="BZS41" s="260"/>
      <c r="BZT41" s="260"/>
      <c r="BZU41" s="260"/>
      <c r="BZV41" s="260"/>
      <c r="BZW41" s="260"/>
      <c r="BZX41" s="260"/>
      <c r="BZY41" s="260"/>
      <c r="BZZ41" s="260"/>
      <c r="CAA41" s="260"/>
      <c r="CAB41" s="260"/>
      <c r="CAC41" s="260"/>
      <c r="CAD41" s="260"/>
      <c r="CAE41" s="260"/>
      <c r="CAF41" s="260"/>
      <c r="CAG41" s="260"/>
      <c r="CAH41" s="260"/>
      <c r="CAI41" s="260"/>
      <c r="CAJ41" s="260"/>
      <c r="CAK41" s="260"/>
      <c r="CAL41" s="260"/>
      <c r="CAM41" s="260"/>
      <c r="CAN41" s="260"/>
      <c r="CAO41" s="260"/>
      <c r="CAP41" s="260"/>
      <c r="CAQ41" s="260"/>
      <c r="CAR41" s="260"/>
      <c r="CAS41" s="260"/>
      <c r="CAT41" s="260"/>
      <c r="CAU41" s="260"/>
      <c r="CAV41" s="260"/>
      <c r="CAW41" s="260"/>
      <c r="CAX41" s="260"/>
      <c r="CAY41" s="260"/>
      <c r="CAZ41" s="260"/>
      <c r="CBA41" s="260"/>
      <c r="CBB41" s="260"/>
      <c r="CBC41" s="260"/>
      <c r="CBD41" s="260"/>
      <c r="CBE41" s="260"/>
      <c r="CBF41" s="260"/>
      <c r="CBG41" s="260"/>
      <c r="CBH41" s="260"/>
      <c r="CBI41" s="260"/>
      <c r="CBJ41" s="260"/>
      <c r="CBK41" s="260"/>
      <c r="CBL41" s="260"/>
      <c r="CBM41" s="260"/>
      <c r="CBN41" s="260"/>
      <c r="CBO41" s="260"/>
      <c r="CBP41" s="260"/>
      <c r="CBQ41" s="260"/>
      <c r="CBR41" s="260"/>
      <c r="CBS41" s="260"/>
      <c r="CBT41" s="260"/>
      <c r="CBU41" s="260"/>
      <c r="CBV41" s="260"/>
      <c r="CBW41" s="260"/>
      <c r="CBX41" s="260"/>
      <c r="CBY41" s="260"/>
      <c r="CBZ41" s="260"/>
      <c r="CCA41" s="260"/>
      <c r="CCB41" s="260"/>
      <c r="CCC41" s="260"/>
      <c r="CCD41" s="260"/>
      <c r="CCE41" s="260"/>
      <c r="CCF41" s="260"/>
      <c r="CCG41" s="260"/>
      <c r="CCH41" s="260"/>
      <c r="CCI41" s="260"/>
      <c r="CCJ41" s="260"/>
      <c r="CCK41" s="260"/>
      <c r="CCL41" s="260"/>
      <c r="CCM41" s="260"/>
      <c r="CCN41" s="260"/>
      <c r="CCO41" s="260"/>
      <c r="CCP41" s="260"/>
      <c r="CCQ41" s="260"/>
      <c r="CCR41" s="260"/>
      <c r="CCS41" s="260"/>
      <c r="CCT41" s="260"/>
      <c r="CCU41" s="260"/>
      <c r="CCV41" s="260"/>
      <c r="CCW41" s="260"/>
      <c r="CCX41" s="260"/>
      <c r="CCY41" s="260"/>
      <c r="CCZ41" s="260"/>
      <c r="CDA41" s="260"/>
      <c r="CDB41" s="260"/>
      <c r="CDC41" s="260"/>
      <c r="CDD41" s="260"/>
      <c r="CDE41" s="260"/>
      <c r="CDF41" s="260"/>
      <c r="CDG41" s="260"/>
      <c r="CDH41" s="260"/>
      <c r="CDI41" s="260"/>
      <c r="CDJ41" s="260"/>
      <c r="CDK41" s="260"/>
      <c r="CDL41" s="260"/>
      <c r="CDM41" s="260"/>
      <c r="CDN41" s="260"/>
      <c r="CDO41" s="260"/>
      <c r="CDP41" s="260"/>
      <c r="CDQ41" s="260"/>
      <c r="CDR41" s="260"/>
      <c r="CDS41" s="260"/>
      <c r="CDT41" s="260"/>
      <c r="CDU41" s="260"/>
      <c r="CDV41" s="260"/>
      <c r="CDW41" s="260"/>
      <c r="CDX41" s="260"/>
      <c r="CDY41" s="260"/>
      <c r="CDZ41" s="260"/>
      <c r="CEA41" s="260"/>
      <c r="CEB41" s="260"/>
      <c r="CEC41" s="260"/>
      <c r="CED41" s="260"/>
      <c r="CEE41" s="260"/>
      <c r="CEF41" s="260"/>
      <c r="CEG41" s="260"/>
      <c r="CEH41" s="260"/>
      <c r="CEI41" s="260"/>
      <c r="CEJ41" s="260"/>
      <c r="CEK41" s="260"/>
      <c r="CEL41" s="260"/>
      <c r="CEM41" s="260"/>
      <c r="CEN41" s="260"/>
      <c r="CEO41" s="260"/>
      <c r="CEP41" s="260"/>
      <c r="CEQ41" s="260"/>
      <c r="CER41" s="260"/>
      <c r="CES41" s="260"/>
      <c r="CET41" s="260"/>
      <c r="CEU41" s="260"/>
      <c r="CEV41" s="260"/>
      <c r="CEW41" s="260"/>
      <c r="CEX41" s="260"/>
      <c r="CEY41" s="260"/>
      <c r="CEZ41" s="260"/>
      <c r="CFA41" s="260"/>
      <c r="CFB41" s="260"/>
      <c r="CFC41" s="260"/>
      <c r="CFD41" s="260"/>
      <c r="CFE41" s="260"/>
      <c r="CFF41" s="260"/>
      <c r="CFG41" s="260"/>
      <c r="CFH41" s="260"/>
      <c r="CFI41" s="260"/>
      <c r="CFJ41" s="260"/>
      <c r="CFK41" s="260"/>
      <c r="CFL41" s="260"/>
      <c r="CFM41" s="260"/>
      <c r="CFN41" s="260"/>
      <c r="CFO41" s="260"/>
      <c r="CFP41" s="260"/>
      <c r="CFQ41" s="260"/>
      <c r="CFR41" s="260"/>
      <c r="CFS41" s="260"/>
      <c r="CFT41" s="260"/>
      <c r="CFU41" s="260"/>
      <c r="CFV41" s="260"/>
      <c r="CFW41" s="260"/>
      <c r="CFX41" s="260"/>
      <c r="CFY41" s="260"/>
      <c r="CFZ41" s="260"/>
      <c r="CGA41" s="260"/>
      <c r="CGB41" s="260"/>
      <c r="CGC41" s="260"/>
      <c r="CGD41" s="260"/>
      <c r="CGE41" s="260"/>
      <c r="CGF41" s="260"/>
      <c r="CGG41" s="260"/>
      <c r="CGH41" s="260"/>
      <c r="CGI41" s="260"/>
      <c r="CGJ41" s="260"/>
      <c r="CGK41" s="260"/>
      <c r="CGL41" s="260"/>
      <c r="CGM41" s="260"/>
      <c r="CGN41" s="260"/>
      <c r="CGO41" s="260"/>
      <c r="CGP41" s="260"/>
      <c r="CGQ41" s="260"/>
      <c r="CGR41" s="260"/>
      <c r="CGS41" s="260"/>
      <c r="CGT41" s="260"/>
      <c r="CGU41" s="260"/>
      <c r="CGV41" s="260"/>
      <c r="CGW41" s="260"/>
      <c r="CGX41" s="260"/>
      <c r="CGY41" s="260"/>
      <c r="CGZ41" s="260"/>
      <c r="CHA41" s="260"/>
      <c r="CHB41" s="260"/>
      <c r="CHC41" s="260"/>
      <c r="CHD41" s="260"/>
      <c r="CHE41" s="260"/>
      <c r="CHF41" s="260"/>
      <c r="CHG41" s="260"/>
      <c r="CHH41" s="260"/>
      <c r="CHI41" s="260"/>
      <c r="CHJ41" s="260"/>
      <c r="CHK41" s="260"/>
      <c r="CHL41" s="260"/>
      <c r="CHM41" s="260"/>
      <c r="CHN41" s="260"/>
      <c r="CHO41" s="260"/>
      <c r="CHP41" s="260"/>
      <c r="CHQ41" s="260"/>
      <c r="CHR41" s="260"/>
      <c r="CHS41" s="260"/>
      <c r="CHT41" s="260"/>
      <c r="CHU41" s="260"/>
      <c r="CHV41" s="260"/>
      <c r="CHW41" s="260"/>
      <c r="CHX41" s="260"/>
      <c r="CHY41" s="260"/>
      <c r="CHZ41" s="260"/>
      <c r="CIA41" s="260"/>
      <c r="CIB41" s="260"/>
      <c r="CIC41" s="260"/>
      <c r="CID41" s="260"/>
      <c r="CIE41" s="260"/>
      <c r="CIF41" s="260"/>
      <c r="CIG41" s="260"/>
      <c r="CIH41" s="260"/>
      <c r="CII41" s="260"/>
      <c r="CIJ41" s="260"/>
      <c r="CIK41" s="260"/>
      <c r="CIL41" s="260"/>
      <c r="CIM41" s="260"/>
      <c r="CIN41" s="260"/>
      <c r="CIO41" s="260"/>
      <c r="CIP41" s="260"/>
      <c r="CIQ41" s="260"/>
      <c r="CIR41" s="260"/>
      <c r="CIS41" s="260"/>
      <c r="CIT41" s="260"/>
      <c r="CIU41" s="260"/>
      <c r="CIV41" s="260"/>
      <c r="CIW41" s="260"/>
      <c r="CIX41" s="260"/>
      <c r="CIY41" s="260"/>
      <c r="CIZ41" s="260"/>
      <c r="CJA41" s="260"/>
      <c r="CJB41" s="260"/>
      <c r="CJC41" s="260"/>
      <c r="CJD41" s="260"/>
      <c r="CJE41" s="260"/>
      <c r="CJF41" s="260"/>
      <c r="CJG41" s="260"/>
      <c r="CJH41" s="260"/>
      <c r="CJI41" s="260"/>
      <c r="CJJ41" s="260"/>
      <c r="CJK41" s="260"/>
      <c r="CJL41" s="260"/>
      <c r="CJM41" s="260"/>
      <c r="CJN41" s="260"/>
      <c r="CJO41" s="260"/>
      <c r="CJP41" s="260"/>
      <c r="CJQ41" s="260"/>
      <c r="CJR41" s="260"/>
      <c r="CJS41" s="260"/>
      <c r="CJT41" s="260"/>
      <c r="CJU41" s="260"/>
      <c r="CJV41" s="260"/>
      <c r="CJW41" s="260"/>
      <c r="CJX41" s="260"/>
      <c r="CJY41" s="260"/>
      <c r="CJZ41" s="260"/>
      <c r="CKA41" s="260"/>
      <c r="CKB41" s="260"/>
      <c r="CKC41" s="260"/>
      <c r="CKD41" s="260"/>
      <c r="CKE41" s="260"/>
      <c r="CKF41" s="260"/>
      <c r="CKG41" s="260"/>
      <c r="CKH41" s="260"/>
      <c r="CKI41" s="260"/>
      <c r="CKJ41" s="260"/>
      <c r="CKK41" s="260"/>
      <c r="CKL41" s="260"/>
      <c r="CKM41" s="260"/>
      <c r="CKN41" s="260"/>
      <c r="CKO41" s="260"/>
      <c r="CKP41" s="260"/>
      <c r="CKQ41" s="260"/>
      <c r="CKR41" s="260"/>
      <c r="CKS41" s="260"/>
      <c r="CKT41" s="260"/>
      <c r="CKU41" s="260"/>
      <c r="CKV41" s="260"/>
      <c r="CKW41" s="260"/>
      <c r="CKX41" s="260"/>
      <c r="CKY41" s="260"/>
      <c r="CKZ41" s="260"/>
      <c r="CLA41" s="260"/>
      <c r="CLB41" s="260"/>
      <c r="CLC41" s="260"/>
      <c r="CLD41" s="260"/>
      <c r="CLE41" s="260"/>
      <c r="CLF41" s="260"/>
      <c r="CLG41" s="260"/>
      <c r="CLH41" s="260"/>
      <c r="CLI41" s="260"/>
      <c r="CLJ41" s="260"/>
      <c r="CLK41" s="260"/>
      <c r="CLL41" s="260"/>
      <c r="CLM41" s="260"/>
      <c r="CLN41" s="260"/>
      <c r="CLO41" s="260"/>
      <c r="CLP41" s="260"/>
      <c r="CLQ41" s="260"/>
      <c r="CLR41" s="260"/>
      <c r="CLS41" s="260"/>
      <c r="CLT41" s="260"/>
      <c r="CLU41" s="260"/>
      <c r="CLV41" s="260"/>
      <c r="CLW41" s="260"/>
      <c r="CLX41" s="260"/>
      <c r="CLY41" s="260"/>
      <c r="CLZ41" s="260"/>
      <c r="CMA41" s="260"/>
      <c r="CMB41" s="260"/>
      <c r="CMC41" s="260"/>
      <c r="CMD41" s="260"/>
      <c r="CME41" s="260"/>
      <c r="CMF41" s="260"/>
      <c r="CMG41" s="260"/>
      <c r="CMH41" s="260"/>
      <c r="CMI41" s="260"/>
      <c r="CMJ41" s="260"/>
      <c r="CMK41" s="260"/>
      <c r="CML41" s="260"/>
      <c r="CMM41" s="260"/>
      <c r="CMN41" s="260"/>
      <c r="CMO41" s="260"/>
      <c r="CMP41" s="260"/>
      <c r="CMQ41" s="260"/>
      <c r="CMR41" s="260"/>
      <c r="CMS41" s="260"/>
      <c r="CMT41" s="260"/>
      <c r="CMU41" s="260"/>
      <c r="CMV41" s="260"/>
      <c r="CMW41" s="260"/>
      <c r="CMX41" s="260"/>
      <c r="CMY41" s="260"/>
      <c r="CMZ41" s="260"/>
      <c r="CNA41" s="260"/>
      <c r="CNB41" s="260"/>
      <c r="CNC41" s="260"/>
      <c r="CND41" s="260"/>
      <c r="CNE41" s="260"/>
      <c r="CNF41" s="260"/>
      <c r="CNG41" s="260"/>
      <c r="CNH41" s="260"/>
      <c r="CNI41" s="260"/>
      <c r="CNJ41" s="260"/>
      <c r="CNK41" s="260"/>
      <c r="CNL41" s="260"/>
      <c r="CNM41" s="260"/>
      <c r="CNN41" s="260"/>
      <c r="CNO41" s="260"/>
      <c r="CNP41" s="260"/>
      <c r="CNQ41" s="260"/>
      <c r="CNR41" s="260"/>
      <c r="CNS41" s="260"/>
      <c r="CNT41" s="260"/>
      <c r="CNU41" s="260"/>
      <c r="CNV41" s="260"/>
      <c r="CNW41" s="260"/>
      <c r="CNX41" s="260"/>
      <c r="CNY41" s="260"/>
      <c r="CNZ41" s="260"/>
      <c r="COA41" s="260"/>
      <c r="COB41" s="260"/>
      <c r="COC41" s="260"/>
      <c r="COD41" s="260"/>
      <c r="COE41" s="260"/>
      <c r="COF41" s="260"/>
      <c r="COG41" s="260"/>
      <c r="COH41" s="260"/>
      <c r="COI41" s="260"/>
      <c r="COJ41" s="260"/>
      <c r="COK41" s="260"/>
      <c r="COL41" s="260"/>
      <c r="COM41" s="260"/>
      <c r="CON41" s="260"/>
      <c r="COO41" s="260"/>
      <c r="COP41" s="260"/>
      <c r="COQ41" s="260"/>
      <c r="COR41" s="260"/>
      <c r="COS41" s="260"/>
      <c r="COT41" s="260"/>
      <c r="COU41" s="260"/>
      <c r="COV41" s="260"/>
      <c r="COW41" s="260"/>
      <c r="COX41" s="260"/>
      <c r="COY41" s="260"/>
      <c r="COZ41" s="260"/>
      <c r="CPA41" s="260"/>
      <c r="CPB41" s="260"/>
      <c r="CPC41" s="260"/>
      <c r="CPD41" s="260"/>
      <c r="CPE41" s="260"/>
      <c r="CPF41" s="260"/>
      <c r="CPG41" s="260"/>
      <c r="CPH41" s="260"/>
      <c r="CPI41" s="260"/>
      <c r="CPJ41" s="260"/>
      <c r="CPK41" s="260"/>
      <c r="CPL41" s="260"/>
      <c r="CPM41" s="260"/>
      <c r="CPN41" s="260"/>
      <c r="CPO41" s="260"/>
      <c r="CPP41" s="260"/>
      <c r="CPQ41" s="260"/>
      <c r="CPR41" s="260"/>
      <c r="CPS41" s="260"/>
      <c r="CPT41" s="260"/>
      <c r="CPU41" s="260"/>
      <c r="CPV41" s="260"/>
      <c r="CPW41" s="260"/>
      <c r="CPX41" s="260"/>
      <c r="CPY41" s="260"/>
      <c r="CPZ41" s="260"/>
      <c r="CQA41" s="260"/>
      <c r="CQB41" s="260"/>
      <c r="CQC41" s="260"/>
      <c r="CQD41" s="260"/>
      <c r="CQE41" s="260"/>
      <c r="CQF41" s="260"/>
      <c r="CQG41" s="260"/>
      <c r="CQH41" s="260"/>
      <c r="CQI41" s="260"/>
      <c r="CQJ41" s="260"/>
      <c r="CQK41" s="260"/>
      <c r="CQL41" s="260"/>
      <c r="CQM41" s="260"/>
      <c r="CQN41" s="260"/>
      <c r="CQO41" s="260"/>
      <c r="CQP41" s="260"/>
      <c r="CQQ41" s="260"/>
      <c r="CQR41" s="260"/>
      <c r="CQS41" s="260"/>
      <c r="CQT41" s="260"/>
      <c r="CQU41" s="260"/>
      <c r="CQV41" s="260"/>
      <c r="CQW41" s="260"/>
      <c r="CQX41" s="260"/>
      <c r="CQY41" s="260"/>
      <c r="CQZ41" s="260"/>
      <c r="CRA41" s="260"/>
      <c r="CRB41" s="260"/>
      <c r="CRC41" s="260"/>
      <c r="CRD41" s="260"/>
      <c r="CRE41" s="260"/>
      <c r="CRF41" s="260"/>
      <c r="CRG41" s="260"/>
      <c r="CRH41" s="260"/>
      <c r="CRI41" s="260"/>
      <c r="CRJ41" s="260"/>
      <c r="CRK41" s="260"/>
      <c r="CRL41" s="260"/>
      <c r="CRM41" s="260"/>
      <c r="CRN41" s="260"/>
      <c r="CRO41" s="260"/>
      <c r="CRP41" s="260"/>
      <c r="CRQ41" s="260"/>
      <c r="CRR41" s="260"/>
      <c r="CRS41" s="260"/>
      <c r="CRT41" s="260"/>
      <c r="CRU41" s="260"/>
      <c r="CRV41" s="260"/>
      <c r="CRW41" s="260"/>
      <c r="CRX41" s="260"/>
      <c r="CRY41" s="260"/>
      <c r="CRZ41" s="260"/>
      <c r="CSA41" s="260"/>
      <c r="CSB41" s="260"/>
      <c r="CSC41" s="260"/>
      <c r="CSD41" s="260"/>
      <c r="CSE41" s="260"/>
      <c r="CSF41" s="260"/>
      <c r="CSG41" s="260"/>
      <c r="CSH41" s="260"/>
      <c r="CSI41" s="260"/>
      <c r="CSJ41" s="260"/>
      <c r="CSK41" s="260"/>
      <c r="CSL41" s="260"/>
      <c r="CSM41" s="260"/>
      <c r="CSN41" s="260"/>
      <c r="CSO41" s="260"/>
      <c r="CSP41" s="260"/>
      <c r="CSQ41" s="260"/>
      <c r="CSR41" s="260"/>
      <c r="CSS41" s="260"/>
      <c r="CST41" s="260"/>
      <c r="CSU41" s="260"/>
      <c r="CSV41" s="260"/>
      <c r="CSW41" s="260"/>
      <c r="CSX41" s="260"/>
      <c r="CSY41" s="260"/>
      <c r="CSZ41" s="260"/>
      <c r="CTA41" s="260"/>
      <c r="CTB41" s="260"/>
      <c r="CTC41" s="260"/>
      <c r="CTD41" s="260"/>
      <c r="CTE41" s="260"/>
      <c r="CTF41" s="260"/>
      <c r="CTG41" s="260"/>
      <c r="CTH41" s="260"/>
      <c r="CTI41" s="260"/>
      <c r="CTJ41" s="260"/>
      <c r="CTK41" s="260"/>
      <c r="CTL41" s="260"/>
      <c r="CTM41" s="260"/>
      <c r="CTN41" s="260"/>
      <c r="CTO41" s="260"/>
      <c r="CTP41" s="260"/>
      <c r="CTQ41" s="260"/>
      <c r="CTR41" s="260"/>
      <c r="CTS41" s="260"/>
      <c r="CTT41" s="260"/>
      <c r="CTU41" s="260"/>
      <c r="CTV41" s="260"/>
      <c r="CTW41" s="260"/>
      <c r="CTX41" s="260"/>
      <c r="CTY41" s="260"/>
      <c r="CTZ41" s="260"/>
      <c r="CUA41" s="260"/>
      <c r="CUB41" s="260"/>
      <c r="CUC41" s="260"/>
      <c r="CUD41" s="260"/>
      <c r="CUE41" s="260"/>
      <c r="CUF41" s="260"/>
      <c r="CUG41" s="260"/>
      <c r="CUH41" s="260"/>
      <c r="CUI41" s="260"/>
      <c r="CUJ41" s="260"/>
      <c r="CUK41" s="260"/>
      <c r="CUL41" s="260"/>
      <c r="CUM41" s="260"/>
      <c r="CUN41" s="260"/>
      <c r="CUO41" s="260"/>
      <c r="CUP41" s="260"/>
      <c r="CUQ41" s="260"/>
      <c r="CUR41" s="260"/>
      <c r="CUS41" s="260"/>
      <c r="CUT41" s="260"/>
      <c r="CUU41" s="260"/>
      <c r="CUV41" s="260"/>
      <c r="CUW41" s="260"/>
      <c r="CUX41" s="260"/>
      <c r="CUY41" s="260"/>
      <c r="CUZ41" s="260"/>
      <c r="CVA41" s="260"/>
      <c r="CVB41" s="260"/>
      <c r="CVC41" s="260"/>
      <c r="CVD41" s="260"/>
      <c r="CVE41" s="260"/>
      <c r="CVF41" s="260"/>
      <c r="CVG41" s="260"/>
      <c r="CVH41" s="260"/>
      <c r="CVI41" s="260"/>
      <c r="CVJ41" s="260"/>
      <c r="CVK41" s="260"/>
      <c r="CVL41" s="260"/>
      <c r="CVM41" s="260"/>
      <c r="CVN41" s="260"/>
      <c r="CVO41" s="260"/>
      <c r="CVP41" s="260"/>
      <c r="CVQ41" s="260"/>
      <c r="CVR41" s="260"/>
      <c r="CVS41" s="260"/>
      <c r="CVT41" s="260"/>
      <c r="CVU41" s="260"/>
      <c r="CVV41" s="260"/>
      <c r="CVW41" s="260"/>
      <c r="CVX41" s="260"/>
      <c r="CVY41" s="260"/>
      <c r="CVZ41" s="260"/>
      <c r="CWA41" s="260"/>
      <c r="CWB41" s="260"/>
      <c r="CWC41" s="260"/>
      <c r="CWD41" s="260"/>
      <c r="CWE41" s="260"/>
      <c r="CWF41" s="260"/>
      <c r="CWG41" s="260"/>
      <c r="CWH41" s="260"/>
      <c r="CWI41" s="260"/>
      <c r="CWJ41" s="260"/>
      <c r="CWK41" s="260"/>
      <c r="CWL41" s="260"/>
      <c r="CWM41" s="260"/>
      <c r="CWN41" s="260"/>
      <c r="CWO41" s="260"/>
      <c r="CWP41" s="260"/>
      <c r="CWQ41" s="260"/>
      <c r="CWR41" s="260"/>
      <c r="CWS41" s="260"/>
      <c r="CWT41" s="260"/>
      <c r="CWU41" s="260"/>
      <c r="CWV41" s="260"/>
      <c r="CWW41" s="260"/>
      <c r="CWX41" s="260"/>
      <c r="CWY41" s="260"/>
      <c r="CWZ41" s="260"/>
      <c r="CXA41" s="260"/>
      <c r="CXB41" s="260"/>
      <c r="CXC41" s="260"/>
      <c r="CXD41" s="260"/>
      <c r="CXE41" s="260"/>
      <c r="CXF41" s="260"/>
      <c r="CXG41" s="260"/>
      <c r="CXH41" s="260"/>
      <c r="CXI41" s="260"/>
      <c r="CXJ41" s="260"/>
      <c r="CXK41" s="260"/>
      <c r="CXL41" s="260"/>
      <c r="CXM41" s="260"/>
      <c r="CXN41" s="260"/>
      <c r="CXO41" s="260"/>
      <c r="CXP41" s="260"/>
      <c r="CXQ41" s="260"/>
      <c r="CXR41" s="260"/>
      <c r="CXS41" s="260"/>
      <c r="CXT41" s="260"/>
      <c r="CXU41" s="260"/>
      <c r="CXV41" s="260"/>
      <c r="CXW41" s="260"/>
      <c r="CXX41" s="260"/>
      <c r="CXY41" s="260"/>
      <c r="CXZ41" s="260"/>
      <c r="CYA41" s="260"/>
      <c r="CYB41" s="260"/>
      <c r="CYC41" s="260"/>
      <c r="CYD41" s="260"/>
      <c r="CYE41" s="260"/>
      <c r="CYF41" s="260"/>
      <c r="CYG41" s="260"/>
      <c r="CYH41" s="260"/>
      <c r="CYI41" s="260"/>
      <c r="CYJ41" s="260"/>
      <c r="CYK41" s="260"/>
      <c r="CYL41" s="260"/>
      <c r="CYM41" s="260"/>
      <c r="CYN41" s="260"/>
      <c r="CYO41" s="260"/>
      <c r="CYP41" s="260"/>
      <c r="CYQ41" s="260"/>
      <c r="CYR41" s="260"/>
      <c r="CYS41" s="260"/>
      <c r="CYT41" s="260"/>
      <c r="CYU41" s="260"/>
      <c r="CYV41" s="260"/>
      <c r="CYW41" s="260"/>
      <c r="CYX41" s="260"/>
      <c r="CYY41" s="260"/>
      <c r="CYZ41" s="260"/>
      <c r="CZA41" s="260"/>
      <c r="CZB41" s="260"/>
      <c r="CZC41" s="260"/>
      <c r="CZD41" s="260"/>
      <c r="CZE41" s="260"/>
      <c r="CZF41" s="260"/>
      <c r="CZG41" s="260"/>
      <c r="CZH41" s="260"/>
      <c r="CZI41" s="260"/>
      <c r="CZJ41" s="260"/>
      <c r="CZK41" s="260"/>
      <c r="CZL41" s="260"/>
      <c r="CZM41" s="260"/>
      <c r="CZN41" s="260"/>
      <c r="CZO41" s="260"/>
      <c r="CZP41" s="260"/>
      <c r="CZQ41" s="260"/>
      <c r="CZR41" s="260"/>
      <c r="CZS41" s="260"/>
      <c r="CZT41" s="260"/>
      <c r="CZU41" s="260"/>
      <c r="CZV41" s="260"/>
      <c r="CZW41" s="260"/>
      <c r="CZX41" s="260"/>
      <c r="CZY41" s="260"/>
      <c r="CZZ41" s="260"/>
      <c r="DAA41" s="260"/>
      <c r="DAB41" s="260"/>
      <c r="DAC41" s="260"/>
      <c r="DAD41" s="260"/>
      <c r="DAE41" s="260"/>
      <c r="DAF41" s="260"/>
      <c r="DAG41" s="260"/>
      <c r="DAH41" s="260"/>
      <c r="DAI41" s="260"/>
      <c r="DAJ41" s="260"/>
      <c r="DAK41" s="260"/>
      <c r="DAL41" s="260"/>
      <c r="DAM41" s="260"/>
      <c r="DAN41" s="260"/>
      <c r="DAO41" s="260"/>
      <c r="DAP41" s="260"/>
      <c r="DAQ41" s="260"/>
      <c r="DAR41" s="260"/>
      <c r="DAS41" s="260"/>
      <c r="DAT41" s="260"/>
      <c r="DAU41" s="260"/>
      <c r="DAV41" s="260"/>
      <c r="DAW41" s="260"/>
      <c r="DAX41" s="260"/>
      <c r="DAY41" s="260"/>
      <c r="DAZ41" s="260"/>
      <c r="DBA41" s="260"/>
      <c r="DBB41" s="260"/>
      <c r="DBC41" s="260"/>
      <c r="DBD41" s="260"/>
      <c r="DBE41" s="260"/>
      <c r="DBF41" s="260"/>
      <c r="DBG41" s="260"/>
      <c r="DBH41" s="260"/>
      <c r="DBI41" s="260"/>
      <c r="DBJ41" s="260"/>
      <c r="DBK41" s="260"/>
      <c r="DBL41" s="260"/>
      <c r="DBM41" s="260"/>
      <c r="DBN41" s="260"/>
      <c r="DBO41" s="260"/>
      <c r="DBP41" s="260"/>
      <c r="DBQ41" s="260"/>
      <c r="DBR41" s="260"/>
      <c r="DBS41" s="260"/>
      <c r="DBT41" s="260"/>
      <c r="DBU41" s="260"/>
      <c r="DBV41" s="260"/>
      <c r="DBW41" s="260"/>
      <c r="DBX41" s="260"/>
      <c r="DBY41" s="260"/>
      <c r="DBZ41" s="260"/>
      <c r="DCA41" s="260"/>
      <c r="DCB41" s="260"/>
      <c r="DCC41" s="260"/>
      <c r="DCD41" s="260"/>
      <c r="DCE41" s="260"/>
      <c r="DCF41" s="260"/>
      <c r="DCG41" s="260"/>
      <c r="DCH41" s="260"/>
      <c r="DCI41" s="260"/>
      <c r="DCJ41" s="260"/>
      <c r="DCK41" s="260"/>
      <c r="DCL41" s="260"/>
      <c r="DCM41" s="260"/>
      <c r="DCN41" s="260"/>
      <c r="DCO41" s="260"/>
      <c r="DCP41" s="260"/>
      <c r="DCQ41" s="260"/>
      <c r="DCR41" s="260"/>
      <c r="DCS41" s="260"/>
      <c r="DCT41" s="260"/>
      <c r="DCU41" s="260"/>
      <c r="DCV41" s="260"/>
      <c r="DCW41" s="260"/>
      <c r="DCX41" s="260"/>
      <c r="DCY41" s="260"/>
      <c r="DCZ41" s="260"/>
      <c r="DDA41" s="260"/>
      <c r="DDB41" s="260"/>
      <c r="DDC41" s="260"/>
      <c r="DDD41" s="260"/>
      <c r="DDE41" s="260"/>
      <c r="DDF41" s="260"/>
      <c r="DDG41" s="260"/>
      <c r="DDH41" s="260"/>
      <c r="DDI41" s="260"/>
      <c r="DDJ41" s="260"/>
      <c r="DDK41" s="260"/>
      <c r="DDL41" s="260"/>
      <c r="DDM41" s="260"/>
      <c r="DDN41" s="260"/>
      <c r="DDO41" s="260"/>
      <c r="DDP41" s="260"/>
      <c r="DDQ41" s="260"/>
      <c r="DDR41" s="260"/>
      <c r="DDS41" s="260"/>
      <c r="DDT41" s="260"/>
      <c r="DDU41" s="260"/>
      <c r="DDV41" s="260"/>
      <c r="DDW41" s="260"/>
      <c r="DDX41" s="260"/>
      <c r="DDY41" s="260"/>
      <c r="DDZ41" s="260"/>
      <c r="DEA41" s="260"/>
      <c r="DEB41" s="260"/>
      <c r="DEC41" s="260"/>
      <c r="DED41" s="260"/>
      <c r="DEE41" s="260"/>
      <c r="DEF41" s="260"/>
      <c r="DEG41" s="260"/>
      <c r="DEH41" s="260"/>
      <c r="DEI41" s="260"/>
      <c r="DEJ41" s="260"/>
      <c r="DEK41" s="260"/>
      <c r="DEL41" s="260"/>
      <c r="DEM41" s="260"/>
      <c r="DEN41" s="260"/>
      <c r="DEO41" s="260"/>
      <c r="DEP41" s="260"/>
      <c r="DEQ41" s="260"/>
      <c r="DER41" s="260"/>
      <c r="DES41" s="260"/>
      <c r="DET41" s="260"/>
      <c r="DEU41" s="260"/>
      <c r="DEV41" s="260"/>
      <c r="DEW41" s="260"/>
      <c r="DEX41" s="260"/>
      <c r="DEY41" s="260"/>
      <c r="DEZ41" s="260"/>
      <c r="DFA41" s="260"/>
      <c r="DFB41" s="260"/>
      <c r="DFC41" s="260"/>
      <c r="DFD41" s="260"/>
      <c r="DFE41" s="260"/>
      <c r="DFF41" s="260"/>
      <c r="DFG41" s="260"/>
      <c r="DFH41" s="260"/>
      <c r="DFI41" s="260"/>
      <c r="DFJ41" s="260"/>
      <c r="DFK41" s="260"/>
      <c r="DFL41" s="260"/>
      <c r="DFM41" s="260"/>
      <c r="DFN41" s="260"/>
      <c r="DFO41" s="260"/>
      <c r="DFP41" s="260"/>
      <c r="DFQ41" s="260"/>
      <c r="DFR41" s="260"/>
      <c r="DFS41" s="260"/>
      <c r="DFT41" s="260"/>
      <c r="DFU41" s="260"/>
      <c r="DFV41" s="260"/>
      <c r="DFW41" s="260"/>
      <c r="DFX41" s="260"/>
      <c r="DFY41" s="260"/>
      <c r="DFZ41" s="260"/>
      <c r="DGA41" s="260"/>
      <c r="DGB41" s="260"/>
      <c r="DGC41" s="260"/>
      <c r="DGD41" s="260"/>
      <c r="DGE41" s="260"/>
      <c r="DGF41" s="260"/>
      <c r="DGG41" s="260"/>
      <c r="DGH41" s="260"/>
      <c r="DGI41" s="260"/>
      <c r="DGJ41" s="260"/>
      <c r="DGK41" s="260"/>
      <c r="DGL41" s="260"/>
      <c r="DGM41" s="260"/>
      <c r="DGN41" s="260"/>
      <c r="DGO41" s="260"/>
      <c r="DGP41" s="260"/>
      <c r="DGQ41" s="260"/>
      <c r="DGR41" s="260"/>
      <c r="DGS41" s="260"/>
      <c r="DGT41" s="260"/>
      <c r="DGU41" s="260"/>
      <c r="DGV41" s="260"/>
      <c r="DGW41" s="260"/>
      <c r="DGX41" s="260"/>
      <c r="DGY41" s="260"/>
      <c r="DGZ41" s="260"/>
      <c r="DHA41" s="260"/>
      <c r="DHB41" s="260"/>
      <c r="DHC41" s="260"/>
      <c r="DHD41" s="260"/>
      <c r="DHE41" s="260"/>
      <c r="DHF41" s="260"/>
      <c r="DHG41" s="260"/>
      <c r="DHH41" s="260"/>
      <c r="DHI41" s="260"/>
      <c r="DHJ41" s="260"/>
      <c r="DHK41" s="260"/>
      <c r="DHL41" s="260"/>
      <c r="DHM41" s="260"/>
      <c r="DHN41" s="260"/>
      <c r="DHO41" s="260"/>
      <c r="DHP41" s="260"/>
      <c r="DHQ41" s="260"/>
      <c r="DHR41" s="260"/>
      <c r="DHS41" s="260"/>
      <c r="DHT41" s="260"/>
      <c r="DHU41" s="260"/>
      <c r="DHV41" s="260"/>
      <c r="DHW41" s="260"/>
      <c r="DHX41" s="260"/>
      <c r="DHY41" s="260"/>
      <c r="DHZ41" s="260"/>
      <c r="DIA41" s="260"/>
      <c r="DIB41" s="260"/>
      <c r="DIC41" s="260"/>
      <c r="DID41" s="260"/>
      <c r="DIE41" s="260"/>
      <c r="DIF41" s="260"/>
      <c r="DIG41" s="260"/>
      <c r="DIH41" s="260"/>
      <c r="DII41" s="260"/>
      <c r="DIJ41" s="260"/>
      <c r="DIK41" s="260"/>
      <c r="DIL41" s="260"/>
      <c r="DIM41" s="260"/>
      <c r="DIN41" s="260"/>
      <c r="DIO41" s="260"/>
      <c r="DIP41" s="260"/>
      <c r="DIQ41" s="260"/>
      <c r="DIR41" s="260"/>
      <c r="DIS41" s="260"/>
      <c r="DIT41" s="260"/>
      <c r="DIU41" s="260"/>
      <c r="DIV41" s="260"/>
      <c r="DIW41" s="260"/>
      <c r="DIX41" s="260"/>
      <c r="DIY41" s="260"/>
      <c r="DIZ41" s="260"/>
      <c r="DJA41" s="260"/>
      <c r="DJB41" s="260"/>
      <c r="DJC41" s="260"/>
      <c r="DJD41" s="260"/>
      <c r="DJE41" s="260"/>
      <c r="DJF41" s="260"/>
      <c r="DJG41" s="260"/>
      <c r="DJH41" s="260"/>
      <c r="DJI41" s="260"/>
      <c r="DJJ41" s="260"/>
      <c r="DJK41" s="260"/>
      <c r="DJL41" s="260"/>
      <c r="DJM41" s="260"/>
      <c r="DJN41" s="260"/>
      <c r="DJO41" s="260"/>
      <c r="DJP41" s="260"/>
      <c r="DJQ41" s="260"/>
      <c r="DJR41" s="260"/>
      <c r="DJS41" s="260"/>
      <c r="DJT41" s="260"/>
      <c r="DJU41" s="260"/>
      <c r="DJV41" s="260"/>
      <c r="DJW41" s="260"/>
      <c r="DJX41" s="260"/>
      <c r="DJY41" s="260"/>
      <c r="DJZ41" s="260"/>
      <c r="DKA41" s="260"/>
      <c r="DKB41" s="260"/>
      <c r="DKC41" s="260"/>
      <c r="DKD41" s="260"/>
      <c r="DKE41" s="260"/>
      <c r="DKF41" s="260"/>
      <c r="DKG41" s="260"/>
      <c r="DKH41" s="260"/>
      <c r="DKI41" s="260"/>
      <c r="DKJ41" s="260"/>
      <c r="DKK41" s="260"/>
      <c r="DKL41" s="260"/>
      <c r="DKM41" s="260"/>
      <c r="DKN41" s="260"/>
      <c r="DKO41" s="260"/>
      <c r="DKP41" s="260"/>
      <c r="DKQ41" s="260"/>
      <c r="DKR41" s="260"/>
      <c r="DKS41" s="260"/>
      <c r="DKT41" s="260"/>
      <c r="DKU41" s="260"/>
      <c r="DKV41" s="260"/>
      <c r="DKW41" s="260"/>
      <c r="DKX41" s="260"/>
      <c r="DKY41" s="260"/>
      <c r="DKZ41" s="260"/>
      <c r="DLA41" s="260"/>
      <c r="DLB41" s="260"/>
      <c r="DLC41" s="260"/>
      <c r="DLD41" s="260"/>
      <c r="DLE41" s="260"/>
      <c r="DLF41" s="260"/>
      <c r="DLG41" s="260"/>
      <c r="DLH41" s="260"/>
      <c r="DLI41" s="260"/>
      <c r="DLJ41" s="260"/>
      <c r="DLK41" s="260"/>
      <c r="DLL41" s="260"/>
      <c r="DLM41" s="260"/>
      <c r="DLN41" s="260"/>
      <c r="DLO41" s="260"/>
      <c r="DLP41" s="260"/>
      <c r="DLQ41" s="260"/>
      <c r="DLR41" s="260"/>
      <c r="DLS41" s="260"/>
      <c r="DLT41" s="260"/>
      <c r="DLU41" s="260"/>
      <c r="DLV41" s="260"/>
      <c r="DLW41" s="260"/>
      <c r="DLX41" s="260"/>
      <c r="DLY41" s="260"/>
      <c r="DLZ41" s="260"/>
      <c r="DMA41" s="260"/>
      <c r="DMB41" s="260"/>
      <c r="DMC41" s="260"/>
      <c r="DMD41" s="260"/>
      <c r="DME41" s="260"/>
      <c r="DMF41" s="260"/>
      <c r="DMG41" s="260"/>
      <c r="DMH41" s="260"/>
      <c r="DMI41" s="260"/>
      <c r="DMJ41" s="260"/>
      <c r="DMK41" s="260"/>
      <c r="DML41" s="260"/>
      <c r="DMM41" s="260"/>
      <c r="DMN41" s="260"/>
      <c r="DMO41" s="260"/>
      <c r="DMP41" s="260"/>
      <c r="DMQ41" s="260"/>
      <c r="DMR41" s="260"/>
      <c r="DMS41" s="260"/>
      <c r="DMT41" s="260"/>
      <c r="DMU41" s="260"/>
      <c r="DMV41" s="260"/>
      <c r="DMW41" s="260"/>
      <c r="DMX41" s="260"/>
      <c r="DMY41" s="260"/>
      <c r="DMZ41" s="260"/>
      <c r="DNA41" s="260"/>
      <c r="DNB41" s="260"/>
      <c r="DNC41" s="260"/>
      <c r="DND41" s="260"/>
      <c r="DNE41" s="260"/>
      <c r="DNF41" s="260"/>
      <c r="DNG41" s="260"/>
      <c r="DNH41" s="260"/>
      <c r="DNI41" s="260"/>
      <c r="DNJ41" s="260"/>
      <c r="DNK41" s="260"/>
      <c r="DNL41" s="260"/>
      <c r="DNM41" s="260"/>
      <c r="DNN41" s="260"/>
      <c r="DNO41" s="260"/>
      <c r="DNP41" s="260"/>
      <c r="DNQ41" s="260"/>
      <c r="DNR41" s="260"/>
      <c r="DNS41" s="260"/>
      <c r="DNT41" s="260"/>
      <c r="DNU41" s="260"/>
      <c r="DNV41" s="260"/>
      <c r="DNW41" s="260"/>
      <c r="DNX41" s="260"/>
      <c r="DNY41" s="260"/>
      <c r="DNZ41" s="260"/>
      <c r="DOA41" s="260"/>
      <c r="DOB41" s="260"/>
      <c r="DOC41" s="260"/>
      <c r="DOD41" s="260"/>
      <c r="DOE41" s="260"/>
      <c r="DOF41" s="260"/>
      <c r="DOG41" s="260"/>
      <c r="DOH41" s="260"/>
      <c r="DOI41" s="260"/>
      <c r="DOJ41" s="260"/>
      <c r="DOK41" s="260"/>
      <c r="DOL41" s="260"/>
      <c r="DOM41" s="260"/>
      <c r="DON41" s="260"/>
      <c r="DOO41" s="260"/>
      <c r="DOP41" s="260"/>
      <c r="DOQ41" s="260"/>
      <c r="DOR41" s="260"/>
      <c r="DOS41" s="260"/>
      <c r="DOT41" s="260"/>
      <c r="DOU41" s="260"/>
      <c r="DOV41" s="260"/>
      <c r="DOW41" s="260"/>
      <c r="DOX41" s="260"/>
      <c r="DOY41" s="260"/>
      <c r="DOZ41" s="260"/>
      <c r="DPA41" s="260"/>
      <c r="DPB41" s="260"/>
      <c r="DPC41" s="260"/>
      <c r="DPD41" s="260"/>
      <c r="DPE41" s="260"/>
      <c r="DPF41" s="260"/>
      <c r="DPG41" s="260"/>
      <c r="DPH41" s="260"/>
      <c r="DPI41" s="260"/>
      <c r="DPJ41" s="260"/>
      <c r="DPK41" s="260"/>
      <c r="DPL41" s="260"/>
      <c r="DPM41" s="260"/>
      <c r="DPN41" s="260"/>
      <c r="DPO41" s="260"/>
      <c r="DPP41" s="260"/>
      <c r="DPQ41" s="260"/>
      <c r="DPR41" s="260"/>
      <c r="DPS41" s="260"/>
      <c r="DPT41" s="260"/>
      <c r="DPU41" s="260"/>
      <c r="DPV41" s="260"/>
      <c r="DPW41" s="260"/>
      <c r="DPX41" s="260"/>
      <c r="DPY41" s="260"/>
      <c r="DPZ41" s="260"/>
      <c r="DQA41" s="260"/>
      <c r="DQB41" s="260"/>
      <c r="DQC41" s="260"/>
      <c r="DQD41" s="260"/>
      <c r="DQE41" s="260"/>
      <c r="DQF41" s="260"/>
      <c r="DQG41" s="260"/>
      <c r="DQH41" s="260"/>
      <c r="DQI41" s="260"/>
      <c r="DQJ41" s="260"/>
      <c r="DQK41" s="260"/>
      <c r="DQL41" s="260"/>
      <c r="DQM41" s="260"/>
      <c r="DQN41" s="260"/>
      <c r="DQO41" s="260"/>
      <c r="DQP41" s="260"/>
      <c r="DQQ41" s="260"/>
      <c r="DQR41" s="260"/>
      <c r="DQS41" s="260"/>
      <c r="DQT41" s="260"/>
      <c r="DQU41" s="260"/>
      <c r="DQV41" s="260"/>
      <c r="DQW41" s="260"/>
      <c r="DQX41" s="260"/>
      <c r="DQY41" s="260"/>
      <c r="DQZ41" s="260"/>
      <c r="DRA41" s="260"/>
      <c r="DRB41" s="260"/>
      <c r="DRC41" s="260"/>
      <c r="DRD41" s="260"/>
      <c r="DRE41" s="260"/>
      <c r="DRF41" s="260"/>
      <c r="DRG41" s="260"/>
      <c r="DRH41" s="260"/>
      <c r="DRI41" s="260"/>
      <c r="DRJ41" s="260"/>
      <c r="DRK41" s="260"/>
      <c r="DRL41" s="260"/>
      <c r="DRM41" s="260"/>
      <c r="DRN41" s="260"/>
      <c r="DRO41" s="260"/>
      <c r="DRP41" s="260"/>
      <c r="DRQ41" s="260"/>
      <c r="DRR41" s="260"/>
      <c r="DRS41" s="260"/>
      <c r="DRT41" s="260"/>
      <c r="DRU41" s="260"/>
      <c r="DRV41" s="260"/>
      <c r="DRW41" s="260"/>
      <c r="DRX41" s="260"/>
      <c r="DRY41" s="260"/>
      <c r="DRZ41" s="260"/>
      <c r="DSA41" s="260"/>
      <c r="DSB41" s="260"/>
      <c r="DSC41" s="260"/>
      <c r="DSD41" s="260"/>
      <c r="DSE41" s="260"/>
      <c r="DSF41" s="260"/>
      <c r="DSG41" s="260"/>
      <c r="DSH41" s="260"/>
      <c r="DSI41" s="260"/>
      <c r="DSJ41" s="260"/>
      <c r="DSK41" s="260"/>
      <c r="DSL41" s="260"/>
      <c r="DSM41" s="260"/>
      <c r="DSN41" s="260"/>
      <c r="DSO41" s="260"/>
      <c r="DSP41" s="260"/>
      <c r="DSQ41" s="260"/>
      <c r="DSR41" s="260"/>
      <c r="DSS41" s="260"/>
      <c r="DST41" s="260"/>
      <c r="DSU41" s="260"/>
      <c r="DSV41" s="260"/>
      <c r="DSW41" s="260"/>
      <c r="DSX41" s="260"/>
      <c r="DSY41" s="260"/>
      <c r="DSZ41" s="260"/>
      <c r="DTA41" s="260"/>
      <c r="DTB41" s="260"/>
      <c r="DTC41" s="260"/>
      <c r="DTD41" s="260"/>
      <c r="DTE41" s="260"/>
      <c r="DTF41" s="260"/>
      <c r="DTG41" s="260"/>
      <c r="DTH41" s="260"/>
      <c r="DTI41" s="260"/>
      <c r="DTJ41" s="260"/>
      <c r="DTK41" s="260"/>
      <c r="DTL41" s="260"/>
      <c r="DTM41" s="260"/>
      <c r="DTN41" s="260"/>
      <c r="DTO41" s="260"/>
      <c r="DTP41" s="260"/>
      <c r="DTQ41" s="260"/>
      <c r="DTR41" s="260"/>
      <c r="DTS41" s="260"/>
      <c r="DTT41" s="260"/>
      <c r="DTU41" s="260"/>
      <c r="DTV41" s="260"/>
      <c r="DTW41" s="260"/>
      <c r="DTX41" s="260"/>
      <c r="DTY41" s="260"/>
      <c r="DTZ41" s="260"/>
      <c r="DUA41" s="260"/>
      <c r="DUB41" s="260"/>
      <c r="DUC41" s="260"/>
      <c r="DUD41" s="260"/>
      <c r="DUE41" s="260"/>
      <c r="DUF41" s="260"/>
      <c r="DUG41" s="260"/>
      <c r="DUH41" s="260"/>
      <c r="DUI41" s="260"/>
      <c r="DUJ41" s="260"/>
      <c r="DUK41" s="260"/>
      <c r="DUL41" s="260"/>
      <c r="DUM41" s="260"/>
      <c r="DUN41" s="260"/>
      <c r="DUO41" s="260"/>
      <c r="DUP41" s="260"/>
      <c r="DUQ41" s="260"/>
      <c r="DUR41" s="260"/>
      <c r="DUS41" s="260"/>
      <c r="DUT41" s="260"/>
      <c r="DUU41" s="260"/>
      <c r="DUV41" s="260"/>
      <c r="DUW41" s="260"/>
      <c r="DUX41" s="260"/>
      <c r="DUY41" s="260"/>
      <c r="DUZ41" s="260"/>
      <c r="DVA41" s="260"/>
      <c r="DVB41" s="260"/>
      <c r="DVC41" s="260"/>
      <c r="DVD41" s="260"/>
      <c r="DVE41" s="260"/>
      <c r="DVF41" s="260"/>
      <c r="DVG41" s="260"/>
      <c r="DVH41" s="260"/>
      <c r="DVI41" s="260"/>
      <c r="DVJ41" s="260"/>
      <c r="DVK41" s="260"/>
      <c r="DVL41" s="260"/>
      <c r="DVM41" s="260"/>
      <c r="DVN41" s="260"/>
      <c r="DVO41" s="260"/>
      <c r="DVP41" s="260"/>
      <c r="DVQ41" s="260"/>
      <c r="DVR41" s="260"/>
      <c r="DVS41" s="260"/>
      <c r="DVT41" s="260"/>
      <c r="DVU41" s="260"/>
      <c r="DVV41" s="260"/>
      <c r="DVW41" s="260"/>
      <c r="DVX41" s="260"/>
      <c r="DVY41" s="260"/>
      <c r="DVZ41" s="260"/>
      <c r="DWA41" s="260"/>
      <c r="DWB41" s="260"/>
      <c r="DWC41" s="260"/>
      <c r="DWD41" s="260"/>
      <c r="DWE41" s="260"/>
      <c r="DWF41" s="260"/>
      <c r="DWG41" s="260"/>
      <c r="DWH41" s="260"/>
      <c r="DWI41" s="260"/>
      <c r="DWJ41" s="260"/>
      <c r="DWK41" s="260"/>
      <c r="DWL41" s="260"/>
      <c r="DWM41" s="260"/>
      <c r="DWN41" s="260"/>
      <c r="DWO41" s="260"/>
      <c r="DWP41" s="260"/>
      <c r="DWQ41" s="260"/>
      <c r="DWR41" s="260"/>
      <c r="DWS41" s="260"/>
      <c r="DWT41" s="260"/>
      <c r="DWU41" s="260"/>
      <c r="DWV41" s="260"/>
      <c r="DWW41" s="260"/>
      <c r="DWX41" s="260"/>
      <c r="DWY41" s="260"/>
      <c r="DWZ41" s="260"/>
      <c r="DXA41" s="260"/>
      <c r="DXB41" s="260"/>
      <c r="DXC41" s="260"/>
      <c r="DXD41" s="260"/>
      <c r="DXE41" s="260"/>
      <c r="DXF41" s="260"/>
      <c r="DXG41" s="260"/>
      <c r="DXH41" s="260"/>
      <c r="DXI41" s="260"/>
      <c r="DXJ41" s="260"/>
      <c r="DXK41" s="260"/>
      <c r="DXL41" s="260"/>
      <c r="DXM41" s="260"/>
      <c r="DXN41" s="260"/>
      <c r="DXO41" s="260"/>
      <c r="DXP41" s="260"/>
      <c r="DXQ41" s="260"/>
      <c r="DXR41" s="260"/>
      <c r="DXS41" s="260"/>
      <c r="DXT41" s="260"/>
      <c r="DXU41" s="260"/>
      <c r="DXV41" s="260"/>
      <c r="DXW41" s="260"/>
      <c r="DXX41" s="260"/>
      <c r="DXY41" s="260"/>
      <c r="DXZ41" s="260"/>
      <c r="DYA41" s="260"/>
      <c r="DYB41" s="260"/>
      <c r="DYC41" s="260"/>
      <c r="DYD41" s="260"/>
      <c r="DYE41" s="260"/>
      <c r="DYF41" s="260"/>
      <c r="DYG41" s="260"/>
      <c r="DYH41" s="260"/>
      <c r="DYI41" s="260"/>
      <c r="DYJ41" s="260"/>
      <c r="DYK41" s="260"/>
      <c r="DYL41" s="260"/>
      <c r="DYM41" s="260"/>
      <c r="DYN41" s="260"/>
      <c r="DYO41" s="260"/>
      <c r="DYP41" s="260"/>
      <c r="DYQ41" s="260"/>
      <c r="DYR41" s="260"/>
      <c r="DYS41" s="260"/>
      <c r="DYT41" s="260"/>
      <c r="DYU41" s="260"/>
      <c r="DYV41" s="260"/>
      <c r="DYW41" s="260"/>
      <c r="DYX41" s="260"/>
      <c r="DYY41" s="260"/>
      <c r="DYZ41" s="260"/>
      <c r="DZA41" s="260"/>
      <c r="DZB41" s="260"/>
      <c r="DZC41" s="260"/>
      <c r="DZD41" s="260"/>
      <c r="DZE41" s="260"/>
      <c r="DZF41" s="260"/>
      <c r="DZG41" s="260"/>
      <c r="DZH41" s="260"/>
      <c r="DZI41" s="260"/>
      <c r="DZJ41" s="260"/>
      <c r="DZK41" s="260"/>
      <c r="DZL41" s="260"/>
      <c r="DZM41" s="260"/>
      <c r="DZN41" s="260"/>
      <c r="DZO41" s="260"/>
      <c r="DZP41" s="260"/>
      <c r="DZQ41" s="260"/>
      <c r="DZR41" s="260"/>
      <c r="DZS41" s="260"/>
      <c r="DZT41" s="260"/>
      <c r="DZU41" s="260"/>
      <c r="DZV41" s="260"/>
      <c r="DZW41" s="260"/>
      <c r="DZX41" s="260"/>
      <c r="DZY41" s="260"/>
      <c r="DZZ41" s="260"/>
      <c r="EAA41" s="260"/>
      <c r="EAB41" s="260"/>
      <c r="EAC41" s="260"/>
      <c r="EAD41" s="260"/>
      <c r="EAE41" s="260"/>
      <c r="EAF41" s="260"/>
      <c r="EAG41" s="260"/>
      <c r="EAH41" s="260"/>
      <c r="EAI41" s="260"/>
      <c r="EAJ41" s="260"/>
      <c r="EAK41" s="260"/>
      <c r="EAL41" s="260"/>
      <c r="EAM41" s="260"/>
      <c r="EAN41" s="260"/>
      <c r="EAO41" s="260"/>
      <c r="EAP41" s="260"/>
      <c r="EAQ41" s="260"/>
      <c r="EAR41" s="260"/>
      <c r="EAS41" s="260"/>
      <c r="EAT41" s="260"/>
      <c r="EAU41" s="260"/>
      <c r="EAV41" s="260"/>
      <c r="EAW41" s="260"/>
      <c r="EAX41" s="260"/>
      <c r="EAY41" s="260"/>
      <c r="EAZ41" s="260"/>
      <c r="EBA41" s="260"/>
      <c r="EBB41" s="260"/>
      <c r="EBC41" s="260"/>
      <c r="EBD41" s="260"/>
      <c r="EBE41" s="260"/>
      <c r="EBF41" s="260"/>
      <c r="EBG41" s="260"/>
      <c r="EBH41" s="260"/>
      <c r="EBI41" s="260"/>
      <c r="EBJ41" s="260"/>
      <c r="EBK41" s="260"/>
      <c r="EBL41" s="260"/>
      <c r="EBM41" s="260"/>
      <c r="EBN41" s="260"/>
      <c r="EBO41" s="260"/>
      <c r="EBP41" s="260"/>
      <c r="EBQ41" s="260"/>
      <c r="EBR41" s="260"/>
      <c r="EBS41" s="260"/>
      <c r="EBT41" s="260"/>
      <c r="EBU41" s="260"/>
      <c r="EBV41" s="260"/>
      <c r="EBW41" s="260"/>
      <c r="EBX41" s="260"/>
      <c r="EBY41" s="260"/>
      <c r="EBZ41" s="260"/>
      <c r="ECA41" s="260"/>
      <c r="ECB41" s="260"/>
      <c r="ECC41" s="260"/>
      <c r="ECD41" s="260"/>
      <c r="ECE41" s="260"/>
      <c r="ECF41" s="260"/>
      <c r="ECG41" s="260"/>
      <c r="ECH41" s="260"/>
      <c r="ECI41" s="260"/>
      <c r="ECJ41" s="260"/>
      <c r="ECK41" s="260"/>
      <c r="ECL41" s="260"/>
      <c r="ECM41" s="260"/>
      <c r="ECN41" s="260"/>
      <c r="ECO41" s="260"/>
      <c r="ECP41" s="260"/>
      <c r="ECQ41" s="260"/>
      <c r="ECR41" s="260"/>
      <c r="ECS41" s="260"/>
      <c r="ECT41" s="260"/>
      <c r="ECU41" s="260"/>
      <c r="ECV41" s="260"/>
      <c r="ECW41" s="260"/>
      <c r="ECX41" s="260"/>
      <c r="ECY41" s="260"/>
      <c r="ECZ41" s="260"/>
      <c r="EDA41" s="260"/>
      <c r="EDB41" s="260"/>
      <c r="EDC41" s="260"/>
      <c r="EDD41" s="260"/>
      <c r="EDE41" s="260"/>
      <c r="EDF41" s="260"/>
      <c r="EDG41" s="260"/>
      <c r="EDH41" s="260"/>
      <c r="EDI41" s="260"/>
      <c r="EDJ41" s="260"/>
      <c r="EDK41" s="260"/>
      <c r="EDL41" s="260"/>
      <c r="EDM41" s="260"/>
      <c r="EDN41" s="260"/>
      <c r="EDO41" s="260"/>
      <c r="EDP41" s="260"/>
      <c r="EDQ41" s="260"/>
      <c r="EDR41" s="260"/>
      <c r="EDS41" s="260"/>
      <c r="EDT41" s="260"/>
      <c r="EDU41" s="260"/>
      <c r="EDV41" s="260"/>
      <c r="EDW41" s="260"/>
      <c r="EDX41" s="260"/>
      <c r="EDY41" s="260"/>
      <c r="EDZ41" s="260"/>
      <c r="EEA41" s="260"/>
      <c r="EEB41" s="260"/>
      <c r="EEC41" s="260"/>
      <c r="EED41" s="260"/>
      <c r="EEE41" s="260"/>
      <c r="EEF41" s="260"/>
      <c r="EEG41" s="260"/>
      <c r="EEH41" s="260"/>
      <c r="EEI41" s="260"/>
      <c r="EEJ41" s="260"/>
      <c r="EEK41" s="260"/>
      <c r="EEL41" s="260"/>
      <c r="EEM41" s="260"/>
      <c r="EEN41" s="260"/>
      <c r="EEO41" s="260"/>
      <c r="EEP41" s="260"/>
      <c r="EEQ41" s="260"/>
      <c r="EER41" s="260"/>
      <c r="EES41" s="260"/>
      <c r="EET41" s="260"/>
      <c r="EEU41" s="260"/>
      <c r="EEV41" s="260"/>
      <c r="EEW41" s="260"/>
      <c r="EEX41" s="260"/>
      <c r="EEY41" s="260"/>
      <c r="EEZ41" s="260"/>
      <c r="EFA41" s="260"/>
      <c r="EFB41" s="260"/>
      <c r="EFC41" s="260"/>
      <c r="EFD41" s="260"/>
      <c r="EFE41" s="260"/>
      <c r="EFF41" s="260"/>
      <c r="EFG41" s="260"/>
      <c r="EFH41" s="260"/>
      <c r="EFI41" s="260"/>
      <c r="EFJ41" s="260"/>
      <c r="EFK41" s="260"/>
      <c r="EFL41" s="260"/>
      <c r="EFM41" s="260"/>
      <c r="EFN41" s="260"/>
      <c r="EFO41" s="260"/>
      <c r="EFP41" s="260"/>
      <c r="EFQ41" s="260"/>
      <c r="EFR41" s="260"/>
      <c r="EFS41" s="260"/>
      <c r="EFT41" s="260"/>
      <c r="EFU41" s="260"/>
      <c r="EFV41" s="260"/>
      <c r="EFW41" s="260"/>
      <c r="EFX41" s="260"/>
      <c r="EFY41" s="260"/>
      <c r="EFZ41" s="260"/>
      <c r="EGA41" s="260"/>
      <c r="EGB41" s="260"/>
      <c r="EGC41" s="260"/>
      <c r="EGD41" s="260"/>
      <c r="EGE41" s="260"/>
      <c r="EGF41" s="260"/>
      <c r="EGG41" s="260"/>
      <c r="EGH41" s="260"/>
      <c r="EGI41" s="260"/>
      <c r="EGJ41" s="260"/>
      <c r="EGK41" s="260"/>
      <c r="EGL41" s="260"/>
      <c r="EGM41" s="260"/>
      <c r="EGN41" s="260"/>
      <c r="EGO41" s="260"/>
      <c r="EGP41" s="260"/>
      <c r="EGQ41" s="260"/>
      <c r="EGR41" s="260"/>
      <c r="EGS41" s="260"/>
      <c r="EGT41" s="260"/>
      <c r="EGU41" s="260"/>
      <c r="EGV41" s="260"/>
      <c r="EGW41" s="260"/>
      <c r="EGX41" s="260"/>
      <c r="EGY41" s="260"/>
      <c r="EGZ41" s="260"/>
      <c r="EHA41" s="260"/>
      <c r="EHB41" s="260"/>
      <c r="EHC41" s="260"/>
      <c r="EHD41" s="260"/>
      <c r="EHE41" s="260"/>
      <c r="EHF41" s="260"/>
      <c r="EHG41" s="260"/>
      <c r="EHH41" s="260"/>
      <c r="EHI41" s="260"/>
      <c r="EHJ41" s="260"/>
      <c r="EHK41" s="260"/>
      <c r="EHL41" s="260"/>
      <c r="EHM41" s="260"/>
      <c r="EHN41" s="260"/>
      <c r="EHO41" s="260"/>
      <c r="EHP41" s="260"/>
      <c r="EHQ41" s="260"/>
      <c r="EHR41" s="260"/>
      <c r="EHS41" s="260"/>
      <c r="EHT41" s="260"/>
      <c r="EHU41" s="260"/>
      <c r="EHV41" s="260"/>
      <c r="EHW41" s="260"/>
      <c r="EHX41" s="260"/>
      <c r="EHY41" s="260"/>
      <c r="EHZ41" s="260"/>
      <c r="EIA41" s="260"/>
      <c r="EIB41" s="260"/>
      <c r="EIC41" s="260"/>
      <c r="EID41" s="260"/>
      <c r="EIE41" s="260"/>
      <c r="EIF41" s="260"/>
      <c r="EIG41" s="260"/>
      <c r="EIH41" s="260"/>
      <c r="EII41" s="260"/>
      <c r="EIJ41" s="260"/>
      <c r="EIK41" s="260"/>
      <c r="EIL41" s="260"/>
      <c r="EIM41" s="260"/>
      <c r="EIN41" s="260"/>
      <c r="EIO41" s="260"/>
      <c r="EIP41" s="260"/>
      <c r="EIQ41" s="260"/>
      <c r="EIR41" s="260"/>
      <c r="EIS41" s="260"/>
      <c r="EIT41" s="260"/>
      <c r="EIU41" s="260"/>
      <c r="EIV41" s="260"/>
      <c r="EIW41" s="260"/>
      <c r="EIX41" s="260"/>
      <c r="EIY41" s="260"/>
      <c r="EIZ41" s="260"/>
      <c r="EJA41" s="260"/>
      <c r="EJB41" s="260"/>
      <c r="EJC41" s="260"/>
      <c r="EJD41" s="260"/>
      <c r="EJE41" s="260"/>
      <c r="EJF41" s="260"/>
      <c r="EJG41" s="260"/>
      <c r="EJH41" s="260"/>
      <c r="EJI41" s="260"/>
      <c r="EJJ41" s="260"/>
      <c r="EJK41" s="260"/>
      <c r="EJL41" s="260"/>
      <c r="EJM41" s="260"/>
      <c r="EJN41" s="260"/>
      <c r="EJO41" s="260"/>
      <c r="EJP41" s="260"/>
      <c r="EJQ41" s="260"/>
      <c r="EJR41" s="260"/>
      <c r="EJS41" s="260"/>
      <c r="EJT41" s="260"/>
      <c r="EJU41" s="260"/>
      <c r="EJV41" s="260"/>
      <c r="EJW41" s="260"/>
      <c r="EJX41" s="260"/>
      <c r="EJY41" s="260"/>
      <c r="EJZ41" s="260"/>
      <c r="EKA41" s="260"/>
      <c r="EKB41" s="260"/>
      <c r="EKC41" s="260"/>
      <c r="EKD41" s="260"/>
      <c r="EKE41" s="260"/>
      <c r="EKF41" s="260"/>
      <c r="EKG41" s="260"/>
      <c r="EKH41" s="260"/>
      <c r="EKI41" s="260"/>
      <c r="EKJ41" s="260"/>
      <c r="EKK41" s="260"/>
      <c r="EKL41" s="260"/>
      <c r="EKM41" s="260"/>
      <c r="EKN41" s="260"/>
      <c r="EKO41" s="260"/>
      <c r="EKP41" s="260"/>
      <c r="EKQ41" s="260"/>
      <c r="EKR41" s="260"/>
      <c r="EKS41" s="260"/>
      <c r="EKT41" s="260"/>
      <c r="EKU41" s="260"/>
      <c r="EKV41" s="260"/>
      <c r="EKW41" s="260"/>
      <c r="EKX41" s="260"/>
      <c r="EKY41" s="260"/>
      <c r="EKZ41" s="260"/>
      <c r="ELA41" s="260"/>
      <c r="ELB41" s="260"/>
      <c r="ELC41" s="260"/>
      <c r="ELD41" s="260"/>
      <c r="ELE41" s="260"/>
      <c r="ELF41" s="260"/>
      <c r="ELG41" s="260"/>
      <c r="ELH41" s="260"/>
      <c r="ELI41" s="260"/>
      <c r="ELJ41" s="260"/>
      <c r="ELK41" s="260"/>
      <c r="ELL41" s="260"/>
      <c r="ELM41" s="260"/>
      <c r="ELN41" s="260"/>
      <c r="ELO41" s="260"/>
      <c r="ELP41" s="260"/>
      <c r="ELQ41" s="260"/>
      <c r="ELR41" s="260"/>
      <c r="ELS41" s="260"/>
      <c r="ELT41" s="260"/>
      <c r="ELU41" s="260"/>
      <c r="ELV41" s="260"/>
      <c r="ELW41" s="260"/>
      <c r="ELX41" s="260"/>
      <c r="ELY41" s="260"/>
      <c r="ELZ41" s="260"/>
      <c r="EMA41" s="260"/>
      <c r="EMB41" s="260"/>
      <c r="EMC41" s="260"/>
      <c r="EMD41" s="260"/>
      <c r="EME41" s="260"/>
      <c r="EMF41" s="260"/>
      <c r="EMG41" s="260"/>
      <c r="EMH41" s="260"/>
      <c r="EMI41" s="260"/>
      <c r="EMJ41" s="260"/>
      <c r="EMK41" s="260"/>
      <c r="EML41" s="260"/>
      <c r="EMM41" s="260"/>
      <c r="EMN41" s="260"/>
      <c r="EMO41" s="260"/>
      <c r="EMP41" s="260"/>
      <c r="EMQ41" s="260"/>
      <c r="EMR41" s="260"/>
      <c r="EMS41" s="260"/>
      <c r="EMT41" s="260"/>
      <c r="EMU41" s="260"/>
      <c r="EMV41" s="260"/>
      <c r="EMW41" s="260"/>
      <c r="EMX41" s="260"/>
      <c r="EMY41" s="260"/>
      <c r="EMZ41" s="260"/>
      <c r="ENA41" s="260"/>
      <c r="ENB41" s="260"/>
      <c r="ENC41" s="260"/>
      <c r="END41" s="260"/>
      <c r="ENE41" s="260"/>
      <c r="ENF41" s="260"/>
      <c r="ENG41" s="260"/>
      <c r="ENH41" s="260"/>
      <c r="ENI41" s="260"/>
      <c r="ENJ41" s="260"/>
      <c r="ENK41" s="260"/>
      <c r="ENL41" s="260"/>
      <c r="ENM41" s="260"/>
      <c r="ENN41" s="260"/>
      <c r="ENO41" s="260"/>
      <c r="ENP41" s="260"/>
      <c r="ENQ41" s="260"/>
      <c r="ENR41" s="260"/>
      <c r="ENS41" s="260"/>
      <c r="ENT41" s="260"/>
      <c r="ENU41" s="260"/>
      <c r="ENV41" s="260"/>
      <c r="ENW41" s="260"/>
      <c r="ENX41" s="260"/>
      <c r="ENY41" s="260"/>
      <c r="ENZ41" s="260"/>
      <c r="EOA41" s="260"/>
      <c r="EOB41" s="260"/>
      <c r="EOC41" s="260"/>
      <c r="EOD41" s="260"/>
      <c r="EOE41" s="260"/>
      <c r="EOF41" s="260"/>
      <c r="EOG41" s="260"/>
      <c r="EOH41" s="260"/>
      <c r="EOI41" s="260"/>
      <c r="EOJ41" s="260"/>
      <c r="EOK41" s="260"/>
      <c r="EOL41" s="260"/>
      <c r="EOM41" s="260"/>
      <c r="EON41" s="260"/>
      <c r="EOO41" s="260"/>
      <c r="EOP41" s="260"/>
      <c r="EOQ41" s="260"/>
      <c r="EOR41" s="260"/>
      <c r="EOS41" s="260"/>
      <c r="EOT41" s="260"/>
      <c r="EOU41" s="260"/>
      <c r="EOV41" s="260"/>
      <c r="EOW41" s="260"/>
      <c r="EOX41" s="260"/>
      <c r="EOY41" s="260"/>
      <c r="EOZ41" s="260"/>
      <c r="EPA41" s="260"/>
      <c r="EPB41" s="260"/>
      <c r="EPC41" s="260"/>
      <c r="EPD41" s="260"/>
      <c r="EPE41" s="260"/>
      <c r="EPF41" s="260"/>
      <c r="EPG41" s="260"/>
      <c r="EPH41" s="260"/>
      <c r="EPI41" s="260"/>
      <c r="EPJ41" s="260"/>
      <c r="EPK41" s="260"/>
      <c r="EPL41" s="260"/>
      <c r="EPM41" s="260"/>
      <c r="EPN41" s="260"/>
      <c r="EPO41" s="260"/>
      <c r="EPP41" s="260"/>
      <c r="EPQ41" s="260"/>
      <c r="EPR41" s="260"/>
      <c r="EPS41" s="260"/>
      <c r="EPT41" s="260"/>
      <c r="EPU41" s="260"/>
      <c r="EPV41" s="260"/>
      <c r="EPW41" s="260"/>
      <c r="EPX41" s="260"/>
      <c r="EPY41" s="260"/>
      <c r="EPZ41" s="260"/>
      <c r="EQA41" s="260"/>
      <c r="EQB41" s="260"/>
      <c r="EQC41" s="260"/>
      <c r="EQD41" s="260"/>
      <c r="EQE41" s="260"/>
      <c r="EQF41" s="260"/>
      <c r="EQG41" s="260"/>
      <c r="EQH41" s="260"/>
      <c r="EQI41" s="260"/>
      <c r="EQJ41" s="260"/>
      <c r="EQK41" s="260"/>
      <c r="EQL41" s="260"/>
      <c r="EQM41" s="260"/>
      <c r="EQN41" s="260"/>
      <c r="EQO41" s="260"/>
      <c r="EQP41" s="260"/>
      <c r="EQQ41" s="260"/>
      <c r="EQR41" s="260"/>
      <c r="EQS41" s="260"/>
      <c r="EQT41" s="260"/>
      <c r="EQU41" s="260"/>
      <c r="EQV41" s="260"/>
      <c r="EQW41" s="260"/>
      <c r="EQX41" s="260"/>
      <c r="EQY41" s="260"/>
      <c r="EQZ41" s="260"/>
      <c r="ERA41" s="260"/>
      <c r="ERB41" s="260"/>
      <c r="ERC41" s="260"/>
      <c r="ERD41" s="260"/>
      <c r="ERE41" s="260"/>
      <c r="ERF41" s="260"/>
      <c r="ERG41" s="260"/>
      <c r="ERH41" s="260"/>
      <c r="ERI41" s="260"/>
      <c r="ERJ41" s="260"/>
      <c r="ERK41" s="260"/>
      <c r="ERL41" s="260"/>
      <c r="ERM41" s="260"/>
      <c r="ERN41" s="260"/>
      <c r="ERO41" s="260"/>
      <c r="ERP41" s="260"/>
      <c r="ERQ41" s="260"/>
      <c r="ERR41" s="260"/>
      <c r="ERS41" s="260"/>
      <c r="ERT41" s="260"/>
      <c r="ERU41" s="260"/>
      <c r="ERV41" s="260"/>
      <c r="ERW41" s="260"/>
      <c r="ERX41" s="260"/>
      <c r="ERY41" s="260"/>
      <c r="ERZ41" s="260"/>
      <c r="ESA41" s="260"/>
      <c r="ESB41" s="260"/>
      <c r="ESC41" s="260"/>
      <c r="ESD41" s="260"/>
      <c r="ESE41" s="260"/>
      <c r="ESF41" s="260"/>
      <c r="ESG41" s="260"/>
      <c r="ESH41" s="260"/>
      <c r="ESI41" s="260"/>
      <c r="ESJ41" s="260"/>
      <c r="ESK41" s="260"/>
      <c r="ESL41" s="260"/>
      <c r="ESM41" s="260"/>
      <c r="ESN41" s="260"/>
      <c r="ESO41" s="260"/>
      <c r="ESP41" s="260"/>
      <c r="ESQ41" s="260"/>
      <c r="ESR41" s="260"/>
      <c r="ESS41" s="260"/>
      <c r="EST41" s="260"/>
      <c r="ESU41" s="260"/>
      <c r="ESV41" s="260"/>
      <c r="ESW41" s="260"/>
      <c r="ESX41" s="260"/>
      <c r="ESY41" s="260"/>
      <c r="ESZ41" s="260"/>
      <c r="ETA41" s="260"/>
      <c r="ETB41" s="260"/>
      <c r="ETC41" s="260"/>
      <c r="ETD41" s="260"/>
      <c r="ETE41" s="260"/>
      <c r="ETF41" s="260"/>
      <c r="ETG41" s="260"/>
      <c r="ETH41" s="260"/>
      <c r="ETI41" s="260"/>
      <c r="ETJ41" s="260"/>
      <c r="ETK41" s="260"/>
      <c r="ETL41" s="260"/>
      <c r="ETM41" s="260"/>
      <c r="ETN41" s="260"/>
      <c r="ETO41" s="260"/>
      <c r="ETP41" s="260"/>
      <c r="ETQ41" s="260"/>
      <c r="ETR41" s="260"/>
      <c r="ETS41" s="260"/>
      <c r="ETT41" s="260"/>
      <c r="ETU41" s="260"/>
      <c r="ETV41" s="260"/>
      <c r="ETW41" s="260"/>
      <c r="ETX41" s="260"/>
      <c r="ETY41" s="260"/>
      <c r="ETZ41" s="260"/>
      <c r="EUA41" s="260"/>
      <c r="EUB41" s="260"/>
      <c r="EUC41" s="260"/>
      <c r="EUD41" s="260"/>
      <c r="EUE41" s="260"/>
      <c r="EUF41" s="260"/>
      <c r="EUG41" s="260"/>
      <c r="EUH41" s="260"/>
      <c r="EUI41" s="260"/>
      <c r="EUJ41" s="260"/>
      <c r="EUK41" s="260"/>
      <c r="EUL41" s="260"/>
      <c r="EUM41" s="260"/>
      <c r="EUN41" s="260"/>
      <c r="EUO41" s="260"/>
      <c r="EUP41" s="260"/>
      <c r="EUQ41" s="260"/>
      <c r="EUR41" s="260"/>
      <c r="EUS41" s="260"/>
      <c r="EUT41" s="260"/>
      <c r="EUU41" s="260"/>
      <c r="EUV41" s="260"/>
      <c r="EUW41" s="260"/>
      <c r="EUX41" s="260"/>
      <c r="EUY41" s="260"/>
      <c r="EUZ41" s="260"/>
      <c r="EVA41" s="260"/>
      <c r="EVB41" s="260"/>
      <c r="EVC41" s="260"/>
      <c r="EVD41" s="260"/>
      <c r="EVE41" s="260"/>
      <c r="EVF41" s="260"/>
      <c r="EVG41" s="260"/>
      <c r="EVH41" s="260"/>
      <c r="EVI41" s="260"/>
      <c r="EVJ41" s="260"/>
      <c r="EVK41" s="260"/>
      <c r="EVL41" s="260"/>
      <c r="EVM41" s="260"/>
      <c r="EVN41" s="260"/>
      <c r="EVO41" s="260"/>
      <c r="EVP41" s="260"/>
      <c r="EVQ41" s="260"/>
      <c r="EVR41" s="260"/>
      <c r="EVS41" s="260"/>
      <c r="EVT41" s="260"/>
      <c r="EVU41" s="260"/>
      <c r="EVV41" s="260"/>
      <c r="EVW41" s="260"/>
      <c r="EVX41" s="260"/>
      <c r="EVY41" s="260"/>
      <c r="EVZ41" s="260"/>
      <c r="EWA41" s="260"/>
      <c r="EWB41" s="260"/>
      <c r="EWC41" s="260"/>
      <c r="EWD41" s="260"/>
      <c r="EWE41" s="260"/>
      <c r="EWF41" s="260"/>
      <c r="EWG41" s="260"/>
      <c r="EWH41" s="260"/>
      <c r="EWI41" s="260"/>
      <c r="EWJ41" s="260"/>
      <c r="EWK41" s="260"/>
      <c r="EWL41" s="260"/>
      <c r="EWM41" s="260"/>
      <c r="EWN41" s="260"/>
      <c r="EWO41" s="260"/>
      <c r="EWP41" s="260"/>
      <c r="EWQ41" s="260"/>
      <c r="EWR41" s="260"/>
      <c r="EWS41" s="260"/>
      <c r="EWT41" s="260"/>
      <c r="EWU41" s="260"/>
      <c r="EWV41" s="260"/>
      <c r="EWW41" s="260"/>
      <c r="EWX41" s="260"/>
      <c r="EWY41" s="260"/>
      <c r="EWZ41" s="260"/>
      <c r="EXA41" s="260"/>
      <c r="EXB41" s="260"/>
      <c r="EXC41" s="260"/>
      <c r="EXD41" s="260"/>
      <c r="EXE41" s="260"/>
      <c r="EXF41" s="260"/>
      <c r="EXG41" s="260"/>
      <c r="EXH41" s="260"/>
      <c r="EXI41" s="260"/>
      <c r="EXJ41" s="260"/>
      <c r="EXK41" s="260"/>
      <c r="EXL41" s="260"/>
      <c r="EXM41" s="260"/>
      <c r="EXN41" s="260"/>
      <c r="EXO41" s="260"/>
      <c r="EXP41" s="260"/>
      <c r="EXQ41" s="260"/>
      <c r="EXR41" s="260"/>
      <c r="EXS41" s="260"/>
      <c r="EXT41" s="260"/>
      <c r="EXU41" s="260"/>
      <c r="EXV41" s="260"/>
      <c r="EXW41" s="260"/>
      <c r="EXX41" s="260"/>
      <c r="EXY41" s="260"/>
      <c r="EXZ41" s="260"/>
      <c r="EYA41" s="260"/>
      <c r="EYB41" s="260"/>
      <c r="EYC41" s="260"/>
      <c r="EYD41" s="260"/>
      <c r="EYE41" s="260"/>
      <c r="EYF41" s="260"/>
      <c r="EYG41" s="260"/>
      <c r="EYH41" s="260"/>
      <c r="EYI41" s="260"/>
      <c r="EYJ41" s="260"/>
      <c r="EYK41" s="260"/>
      <c r="EYL41" s="260"/>
      <c r="EYM41" s="260"/>
      <c r="EYN41" s="260"/>
      <c r="EYO41" s="260"/>
      <c r="EYP41" s="260"/>
      <c r="EYQ41" s="260"/>
      <c r="EYR41" s="260"/>
      <c r="EYS41" s="260"/>
      <c r="EYT41" s="260"/>
      <c r="EYU41" s="260"/>
      <c r="EYV41" s="260"/>
      <c r="EYW41" s="260"/>
      <c r="EYX41" s="260"/>
      <c r="EYY41" s="260"/>
      <c r="EYZ41" s="260"/>
      <c r="EZA41" s="260"/>
      <c r="EZB41" s="260"/>
      <c r="EZC41" s="260"/>
      <c r="EZD41" s="260"/>
      <c r="EZE41" s="260"/>
      <c r="EZF41" s="260"/>
      <c r="EZG41" s="260"/>
      <c r="EZH41" s="260"/>
      <c r="EZI41" s="260"/>
      <c r="EZJ41" s="260"/>
      <c r="EZK41" s="260"/>
      <c r="EZL41" s="260"/>
      <c r="EZM41" s="260"/>
      <c r="EZN41" s="260"/>
      <c r="EZO41" s="260"/>
      <c r="EZP41" s="260"/>
      <c r="EZQ41" s="260"/>
      <c r="EZR41" s="260"/>
      <c r="EZS41" s="260"/>
      <c r="EZT41" s="260"/>
      <c r="EZU41" s="260"/>
      <c r="EZV41" s="260"/>
      <c r="EZW41" s="260"/>
      <c r="EZX41" s="260"/>
      <c r="EZY41" s="260"/>
      <c r="EZZ41" s="260"/>
      <c r="FAA41" s="260"/>
      <c r="FAB41" s="260"/>
      <c r="FAC41" s="260"/>
      <c r="FAD41" s="260"/>
      <c r="FAE41" s="260"/>
      <c r="FAF41" s="260"/>
      <c r="FAG41" s="260"/>
      <c r="FAH41" s="260"/>
      <c r="FAI41" s="260"/>
      <c r="FAJ41" s="260"/>
      <c r="FAK41" s="260"/>
      <c r="FAL41" s="260"/>
      <c r="FAM41" s="260"/>
      <c r="FAN41" s="260"/>
      <c r="FAO41" s="260"/>
      <c r="FAP41" s="260"/>
      <c r="FAQ41" s="260"/>
      <c r="FAR41" s="260"/>
      <c r="FAS41" s="260"/>
      <c r="FAT41" s="260"/>
      <c r="FAU41" s="260"/>
      <c r="FAV41" s="260"/>
      <c r="FAW41" s="260"/>
      <c r="FAX41" s="260"/>
      <c r="FAY41" s="260"/>
      <c r="FAZ41" s="260"/>
      <c r="FBA41" s="260"/>
      <c r="FBB41" s="260"/>
      <c r="FBC41" s="260"/>
      <c r="FBD41" s="260"/>
      <c r="FBE41" s="260"/>
      <c r="FBF41" s="260"/>
      <c r="FBG41" s="260"/>
      <c r="FBH41" s="260"/>
      <c r="FBI41" s="260"/>
      <c r="FBJ41" s="260"/>
      <c r="FBK41" s="260"/>
      <c r="FBL41" s="260"/>
      <c r="FBM41" s="260"/>
      <c r="FBN41" s="260"/>
      <c r="FBO41" s="260"/>
      <c r="FBP41" s="260"/>
      <c r="FBQ41" s="260"/>
      <c r="FBR41" s="260"/>
      <c r="FBS41" s="260"/>
      <c r="FBT41" s="260"/>
      <c r="FBU41" s="260"/>
      <c r="FBV41" s="260"/>
      <c r="FBW41" s="260"/>
      <c r="FBX41" s="260"/>
      <c r="FBY41" s="260"/>
      <c r="FBZ41" s="260"/>
      <c r="FCA41" s="260"/>
      <c r="FCB41" s="260"/>
      <c r="FCC41" s="260"/>
      <c r="FCD41" s="260"/>
      <c r="FCE41" s="260"/>
      <c r="FCF41" s="260"/>
      <c r="FCG41" s="260"/>
      <c r="FCH41" s="260"/>
      <c r="FCI41" s="260"/>
      <c r="FCJ41" s="260"/>
      <c r="FCK41" s="260"/>
      <c r="FCL41" s="260"/>
      <c r="FCM41" s="260"/>
      <c r="FCN41" s="260"/>
      <c r="FCO41" s="260"/>
      <c r="FCP41" s="260"/>
      <c r="FCQ41" s="260"/>
      <c r="FCR41" s="260"/>
      <c r="FCS41" s="260"/>
      <c r="FCT41" s="260"/>
      <c r="FCU41" s="260"/>
      <c r="FCV41" s="260"/>
      <c r="FCW41" s="260"/>
      <c r="FCX41" s="260"/>
      <c r="FCY41" s="260"/>
      <c r="FCZ41" s="260"/>
      <c r="FDA41" s="260"/>
      <c r="FDB41" s="260"/>
      <c r="FDC41" s="260"/>
      <c r="FDD41" s="260"/>
      <c r="FDE41" s="260"/>
      <c r="FDF41" s="260"/>
      <c r="FDG41" s="260"/>
      <c r="FDH41" s="260"/>
      <c r="FDI41" s="260"/>
      <c r="FDJ41" s="260"/>
      <c r="FDK41" s="260"/>
      <c r="FDL41" s="260"/>
      <c r="FDM41" s="260"/>
      <c r="FDN41" s="260"/>
      <c r="FDO41" s="260"/>
      <c r="FDP41" s="260"/>
      <c r="FDQ41" s="260"/>
      <c r="FDR41" s="260"/>
      <c r="FDS41" s="260"/>
      <c r="FDT41" s="260"/>
      <c r="FDU41" s="260"/>
      <c r="FDV41" s="260"/>
      <c r="FDW41" s="260"/>
      <c r="FDX41" s="260"/>
      <c r="FDY41" s="260"/>
      <c r="FDZ41" s="260"/>
      <c r="FEA41" s="260"/>
      <c r="FEB41" s="260"/>
      <c r="FEC41" s="260"/>
      <c r="FED41" s="260"/>
      <c r="FEE41" s="260"/>
      <c r="FEF41" s="260"/>
      <c r="FEG41" s="260"/>
      <c r="FEH41" s="260"/>
      <c r="FEI41" s="260"/>
      <c r="FEJ41" s="260"/>
      <c r="FEK41" s="260"/>
      <c r="FEL41" s="260"/>
      <c r="FEM41" s="260"/>
      <c r="FEN41" s="260"/>
      <c r="FEO41" s="260"/>
      <c r="FEP41" s="260"/>
      <c r="FEQ41" s="260"/>
      <c r="FER41" s="260"/>
      <c r="FES41" s="260"/>
      <c r="FET41" s="260"/>
      <c r="FEU41" s="260"/>
      <c r="FEV41" s="260"/>
      <c r="FEW41" s="260"/>
      <c r="FEX41" s="260"/>
      <c r="FEY41" s="260"/>
      <c r="FEZ41" s="260"/>
      <c r="FFA41" s="260"/>
      <c r="FFB41" s="260"/>
      <c r="FFC41" s="260"/>
      <c r="FFD41" s="260"/>
      <c r="FFE41" s="260"/>
      <c r="FFF41" s="260"/>
      <c r="FFG41" s="260"/>
      <c r="FFH41" s="260"/>
      <c r="FFI41" s="260"/>
      <c r="FFJ41" s="260"/>
      <c r="FFK41" s="260"/>
      <c r="FFL41" s="260"/>
      <c r="FFM41" s="260"/>
      <c r="FFN41" s="260"/>
      <c r="FFO41" s="260"/>
      <c r="FFP41" s="260"/>
      <c r="FFQ41" s="260"/>
      <c r="FFR41" s="260"/>
      <c r="FFS41" s="260"/>
      <c r="FFT41" s="260"/>
      <c r="FFU41" s="260"/>
      <c r="FFV41" s="260"/>
      <c r="FFW41" s="260"/>
      <c r="FFX41" s="260"/>
      <c r="FFY41" s="260"/>
      <c r="FFZ41" s="260"/>
      <c r="FGA41" s="260"/>
      <c r="FGB41" s="260"/>
      <c r="FGC41" s="260"/>
      <c r="FGD41" s="260"/>
      <c r="FGE41" s="260"/>
      <c r="FGF41" s="260"/>
      <c r="FGG41" s="260"/>
      <c r="FGH41" s="260"/>
      <c r="FGI41" s="260"/>
      <c r="FGJ41" s="260"/>
      <c r="FGK41" s="260"/>
      <c r="FGL41" s="260"/>
      <c r="FGM41" s="260"/>
      <c r="FGN41" s="260"/>
      <c r="FGO41" s="260"/>
      <c r="FGP41" s="260"/>
      <c r="FGQ41" s="260"/>
      <c r="FGR41" s="260"/>
      <c r="FGS41" s="260"/>
      <c r="FGT41" s="260"/>
      <c r="FGU41" s="260"/>
      <c r="FGV41" s="260"/>
      <c r="FGW41" s="260"/>
      <c r="FGX41" s="260"/>
      <c r="FGY41" s="260"/>
      <c r="FGZ41" s="260"/>
      <c r="FHA41" s="260"/>
      <c r="FHB41" s="260"/>
      <c r="FHC41" s="260"/>
      <c r="FHD41" s="260"/>
      <c r="FHE41" s="260"/>
      <c r="FHF41" s="260"/>
      <c r="FHG41" s="260"/>
      <c r="FHH41" s="260"/>
      <c r="FHI41" s="260"/>
      <c r="FHJ41" s="260"/>
      <c r="FHK41" s="260"/>
      <c r="FHL41" s="260"/>
      <c r="FHM41" s="260"/>
      <c r="FHN41" s="260"/>
      <c r="FHO41" s="260"/>
      <c r="FHP41" s="260"/>
      <c r="FHQ41" s="260"/>
      <c r="FHR41" s="260"/>
      <c r="FHS41" s="260"/>
      <c r="FHT41" s="260"/>
      <c r="FHU41" s="260"/>
      <c r="FHV41" s="260"/>
      <c r="FHW41" s="260"/>
      <c r="FHX41" s="260"/>
      <c r="FHY41" s="260"/>
      <c r="FHZ41" s="260"/>
      <c r="FIA41" s="260"/>
      <c r="FIB41" s="260"/>
      <c r="FIC41" s="260"/>
      <c r="FID41" s="260"/>
      <c r="FIE41" s="260"/>
      <c r="FIF41" s="260"/>
      <c r="FIG41" s="260"/>
      <c r="FIH41" s="260"/>
      <c r="FII41" s="260"/>
      <c r="FIJ41" s="260"/>
      <c r="FIK41" s="260"/>
      <c r="FIL41" s="260"/>
      <c r="FIM41" s="260"/>
      <c r="FIN41" s="260"/>
      <c r="FIO41" s="260"/>
      <c r="FIP41" s="260"/>
      <c r="FIQ41" s="260"/>
      <c r="FIR41" s="260"/>
      <c r="FIS41" s="260"/>
      <c r="FIT41" s="260"/>
      <c r="FIU41" s="260"/>
      <c r="FIV41" s="260"/>
      <c r="FIW41" s="260"/>
      <c r="FIX41" s="260"/>
      <c r="FIY41" s="260"/>
      <c r="FIZ41" s="260"/>
      <c r="FJA41" s="260"/>
      <c r="FJB41" s="260"/>
      <c r="FJC41" s="260"/>
      <c r="FJD41" s="260"/>
      <c r="FJE41" s="260"/>
      <c r="FJF41" s="260"/>
      <c r="FJG41" s="260"/>
      <c r="FJH41" s="260"/>
      <c r="FJI41" s="260"/>
      <c r="FJJ41" s="260"/>
      <c r="FJK41" s="260"/>
      <c r="FJL41" s="260"/>
      <c r="FJM41" s="260"/>
      <c r="FJN41" s="260"/>
      <c r="FJO41" s="260"/>
      <c r="FJP41" s="260"/>
      <c r="FJQ41" s="260"/>
      <c r="FJR41" s="260"/>
      <c r="FJS41" s="260"/>
      <c r="FJT41" s="260"/>
      <c r="FJU41" s="260"/>
      <c r="FJV41" s="260"/>
      <c r="FJW41" s="260"/>
      <c r="FJX41" s="260"/>
      <c r="FJY41" s="260"/>
      <c r="FJZ41" s="260"/>
      <c r="FKA41" s="260"/>
      <c r="FKB41" s="260"/>
      <c r="FKC41" s="260"/>
      <c r="FKD41" s="260"/>
      <c r="FKE41" s="260"/>
      <c r="FKF41" s="260"/>
      <c r="FKG41" s="260"/>
      <c r="FKH41" s="260"/>
      <c r="FKI41" s="260"/>
      <c r="FKJ41" s="260"/>
      <c r="FKK41" s="260"/>
      <c r="FKL41" s="260"/>
      <c r="FKM41" s="260"/>
      <c r="FKN41" s="260"/>
      <c r="FKO41" s="260"/>
      <c r="FKP41" s="260"/>
      <c r="FKQ41" s="260"/>
      <c r="FKR41" s="260"/>
      <c r="FKS41" s="260"/>
      <c r="FKT41" s="260"/>
      <c r="FKU41" s="260"/>
      <c r="FKV41" s="260"/>
      <c r="FKW41" s="260"/>
      <c r="FKX41" s="260"/>
      <c r="FKY41" s="260"/>
      <c r="FKZ41" s="260"/>
      <c r="FLA41" s="260"/>
      <c r="FLB41" s="260"/>
      <c r="FLC41" s="260"/>
      <c r="FLD41" s="260"/>
      <c r="FLE41" s="260"/>
      <c r="FLF41" s="260"/>
      <c r="FLG41" s="260"/>
      <c r="FLH41" s="260"/>
      <c r="FLI41" s="260"/>
      <c r="FLJ41" s="260"/>
      <c r="FLK41" s="260"/>
      <c r="FLL41" s="260"/>
      <c r="FLM41" s="260"/>
      <c r="FLN41" s="260"/>
      <c r="FLO41" s="260"/>
      <c r="FLP41" s="260"/>
      <c r="FLQ41" s="260"/>
      <c r="FLR41" s="260"/>
      <c r="FLS41" s="260"/>
      <c r="FLT41" s="260"/>
      <c r="FLU41" s="260"/>
      <c r="FLV41" s="260"/>
      <c r="FLW41" s="260"/>
      <c r="FLX41" s="260"/>
      <c r="FLY41" s="260"/>
      <c r="FLZ41" s="260"/>
      <c r="FMA41" s="260"/>
      <c r="FMB41" s="260"/>
      <c r="FMC41" s="260"/>
      <c r="FMD41" s="260"/>
      <c r="FME41" s="260"/>
      <c r="FMF41" s="260"/>
      <c r="FMG41" s="260"/>
      <c r="FMH41" s="260"/>
      <c r="FMI41" s="260"/>
      <c r="FMJ41" s="260"/>
      <c r="FMK41" s="260"/>
      <c r="FML41" s="260"/>
      <c r="FMM41" s="260"/>
      <c r="FMN41" s="260"/>
      <c r="FMO41" s="260"/>
      <c r="FMP41" s="260"/>
      <c r="FMQ41" s="260"/>
      <c r="FMR41" s="260"/>
      <c r="FMS41" s="260"/>
      <c r="FMT41" s="260"/>
      <c r="FMU41" s="260"/>
      <c r="FMV41" s="260"/>
      <c r="FMW41" s="260"/>
      <c r="FMX41" s="260"/>
      <c r="FMY41" s="260"/>
      <c r="FMZ41" s="260"/>
      <c r="FNA41" s="260"/>
      <c r="FNB41" s="260"/>
      <c r="FNC41" s="260"/>
      <c r="FND41" s="260"/>
      <c r="FNE41" s="260"/>
      <c r="FNF41" s="260"/>
      <c r="FNG41" s="260"/>
      <c r="FNH41" s="260"/>
      <c r="FNI41" s="260"/>
      <c r="FNJ41" s="260"/>
      <c r="FNK41" s="260"/>
      <c r="FNL41" s="260"/>
      <c r="FNM41" s="260"/>
      <c r="FNN41" s="260"/>
      <c r="FNO41" s="260"/>
      <c r="FNP41" s="260"/>
      <c r="FNQ41" s="260"/>
      <c r="FNR41" s="260"/>
      <c r="FNS41" s="260"/>
      <c r="FNT41" s="260"/>
      <c r="FNU41" s="260"/>
      <c r="FNV41" s="260"/>
      <c r="FNW41" s="260"/>
      <c r="FNX41" s="260"/>
      <c r="FNY41" s="260"/>
      <c r="FNZ41" s="260"/>
      <c r="FOA41" s="260"/>
      <c r="FOB41" s="260"/>
      <c r="FOC41" s="260"/>
      <c r="FOD41" s="260"/>
      <c r="FOE41" s="260"/>
      <c r="FOF41" s="260"/>
      <c r="FOG41" s="260"/>
      <c r="FOH41" s="260"/>
      <c r="FOI41" s="260"/>
      <c r="FOJ41" s="260"/>
      <c r="FOK41" s="260"/>
      <c r="FOL41" s="260"/>
      <c r="FOM41" s="260"/>
      <c r="FON41" s="260"/>
      <c r="FOO41" s="260"/>
      <c r="FOP41" s="260"/>
      <c r="FOQ41" s="260"/>
      <c r="FOR41" s="260"/>
      <c r="FOS41" s="260"/>
      <c r="FOT41" s="260"/>
      <c r="FOU41" s="260"/>
      <c r="FOV41" s="260"/>
      <c r="FOW41" s="260"/>
      <c r="FOX41" s="260"/>
      <c r="FOY41" s="260"/>
      <c r="FOZ41" s="260"/>
      <c r="FPA41" s="260"/>
      <c r="FPB41" s="260"/>
      <c r="FPC41" s="260"/>
      <c r="FPD41" s="260"/>
      <c r="FPE41" s="260"/>
      <c r="FPF41" s="260"/>
      <c r="FPG41" s="260"/>
      <c r="FPH41" s="260"/>
      <c r="FPI41" s="260"/>
      <c r="FPJ41" s="260"/>
      <c r="FPK41" s="260"/>
      <c r="FPL41" s="260"/>
      <c r="FPM41" s="260"/>
      <c r="FPN41" s="260"/>
      <c r="FPO41" s="260"/>
      <c r="FPP41" s="260"/>
      <c r="FPQ41" s="260"/>
      <c r="FPR41" s="260"/>
      <c r="FPS41" s="260"/>
      <c r="FPT41" s="260"/>
      <c r="FPU41" s="260"/>
      <c r="FPV41" s="260"/>
      <c r="FPW41" s="260"/>
      <c r="FPX41" s="260"/>
      <c r="FPY41" s="260"/>
      <c r="FPZ41" s="260"/>
      <c r="FQA41" s="260"/>
      <c r="FQB41" s="260"/>
      <c r="FQC41" s="260"/>
      <c r="FQD41" s="260"/>
      <c r="FQE41" s="260"/>
      <c r="FQF41" s="260"/>
      <c r="FQG41" s="260"/>
      <c r="FQH41" s="260"/>
      <c r="FQI41" s="260"/>
      <c r="FQJ41" s="260"/>
      <c r="FQK41" s="260"/>
      <c r="FQL41" s="260"/>
      <c r="FQM41" s="260"/>
      <c r="FQN41" s="260"/>
      <c r="FQO41" s="260"/>
      <c r="FQP41" s="260"/>
      <c r="FQQ41" s="260"/>
      <c r="FQR41" s="260"/>
      <c r="FQS41" s="260"/>
      <c r="FQT41" s="260"/>
      <c r="FQU41" s="260"/>
      <c r="FQV41" s="260"/>
      <c r="FQW41" s="260"/>
      <c r="FQX41" s="260"/>
      <c r="FQY41" s="260"/>
      <c r="FQZ41" s="260"/>
      <c r="FRA41" s="260"/>
      <c r="FRB41" s="260"/>
      <c r="FRC41" s="260"/>
      <c r="FRD41" s="260"/>
      <c r="FRE41" s="260"/>
      <c r="FRF41" s="260"/>
      <c r="FRG41" s="260"/>
      <c r="FRH41" s="260"/>
      <c r="FRI41" s="260"/>
      <c r="FRJ41" s="260"/>
      <c r="FRK41" s="260"/>
      <c r="FRL41" s="260"/>
      <c r="FRM41" s="260"/>
      <c r="FRN41" s="260"/>
      <c r="FRO41" s="260"/>
      <c r="FRP41" s="260"/>
      <c r="FRQ41" s="260"/>
      <c r="FRR41" s="260"/>
      <c r="FRS41" s="260"/>
      <c r="FRT41" s="260"/>
      <c r="FRU41" s="260"/>
      <c r="FRV41" s="260"/>
      <c r="FRW41" s="260"/>
      <c r="FRX41" s="260"/>
      <c r="FRY41" s="260"/>
      <c r="FRZ41" s="260"/>
      <c r="FSA41" s="260"/>
      <c r="FSB41" s="260"/>
      <c r="FSC41" s="260"/>
      <c r="FSD41" s="260"/>
      <c r="FSE41" s="260"/>
      <c r="FSF41" s="260"/>
      <c r="FSG41" s="260"/>
      <c r="FSH41" s="260"/>
      <c r="FSI41" s="260"/>
      <c r="FSJ41" s="260"/>
      <c r="FSK41" s="260"/>
      <c r="FSL41" s="260"/>
      <c r="FSM41" s="260"/>
      <c r="FSN41" s="260"/>
      <c r="FSO41" s="260"/>
      <c r="FSP41" s="260"/>
      <c r="FSQ41" s="260"/>
      <c r="FSR41" s="260"/>
      <c r="FSS41" s="260"/>
      <c r="FST41" s="260"/>
      <c r="FSU41" s="260"/>
      <c r="FSV41" s="260"/>
      <c r="FSW41" s="260"/>
      <c r="FSX41" s="260"/>
      <c r="FSY41" s="260"/>
      <c r="FSZ41" s="260"/>
      <c r="FTA41" s="260"/>
      <c r="FTB41" s="260"/>
      <c r="FTC41" s="260"/>
      <c r="FTD41" s="260"/>
      <c r="FTE41" s="260"/>
      <c r="FTF41" s="260"/>
      <c r="FTG41" s="260"/>
      <c r="FTH41" s="260"/>
      <c r="FTI41" s="260"/>
      <c r="FTJ41" s="260"/>
      <c r="FTK41" s="260"/>
      <c r="FTL41" s="260"/>
      <c r="FTM41" s="260"/>
      <c r="FTN41" s="260"/>
      <c r="FTO41" s="260"/>
      <c r="FTP41" s="260"/>
      <c r="FTQ41" s="260"/>
      <c r="FTR41" s="260"/>
      <c r="FTS41" s="260"/>
      <c r="FTT41" s="260"/>
      <c r="FTU41" s="260"/>
      <c r="FTV41" s="260"/>
      <c r="FTW41" s="260"/>
      <c r="FTX41" s="260"/>
      <c r="FTY41" s="260"/>
      <c r="FTZ41" s="260"/>
      <c r="FUA41" s="260"/>
      <c r="FUB41" s="260"/>
      <c r="FUC41" s="260"/>
      <c r="FUD41" s="260"/>
      <c r="FUE41" s="260"/>
      <c r="FUF41" s="260"/>
      <c r="FUG41" s="260"/>
      <c r="FUH41" s="260"/>
      <c r="FUI41" s="260"/>
      <c r="FUJ41" s="260"/>
      <c r="FUK41" s="260"/>
      <c r="FUL41" s="260"/>
      <c r="FUM41" s="260"/>
      <c r="FUN41" s="260"/>
      <c r="FUO41" s="260"/>
      <c r="FUP41" s="260"/>
      <c r="FUQ41" s="260"/>
      <c r="FUR41" s="260"/>
      <c r="FUS41" s="260"/>
      <c r="FUT41" s="260"/>
      <c r="FUU41" s="260"/>
      <c r="FUV41" s="260"/>
      <c r="FUW41" s="260"/>
      <c r="FUX41" s="260"/>
      <c r="FUY41" s="260"/>
      <c r="FUZ41" s="260"/>
      <c r="FVA41" s="260"/>
      <c r="FVB41" s="260"/>
      <c r="FVC41" s="260"/>
      <c r="FVD41" s="260"/>
      <c r="FVE41" s="260"/>
      <c r="FVF41" s="260"/>
      <c r="FVG41" s="260"/>
      <c r="FVH41" s="260"/>
      <c r="FVI41" s="260"/>
      <c r="FVJ41" s="260"/>
      <c r="FVK41" s="260"/>
      <c r="FVL41" s="260"/>
      <c r="FVM41" s="260"/>
      <c r="FVN41" s="260"/>
      <c r="FVO41" s="260"/>
      <c r="FVP41" s="260"/>
      <c r="FVQ41" s="260"/>
      <c r="FVR41" s="260"/>
      <c r="FVS41" s="260"/>
      <c r="FVT41" s="260"/>
      <c r="FVU41" s="260"/>
      <c r="FVV41" s="260"/>
      <c r="FVW41" s="260"/>
      <c r="FVX41" s="260"/>
      <c r="FVY41" s="260"/>
      <c r="FVZ41" s="260"/>
      <c r="FWA41" s="260"/>
      <c r="FWB41" s="260"/>
      <c r="FWC41" s="260"/>
      <c r="FWD41" s="260"/>
      <c r="FWE41" s="260"/>
      <c r="FWF41" s="260"/>
      <c r="FWG41" s="260"/>
      <c r="FWH41" s="260"/>
      <c r="FWI41" s="260"/>
      <c r="FWJ41" s="260"/>
      <c r="FWK41" s="260"/>
      <c r="FWL41" s="260"/>
      <c r="FWM41" s="260"/>
      <c r="FWN41" s="260"/>
      <c r="FWO41" s="260"/>
      <c r="FWP41" s="260"/>
      <c r="FWQ41" s="260"/>
      <c r="FWR41" s="260"/>
      <c r="FWS41" s="260"/>
      <c r="FWT41" s="260"/>
      <c r="FWU41" s="260"/>
      <c r="FWV41" s="260"/>
      <c r="FWW41" s="260"/>
      <c r="FWX41" s="260"/>
      <c r="FWY41" s="260"/>
      <c r="FWZ41" s="260"/>
      <c r="FXA41" s="260"/>
      <c r="FXB41" s="260"/>
      <c r="FXC41" s="260"/>
      <c r="FXD41" s="260"/>
      <c r="FXE41" s="260"/>
      <c r="FXF41" s="260"/>
      <c r="FXG41" s="260"/>
      <c r="FXH41" s="260"/>
      <c r="FXI41" s="260"/>
      <c r="FXJ41" s="260"/>
      <c r="FXK41" s="260"/>
      <c r="FXL41" s="260"/>
      <c r="FXM41" s="260"/>
      <c r="FXN41" s="260"/>
      <c r="FXO41" s="260"/>
      <c r="FXP41" s="260"/>
      <c r="FXQ41" s="260"/>
      <c r="FXR41" s="260"/>
      <c r="FXS41" s="260"/>
      <c r="FXT41" s="260"/>
      <c r="FXU41" s="260"/>
      <c r="FXV41" s="260"/>
      <c r="FXW41" s="260"/>
      <c r="FXX41" s="260"/>
      <c r="FXY41" s="260"/>
      <c r="FXZ41" s="260"/>
      <c r="FYA41" s="260"/>
      <c r="FYB41" s="260"/>
      <c r="FYC41" s="260"/>
      <c r="FYD41" s="260"/>
      <c r="FYE41" s="260"/>
      <c r="FYF41" s="260"/>
      <c r="FYG41" s="260"/>
      <c r="FYH41" s="260"/>
      <c r="FYI41" s="260"/>
      <c r="FYJ41" s="260"/>
      <c r="FYK41" s="260"/>
      <c r="FYL41" s="260"/>
      <c r="FYM41" s="260"/>
      <c r="FYN41" s="260"/>
      <c r="FYO41" s="260"/>
      <c r="FYP41" s="260"/>
      <c r="FYQ41" s="260"/>
      <c r="FYR41" s="260"/>
      <c r="FYS41" s="260"/>
      <c r="FYT41" s="260"/>
      <c r="FYU41" s="260"/>
      <c r="FYV41" s="260"/>
      <c r="FYW41" s="260"/>
      <c r="FYX41" s="260"/>
      <c r="FYY41" s="260"/>
      <c r="FYZ41" s="260"/>
      <c r="FZA41" s="260"/>
      <c r="FZB41" s="260"/>
      <c r="FZC41" s="260"/>
      <c r="FZD41" s="260"/>
      <c r="FZE41" s="260"/>
      <c r="FZF41" s="260"/>
      <c r="FZG41" s="260"/>
      <c r="FZH41" s="260"/>
      <c r="FZI41" s="260"/>
      <c r="FZJ41" s="260"/>
      <c r="FZK41" s="260"/>
      <c r="FZL41" s="260"/>
      <c r="FZM41" s="260"/>
      <c r="FZN41" s="260"/>
      <c r="FZO41" s="260"/>
      <c r="FZP41" s="260"/>
      <c r="FZQ41" s="260"/>
      <c r="FZR41" s="260"/>
      <c r="FZS41" s="260"/>
      <c r="FZT41" s="260"/>
      <c r="FZU41" s="260"/>
      <c r="FZV41" s="260"/>
      <c r="FZW41" s="260"/>
      <c r="FZX41" s="260"/>
      <c r="FZY41" s="260"/>
      <c r="FZZ41" s="260"/>
      <c r="GAA41" s="260"/>
      <c r="GAB41" s="260"/>
      <c r="GAC41" s="260"/>
      <c r="GAD41" s="260"/>
      <c r="GAE41" s="260"/>
      <c r="GAF41" s="260"/>
      <c r="GAG41" s="260"/>
      <c r="GAH41" s="260"/>
      <c r="GAI41" s="260"/>
      <c r="GAJ41" s="260"/>
      <c r="GAK41" s="260"/>
      <c r="GAL41" s="260"/>
      <c r="GAM41" s="260"/>
      <c r="GAN41" s="260"/>
      <c r="GAO41" s="260"/>
      <c r="GAP41" s="260"/>
      <c r="GAQ41" s="260"/>
      <c r="GAR41" s="260"/>
      <c r="GAS41" s="260"/>
      <c r="GAT41" s="260"/>
      <c r="GAU41" s="260"/>
      <c r="GAV41" s="260"/>
      <c r="GAW41" s="260"/>
      <c r="GAX41" s="260"/>
      <c r="GAY41" s="260"/>
      <c r="GAZ41" s="260"/>
      <c r="GBA41" s="260"/>
      <c r="GBB41" s="260"/>
      <c r="GBC41" s="260"/>
      <c r="GBD41" s="260"/>
      <c r="GBE41" s="260"/>
      <c r="GBF41" s="260"/>
      <c r="GBG41" s="260"/>
      <c r="GBH41" s="260"/>
      <c r="GBI41" s="260"/>
      <c r="GBJ41" s="260"/>
      <c r="GBK41" s="260"/>
      <c r="GBL41" s="260"/>
      <c r="GBM41" s="260"/>
      <c r="GBN41" s="260"/>
      <c r="GBO41" s="260"/>
      <c r="GBP41" s="260"/>
      <c r="GBQ41" s="260"/>
      <c r="GBR41" s="260"/>
      <c r="GBS41" s="260"/>
      <c r="GBT41" s="260"/>
      <c r="GBU41" s="260"/>
      <c r="GBV41" s="260"/>
      <c r="GBW41" s="260"/>
      <c r="GBX41" s="260"/>
      <c r="GBY41" s="260"/>
      <c r="GBZ41" s="260"/>
      <c r="GCA41" s="260"/>
      <c r="GCB41" s="260"/>
      <c r="GCC41" s="260"/>
      <c r="GCD41" s="260"/>
      <c r="GCE41" s="260"/>
      <c r="GCF41" s="260"/>
      <c r="GCG41" s="260"/>
      <c r="GCH41" s="260"/>
      <c r="GCI41" s="260"/>
      <c r="GCJ41" s="260"/>
      <c r="GCK41" s="260"/>
      <c r="GCL41" s="260"/>
      <c r="GCM41" s="260"/>
      <c r="GCN41" s="260"/>
      <c r="GCO41" s="260"/>
      <c r="GCP41" s="260"/>
      <c r="GCQ41" s="260"/>
      <c r="GCR41" s="260"/>
      <c r="GCS41" s="260"/>
      <c r="GCT41" s="260"/>
      <c r="GCU41" s="260"/>
      <c r="GCV41" s="260"/>
      <c r="GCW41" s="260"/>
      <c r="GCX41" s="260"/>
      <c r="GCY41" s="260"/>
      <c r="GCZ41" s="260"/>
      <c r="GDA41" s="260"/>
      <c r="GDB41" s="260"/>
      <c r="GDC41" s="260"/>
      <c r="GDD41" s="260"/>
      <c r="GDE41" s="260"/>
      <c r="GDF41" s="260"/>
      <c r="GDG41" s="260"/>
      <c r="GDH41" s="260"/>
      <c r="GDI41" s="260"/>
      <c r="GDJ41" s="260"/>
      <c r="GDK41" s="260"/>
      <c r="GDL41" s="260"/>
      <c r="GDM41" s="260"/>
      <c r="GDN41" s="260"/>
      <c r="GDO41" s="260"/>
      <c r="GDP41" s="260"/>
      <c r="GDQ41" s="260"/>
      <c r="GDR41" s="260"/>
      <c r="GDS41" s="260"/>
      <c r="GDT41" s="260"/>
      <c r="GDU41" s="260"/>
      <c r="GDV41" s="260"/>
      <c r="GDW41" s="260"/>
      <c r="GDX41" s="260"/>
      <c r="GDY41" s="260"/>
      <c r="GDZ41" s="260"/>
      <c r="GEA41" s="260"/>
      <c r="GEB41" s="260"/>
      <c r="GEC41" s="260"/>
      <c r="GED41" s="260"/>
      <c r="GEE41" s="260"/>
      <c r="GEF41" s="260"/>
      <c r="GEG41" s="260"/>
      <c r="GEH41" s="260"/>
      <c r="GEI41" s="260"/>
      <c r="GEJ41" s="260"/>
      <c r="GEK41" s="260"/>
      <c r="GEL41" s="260"/>
      <c r="GEM41" s="260"/>
      <c r="GEN41" s="260"/>
      <c r="GEO41" s="260"/>
      <c r="GEP41" s="260"/>
      <c r="GEQ41" s="260"/>
      <c r="GER41" s="260"/>
      <c r="GES41" s="260"/>
      <c r="GET41" s="260"/>
      <c r="GEU41" s="260"/>
      <c r="GEV41" s="260"/>
      <c r="GEW41" s="260"/>
      <c r="GEX41" s="260"/>
      <c r="GEY41" s="260"/>
      <c r="GEZ41" s="260"/>
      <c r="GFA41" s="260"/>
      <c r="GFB41" s="260"/>
      <c r="GFC41" s="260"/>
      <c r="GFD41" s="260"/>
      <c r="GFE41" s="260"/>
      <c r="GFF41" s="260"/>
      <c r="GFG41" s="260"/>
      <c r="GFH41" s="260"/>
      <c r="GFI41" s="260"/>
      <c r="GFJ41" s="260"/>
      <c r="GFK41" s="260"/>
      <c r="GFL41" s="260"/>
      <c r="GFM41" s="260"/>
      <c r="GFN41" s="260"/>
      <c r="GFO41" s="260"/>
      <c r="GFP41" s="260"/>
      <c r="GFQ41" s="260"/>
      <c r="GFR41" s="260"/>
      <c r="GFS41" s="260"/>
      <c r="GFT41" s="260"/>
      <c r="GFU41" s="260"/>
      <c r="GFV41" s="260"/>
      <c r="GFW41" s="260"/>
      <c r="GFX41" s="260"/>
      <c r="GFY41" s="260"/>
      <c r="GFZ41" s="260"/>
      <c r="GGA41" s="260"/>
      <c r="GGB41" s="260"/>
      <c r="GGC41" s="260"/>
      <c r="GGD41" s="260"/>
      <c r="GGE41" s="260"/>
      <c r="GGF41" s="260"/>
      <c r="GGG41" s="260"/>
      <c r="GGH41" s="260"/>
      <c r="GGI41" s="260"/>
      <c r="GGJ41" s="260"/>
      <c r="GGK41" s="260"/>
      <c r="GGL41" s="260"/>
      <c r="GGM41" s="260"/>
      <c r="GGN41" s="260"/>
      <c r="GGO41" s="260"/>
      <c r="GGP41" s="260"/>
      <c r="GGQ41" s="260"/>
      <c r="GGR41" s="260"/>
      <c r="GGS41" s="260"/>
      <c r="GGT41" s="260"/>
      <c r="GGU41" s="260"/>
      <c r="GGV41" s="260"/>
      <c r="GGW41" s="260"/>
      <c r="GGX41" s="260"/>
      <c r="GGY41" s="260"/>
      <c r="GGZ41" s="260"/>
      <c r="GHA41" s="260"/>
      <c r="GHB41" s="260"/>
      <c r="GHC41" s="260"/>
      <c r="GHD41" s="260"/>
      <c r="GHE41" s="260"/>
      <c r="GHF41" s="260"/>
      <c r="GHG41" s="260"/>
      <c r="GHH41" s="260"/>
      <c r="GHI41" s="260"/>
      <c r="GHJ41" s="260"/>
      <c r="GHK41" s="260"/>
      <c r="GHL41" s="260"/>
      <c r="GHM41" s="260"/>
      <c r="GHN41" s="260"/>
      <c r="GHO41" s="260"/>
      <c r="GHP41" s="260"/>
      <c r="GHQ41" s="260"/>
      <c r="GHR41" s="260"/>
      <c r="GHS41" s="260"/>
      <c r="GHT41" s="260"/>
      <c r="GHU41" s="260"/>
      <c r="GHV41" s="260"/>
      <c r="GHW41" s="260"/>
      <c r="GHX41" s="260"/>
      <c r="GHY41" s="260"/>
      <c r="GHZ41" s="260"/>
      <c r="GIA41" s="260"/>
      <c r="GIB41" s="260"/>
      <c r="GIC41" s="260"/>
      <c r="GID41" s="260"/>
      <c r="GIE41" s="260"/>
      <c r="GIF41" s="260"/>
      <c r="GIG41" s="260"/>
      <c r="GIH41" s="260"/>
      <c r="GII41" s="260"/>
      <c r="GIJ41" s="260"/>
      <c r="GIK41" s="260"/>
      <c r="GIL41" s="260"/>
      <c r="GIM41" s="260"/>
      <c r="GIN41" s="260"/>
      <c r="GIO41" s="260"/>
      <c r="GIP41" s="260"/>
      <c r="GIQ41" s="260"/>
      <c r="GIR41" s="260"/>
      <c r="GIS41" s="260"/>
      <c r="GIT41" s="260"/>
      <c r="GIU41" s="260"/>
      <c r="GIV41" s="260"/>
      <c r="GIW41" s="260"/>
      <c r="GIX41" s="260"/>
      <c r="GIY41" s="260"/>
      <c r="GIZ41" s="260"/>
      <c r="GJA41" s="260"/>
      <c r="GJB41" s="260"/>
      <c r="GJC41" s="260"/>
      <c r="GJD41" s="260"/>
      <c r="GJE41" s="260"/>
      <c r="GJF41" s="260"/>
      <c r="GJG41" s="260"/>
      <c r="GJH41" s="260"/>
      <c r="GJI41" s="260"/>
      <c r="GJJ41" s="260"/>
      <c r="GJK41" s="260"/>
      <c r="GJL41" s="260"/>
      <c r="GJM41" s="260"/>
      <c r="GJN41" s="260"/>
      <c r="GJO41" s="260"/>
      <c r="GJP41" s="260"/>
      <c r="GJQ41" s="260"/>
      <c r="GJR41" s="260"/>
      <c r="GJS41" s="260"/>
      <c r="GJT41" s="260"/>
      <c r="GJU41" s="260"/>
      <c r="GJV41" s="260"/>
      <c r="GJW41" s="260"/>
      <c r="GJX41" s="260"/>
      <c r="GJY41" s="260"/>
      <c r="GJZ41" s="260"/>
      <c r="GKA41" s="260"/>
      <c r="GKB41" s="260"/>
      <c r="GKC41" s="260"/>
      <c r="GKD41" s="260"/>
      <c r="GKE41" s="260"/>
      <c r="GKF41" s="260"/>
      <c r="GKG41" s="260"/>
      <c r="GKH41" s="260"/>
      <c r="GKI41" s="260"/>
      <c r="GKJ41" s="260"/>
      <c r="GKK41" s="260"/>
      <c r="GKL41" s="260"/>
      <c r="GKM41" s="260"/>
      <c r="GKN41" s="260"/>
      <c r="GKO41" s="260"/>
      <c r="GKP41" s="260"/>
      <c r="GKQ41" s="260"/>
      <c r="GKR41" s="260"/>
      <c r="GKS41" s="260"/>
      <c r="GKT41" s="260"/>
      <c r="GKU41" s="260"/>
      <c r="GKV41" s="260"/>
      <c r="GKW41" s="260"/>
      <c r="GKX41" s="260"/>
      <c r="GKY41" s="260"/>
      <c r="GKZ41" s="260"/>
      <c r="GLA41" s="260"/>
      <c r="GLB41" s="260"/>
      <c r="GLC41" s="260"/>
      <c r="GLD41" s="260"/>
      <c r="GLE41" s="260"/>
      <c r="GLF41" s="260"/>
      <c r="GLG41" s="260"/>
      <c r="GLH41" s="260"/>
      <c r="GLI41" s="260"/>
      <c r="GLJ41" s="260"/>
      <c r="GLK41" s="260"/>
      <c r="GLL41" s="260"/>
      <c r="GLM41" s="260"/>
      <c r="GLN41" s="260"/>
      <c r="GLO41" s="260"/>
      <c r="GLP41" s="260"/>
      <c r="GLQ41" s="260"/>
      <c r="GLR41" s="260"/>
      <c r="GLS41" s="260"/>
      <c r="GLT41" s="260"/>
      <c r="GLU41" s="260"/>
      <c r="GLV41" s="260"/>
      <c r="GLW41" s="260"/>
      <c r="GLX41" s="260"/>
      <c r="GLY41" s="260"/>
      <c r="GLZ41" s="260"/>
      <c r="GMA41" s="260"/>
      <c r="GMB41" s="260"/>
      <c r="GMC41" s="260"/>
      <c r="GMD41" s="260"/>
      <c r="GME41" s="260"/>
      <c r="GMF41" s="260"/>
      <c r="GMG41" s="260"/>
      <c r="GMH41" s="260"/>
      <c r="GMI41" s="260"/>
      <c r="GMJ41" s="260"/>
      <c r="GMK41" s="260"/>
      <c r="GML41" s="260"/>
      <c r="GMM41" s="260"/>
      <c r="GMN41" s="260"/>
      <c r="GMO41" s="260"/>
      <c r="GMP41" s="260"/>
      <c r="GMQ41" s="260"/>
      <c r="GMR41" s="260"/>
      <c r="GMS41" s="260"/>
      <c r="GMT41" s="260"/>
      <c r="GMU41" s="260"/>
      <c r="GMV41" s="260"/>
      <c r="GMW41" s="260"/>
      <c r="GMX41" s="260"/>
      <c r="GMY41" s="260"/>
      <c r="GMZ41" s="260"/>
      <c r="GNA41" s="260"/>
      <c r="GNB41" s="260"/>
      <c r="GNC41" s="260"/>
      <c r="GND41" s="260"/>
      <c r="GNE41" s="260"/>
      <c r="GNF41" s="260"/>
      <c r="GNG41" s="260"/>
      <c r="GNH41" s="260"/>
      <c r="GNI41" s="260"/>
      <c r="GNJ41" s="260"/>
      <c r="GNK41" s="260"/>
      <c r="GNL41" s="260"/>
      <c r="GNM41" s="260"/>
      <c r="GNN41" s="260"/>
      <c r="GNO41" s="260"/>
      <c r="GNP41" s="260"/>
      <c r="GNQ41" s="260"/>
      <c r="GNR41" s="260"/>
      <c r="GNS41" s="260"/>
      <c r="GNT41" s="260"/>
      <c r="GNU41" s="260"/>
      <c r="GNV41" s="260"/>
      <c r="GNW41" s="260"/>
      <c r="GNX41" s="260"/>
      <c r="GNY41" s="260"/>
      <c r="GNZ41" s="260"/>
      <c r="GOA41" s="260"/>
      <c r="GOB41" s="260"/>
      <c r="GOC41" s="260"/>
      <c r="GOD41" s="260"/>
      <c r="GOE41" s="260"/>
      <c r="GOF41" s="260"/>
      <c r="GOG41" s="260"/>
      <c r="GOH41" s="260"/>
      <c r="GOI41" s="260"/>
      <c r="GOJ41" s="260"/>
      <c r="GOK41" s="260"/>
      <c r="GOL41" s="260"/>
      <c r="GOM41" s="260"/>
      <c r="GON41" s="260"/>
      <c r="GOO41" s="260"/>
      <c r="GOP41" s="260"/>
      <c r="GOQ41" s="260"/>
      <c r="GOR41" s="260"/>
      <c r="GOS41" s="260"/>
      <c r="GOT41" s="260"/>
      <c r="GOU41" s="260"/>
      <c r="GOV41" s="260"/>
      <c r="GOW41" s="260"/>
      <c r="GOX41" s="260"/>
      <c r="GOY41" s="260"/>
      <c r="GOZ41" s="260"/>
      <c r="GPA41" s="260"/>
      <c r="GPB41" s="260"/>
      <c r="GPC41" s="260"/>
      <c r="GPD41" s="260"/>
      <c r="GPE41" s="260"/>
      <c r="GPF41" s="260"/>
      <c r="GPG41" s="260"/>
      <c r="GPH41" s="260"/>
      <c r="GPI41" s="260"/>
      <c r="GPJ41" s="260"/>
      <c r="GPK41" s="260"/>
      <c r="GPL41" s="260"/>
      <c r="GPM41" s="260"/>
      <c r="GPN41" s="260"/>
      <c r="GPO41" s="260"/>
      <c r="GPP41" s="260"/>
      <c r="GPQ41" s="260"/>
      <c r="GPR41" s="260"/>
      <c r="GPS41" s="260"/>
      <c r="GPT41" s="260"/>
      <c r="GPU41" s="260"/>
      <c r="GPV41" s="260"/>
      <c r="GPW41" s="260"/>
      <c r="GPX41" s="260"/>
      <c r="GPY41" s="260"/>
      <c r="GPZ41" s="260"/>
      <c r="GQA41" s="260"/>
      <c r="GQB41" s="260"/>
      <c r="GQC41" s="260"/>
      <c r="GQD41" s="260"/>
      <c r="GQE41" s="260"/>
      <c r="GQF41" s="260"/>
      <c r="GQG41" s="260"/>
      <c r="GQH41" s="260"/>
      <c r="GQI41" s="260"/>
      <c r="GQJ41" s="260"/>
      <c r="GQK41" s="260"/>
      <c r="GQL41" s="260"/>
      <c r="GQM41" s="260"/>
      <c r="GQN41" s="260"/>
      <c r="GQO41" s="260"/>
      <c r="GQP41" s="260"/>
      <c r="GQQ41" s="260"/>
      <c r="GQR41" s="260"/>
      <c r="GQS41" s="260"/>
      <c r="GQT41" s="260"/>
      <c r="GQU41" s="260"/>
      <c r="GQV41" s="260"/>
      <c r="GQW41" s="260"/>
      <c r="GQX41" s="260"/>
      <c r="GQY41" s="260"/>
      <c r="GQZ41" s="260"/>
      <c r="GRA41" s="260"/>
      <c r="GRB41" s="260"/>
      <c r="GRC41" s="260"/>
      <c r="GRD41" s="260"/>
      <c r="GRE41" s="260"/>
      <c r="GRF41" s="260"/>
      <c r="GRG41" s="260"/>
      <c r="GRH41" s="260"/>
      <c r="GRI41" s="260"/>
      <c r="GRJ41" s="260"/>
      <c r="GRK41" s="260"/>
      <c r="GRL41" s="260"/>
      <c r="GRM41" s="260"/>
      <c r="GRN41" s="260"/>
      <c r="GRO41" s="260"/>
      <c r="GRP41" s="260"/>
      <c r="GRQ41" s="260"/>
      <c r="GRR41" s="260"/>
      <c r="GRS41" s="260"/>
      <c r="GRT41" s="260"/>
      <c r="GRU41" s="260"/>
      <c r="GRV41" s="260"/>
      <c r="GRW41" s="260"/>
      <c r="GRX41" s="260"/>
      <c r="GRY41" s="260"/>
      <c r="GRZ41" s="260"/>
      <c r="GSA41" s="260"/>
      <c r="GSB41" s="260"/>
      <c r="GSC41" s="260"/>
      <c r="GSD41" s="260"/>
      <c r="GSE41" s="260"/>
      <c r="GSF41" s="260"/>
      <c r="GSG41" s="260"/>
      <c r="GSH41" s="260"/>
      <c r="GSI41" s="260"/>
      <c r="GSJ41" s="260"/>
      <c r="GSK41" s="260"/>
      <c r="GSL41" s="260"/>
      <c r="GSM41" s="260"/>
      <c r="GSN41" s="260"/>
      <c r="GSO41" s="260"/>
      <c r="GSP41" s="260"/>
      <c r="GSQ41" s="260"/>
      <c r="GSR41" s="260"/>
      <c r="GSS41" s="260"/>
      <c r="GST41" s="260"/>
      <c r="GSU41" s="260"/>
      <c r="GSV41" s="260"/>
      <c r="GSW41" s="260"/>
      <c r="GSX41" s="260"/>
      <c r="GSY41" s="260"/>
      <c r="GSZ41" s="260"/>
      <c r="GTA41" s="260"/>
      <c r="GTB41" s="260"/>
      <c r="GTC41" s="260"/>
      <c r="GTD41" s="260"/>
      <c r="GTE41" s="260"/>
      <c r="GTF41" s="260"/>
      <c r="GTG41" s="260"/>
      <c r="GTH41" s="260"/>
      <c r="GTI41" s="260"/>
      <c r="GTJ41" s="260"/>
      <c r="GTK41" s="260"/>
      <c r="GTL41" s="260"/>
      <c r="GTM41" s="260"/>
      <c r="GTN41" s="260"/>
      <c r="GTO41" s="260"/>
      <c r="GTP41" s="260"/>
      <c r="GTQ41" s="260"/>
      <c r="GTR41" s="260"/>
      <c r="GTS41" s="260"/>
      <c r="GTT41" s="260"/>
      <c r="GTU41" s="260"/>
      <c r="GTV41" s="260"/>
      <c r="GTW41" s="260"/>
      <c r="GTX41" s="260"/>
      <c r="GTY41" s="260"/>
      <c r="GTZ41" s="260"/>
      <c r="GUA41" s="260"/>
      <c r="GUB41" s="260"/>
      <c r="GUC41" s="260"/>
      <c r="GUD41" s="260"/>
      <c r="GUE41" s="260"/>
      <c r="GUF41" s="260"/>
      <c r="GUG41" s="260"/>
      <c r="GUH41" s="260"/>
      <c r="GUI41" s="260"/>
      <c r="GUJ41" s="260"/>
      <c r="GUK41" s="260"/>
      <c r="GUL41" s="260"/>
      <c r="GUM41" s="260"/>
      <c r="GUN41" s="260"/>
      <c r="GUO41" s="260"/>
      <c r="GUP41" s="260"/>
      <c r="GUQ41" s="260"/>
      <c r="GUR41" s="260"/>
      <c r="GUS41" s="260"/>
      <c r="GUT41" s="260"/>
      <c r="GUU41" s="260"/>
      <c r="GUV41" s="260"/>
      <c r="GUW41" s="260"/>
      <c r="GUX41" s="260"/>
      <c r="GUY41" s="260"/>
      <c r="GUZ41" s="260"/>
      <c r="GVA41" s="260"/>
      <c r="GVB41" s="260"/>
      <c r="GVC41" s="260"/>
      <c r="GVD41" s="260"/>
      <c r="GVE41" s="260"/>
      <c r="GVF41" s="260"/>
      <c r="GVG41" s="260"/>
      <c r="GVH41" s="260"/>
      <c r="GVI41" s="260"/>
      <c r="GVJ41" s="260"/>
      <c r="GVK41" s="260"/>
      <c r="GVL41" s="260"/>
      <c r="GVM41" s="260"/>
      <c r="GVN41" s="260"/>
      <c r="GVO41" s="260"/>
      <c r="GVP41" s="260"/>
      <c r="GVQ41" s="260"/>
      <c r="GVR41" s="260"/>
      <c r="GVS41" s="260"/>
      <c r="GVT41" s="260"/>
      <c r="GVU41" s="260"/>
      <c r="GVV41" s="260"/>
      <c r="GVW41" s="260"/>
      <c r="GVX41" s="260"/>
      <c r="GVY41" s="260"/>
      <c r="GVZ41" s="260"/>
      <c r="GWA41" s="260"/>
      <c r="GWB41" s="260"/>
      <c r="GWC41" s="260"/>
      <c r="GWD41" s="260"/>
      <c r="GWE41" s="260"/>
      <c r="GWF41" s="260"/>
      <c r="GWG41" s="260"/>
      <c r="GWH41" s="260"/>
      <c r="GWI41" s="260"/>
      <c r="GWJ41" s="260"/>
      <c r="GWK41" s="260"/>
      <c r="GWL41" s="260"/>
      <c r="GWM41" s="260"/>
      <c r="GWN41" s="260"/>
      <c r="GWO41" s="260"/>
      <c r="GWP41" s="260"/>
      <c r="GWQ41" s="260"/>
      <c r="GWR41" s="260"/>
      <c r="GWS41" s="260"/>
      <c r="GWT41" s="260"/>
      <c r="GWU41" s="260"/>
      <c r="GWV41" s="260"/>
      <c r="GWW41" s="260"/>
      <c r="GWX41" s="260"/>
      <c r="GWY41" s="260"/>
      <c r="GWZ41" s="260"/>
      <c r="GXA41" s="260"/>
      <c r="GXB41" s="260"/>
      <c r="GXC41" s="260"/>
      <c r="GXD41" s="260"/>
      <c r="GXE41" s="260"/>
      <c r="GXF41" s="260"/>
      <c r="GXG41" s="260"/>
      <c r="GXH41" s="260"/>
      <c r="GXI41" s="260"/>
      <c r="GXJ41" s="260"/>
      <c r="GXK41" s="260"/>
      <c r="GXL41" s="260"/>
      <c r="GXM41" s="260"/>
      <c r="GXN41" s="260"/>
      <c r="GXO41" s="260"/>
      <c r="GXP41" s="260"/>
      <c r="GXQ41" s="260"/>
      <c r="GXR41" s="260"/>
      <c r="GXS41" s="260"/>
      <c r="GXT41" s="260"/>
      <c r="GXU41" s="260"/>
      <c r="GXV41" s="260"/>
      <c r="GXW41" s="260"/>
      <c r="GXX41" s="260"/>
      <c r="GXY41" s="260"/>
      <c r="GXZ41" s="260"/>
      <c r="GYA41" s="260"/>
      <c r="GYB41" s="260"/>
      <c r="GYC41" s="260"/>
      <c r="GYD41" s="260"/>
      <c r="GYE41" s="260"/>
      <c r="GYF41" s="260"/>
      <c r="GYG41" s="260"/>
      <c r="GYH41" s="260"/>
      <c r="GYI41" s="260"/>
      <c r="GYJ41" s="260"/>
      <c r="GYK41" s="260"/>
      <c r="GYL41" s="260"/>
      <c r="GYM41" s="260"/>
      <c r="GYN41" s="260"/>
      <c r="GYO41" s="260"/>
      <c r="GYP41" s="260"/>
      <c r="GYQ41" s="260"/>
      <c r="GYR41" s="260"/>
      <c r="GYS41" s="260"/>
      <c r="GYT41" s="260"/>
      <c r="GYU41" s="260"/>
      <c r="GYV41" s="260"/>
      <c r="GYW41" s="260"/>
      <c r="GYX41" s="260"/>
      <c r="GYY41" s="260"/>
      <c r="GYZ41" s="260"/>
      <c r="GZA41" s="260"/>
      <c r="GZB41" s="260"/>
      <c r="GZC41" s="260"/>
      <c r="GZD41" s="260"/>
      <c r="GZE41" s="260"/>
      <c r="GZF41" s="260"/>
      <c r="GZG41" s="260"/>
      <c r="GZH41" s="260"/>
      <c r="GZI41" s="260"/>
      <c r="GZJ41" s="260"/>
      <c r="GZK41" s="260"/>
      <c r="GZL41" s="260"/>
      <c r="GZM41" s="260"/>
      <c r="GZN41" s="260"/>
      <c r="GZO41" s="260"/>
      <c r="GZP41" s="260"/>
      <c r="GZQ41" s="260"/>
      <c r="GZR41" s="260"/>
      <c r="GZS41" s="260"/>
      <c r="GZT41" s="260"/>
      <c r="GZU41" s="260"/>
      <c r="GZV41" s="260"/>
      <c r="GZW41" s="260"/>
      <c r="GZX41" s="260"/>
      <c r="GZY41" s="260"/>
      <c r="GZZ41" s="260"/>
      <c r="HAA41" s="260"/>
      <c r="HAB41" s="260"/>
      <c r="HAC41" s="260"/>
      <c r="HAD41" s="260"/>
      <c r="HAE41" s="260"/>
      <c r="HAF41" s="260"/>
      <c r="HAG41" s="260"/>
      <c r="HAH41" s="260"/>
      <c r="HAI41" s="260"/>
      <c r="HAJ41" s="260"/>
      <c r="HAK41" s="260"/>
      <c r="HAL41" s="260"/>
      <c r="HAM41" s="260"/>
      <c r="HAN41" s="260"/>
      <c r="HAO41" s="260"/>
      <c r="HAP41" s="260"/>
      <c r="HAQ41" s="260"/>
      <c r="HAR41" s="260"/>
      <c r="HAS41" s="260"/>
      <c r="HAT41" s="260"/>
      <c r="HAU41" s="260"/>
      <c r="HAV41" s="260"/>
      <c r="HAW41" s="260"/>
      <c r="HAX41" s="260"/>
      <c r="HAY41" s="260"/>
      <c r="HAZ41" s="260"/>
      <c r="HBA41" s="260"/>
      <c r="HBB41" s="260"/>
      <c r="HBC41" s="260"/>
      <c r="HBD41" s="260"/>
      <c r="HBE41" s="260"/>
      <c r="HBF41" s="260"/>
      <c r="HBG41" s="260"/>
      <c r="HBH41" s="260"/>
      <c r="HBI41" s="260"/>
      <c r="HBJ41" s="260"/>
      <c r="HBK41" s="260"/>
      <c r="HBL41" s="260"/>
      <c r="HBM41" s="260"/>
      <c r="HBN41" s="260"/>
      <c r="HBO41" s="260"/>
      <c r="HBP41" s="260"/>
      <c r="HBQ41" s="260"/>
      <c r="HBR41" s="260"/>
      <c r="HBS41" s="260"/>
      <c r="HBT41" s="260"/>
      <c r="HBU41" s="260"/>
      <c r="HBV41" s="260"/>
      <c r="HBW41" s="260"/>
      <c r="HBX41" s="260"/>
      <c r="HBY41" s="260"/>
      <c r="HBZ41" s="260"/>
      <c r="HCA41" s="260"/>
      <c r="HCB41" s="260"/>
      <c r="HCC41" s="260"/>
      <c r="HCD41" s="260"/>
      <c r="HCE41" s="260"/>
      <c r="HCF41" s="260"/>
      <c r="HCG41" s="260"/>
      <c r="HCH41" s="260"/>
      <c r="HCI41" s="260"/>
      <c r="HCJ41" s="260"/>
      <c r="HCK41" s="260"/>
      <c r="HCL41" s="260"/>
      <c r="HCM41" s="260"/>
      <c r="HCN41" s="260"/>
      <c r="HCO41" s="260"/>
      <c r="HCP41" s="260"/>
      <c r="HCQ41" s="260"/>
      <c r="HCR41" s="260"/>
      <c r="HCS41" s="260"/>
      <c r="HCT41" s="260"/>
      <c r="HCU41" s="260"/>
      <c r="HCV41" s="260"/>
      <c r="HCW41" s="260"/>
      <c r="HCX41" s="260"/>
      <c r="HCY41" s="260"/>
      <c r="HCZ41" s="260"/>
      <c r="HDA41" s="260"/>
      <c r="HDB41" s="260"/>
      <c r="HDC41" s="260"/>
      <c r="HDD41" s="260"/>
      <c r="HDE41" s="260"/>
      <c r="HDF41" s="260"/>
      <c r="HDG41" s="260"/>
      <c r="HDH41" s="260"/>
      <c r="HDI41" s="260"/>
      <c r="HDJ41" s="260"/>
      <c r="HDK41" s="260"/>
      <c r="HDL41" s="260"/>
      <c r="HDM41" s="260"/>
      <c r="HDN41" s="260"/>
      <c r="HDO41" s="260"/>
      <c r="HDP41" s="260"/>
      <c r="HDQ41" s="260"/>
      <c r="HDR41" s="260"/>
      <c r="HDS41" s="260"/>
      <c r="HDT41" s="260"/>
      <c r="HDU41" s="260"/>
      <c r="HDV41" s="260"/>
      <c r="HDW41" s="260"/>
      <c r="HDX41" s="260"/>
      <c r="HDY41" s="260"/>
      <c r="HDZ41" s="260"/>
      <c r="HEA41" s="260"/>
      <c r="HEB41" s="260"/>
      <c r="HEC41" s="260"/>
      <c r="HED41" s="260"/>
      <c r="HEE41" s="260"/>
      <c r="HEF41" s="260"/>
      <c r="HEG41" s="260"/>
      <c r="HEH41" s="260"/>
      <c r="HEI41" s="260"/>
      <c r="HEJ41" s="260"/>
      <c r="HEK41" s="260"/>
      <c r="HEL41" s="260"/>
      <c r="HEM41" s="260"/>
      <c r="HEN41" s="260"/>
      <c r="HEO41" s="260"/>
      <c r="HEP41" s="260"/>
      <c r="HEQ41" s="260"/>
      <c r="HER41" s="260"/>
      <c r="HES41" s="260"/>
      <c r="HET41" s="260"/>
      <c r="HEU41" s="260"/>
      <c r="HEV41" s="260"/>
      <c r="HEW41" s="260"/>
      <c r="HEX41" s="260"/>
      <c r="HEY41" s="260"/>
      <c r="HEZ41" s="260"/>
      <c r="HFA41" s="260"/>
      <c r="HFB41" s="260"/>
      <c r="HFC41" s="260"/>
      <c r="HFD41" s="260"/>
      <c r="HFE41" s="260"/>
      <c r="HFF41" s="260"/>
      <c r="HFG41" s="260"/>
      <c r="HFH41" s="260"/>
      <c r="HFI41" s="260"/>
      <c r="HFJ41" s="260"/>
      <c r="HFK41" s="260"/>
      <c r="HFL41" s="260"/>
      <c r="HFM41" s="260"/>
      <c r="HFN41" s="260"/>
      <c r="HFO41" s="260"/>
      <c r="HFP41" s="260"/>
      <c r="HFQ41" s="260"/>
      <c r="HFR41" s="260"/>
      <c r="HFS41" s="260"/>
      <c r="HFT41" s="260"/>
      <c r="HFU41" s="260"/>
      <c r="HFV41" s="260"/>
      <c r="HFW41" s="260"/>
      <c r="HFX41" s="260"/>
      <c r="HFY41" s="260"/>
      <c r="HFZ41" s="260"/>
      <c r="HGA41" s="260"/>
      <c r="HGB41" s="260"/>
      <c r="HGC41" s="260"/>
      <c r="HGD41" s="260"/>
      <c r="HGE41" s="260"/>
      <c r="HGF41" s="260"/>
      <c r="HGG41" s="260"/>
      <c r="HGH41" s="260"/>
      <c r="HGI41" s="260"/>
      <c r="HGJ41" s="260"/>
      <c r="HGK41" s="260"/>
      <c r="HGL41" s="260"/>
      <c r="HGM41" s="260"/>
      <c r="HGN41" s="260"/>
      <c r="HGO41" s="260"/>
      <c r="HGP41" s="260"/>
      <c r="HGQ41" s="260"/>
      <c r="HGR41" s="260"/>
      <c r="HGS41" s="260"/>
      <c r="HGT41" s="260"/>
      <c r="HGU41" s="260"/>
      <c r="HGV41" s="260"/>
      <c r="HGW41" s="260"/>
      <c r="HGX41" s="260"/>
      <c r="HGY41" s="260"/>
      <c r="HGZ41" s="260"/>
      <c r="HHA41" s="260"/>
      <c r="HHB41" s="260"/>
      <c r="HHC41" s="260"/>
      <c r="HHD41" s="260"/>
      <c r="HHE41" s="260"/>
      <c r="HHF41" s="260"/>
      <c r="HHG41" s="260"/>
      <c r="HHH41" s="260"/>
      <c r="HHI41" s="260"/>
      <c r="HHJ41" s="260"/>
      <c r="HHK41" s="260"/>
      <c r="HHL41" s="260"/>
      <c r="HHM41" s="260"/>
      <c r="HHN41" s="260"/>
      <c r="HHO41" s="260"/>
      <c r="HHP41" s="260"/>
      <c r="HHQ41" s="260"/>
      <c r="HHR41" s="260"/>
      <c r="HHS41" s="260"/>
      <c r="HHT41" s="260"/>
      <c r="HHU41" s="260"/>
      <c r="HHV41" s="260"/>
      <c r="HHW41" s="260"/>
      <c r="HHX41" s="260"/>
      <c r="HHY41" s="260"/>
      <c r="HHZ41" s="260"/>
      <c r="HIA41" s="260"/>
      <c r="HIB41" s="260"/>
      <c r="HIC41" s="260"/>
      <c r="HID41" s="260"/>
      <c r="HIE41" s="260"/>
      <c r="HIF41" s="260"/>
      <c r="HIG41" s="260"/>
      <c r="HIH41" s="260"/>
      <c r="HII41" s="260"/>
      <c r="HIJ41" s="260"/>
      <c r="HIK41" s="260"/>
      <c r="HIL41" s="260"/>
      <c r="HIM41" s="260"/>
      <c r="HIN41" s="260"/>
      <c r="HIO41" s="260"/>
      <c r="HIP41" s="260"/>
      <c r="HIQ41" s="260"/>
      <c r="HIR41" s="260"/>
      <c r="HIS41" s="260"/>
      <c r="HIT41" s="260"/>
      <c r="HIU41" s="260"/>
      <c r="HIV41" s="260"/>
      <c r="HIW41" s="260"/>
      <c r="HIX41" s="260"/>
      <c r="HIY41" s="260"/>
      <c r="HIZ41" s="260"/>
      <c r="HJA41" s="260"/>
      <c r="HJB41" s="260"/>
      <c r="HJC41" s="260"/>
      <c r="HJD41" s="260"/>
      <c r="HJE41" s="260"/>
      <c r="HJF41" s="260"/>
      <c r="HJG41" s="260"/>
      <c r="HJH41" s="260"/>
      <c r="HJI41" s="260"/>
      <c r="HJJ41" s="260"/>
      <c r="HJK41" s="260"/>
      <c r="HJL41" s="260"/>
      <c r="HJM41" s="260"/>
      <c r="HJN41" s="260"/>
      <c r="HJO41" s="260"/>
      <c r="HJP41" s="260"/>
      <c r="HJQ41" s="260"/>
      <c r="HJR41" s="260"/>
      <c r="HJS41" s="260"/>
      <c r="HJT41" s="260"/>
      <c r="HJU41" s="260"/>
      <c r="HJV41" s="260"/>
      <c r="HJW41" s="260"/>
      <c r="HJX41" s="260"/>
      <c r="HJY41" s="260"/>
      <c r="HJZ41" s="260"/>
      <c r="HKA41" s="260"/>
      <c r="HKB41" s="260"/>
      <c r="HKC41" s="260"/>
      <c r="HKD41" s="260"/>
      <c r="HKE41" s="260"/>
      <c r="HKF41" s="260"/>
      <c r="HKG41" s="260"/>
      <c r="HKH41" s="260"/>
      <c r="HKI41" s="260"/>
      <c r="HKJ41" s="260"/>
      <c r="HKK41" s="260"/>
      <c r="HKL41" s="260"/>
      <c r="HKM41" s="260"/>
      <c r="HKN41" s="260"/>
      <c r="HKO41" s="260"/>
      <c r="HKP41" s="260"/>
      <c r="HKQ41" s="260"/>
      <c r="HKR41" s="260"/>
      <c r="HKS41" s="260"/>
      <c r="HKT41" s="260"/>
      <c r="HKU41" s="260"/>
      <c r="HKV41" s="260"/>
      <c r="HKW41" s="260"/>
      <c r="HKX41" s="260"/>
      <c r="HKY41" s="260"/>
      <c r="HKZ41" s="260"/>
      <c r="HLA41" s="260"/>
      <c r="HLB41" s="260"/>
      <c r="HLC41" s="260"/>
      <c r="HLD41" s="260"/>
      <c r="HLE41" s="260"/>
      <c r="HLF41" s="260"/>
      <c r="HLG41" s="260"/>
      <c r="HLH41" s="260"/>
      <c r="HLI41" s="260"/>
      <c r="HLJ41" s="260"/>
      <c r="HLK41" s="260"/>
      <c r="HLL41" s="260"/>
      <c r="HLM41" s="260"/>
      <c r="HLN41" s="260"/>
      <c r="HLO41" s="260"/>
      <c r="HLP41" s="260"/>
      <c r="HLQ41" s="260"/>
      <c r="HLR41" s="260"/>
      <c r="HLS41" s="260"/>
      <c r="HLT41" s="260"/>
      <c r="HLU41" s="260"/>
      <c r="HLV41" s="260"/>
      <c r="HLW41" s="260"/>
      <c r="HLX41" s="260"/>
      <c r="HLY41" s="260"/>
      <c r="HLZ41" s="260"/>
      <c r="HMA41" s="260"/>
      <c r="HMB41" s="260"/>
      <c r="HMC41" s="260"/>
      <c r="HMD41" s="260"/>
      <c r="HME41" s="260"/>
      <c r="HMF41" s="260"/>
      <c r="HMG41" s="260"/>
      <c r="HMH41" s="260"/>
      <c r="HMI41" s="260"/>
      <c r="HMJ41" s="260"/>
      <c r="HMK41" s="260"/>
      <c r="HML41" s="260"/>
      <c r="HMM41" s="260"/>
      <c r="HMN41" s="260"/>
      <c r="HMO41" s="260"/>
      <c r="HMP41" s="260"/>
      <c r="HMQ41" s="260"/>
      <c r="HMR41" s="260"/>
      <c r="HMS41" s="260"/>
      <c r="HMT41" s="260"/>
      <c r="HMU41" s="260"/>
      <c r="HMV41" s="260"/>
      <c r="HMW41" s="260"/>
      <c r="HMX41" s="260"/>
      <c r="HMY41" s="260"/>
      <c r="HMZ41" s="260"/>
      <c r="HNA41" s="260"/>
      <c r="HNB41" s="260"/>
      <c r="HNC41" s="260"/>
      <c r="HND41" s="260"/>
      <c r="HNE41" s="260"/>
      <c r="HNF41" s="260"/>
      <c r="HNG41" s="260"/>
      <c r="HNH41" s="260"/>
      <c r="HNI41" s="260"/>
      <c r="HNJ41" s="260"/>
      <c r="HNK41" s="260"/>
      <c r="HNL41" s="260"/>
      <c r="HNM41" s="260"/>
      <c r="HNN41" s="260"/>
      <c r="HNO41" s="260"/>
      <c r="HNP41" s="260"/>
      <c r="HNQ41" s="260"/>
      <c r="HNR41" s="260"/>
      <c r="HNS41" s="260"/>
      <c r="HNT41" s="260"/>
      <c r="HNU41" s="260"/>
      <c r="HNV41" s="260"/>
      <c r="HNW41" s="260"/>
      <c r="HNX41" s="260"/>
      <c r="HNY41" s="260"/>
      <c r="HNZ41" s="260"/>
      <c r="HOA41" s="260"/>
      <c r="HOB41" s="260"/>
      <c r="HOC41" s="260"/>
      <c r="HOD41" s="260"/>
      <c r="HOE41" s="260"/>
      <c r="HOF41" s="260"/>
      <c r="HOG41" s="260"/>
      <c r="HOH41" s="260"/>
      <c r="HOI41" s="260"/>
      <c r="HOJ41" s="260"/>
      <c r="HOK41" s="260"/>
      <c r="HOL41" s="260"/>
      <c r="HOM41" s="260"/>
      <c r="HON41" s="260"/>
      <c r="HOO41" s="260"/>
      <c r="HOP41" s="260"/>
      <c r="HOQ41" s="260"/>
      <c r="HOR41" s="260"/>
      <c r="HOS41" s="260"/>
      <c r="HOT41" s="260"/>
      <c r="HOU41" s="260"/>
      <c r="HOV41" s="260"/>
      <c r="HOW41" s="260"/>
      <c r="HOX41" s="260"/>
      <c r="HOY41" s="260"/>
      <c r="HOZ41" s="260"/>
      <c r="HPA41" s="260"/>
      <c r="HPB41" s="260"/>
      <c r="HPC41" s="260"/>
      <c r="HPD41" s="260"/>
      <c r="HPE41" s="260"/>
      <c r="HPF41" s="260"/>
      <c r="HPG41" s="260"/>
      <c r="HPH41" s="260"/>
      <c r="HPI41" s="260"/>
      <c r="HPJ41" s="260"/>
      <c r="HPK41" s="260"/>
      <c r="HPL41" s="260"/>
      <c r="HPM41" s="260"/>
      <c r="HPN41" s="260"/>
      <c r="HPO41" s="260"/>
      <c r="HPP41" s="260"/>
      <c r="HPQ41" s="260"/>
      <c r="HPR41" s="260"/>
      <c r="HPS41" s="260"/>
      <c r="HPT41" s="260"/>
      <c r="HPU41" s="260"/>
      <c r="HPV41" s="260"/>
      <c r="HPW41" s="260"/>
      <c r="HPX41" s="260"/>
      <c r="HPY41" s="260"/>
      <c r="HPZ41" s="260"/>
      <c r="HQA41" s="260"/>
      <c r="HQB41" s="260"/>
      <c r="HQC41" s="260"/>
      <c r="HQD41" s="260"/>
      <c r="HQE41" s="260"/>
      <c r="HQF41" s="260"/>
      <c r="HQG41" s="260"/>
      <c r="HQH41" s="260"/>
      <c r="HQI41" s="260"/>
      <c r="HQJ41" s="260"/>
      <c r="HQK41" s="260"/>
      <c r="HQL41" s="260"/>
      <c r="HQM41" s="260"/>
      <c r="HQN41" s="260"/>
      <c r="HQO41" s="260"/>
      <c r="HQP41" s="260"/>
      <c r="HQQ41" s="260"/>
      <c r="HQR41" s="260"/>
      <c r="HQS41" s="260"/>
      <c r="HQT41" s="260"/>
      <c r="HQU41" s="260"/>
      <c r="HQV41" s="260"/>
      <c r="HQW41" s="260"/>
      <c r="HQX41" s="260"/>
      <c r="HQY41" s="260"/>
      <c r="HQZ41" s="260"/>
      <c r="HRA41" s="260"/>
      <c r="HRB41" s="260"/>
      <c r="HRC41" s="260"/>
      <c r="HRD41" s="260"/>
      <c r="HRE41" s="260"/>
      <c r="HRF41" s="260"/>
      <c r="HRG41" s="260"/>
      <c r="HRH41" s="260"/>
      <c r="HRI41" s="260"/>
      <c r="HRJ41" s="260"/>
      <c r="HRK41" s="260"/>
      <c r="HRL41" s="260"/>
      <c r="HRM41" s="260"/>
      <c r="HRN41" s="260"/>
      <c r="HRO41" s="260"/>
      <c r="HRP41" s="260"/>
      <c r="HRQ41" s="260"/>
      <c r="HRR41" s="260"/>
      <c r="HRS41" s="260"/>
      <c r="HRT41" s="260"/>
      <c r="HRU41" s="260"/>
      <c r="HRV41" s="260"/>
      <c r="HRW41" s="260"/>
      <c r="HRX41" s="260"/>
      <c r="HRY41" s="260"/>
      <c r="HRZ41" s="260"/>
      <c r="HSA41" s="260"/>
      <c r="HSB41" s="260"/>
      <c r="HSC41" s="260"/>
      <c r="HSD41" s="260"/>
      <c r="HSE41" s="260"/>
      <c r="HSF41" s="260"/>
      <c r="HSG41" s="260"/>
      <c r="HSH41" s="260"/>
      <c r="HSI41" s="260"/>
      <c r="HSJ41" s="260"/>
      <c r="HSK41" s="260"/>
      <c r="HSL41" s="260"/>
      <c r="HSM41" s="260"/>
      <c r="HSN41" s="260"/>
      <c r="HSO41" s="260"/>
      <c r="HSP41" s="260"/>
      <c r="HSQ41" s="260"/>
      <c r="HSR41" s="260"/>
      <c r="HSS41" s="260"/>
      <c r="HST41" s="260"/>
      <c r="HSU41" s="260"/>
      <c r="HSV41" s="260"/>
      <c r="HSW41" s="260"/>
      <c r="HSX41" s="260"/>
      <c r="HSY41" s="260"/>
      <c r="HSZ41" s="260"/>
      <c r="HTA41" s="260"/>
      <c r="HTB41" s="260"/>
      <c r="HTC41" s="260"/>
      <c r="HTD41" s="260"/>
      <c r="HTE41" s="260"/>
      <c r="HTF41" s="260"/>
      <c r="HTG41" s="260"/>
      <c r="HTH41" s="260"/>
      <c r="HTI41" s="260"/>
      <c r="HTJ41" s="260"/>
      <c r="HTK41" s="260"/>
      <c r="HTL41" s="260"/>
      <c r="HTM41" s="260"/>
      <c r="HTN41" s="260"/>
      <c r="HTO41" s="260"/>
      <c r="HTP41" s="260"/>
      <c r="HTQ41" s="260"/>
      <c r="HTR41" s="260"/>
      <c r="HTS41" s="260"/>
      <c r="HTT41" s="260"/>
      <c r="HTU41" s="260"/>
      <c r="HTV41" s="260"/>
      <c r="HTW41" s="260"/>
      <c r="HTX41" s="260"/>
      <c r="HTY41" s="260"/>
      <c r="HTZ41" s="260"/>
      <c r="HUA41" s="260"/>
      <c r="HUB41" s="260"/>
      <c r="HUC41" s="260"/>
      <c r="HUD41" s="260"/>
      <c r="HUE41" s="260"/>
      <c r="HUF41" s="260"/>
      <c r="HUG41" s="260"/>
      <c r="HUH41" s="260"/>
      <c r="HUI41" s="260"/>
      <c r="HUJ41" s="260"/>
      <c r="HUK41" s="260"/>
      <c r="HUL41" s="260"/>
      <c r="HUM41" s="260"/>
      <c r="HUN41" s="260"/>
      <c r="HUO41" s="260"/>
      <c r="HUP41" s="260"/>
      <c r="HUQ41" s="260"/>
      <c r="HUR41" s="260"/>
      <c r="HUS41" s="260"/>
      <c r="HUT41" s="260"/>
      <c r="HUU41" s="260"/>
      <c r="HUV41" s="260"/>
      <c r="HUW41" s="260"/>
      <c r="HUX41" s="260"/>
      <c r="HUY41" s="260"/>
      <c r="HUZ41" s="260"/>
      <c r="HVA41" s="260"/>
      <c r="HVB41" s="260"/>
      <c r="HVC41" s="260"/>
      <c r="HVD41" s="260"/>
      <c r="HVE41" s="260"/>
      <c r="HVF41" s="260"/>
      <c r="HVG41" s="260"/>
      <c r="HVH41" s="260"/>
      <c r="HVI41" s="260"/>
      <c r="HVJ41" s="260"/>
      <c r="HVK41" s="260"/>
      <c r="HVL41" s="260"/>
      <c r="HVM41" s="260"/>
      <c r="HVN41" s="260"/>
      <c r="HVO41" s="260"/>
      <c r="HVP41" s="260"/>
      <c r="HVQ41" s="260"/>
      <c r="HVR41" s="260"/>
      <c r="HVS41" s="260"/>
      <c r="HVT41" s="260"/>
      <c r="HVU41" s="260"/>
      <c r="HVV41" s="260"/>
      <c r="HVW41" s="260"/>
      <c r="HVX41" s="260"/>
      <c r="HVY41" s="260"/>
      <c r="HVZ41" s="260"/>
      <c r="HWA41" s="260"/>
      <c r="HWB41" s="260"/>
      <c r="HWC41" s="260"/>
      <c r="HWD41" s="260"/>
      <c r="HWE41" s="260"/>
      <c r="HWF41" s="260"/>
      <c r="HWG41" s="260"/>
      <c r="HWH41" s="260"/>
      <c r="HWI41" s="260"/>
      <c r="HWJ41" s="260"/>
      <c r="HWK41" s="260"/>
      <c r="HWL41" s="260"/>
      <c r="HWM41" s="260"/>
      <c r="HWN41" s="260"/>
      <c r="HWO41" s="260"/>
      <c r="HWP41" s="260"/>
      <c r="HWQ41" s="260"/>
      <c r="HWR41" s="260"/>
      <c r="HWS41" s="260"/>
      <c r="HWT41" s="260"/>
      <c r="HWU41" s="260"/>
      <c r="HWV41" s="260"/>
      <c r="HWW41" s="260"/>
      <c r="HWX41" s="260"/>
      <c r="HWY41" s="260"/>
      <c r="HWZ41" s="260"/>
      <c r="HXA41" s="260"/>
      <c r="HXB41" s="260"/>
      <c r="HXC41" s="260"/>
      <c r="HXD41" s="260"/>
      <c r="HXE41" s="260"/>
      <c r="HXF41" s="260"/>
      <c r="HXG41" s="260"/>
      <c r="HXH41" s="260"/>
      <c r="HXI41" s="260"/>
      <c r="HXJ41" s="260"/>
      <c r="HXK41" s="260"/>
      <c r="HXL41" s="260"/>
      <c r="HXM41" s="260"/>
      <c r="HXN41" s="260"/>
      <c r="HXO41" s="260"/>
      <c r="HXP41" s="260"/>
      <c r="HXQ41" s="260"/>
      <c r="HXR41" s="260"/>
      <c r="HXS41" s="260"/>
      <c r="HXT41" s="260"/>
      <c r="HXU41" s="260"/>
      <c r="HXV41" s="260"/>
      <c r="HXW41" s="260"/>
      <c r="HXX41" s="260"/>
      <c r="HXY41" s="260"/>
      <c r="HXZ41" s="260"/>
      <c r="HYA41" s="260"/>
      <c r="HYB41" s="260"/>
      <c r="HYC41" s="260"/>
      <c r="HYD41" s="260"/>
      <c r="HYE41" s="260"/>
      <c r="HYF41" s="260"/>
      <c r="HYG41" s="260"/>
      <c r="HYH41" s="260"/>
      <c r="HYI41" s="260"/>
      <c r="HYJ41" s="260"/>
      <c r="HYK41" s="260"/>
      <c r="HYL41" s="260"/>
      <c r="HYM41" s="260"/>
      <c r="HYN41" s="260"/>
      <c r="HYO41" s="260"/>
      <c r="HYP41" s="260"/>
      <c r="HYQ41" s="260"/>
      <c r="HYR41" s="260"/>
      <c r="HYS41" s="260"/>
      <c r="HYT41" s="260"/>
      <c r="HYU41" s="260"/>
      <c r="HYV41" s="260"/>
      <c r="HYW41" s="260"/>
      <c r="HYX41" s="260"/>
      <c r="HYY41" s="260"/>
      <c r="HYZ41" s="260"/>
      <c r="HZA41" s="260"/>
      <c r="HZB41" s="260"/>
      <c r="HZC41" s="260"/>
      <c r="HZD41" s="260"/>
      <c r="HZE41" s="260"/>
      <c r="HZF41" s="260"/>
      <c r="HZG41" s="260"/>
      <c r="HZH41" s="260"/>
      <c r="HZI41" s="260"/>
      <c r="HZJ41" s="260"/>
      <c r="HZK41" s="260"/>
      <c r="HZL41" s="260"/>
      <c r="HZM41" s="260"/>
      <c r="HZN41" s="260"/>
      <c r="HZO41" s="260"/>
      <c r="HZP41" s="260"/>
      <c r="HZQ41" s="260"/>
      <c r="HZR41" s="260"/>
      <c r="HZS41" s="260"/>
      <c r="HZT41" s="260"/>
      <c r="HZU41" s="260"/>
      <c r="HZV41" s="260"/>
      <c r="HZW41" s="260"/>
      <c r="HZX41" s="260"/>
      <c r="HZY41" s="260"/>
      <c r="HZZ41" s="260"/>
      <c r="IAA41" s="260"/>
      <c r="IAB41" s="260"/>
      <c r="IAC41" s="260"/>
      <c r="IAD41" s="260"/>
      <c r="IAE41" s="260"/>
      <c r="IAF41" s="260"/>
      <c r="IAG41" s="260"/>
      <c r="IAH41" s="260"/>
      <c r="IAI41" s="260"/>
      <c r="IAJ41" s="260"/>
      <c r="IAK41" s="260"/>
      <c r="IAL41" s="260"/>
      <c r="IAM41" s="260"/>
      <c r="IAN41" s="260"/>
      <c r="IAO41" s="260"/>
      <c r="IAP41" s="260"/>
      <c r="IAQ41" s="260"/>
      <c r="IAR41" s="260"/>
      <c r="IAS41" s="260"/>
      <c r="IAT41" s="260"/>
      <c r="IAU41" s="260"/>
      <c r="IAV41" s="260"/>
      <c r="IAW41" s="260"/>
      <c r="IAX41" s="260"/>
      <c r="IAY41" s="260"/>
      <c r="IAZ41" s="260"/>
      <c r="IBA41" s="260"/>
      <c r="IBB41" s="260"/>
      <c r="IBC41" s="260"/>
      <c r="IBD41" s="260"/>
      <c r="IBE41" s="260"/>
      <c r="IBF41" s="260"/>
      <c r="IBG41" s="260"/>
      <c r="IBH41" s="260"/>
      <c r="IBI41" s="260"/>
      <c r="IBJ41" s="260"/>
      <c r="IBK41" s="260"/>
      <c r="IBL41" s="260"/>
      <c r="IBM41" s="260"/>
      <c r="IBN41" s="260"/>
      <c r="IBO41" s="260"/>
      <c r="IBP41" s="260"/>
      <c r="IBQ41" s="260"/>
      <c r="IBR41" s="260"/>
      <c r="IBS41" s="260"/>
      <c r="IBT41" s="260"/>
      <c r="IBU41" s="260"/>
      <c r="IBV41" s="260"/>
      <c r="IBW41" s="260"/>
      <c r="IBX41" s="260"/>
      <c r="IBY41" s="260"/>
      <c r="IBZ41" s="260"/>
      <c r="ICA41" s="260"/>
      <c r="ICB41" s="260"/>
      <c r="ICC41" s="260"/>
      <c r="ICD41" s="260"/>
      <c r="ICE41" s="260"/>
      <c r="ICF41" s="260"/>
      <c r="ICG41" s="260"/>
      <c r="ICH41" s="260"/>
      <c r="ICI41" s="260"/>
      <c r="ICJ41" s="260"/>
      <c r="ICK41" s="260"/>
      <c r="ICL41" s="260"/>
      <c r="ICM41" s="260"/>
      <c r="ICN41" s="260"/>
      <c r="ICO41" s="260"/>
      <c r="ICP41" s="260"/>
      <c r="ICQ41" s="260"/>
      <c r="ICR41" s="260"/>
      <c r="ICS41" s="260"/>
      <c r="ICT41" s="260"/>
      <c r="ICU41" s="260"/>
      <c r="ICV41" s="260"/>
      <c r="ICW41" s="260"/>
      <c r="ICX41" s="260"/>
      <c r="ICY41" s="260"/>
      <c r="ICZ41" s="260"/>
      <c r="IDA41" s="260"/>
      <c r="IDB41" s="260"/>
      <c r="IDC41" s="260"/>
      <c r="IDD41" s="260"/>
      <c r="IDE41" s="260"/>
      <c r="IDF41" s="260"/>
      <c r="IDG41" s="260"/>
      <c r="IDH41" s="260"/>
      <c r="IDI41" s="260"/>
      <c r="IDJ41" s="260"/>
      <c r="IDK41" s="260"/>
      <c r="IDL41" s="260"/>
      <c r="IDM41" s="260"/>
      <c r="IDN41" s="260"/>
      <c r="IDO41" s="260"/>
      <c r="IDP41" s="260"/>
      <c r="IDQ41" s="260"/>
      <c r="IDR41" s="260"/>
      <c r="IDS41" s="260"/>
      <c r="IDT41" s="260"/>
      <c r="IDU41" s="260"/>
      <c r="IDV41" s="260"/>
      <c r="IDW41" s="260"/>
      <c r="IDX41" s="260"/>
      <c r="IDY41" s="260"/>
      <c r="IDZ41" s="260"/>
      <c r="IEA41" s="260"/>
      <c r="IEB41" s="260"/>
      <c r="IEC41" s="260"/>
      <c r="IED41" s="260"/>
      <c r="IEE41" s="260"/>
      <c r="IEF41" s="260"/>
      <c r="IEG41" s="260"/>
      <c r="IEH41" s="260"/>
      <c r="IEI41" s="260"/>
      <c r="IEJ41" s="260"/>
      <c r="IEK41" s="260"/>
      <c r="IEL41" s="260"/>
      <c r="IEM41" s="260"/>
      <c r="IEN41" s="260"/>
      <c r="IEO41" s="260"/>
      <c r="IEP41" s="260"/>
      <c r="IEQ41" s="260"/>
      <c r="IER41" s="260"/>
      <c r="IES41" s="260"/>
      <c r="IET41" s="260"/>
      <c r="IEU41" s="260"/>
      <c r="IEV41" s="260"/>
      <c r="IEW41" s="260"/>
      <c r="IEX41" s="260"/>
      <c r="IEY41" s="260"/>
      <c r="IEZ41" s="260"/>
      <c r="IFA41" s="260"/>
      <c r="IFB41" s="260"/>
      <c r="IFC41" s="260"/>
      <c r="IFD41" s="260"/>
      <c r="IFE41" s="260"/>
      <c r="IFF41" s="260"/>
      <c r="IFG41" s="260"/>
      <c r="IFH41" s="260"/>
      <c r="IFI41" s="260"/>
      <c r="IFJ41" s="260"/>
      <c r="IFK41" s="260"/>
      <c r="IFL41" s="260"/>
      <c r="IFM41" s="260"/>
      <c r="IFN41" s="260"/>
      <c r="IFO41" s="260"/>
      <c r="IFP41" s="260"/>
      <c r="IFQ41" s="260"/>
      <c r="IFR41" s="260"/>
      <c r="IFS41" s="260"/>
      <c r="IFT41" s="260"/>
      <c r="IFU41" s="260"/>
      <c r="IFV41" s="260"/>
      <c r="IFW41" s="260"/>
      <c r="IFX41" s="260"/>
      <c r="IFY41" s="260"/>
      <c r="IFZ41" s="260"/>
      <c r="IGA41" s="260"/>
      <c r="IGB41" s="260"/>
      <c r="IGC41" s="260"/>
      <c r="IGD41" s="260"/>
      <c r="IGE41" s="260"/>
      <c r="IGF41" s="260"/>
      <c r="IGG41" s="260"/>
      <c r="IGH41" s="260"/>
      <c r="IGI41" s="260"/>
      <c r="IGJ41" s="260"/>
      <c r="IGK41" s="260"/>
      <c r="IGL41" s="260"/>
      <c r="IGM41" s="260"/>
      <c r="IGN41" s="260"/>
      <c r="IGO41" s="260"/>
      <c r="IGP41" s="260"/>
      <c r="IGQ41" s="260"/>
      <c r="IGR41" s="260"/>
      <c r="IGS41" s="260"/>
      <c r="IGT41" s="260"/>
      <c r="IGU41" s="260"/>
      <c r="IGV41" s="260"/>
      <c r="IGW41" s="260"/>
      <c r="IGX41" s="260"/>
      <c r="IGY41" s="260"/>
      <c r="IGZ41" s="260"/>
      <c r="IHA41" s="260"/>
      <c r="IHB41" s="260"/>
      <c r="IHC41" s="260"/>
      <c r="IHD41" s="260"/>
      <c r="IHE41" s="260"/>
      <c r="IHF41" s="260"/>
      <c r="IHG41" s="260"/>
      <c r="IHH41" s="260"/>
      <c r="IHI41" s="260"/>
      <c r="IHJ41" s="260"/>
      <c r="IHK41" s="260"/>
      <c r="IHL41" s="260"/>
      <c r="IHM41" s="260"/>
      <c r="IHN41" s="260"/>
      <c r="IHO41" s="260"/>
      <c r="IHP41" s="260"/>
      <c r="IHQ41" s="260"/>
      <c r="IHR41" s="260"/>
      <c r="IHS41" s="260"/>
      <c r="IHT41" s="260"/>
      <c r="IHU41" s="260"/>
      <c r="IHV41" s="260"/>
      <c r="IHW41" s="260"/>
      <c r="IHX41" s="260"/>
      <c r="IHY41" s="260"/>
      <c r="IHZ41" s="260"/>
      <c r="IIA41" s="260"/>
      <c r="IIB41" s="260"/>
      <c r="IIC41" s="260"/>
      <c r="IID41" s="260"/>
      <c r="IIE41" s="260"/>
      <c r="IIF41" s="260"/>
      <c r="IIG41" s="260"/>
      <c r="IIH41" s="260"/>
      <c r="III41" s="260"/>
      <c r="IIJ41" s="260"/>
      <c r="IIK41" s="260"/>
      <c r="IIL41" s="260"/>
      <c r="IIM41" s="260"/>
      <c r="IIN41" s="260"/>
      <c r="IIO41" s="260"/>
      <c r="IIP41" s="260"/>
      <c r="IIQ41" s="260"/>
      <c r="IIR41" s="260"/>
      <c r="IIS41" s="260"/>
      <c r="IIT41" s="260"/>
      <c r="IIU41" s="260"/>
      <c r="IIV41" s="260"/>
      <c r="IIW41" s="260"/>
      <c r="IIX41" s="260"/>
      <c r="IIY41" s="260"/>
      <c r="IIZ41" s="260"/>
      <c r="IJA41" s="260"/>
      <c r="IJB41" s="260"/>
      <c r="IJC41" s="260"/>
      <c r="IJD41" s="260"/>
      <c r="IJE41" s="260"/>
      <c r="IJF41" s="260"/>
      <c r="IJG41" s="260"/>
      <c r="IJH41" s="260"/>
      <c r="IJI41" s="260"/>
      <c r="IJJ41" s="260"/>
      <c r="IJK41" s="260"/>
      <c r="IJL41" s="260"/>
      <c r="IJM41" s="260"/>
      <c r="IJN41" s="260"/>
      <c r="IJO41" s="260"/>
      <c r="IJP41" s="260"/>
      <c r="IJQ41" s="260"/>
      <c r="IJR41" s="260"/>
      <c r="IJS41" s="260"/>
      <c r="IJT41" s="260"/>
      <c r="IJU41" s="260"/>
      <c r="IJV41" s="260"/>
      <c r="IJW41" s="260"/>
      <c r="IJX41" s="260"/>
      <c r="IJY41" s="260"/>
      <c r="IJZ41" s="260"/>
      <c r="IKA41" s="260"/>
      <c r="IKB41" s="260"/>
      <c r="IKC41" s="260"/>
      <c r="IKD41" s="260"/>
      <c r="IKE41" s="260"/>
      <c r="IKF41" s="260"/>
      <c r="IKG41" s="260"/>
      <c r="IKH41" s="260"/>
      <c r="IKI41" s="260"/>
      <c r="IKJ41" s="260"/>
      <c r="IKK41" s="260"/>
      <c r="IKL41" s="260"/>
      <c r="IKM41" s="260"/>
      <c r="IKN41" s="260"/>
      <c r="IKO41" s="260"/>
      <c r="IKP41" s="260"/>
      <c r="IKQ41" s="260"/>
      <c r="IKR41" s="260"/>
      <c r="IKS41" s="260"/>
      <c r="IKT41" s="260"/>
      <c r="IKU41" s="260"/>
      <c r="IKV41" s="260"/>
      <c r="IKW41" s="260"/>
      <c r="IKX41" s="260"/>
      <c r="IKY41" s="260"/>
      <c r="IKZ41" s="260"/>
      <c r="ILA41" s="260"/>
      <c r="ILB41" s="260"/>
      <c r="ILC41" s="260"/>
      <c r="ILD41" s="260"/>
      <c r="ILE41" s="260"/>
      <c r="ILF41" s="260"/>
      <c r="ILG41" s="260"/>
      <c r="ILH41" s="260"/>
      <c r="ILI41" s="260"/>
      <c r="ILJ41" s="260"/>
      <c r="ILK41" s="260"/>
      <c r="ILL41" s="260"/>
      <c r="ILM41" s="260"/>
      <c r="ILN41" s="260"/>
      <c r="ILO41" s="260"/>
      <c r="ILP41" s="260"/>
      <c r="ILQ41" s="260"/>
      <c r="ILR41" s="260"/>
      <c r="ILS41" s="260"/>
      <c r="ILT41" s="260"/>
      <c r="ILU41" s="260"/>
      <c r="ILV41" s="260"/>
      <c r="ILW41" s="260"/>
      <c r="ILX41" s="260"/>
      <c r="ILY41" s="260"/>
      <c r="ILZ41" s="260"/>
      <c r="IMA41" s="260"/>
      <c r="IMB41" s="260"/>
      <c r="IMC41" s="260"/>
      <c r="IMD41" s="260"/>
      <c r="IME41" s="260"/>
      <c r="IMF41" s="260"/>
      <c r="IMG41" s="260"/>
      <c r="IMH41" s="260"/>
      <c r="IMI41" s="260"/>
      <c r="IMJ41" s="260"/>
      <c r="IMK41" s="260"/>
      <c r="IML41" s="260"/>
      <c r="IMM41" s="260"/>
      <c r="IMN41" s="260"/>
      <c r="IMO41" s="260"/>
      <c r="IMP41" s="260"/>
      <c r="IMQ41" s="260"/>
      <c r="IMR41" s="260"/>
      <c r="IMS41" s="260"/>
      <c r="IMT41" s="260"/>
      <c r="IMU41" s="260"/>
      <c r="IMV41" s="260"/>
      <c r="IMW41" s="260"/>
      <c r="IMX41" s="260"/>
      <c r="IMY41" s="260"/>
      <c r="IMZ41" s="260"/>
      <c r="INA41" s="260"/>
      <c r="INB41" s="260"/>
      <c r="INC41" s="260"/>
      <c r="IND41" s="260"/>
      <c r="INE41" s="260"/>
      <c r="INF41" s="260"/>
      <c r="ING41" s="260"/>
      <c r="INH41" s="260"/>
      <c r="INI41" s="260"/>
      <c r="INJ41" s="260"/>
      <c r="INK41" s="260"/>
      <c r="INL41" s="260"/>
      <c r="INM41" s="260"/>
      <c r="INN41" s="260"/>
      <c r="INO41" s="260"/>
      <c r="INP41" s="260"/>
      <c r="INQ41" s="260"/>
      <c r="INR41" s="260"/>
      <c r="INS41" s="260"/>
      <c r="INT41" s="260"/>
      <c r="INU41" s="260"/>
      <c r="INV41" s="260"/>
      <c r="INW41" s="260"/>
      <c r="INX41" s="260"/>
      <c r="INY41" s="260"/>
      <c r="INZ41" s="260"/>
      <c r="IOA41" s="260"/>
      <c r="IOB41" s="260"/>
      <c r="IOC41" s="260"/>
      <c r="IOD41" s="260"/>
      <c r="IOE41" s="260"/>
      <c r="IOF41" s="260"/>
      <c r="IOG41" s="260"/>
      <c r="IOH41" s="260"/>
      <c r="IOI41" s="260"/>
      <c r="IOJ41" s="260"/>
      <c r="IOK41" s="260"/>
      <c r="IOL41" s="260"/>
      <c r="IOM41" s="260"/>
      <c r="ION41" s="260"/>
      <c r="IOO41" s="260"/>
      <c r="IOP41" s="260"/>
      <c r="IOQ41" s="260"/>
      <c r="IOR41" s="260"/>
      <c r="IOS41" s="260"/>
      <c r="IOT41" s="260"/>
      <c r="IOU41" s="260"/>
      <c r="IOV41" s="260"/>
      <c r="IOW41" s="260"/>
      <c r="IOX41" s="260"/>
      <c r="IOY41" s="260"/>
      <c r="IOZ41" s="260"/>
      <c r="IPA41" s="260"/>
      <c r="IPB41" s="260"/>
      <c r="IPC41" s="260"/>
      <c r="IPD41" s="260"/>
      <c r="IPE41" s="260"/>
      <c r="IPF41" s="260"/>
      <c r="IPG41" s="260"/>
      <c r="IPH41" s="260"/>
      <c r="IPI41" s="260"/>
      <c r="IPJ41" s="260"/>
      <c r="IPK41" s="260"/>
      <c r="IPL41" s="260"/>
      <c r="IPM41" s="260"/>
      <c r="IPN41" s="260"/>
      <c r="IPO41" s="260"/>
      <c r="IPP41" s="260"/>
      <c r="IPQ41" s="260"/>
      <c r="IPR41" s="260"/>
      <c r="IPS41" s="260"/>
      <c r="IPT41" s="260"/>
      <c r="IPU41" s="260"/>
      <c r="IPV41" s="260"/>
      <c r="IPW41" s="260"/>
      <c r="IPX41" s="260"/>
      <c r="IPY41" s="260"/>
      <c r="IPZ41" s="260"/>
      <c r="IQA41" s="260"/>
      <c r="IQB41" s="260"/>
      <c r="IQC41" s="260"/>
      <c r="IQD41" s="260"/>
      <c r="IQE41" s="260"/>
      <c r="IQF41" s="260"/>
      <c r="IQG41" s="260"/>
      <c r="IQH41" s="260"/>
      <c r="IQI41" s="260"/>
      <c r="IQJ41" s="260"/>
      <c r="IQK41" s="260"/>
      <c r="IQL41" s="260"/>
      <c r="IQM41" s="260"/>
      <c r="IQN41" s="260"/>
      <c r="IQO41" s="260"/>
      <c r="IQP41" s="260"/>
      <c r="IQQ41" s="260"/>
      <c r="IQR41" s="260"/>
      <c r="IQS41" s="260"/>
      <c r="IQT41" s="260"/>
      <c r="IQU41" s="260"/>
      <c r="IQV41" s="260"/>
      <c r="IQW41" s="260"/>
      <c r="IQX41" s="260"/>
      <c r="IQY41" s="260"/>
      <c r="IQZ41" s="260"/>
      <c r="IRA41" s="260"/>
      <c r="IRB41" s="260"/>
      <c r="IRC41" s="260"/>
      <c r="IRD41" s="260"/>
      <c r="IRE41" s="260"/>
      <c r="IRF41" s="260"/>
      <c r="IRG41" s="260"/>
      <c r="IRH41" s="260"/>
      <c r="IRI41" s="260"/>
      <c r="IRJ41" s="260"/>
      <c r="IRK41" s="260"/>
      <c r="IRL41" s="260"/>
      <c r="IRM41" s="260"/>
      <c r="IRN41" s="260"/>
      <c r="IRO41" s="260"/>
      <c r="IRP41" s="260"/>
      <c r="IRQ41" s="260"/>
      <c r="IRR41" s="260"/>
      <c r="IRS41" s="260"/>
      <c r="IRT41" s="260"/>
      <c r="IRU41" s="260"/>
      <c r="IRV41" s="260"/>
      <c r="IRW41" s="260"/>
      <c r="IRX41" s="260"/>
      <c r="IRY41" s="260"/>
      <c r="IRZ41" s="260"/>
      <c r="ISA41" s="260"/>
      <c r="ISB41" s="260"/>
      <c r="ISC41" s="260"/>
      <c r="ISD41" s="260"/>
      <c r="ISE41" s="260"/>
      <c r="ISF41" s="260"/>
      <c r="ISG41" s="260"/>
      <c r="ISH41" s="260"/>
      <c r="ISI41" s="260"/>
      <c r="ISJ41" s="260"/>
      <c r="ISK41" s="260"/>
      <c r="ISL41" s="260"/>
      <c r="ISM41" s="260"/>
      <c r="ISN41" s="260"/>
      <c r="ISO41" s="260"/>
      <c r="ISP41" s="260"/>
      <c r="ISQ41" s="260"/>
      <c r="ISR41" s="260"/>
      <c r="ISS41" s="260"/>
      <c r="IST41" s="260"/>
      <c r="ISU41" s="260"/>
      <c r="ISV41" s="260"/>
      <c r="ISW41" s="260"/>
      <c r="ISX41" s="260"/>
      <c r="ISY41" s="260"/>
      <c r="ISZ41" s="260"/>
      <c r="ITA41" s="260"/>
      <c r="ITB41" s="260"/>
      <c r="ITC41" s="260"/>
      <c r="ITD41" s="260"/>
      <c r="ITE41" s="260"/>
      <c r="ITF41" s="260"/>
      <c r="ITG41" s="260"/>
      <c r="ITH41" s="260"/>
      <c r="ITI41" s="260"/>
      <c r="ITJ41" s="260"/>
      <c r="ITK41" s="260"/>
      <c r="ITL41" s="260"/>
      <c r="ITM41" s="260"/>
      <c r="ITN41" s="260"/>
      <c r="ITO41" s="260"/>
      <c r="ITP41" s="260"/>
      <c r="ITQ41" s="260"/>
      <c r="ITR41" s="260"/>
      <c r="ITS41" s="260"/>
      <c r="ITT41" s="260"/>
      <c r="ITU41" s="260"/>
      <c r="ITV41" s="260"/>
      <c r="ITW41" s="260"/>
      <c r="ITX41" s="260"/>
      <c r="ITY41" s="260"/>
      <c r="ITZ41" s="260"/>
      <c r="IUA41" s="260"/>
      <c r="IUB41" s="260"/>
      <c r="IUC41" s="260"/>
      <c r="IUD41" s="260"/>
      <c r="IUE41" s="260"/>
      <c r="IUF41" s="260"/>
      <c r="IUG41" s="260"/>
      <c r="IUH41" s="260"/>
      <c r="IUI41" s="260"/>
      <c r="IUJ41" s="260"/>
      <c r="IUK41" s="260"/>
      <c r="IUL41" s="260"/>
      <c r="IUM41" s="260"/>
      <c r="IUN41" s="260"/>
      <c r="IUO41" s="260"/>
      <c r="IUP41" s="260"/>
      <c r="IUQ41" s="260"/>
      <c r="IUR41" s="260"/>
      <c r="IUS41" s="260"/>
      <c r="IUT41" s="260"/>
      <c r="IUU41" s="260"/>
      <c r="IUV41" s="260"/>
      <c r="IUW41" s="260"/>
      <c r="IUX41" s="260"/>
      <c r="IUY41" s="260"/>
      <c r="IUZ41" s="260"/>
      <c r="IVA41" s="260"/>
      <c r="IVB41" s="260"/>
      <c r="IVC41" s="260"/>
      <c r="IVD41" s="260"/>
      <c r="IVE41" s="260"/>
      <c r="IVF41" s="260"/>
      <c r="IVG41" s="260"/>
      <c r="IVH41" s="260"/>
      <c r="IVI41" s="260"/>
      <c r="IVJ41" s="260"/>
      <c r="IVK41" s="260"/>
      <c r="IVL41" s="260"/>
      <c r="IVM41" s="260"/>
      <c r="IVN41" s="260"/>
      <c r="IVO41" s="260"/>
      <c r="IVP41" s="260"/>
      <c r="IVQ41" s="260"/>
      <c r="IVR41" s="260"/>
      <c r="IVS41" s="260"/>
      <c r="IVT41" s="260"/>
      <c r="IVU41" s="260"/>
      <c r="IVV41" s="260"/>
      <c r="IVW41" s="260"/>
      <c r="IVX41" s="260"/>
      <c r="IVY41" s="260"/>
      <c r="IVZ41" s="260"/>
      <c r="IWA41" s="260"/>
      <c r="IWB41" s="260"/>
      <c r="IWC41" s="260"/>
      <c r="IWD41" s="260"/>
      <c r="IWE41" s="260"/>
      <c r="IWF41" s="260"/>
      <c r="IWG41" s="260"/>
      <c r="IWH41" s="260"/>
      <c r="IWI41" s="260"/>
      <c r="IWJ41" s="260"/>
      <c r="IWK41" s="260"/>
      <c r="IWL41" s="260"/>
      <c r="IWM41" s="260"/>
      <c r="IWN41" s="260"/>
      <c r="IWO41" s="260"/>
      <c r="IWP41" s="260"/>
      <c r="IWQ41" s="260"/>
      <c r="IWR41" s="260"/>
      <c r="IWS41" s="260"/>
      <c r="IWT41" s="260"/>
      <c r="IWU41" s="260"/>
      <c r="IWV41" s="260"/>
      <c r="IWW41" s="260"/>
      <c r="IWX41" s="260"/>
      <c r="IWY41" s="260"/>
      <c r="IWZ41" s="260"/>
      <c r="IXA41" s="260"/>
      <c r="IXB41" s="260"/>
      <c r="IXC41" s="260"/>
      <c r="IXD41" s="260"/>
      <c r="IXE41" s="260"/>
      <c r="IXF41" s="260"/>
      <c r="IXG41" s="260"/>
      <c r="IXH41" s="260"/>
      <c r="IXI41" s="260"/>
      <c r="IXJ41" s="260"/>
      <c r="IXK41" s="260"/>
      <c r="IXL41" s="260"/>
      <c r="IXM41" s="260"/>
      <c r="IXN41" s="260"/>
      <c r="IXO41" s="260"/>
      <c r="IXP41" s="260"/>
      <c r="IXQ41" s="260"/>
      <c r="IXR41" s="260"/>
      <c r="IXS41" s="260"/>
      <c r="IXT41" s="260"/>
      <c r="IXU41" s="260"/>
      <c r="IXV41" s="260"/>
      <c r="IXW41" s="260"/>
      <c r="IXX41" s="260"/>
      <c r="IXY41" s="260"/>
      <c r="IXZ41" s="260"/>
      <c r="IYA41" s="260"/>
      <c r="IYB41" s="260"/>
      <c r="IYC41" s="260"/>
      <c r="IYD41" s="260"/>
      <c r="IYE41" s="260"/>
      <c r="IYF41" s="260"/>
      <c r="IYG41" s="260"/>
      <c r="IYH41" s="260"/>
      <c r="IYI41" s="260"/>
      <c r="IYJ41" s="260"/>
      <c r="IYK41" s="260"/>
      <c r="IYL41" s="260"/>
      <c r="IYM41" s="260"/>
      <c r="IYN41" s="260"/>
      <c r="IYO41" s="260"/>
      <c r="IYP41" s="260"/>
      <c r="IYQ41" s="260"/>
      <c r="IYR41" s="260"/>
      <c r="IYS41" s="260"/>
      <c r="IYT41" s="260"/>
      <c r="IYU41" s="260"/>
      <c r="IYV41" s="260"/>
      <c r="IYW41" s="260"/>
      <c r="IYX41" s="260"/>
      <c r="IYY41" s="260"/>
      <c r="IYZ41" s="260"/>
      <c r="IZA41" s="260"/>
      <c r="IZB41" s="260"/>
      <c r="IZC41" s="260"/>
      <c r="IZD41" s="260"/>
      <c r="IZE41" s="260"/>
      <c r="IZF41" s="260"/>
      <c r="IZG41" s="260"/>
      <c r="IZH41" s="260"/>
      <c r="IZI41" s="260"/>
      <c r="IZJ41" s="260"/>
      <c r="IZK41" s="260"/>
      <c r="IZL41" s="260"/>
      <c r="IZM41" s="260"/>
      <c r="IZN41" s="260"/>
      <c r="IZO41" s="260"/>
      <c r="IZP41" s="260"/>
      <c r="IZQ41" s="260"/>
      <c r="IZR41" s="260"/>
      <c r="IZS41" s="260"/>
      <c r="IZT41" s="260"/>
      <c r="IZU41" s="260"/>
      <c r="IZV41" s="260"/>
      <c r="IZW41" s="260"/>
      <c r="IZX41" s="260"/>
      <c r="IZY41" s="260"/>
      <c r="IZZ41" s="260"/>
      <c r="JAA41" s="260"/>
      <c r="JAB41" s="260"/>
      <c r="JAC41" s="260"/>
      <c r="JAD41" s="260"/>
      <c r="JAE41" s="260"/>
      <c r="JAF41" s="260"/>
      <c r="JAG41" s="260"/>
      <c r="JAH41" s="260"/>
      <c r="JAI41" s="260"/>
      <c r="JAJ41" s="260"/>
      <c r="JAK41" s="260"/>
      <c r="JAL41" s="260"/>
      <c r="JAM41" s="260"/>
      <c r="JAN41" s="260"/>
      <c r="JAO41" s="260"/>
      <c r="JAP41" s="260"/>
      <c r="JAQ41" s="260"/>
      <c r="JAR41" s="260"/>
      <c r="JAS41" s="260"/>
      <c r="JAT41" s="260"/>
      <c r="JAU41" s="260"/>
      <c r="JAV41" s="260"/>
      <c r="JAW41" s="260"/>
      <c r="JAX41" s="260"/>
      <c r="JAY41" s="260"/>
      <c r="JAZ41" s="260"/>
      <c r="JBA41" s="260"/>
      <c r="JBB41" s="260"/>
      <c r="JBC41" s="260"/>
      <c r="JBD41" s="260"/>
      <c r="JBE41" s="260"/>
      <c r="JBF41" s="260"/>
      <c r="JBG41" s="260"/>
      <c r="JBH41" s="260"/>
      <c r="JBI41" s="260"/>
      <c r="JBJ41" s="260"/>
      <c r="JBK41" s="260"/>
      <c r="JBL41" s="260"/>
      <c r="JBM41" s="260"/>
      <c r="JBN41" s="260"/>
      <c r="JBO41" s="260"/>
      <c r="JBP41" s="260"/>
      <c r="JBQ41" s="260"/>
      <c r="JBR41" s="260"/>
      <c r="JBS41" s="260"/>
      <c r="JBT41" s="260"/>
      <c r="JBU41" s="260"/>
      <c r="JBV41" s="260"/>
      <c r="JBW41" s="260"/>
      <c r="JBX41" s="260"/>
      <c r="JBY41" s="260"/>
      <c r="JBZ41" s="260"/>
      <c r="JCA41" s="260"/>
      <c r="JCB41" s="260"/>
      <c r="JCC41" s="260"/>
      <c r="JCD41" s="260"/>
      <c r="JCE41" s="260"/>
      <c r="JCF41" s="260"/>
      <c r="JCG41" s="260"/>
      <c r="JCH41" s="260"/>
      <c r="JCI41" s="260"/>
      <c r="JCJ41" s="260"/>
      <c r="JCK41" s="260"/>
      <c r="JCL41" s="260"/>
      <c r="JCM41" s="260"/>
      <c r="JCN41" s="260"/>
      <c r="JCO41" s="260"/>
      <c r="JCP41" s="260"/>
      <c r="JCQ41" s="260"/>
      <c r="JCR41" s="260"/>
      <c r="JCS41" s="260"/>
      <c r="JCT41" s="260"/>
      <c r="JCU41" s="260"/>
      <c r="JCV41" s="260"/>
      <c r="JCW41" s="260"/>
      <c r="JCX41" s="260"/>
      <c r="JCY41" s="260"/>
      <c r="JCZ41" s="260"/>
      <c r="JDA41" s="260"/>
      <c r="JDB41" s="260"/>
      <c r="JDC41" s="260"/>
      <c r="JDD41" s="260"/>
      <c r="JDE41" s="260"/>
      <c r="JDF41" s="260"/>
      <c r="JDG41" s="260"/>
      <c r="JDH41" s="260"/>
      <c r="JDI41" s="260"/>
      <c r="JDJ41" s="260"/>
      <c r="JDK41" s="260"/>
      <c r="JDL41" s="260"/>
      <c r="JDM41" s="260"/>
      <c r="JDN41" s="260"/>
      <c r="JDO41" s="260"/>
      <c r="JDP41" s="260"/>
      <c r="JDQ41" s="260"/>
      <c r="JDR41" s="260"/>
      <c r="JDS41" s="260"/>
      <c r="JDT41" s="260"/>
      <c r="JDU41" s="260"/>
      <c r="JDV41" s="260"/>
      <c r="JDW41" s="260"/>
      <c r="JDX41" s="260"/>
      <c r="JDY41" s="260"/>
      <c r="JDZ41" s="260"/>
      <c r="JEA41" s="260"/>
      <c r="JEB41" s="260"/>
      <c r="JEC41" s="260"/>
      <c r="JED41" s="260"/>
      <c r="JEE41" s="260"/>
      <c r="JEF41" s="260"/>
      <c r="JEG41" s="260"/>
      <c r="JEH41" s="260"/>
      <c r="JEI41" s="260"/>
      <c r="JEJ41" s="260"/>
      <c r="JEK41" s="260"/>
      <c r="JEL41" s="260"/>
      <c r="JEM41" s="260"/>
      <c r="JEN41" s="260"/>
      <c r="JEO41" s="260"/>
      <c r="JEP41" s="260"/>
      <c r="JEQ41" s="260"/>
      <c r="JER41" s="260"/>
      <c r="JES41" s="260"/>
      <c r="JET41" s="260"/>
      <c r="JEU41" s="260"/>
      <c r="JEV41" s="260"/>
      <c r="JEW41" s="260"/>
      <c r="JEX41" s="260"/>
      <c r="JEY41" s="260"/>
      <c r="JEZ41" s="260"/>
      <c r="JFA41" s="260"/>
      <c r="JFB41" s="260"/>
      <c r="JFC41" s="260"/>
      <c r="JFD41" s="260"/>
      <c r="JFE41" s="260"/>
      <c r="JFF41" s="260"/>
      <c r="JFG41" s="260"/>
      <c r="JFH41" s="260"/>
      <c r="JFI41" s="260"/>
      <c r="JFJ41" s="260"/>
      <c r="JFK41" s="260"/>
      <c r="JFL41" s="260"/>
      <c r="JFM41" s="260"/>
      <c r="JFN41" s="260"/>
      <c r="JFO41" s="260"/>
      <c r="JFP41" s="260"/>
      <c r="JFQ41" s="260"/>
      <c r="JFR41" s="260"/>
      <c r="JFS41" s="260"/>
      <c r="JFT41" s="260"/>
      <c r="JFU41" s="260"/>
      <c r="JFV41" s="260"/>
      <c r="JFW41" s="260"/>
      <c r="JFX41" s="260"/>
      <c r="JFY41" s="260"/>
      <c r="JFZ41" s="260"/>
      <c r="JGA41" s="260"/>
      <c r="JGB41" s="260"/>
      <c r="JGC41" s="260"/>
      <c r="JGD41" s="260"/>
      <c r="JGE41" s="260"/>
      <c r="JGF41" s="260"/>
      <c r="JGG41" s="260"/>
      <c r="JGH41" s="260"/>
      <c r="JGI41" s="260"/>
      <c r="JGJ41" s="260"/>
      <c r="JGK41" s="260"/>
      <c r="JGL41" s="260"/>
      <c r="JGM41" s="260"/>
      <c r="JGN41" s="260"/>
      <c r="JGO41" s="260"/>
      <c r="JGP41" s="260"/>
      <c r="JGQ41" s="260"/>
      <c r="JGR41" s="260"/>
      <c r="JGS41" s="260"/>
      <c r="JGT41" s="260"/>
      <c r="JGU41" s="260"/>
      <c r="JGV41" s="260"/>
      <c r="JGW41" s="260"/>
      <c r="JGX41" s="260"/>
      <c r="JGY41" s="260"/>
      <c r="JGZ41" s="260"/>
      <c r="JHA41" s="260"/>
      <c r="JHB41" s="260"/>
      <c r="JHC41" s="260"/>
      <c r="JHD41" s="260"/>
      <c r="JHE41" s="260"/>
      <c r="JHF41" s="260"/>
      <c r="JHG41" s="260"/>
      <c r="JHH41" s="260"/>
      <c r="JHI41" s="260"/>
      <c r="JHJ41" s="260"/>
      <c r="JHK41" s="260"/>
      <c r="JHL41" s="260"/>
      <c r="JHM41" s="260"/>
      <c r="JHN41" s="260"/>
      <c r="JHO41" s="260"/>
      <c r="JHP41" s="260"/>
      <c r="JHQ41" s="260"/>
      <c r="JHR41" s="260"/>
      <c r="JHS41" s="260"/>
      <c r="JHT41" s="260"/>
      <c r="JHU41" s="260"/>
      <c r="JHV41" s="260"/>
      <c r="JHW41" s="260"/>
      <c r="JHX41" s="260"/>
      <c r="JHY41" s="260"/>
      <c r="JHZ41" s="260"/>
      <c r="JIA41" s="260"/>
      <c r="JIB41" s="260"/>
      <c r="JIC41" s="260"/>
      <c r="JID41" s="260"/>
      <c r="JIE41" s="260"/>
      <c r="JIF41" s="260"/>
      <c r="JIG41" s="260"/>
      <c r="JIH41" s="260"/>
      <c r="JII41" s="260"/>
      <c r="JIJ41" s="260"/>
      <c r="JIK41" s="260"/>
      <c r="JIL41" s="260"/>
      <c r="JIM41" s="260"/>
      <c r="JIN41" s="260"/>
      <c r="JIO41" s="260"/>
      <c r="JIP41" s="260"/>
      <c r="JIQ41" s="260"/>
      <c r="JIR41" s="260"/>
      <c r="JIS41" s="260"/>
      <c r="JIT41" s="260"/>
      <c r="JIU41" s="260"/>
      <c r="JIV41" s="260"/>
      <c r="JIW41" s="260"/>
      <c r="JIX41" s="260"/>
      <c r="JIY41" s="260"/>
      <c r="JIZ41" s="260"/>
      <c r="JJA41" s="260"/>
      <c r="JJB41" s="260"/>
      <c r="JJC41" s="260"/>
      <c r="JJD41" s="260"/>
      <c r="JJE41" s="260"/>
      <c r="JJF41" s="260"/>
      <c r="JJG41" s="260"/>
      <c r="JJH41" s="260"/>
      <c r="JJI41" s="260"/>
      <c r="JJJ41" s="260"/>
      <c r="JJK41" s="260"/>
      <c r="JJL41" s="260"/>
      <c r="JJM41" s="260"/>
      <c r="JJN41" s="260"/>
      <c r="JJO41" s="260"/>
      <c r="JJP41" s="260"/>
      <c r="JJQ41" s="260"/>
      <c r="JJR41" s="260"/>
      <c r="JJS41" s="260"/>
      <c r="JJT41" s="260"/>
      <c r="JJU41" s="260"/>
      <c r="JJV41" s="260"/>
      <c r="JJW41" s="260"/>
      <c r="JJX41" s="260"/>
      <c r="JJY41" s="260"/>
      <c r="JJZ41" s="260"/>
      <c r="JKA41" s="260"/>
      <c r="JKB41" s="260"/>
      <c r="JKC41" s="260"/>
      <c r="JKD41" s="260"/>
      <c r="JKE41" s="260"/>
      <c r="JKF41" s="260"/>
      <c r="JKG41" s="260"/>
      <c r="JKH41" s="260"/>
      <c r="JKI41" s="260"/>
      <c r="JKJ41" s="260"/>
      <c r="JKK41" s="260"/>
      <c r="JKL41" s="260"/>
      <c r="JKM41" s="260"/>
      <c r="JKN41" s="260"/>
      <c r="JKO41" s="260"/>
      <c r="JKP41" s="260"/>
      <c r="JKQ41" s="260"/>
      <c r="JKR41" s="260"/>
      <c r="JKS41" s="260"/>
      <c r="JKT41" s="260"/>
      <c r="JKU41" s="260"/>
      <c r="JKV41" s="260"/>
      <c r="JKW41" s="260"/>
      <c r="JKX41" s="260"/>
      <c r="JKY41" s="260"/>
      <c r="JKZ41" s="260"/>
      <c r="JLA41" s="260"/>
      <c r="JLB41" s="260"/>
      <c r="JLC41" s="260"/>
      <c r="JLD41" s="260"/>
      <c r="JLE41" s="260"/>
      <c r="JLF41" s="260"/>
      <c r="JLG41" s="260"/>
      <c r="JLH41" s="260"/>
      <c r="JLI41" s="260"/>
      <c r="JLJ41" s="260"/>
      <c r="JLK41" s="260"/>
      <c r="JLL41" s="260"/>
      <c r="JLM41" s="260"/>
      <c r="JLN41" s="260"/>
      <c r="JLO41" s="260"/>
      <c r="JLP41" s="260"/>
      <c r="JLQ41" s="260"/>
      <c r="JLR41" s="260"/>
      <c r="JLS41" s="260"/>
      <c r="JLT41" s="260"/>
      <c r="JLU41" s="260"/>
      <c r="JLV41" s="260"/>
      <c r="JLW41" s="260"/>
      <c r="JLX41" s="260"/>
      <c r="JLY41" s="260"/>
      <c r="JLZ41" s="260"/>
      <c r="JMA41" s="260"/>
      <c r="JMB41" s="260"/>
      <c r="JMC41" s="260"/>
      <c r="JMD41" s="260"/>
      <c r="JME41" s="260"/>
      <c r="JMF41" s="260"/>
      <c r="JMG41" s="260"/>
      <c r="JMH41" s="260"/>
      <c r="JMI41" s="260"/>
      <c r="JMJ41" s="260"/>
      <c r="JMK41" s="260"/>
      <c r="JML41" s="260"/>
      <c r="JMM41" s="260"/>
      <c r="JMN41" s="260"/>
      <c r="JMO41" s="260"/>
      <c r="JMP41" s="260"/>
      <c r="JMQ41" s="260"/>
      <c r="JMR41" s="260"/>
      <c r="JMS41" s="260"/>
      <c r="JMT41" s="260"/>
      <c r="JMU41" s="260"/>
      <c r="JMV41" s="260"/>
      <c r="JMW41" s="260"/>
      <c r="JMX41" s="260"/>
      <c r="JMY41" s="260"/>
      <c r="JMZ41" s="260"/>
      <c r="JNA41" s="260"/>
      <c r="JNB41" s="260"/>
      <c r="JNC41" s="260"/>
      <c r="JND41" s="260"/>
      <c r="JNE41" s="260"/>
      <c r="JNF41" s="260"/>
      <c r="JNG41" s="260"/>
      <c r="JNH41" s="260"/>
      <c r="JNI41" s="260"/>
      <c r="JNJ41" s="260"/>
      <c r="JNK41" s="260"/>
      <c r="JNL41" s="260"/>
      <c r="JNM41" s="260"/>
      <c r="JNN41" s="260"/>
      <c r="JNO41" s="260"/>
      <c r="JNP41" s="260"/>
      <c r="JNQ41" s="260"/>
      <c r="JNR41" s="260"/>
      <c r="JNS41" s="260"/>
      <c r="JNT41" s="260"/>
      <c r="JNU41" s="260"/>
      <c r="JNV41" s="260"/>
      <c r="JNW41" s="260"/>
      <c r="JNX41" s="260"/>
      <c r="JNY41" s="260"/>
      <c r="JNZ41" s="260"/>
      <c r="JOA41" s="260"/>
      <c r="JOB41" s="260"/>
      <c r="JOC41" s="260"/>
      <c r="JOD41" s="260"/>
      <c r="JOE41" s="260"/>
      <c r="JOF41" s="260"/>
      <c r="JOG41" s="260"/>
      <c r="JOH41" s="260"/>
      <c r="JOI41" s="260"/>
      <c r="JOJ41" s="260"/>
      <c r="JOK41" s="260"/>
      <c r="JOL41" s="260"/>
      <c r="JOM41" s="260"/>
      <c r="JON41" s="260"/>
      <c r="JOO41" s="260"/>
      <c r="JOP41" s="260"/>
      <c r="JOQ41" s="260"/>
      <c r="JOR41" s="260"/>
      <c r="JOS41" s="260"/>
      <c r="JOT41" s="260"/>
      <c r="JOU41" s="260"/>
      <c r="JOV41" s="260"/>
      <c r="JOW41" s="260"/>
      <c r="JOX41" s="260"/>
      <c r="JOY41" s="260"/>
      <c r="JOZ41" s="260"/>
      <c r="JPA41" s="260"/>
      <c r="JPB41" s="260"/>
      <c r="JPC41" s="260"/>
      <c r="JPD41" s="260"/>
      <c r="JPE41" s="260"/>
      <c r="JPF41" s="260"/>
      <c r="JPG41" s="260"/>
      <c r="JPH41" s="260"/>
      <c r="JPI41" s="260"/>
      <c r="JPJ41" s="260"/>
      <c r="JPK41" s="260"/>
      <c r="JPL41" s="260"/>
      <c r="JPM41" s="260"/>
      <c r="JPN41" s="260"/>
      <c r="JPO41" s="260"/>
      <c r="JPP41" s="260"/>
      <c r="JPQ41" s="260"/>
      <c r="JPR41" s="260"/>
      <c r="JPS41" s="260"/>
      <c r="JPT41" s="260"/>
      <c r="JPU41" s="260"/>
      <c r="JPV41" s="260"/>
      <c r="JPW41" s="260"/>
      <c r="JPX41" s="260"/>
      <c r="JPY41" s="260"/>
      <c r="JPZ41" s="260"/>
      <c r="JQA41" s="260"/>
      <c r="JQB41" s="260"/>
      <c r="JQC41" s="260"/>
      <c r="JQD41" s="260"/>
      <c r="JQE41" s="260"/>
      <c r="JQF41" s="260"/>
      <c r="JQG41" s="260"/>
      <c r="JQH41" s="260"/>
      <c r="JQI41" s="260"/>
      <c r="JQJ41" s="260"/>
      <c r="JQK41" s="260"/>
      <c r="JQL41" s="260"/>
      <c r="JQM41" s="260"/>
      <c r="JQN41" s="260"/>
      <c r="JQO41" s="260"/>
      <c r="JQP41" s="260"/>
      <c r="JQQ41" s="260"/>
      <c r="JQR41" s="260"/>
      <c r="JQS41" s="260"/>
      <c r="JQT41" s="260"/>
      <c r="JQU41" s="260"/>
      <c r="JQV41" s="260"/>
      <c r="JQW41" s="260"/>
      <c r="JQX41" s="260"/>
      <c r="JQY41" s="260"/>
      <c r="JQZ41" s="260"/>
      <c r="JRA41" s="260"/>
      <c r="JRB41" s="260"/>
      <c r="JRC41" s="260"/>
      <c r="JRD41" s="260"/>
      <c r="JRE41" s="260"/>
      <c r="JRF41" s="260"/>
      <c r="JRG41" s="260"/>
      <c r="JRH41" s="260"/>
      <c r="JRI41" s="260"/>
      <c r="JRJ41" s="260"/>
      <c r="JRK41" s="260"/>
      <c r="JRL41" s="260"/>
      <c r="JRM41" s="260"/>
      <c r="JRN41" s="260"/>
      <c r="JRO41" s="260"/>
      <c r="JRP41" s="260"/>
      <c r="JRQ41" s="260"/>
      <c r="JRR41" s="260"/>
      <c r="JRS41" s="260"/>
      <c r="JRT41" s="260"/>
      <c r="JRU41" s="260"/>
      <c r="JRV41" s="260"/>
      <c r="JRW41" s="260"/>
      <c r="JRX41" s="260"/>
      <c r="JRY41" s="260"/>
      <c r="JRZ41" s="260"/>
      <c r="JSA41" s="260"/>
      <c r="JSB41" s="260"/>
      <c r="JSC41" s="260"/>
      <c r="JSD41" s="260"/>
      <c r="JSE41" s="260"/>
      <c r="JSF41" s="260"/>
      <c r="JSG41" s="260"/>
      <c r="JSH41" s="260"/>
      <c r="JSI41" s="260"/>
      <c r="JSJ41" s="260"/>
      <c r="JSK41" s="260"/>
      <c r="JSL41" s="260"/>
      <c r="JSM41" s="260"/>
      <c r="JSN41" s="260"/>
      <c r="JSO41" s="260"/>
      <c r="JSP41" s="260"/>
      <c r="JSQ41" s="260"/>
      <c r="JSR41" s="260"/>
      <c r="JSS41" s="260"/>
      <c r="JST41" s="260"/>
      <c r="JSU41" s="260"/>
      <c r="JSV41" s="260"/>
      <c r="JSW41" s="260"/>
      <c r="JSX41" s="260"/>
      <c r="JSY41" s="260"/>
      <c r="JSZ41" s="260"/>
      <c r="JTA41" s="260"/>
      <c r="JTB41" s="260"/>
      <c r="JTC41" s="260"/>
      <c r="JTD41" s="260"/>
      <c r="JTE41" s="260"/>
      <c r="JTF41" s="260"/>
      <c r="JTG41" s="260"/>
      <c r="JTH41" s="260"/>
      <c r="JTI41" s="260"/>
      <c r="JTJ41" s="260"/>
      <c r="JTK41" s="260"/>
      <c r="JTL41" s="260"/>
      <c r="JTM41" s="260"/>
      <c r="JTN41" s="260"/>
      <c r="JTO41" s="260"/>
      <c r="JTP41" s="260"/>
      <c r="JTQ41" s="260"/>
      <c r="JTR41" s="260"/>
      <c r="JTS41" s="260"/>
      <c r="JTT41" s="260"/>
      <c r="JTU41" s="260"/>
      <c r="JTV41" s="260"/>
      <c r="JTW41" s="260"/>
      <c r="JTX41" s="260"/>
      <c r="JTY41" s="260"/>
      <c r="JTZ41" s="260"/>
      <c r="JUA41" s="260"/>
      <c r="JUB41" s="260"/>
      <c r="JUC41" s="260"/>
      <c r="JUD41" s="260"/>
      <c r="JUE41" s="260"/>
      <c r="JUF41" s="260"/>
      <c r="JUG41" s="260"/>
      <c r="JUH41" s="260"/>
      <c r="JUI41" s="260"/>
      <c r="JUJ41" s="260"/>
      <c r="JUK41" s="260"/>
      <c r="JUL41" s="260"/>
      <c r="JUM41" s="260"/>
      <c r="JUN41" s="260"/>
      <c r="JUO41" s="260"/>
      <c r="JUP41" s="260"/>
      <c r="JUQ41" s="260"/>
      <c r="JUR41" s="260"/>
      <c r="JUS41" s="260"/>
      <c r="JUT41" s="260"/>
      <c r="JUU41" s="260"/>
      <c r="JUV41" s="260"/>
      <c r="JUW41" s="260"/>
      <c r="JUX41" s="260"/>
      <c r="JUY41" s="260"/>
      <c r="JUZ41" s="260"/>
      <c r="JVA41" s="260"/>
      <c r="JVB41" s="260"/>
      <c r="JVC41" s="260"/>
      <c r="JVD41" s="260"/>
      <c r="JVE41" s="260"/>
      <c r="JVF41" s="260"/>
      <c r="JVG41" s="260"/>
      <c r="JVH41" s="260"/>
      <c r="JVI41" s="260"/>
      <c r="JVJ41" s="260"/>
      <c r="JVK41" s="260"/>
      <c r="JVL41" s="260"/>
      <c r="JVM41" s="260"/>
      <c r="JVN41" s="260"/>
      <c r="JVO41" s="260"/>
      <c r="JVP41" s="260"/>
      <c r="JVQ41" s="260"/>
      <c r="JVR41" s="260"/>
      <c r="JVS41" s="260"/>
      <c r="JVT41" s="260"/>
      <c r="JVU41" s="260"/>
      <c r="JVV41" s="260"/>
      <c r="JVW41" s="260"/>
      <c r="JVX41" s="260"/>
      <c r="JVY41" s="260"/>
      <c r="JVZ41" s="260"/>
      <c r="JWA41" s="260"/>
      <c r="JWB41" s="260"/>
      <c r="JWC41" s="260"/>
      <c r="JWD41" s="260"/>
      <c r="JWE41" s="260"/>
      <c r="JWF41" s="260"/>
      <c r="JWG41" s="260"/>
      <c r="JWH41" s="260"/>
      <c r="JWI41" s="260"/>
      <c r="JWJ41" s="260"/>
      <c r="JWK41" s="260"/>
      <c r="JWL41" s="260"/>
      <c r="JWM41" s="260"/>
      <c r="JWN41" s="260"/>
      <c r="JWO41" s="260"/>
      <c r="JWP41" s="260"/>
      <c r="JWQ41" s="260"/>
      <c r="JWR41" s="260"/>
      <c r="JWS41" s="260"/>
      <c r="JWT41" s="260"/>
      <c r="JWU41" s="260"/>
      <c r="JWV41" s="260"/>
      <c r="JWW41" s="260"/>
      <c r="JWX41" s="260"/>
      <c r="JWY41" s="260"/>
      <c r="JWZ41" s="260"/>
      <c r="JXA41" s="260"/>
      <c r="JXB41" s="260"/>
      <c r="JXC41" s="260"/>
      <c r="JXD41" s="260"/>
      <c r="JXE41" s="260"/>
      <c r="JXF41" s="260"/>
      <c r="JXG41" s="260"/>
      <c r="JXH41" s="260"/>
      <c r="JXI41" s="260"/>
      <c r="JXJ41" s="260"/>
      <c r="JXK41" s="260"/>
      <c r="JXL41" s="260"/>
      <c r="JXM41" s="260"/>
      <c r="JXN41" s="260"/>
      <c r="JXO41" s="260"/>
      <c r="JXP41" s="260"/>
      <c r="JXQ41" s="260"/>
      <c r="JXR41" s="260"/>
      <c r="JXS41" s="260"/>
      <c r="JXT41" s="260"/>
      <c r="JXU41" s="260"/>
      <c r="JXV41" s="260"/>
      <c r="JXW41" s="260"/>
      <c r="JXX41" s="260"/>
      <c r="JXY41" s="260"/>
      <c r="JXZ41" s="260"/>
      <c r="JYA41" s="260"/>
      <c r="JYB41" s="260"/>
      <c r="JYC41" s="260"/>
      <c r="JYD41" s="260"/>
      <c r="JYE41" s="260"/>
      <c r="JYF41" s="260"/>
      <c r="JYG41" s="260"/>
      <c r="JYH41" s="260"/>
      <c r="JYI41" s="260"/>
      <c r="JYJ41" s="260"/>
      <c r="JYK41" s="260"/>
      <c r="JYL41" s="260"/>
      <c r="JYM41" s="260"/>
      <c r="JYN41" s="260"/>
      <c r="JYO41" s="260"/>
      <c r="JYP41" s="260"/>
      <c r="JYQ41" s="260"/>
      <c r="JYR41" s="260"/>
      <c r="JYS41" s="260"/>
      <c r="JYT41" s="260"/>
      <c r="JYU41" s="260"/>
      <c r="JYV41" s="260"/>
      <c r="JYW41" s="260"/>
      <c r="JYX41" s="260"/>
      <c r="JYY41" s="260"/>
      <c r="JYZ41" s="260"/>
      <c r="JZA41" s="260"/>
      <c r="JZB41" s="260"/>
      <c r="JZC41" s="260"/>
      <c r="JZD41" s="260"/>
      <c r="JZE41" s="260"/>
      <c r="JZF41" s="260"/>
      <c r="JZG41" s="260"/>
      <c r="JZH41" s="260"/>
      <c r="JZI41" s="260"/>
      <c r="JZJ41" s="260"/>
      <c r="JZK41" s="260"/>
      <c r="JZL41" s="260"/>
      <c r="JZM41" s="260"/>
      <c r="JZN41" s="260"/>
      <c r="JZO41" s="260"/>
      <c r="JZP41" s="260"/>
      <c r="JZQ41" s="260"/>
      <c r="JZR41" s="260"/>
      <c r="JZS41" s="260"/>
      <c r="JZT41" s="260"/>
      <c r="JZU41" s="260"/>
      <c r="JZV41" s="260"/>
      <c r="JZW41" s="260"/>
      <c r="JZX41" s="260"/>
      <c r="JZY41" s="260"/>
      <c r="JZZ41" s="260"/>
      <c r="KAA41" s="260"/>
      <c r="KAB41" s="260"/>
      <c r="KAC41" s="260"/>
      <c r="KAD41" s="260"/>
      <c r="KAE41" s="260"/>
      <c r="KAF41" s="260"/>
      <c r="KAG41" s="260"/>
      <c r="KAH41" s="260"/>
      <c r="KAI41" s="260"/>
      <c r="KAJ41" s="260"/>
      <c r="KAK41" s="260"/>
      <c r="KAL41" s="260"/>
      <c r="KAM41" s="260"/>
      <c r="KAN41" s="260"/>
      <c r="KAO41" s="260"/>
      <c r="KAP41" s="260"/>
      <c r="KAQ41" s="260"/>
      <c r="KAR41" s="260"/>
      <c r="KAS41" s="260"/>
      <c r="KAT41" s="260"/>
      <c r="KAU41" s="260"/>
      <c r="KAV41" s="260"/>
      <c r="KAW41" s="260"/>
      <c r="KAX41" s="260"/>
      <c r="KAY41" s="260"/>
      <c r="KAZ41" s="260"/>
      <c r="KBA41" s="260"/>
      <c r="KBB41" s="260"/>
      <c r="KBC41" s="260"/>
      <c r="KBD41" s="260"/>
      <c r="KBE41" s="260"/>
      <c r="KBF41" s="260"/>
      <c r="KBG41" s="260"/>
      <c r="KBH41" s="260"/>
      <c r="KBI41" s="260"/>
      <c r="KBJ41" s="260"/>
      <c r="KBK41" s="260"/>
      <c r="KBL41" s="260"/>
      <c r="KBM41" s="260"/>
      <c r="KBN41" s="260"/>
      <c r="KBO41" s="260"/>
      <c r="KBP41" s="260"/>
      <c r="KBQ41" s="260"/>
      <c r="KBR41" s="260"/>
      <c r="KBS41" s="260"/>
      <c r="KBT41" s="260"/>
      <c r="KBU41" s="260"/>
      <c r="KBV41" s="260"/>
      <c r="KBW41" s="260"/>
      <c r="KBX41" s="260"/>
      <c r="KBY41" s="260"/>
      <c r="KBZ41" s="260"/>
      <c r="KCA41" s="260"/>
      <c r="KCB41" s="260"/>
      <c r="KCC41" s="260"/>
      <c r="KCD41" s="260"/>
      <c r="KCE41" s="260"/>
      <c r="KCF41" s="260"/>
      <c r="KCG41" s="260"/>
      <c r="KCH41" s="260"/>
      <c r="KCI41" s="260"/>
      <c r="KCJ41" s="260"/>
      <c r="KCK41" s="260"/>
      <c r="KCL41" s="260"/>
      <c r="KCM41" s="260"/>
      <c r="KCN41" s="260"/>
      <c r="KCO41" s="260"/>
      <c r="KCP41" s="260"/>
      <c r="KCQ41" s="260"/>
      <c r="KCR41" s="260"/>
      <c r="KCS41" s="260"/>
      <c r="KCT41" s="260"/>
      <c r="KCU41" s="260"/>
      <c r="KCV41" s="260"/>
      <c r="KCW41" s="260"/>
      <c r="KCX41" s="260"/>
      <c r="KCY41" s="260"/>
      <c r="KCZ41" s="260"/>
      <c r="KDA41" s="260"/>
      <c r="KDB41" s="260"/>
      <c r="KDC41" s="260"/>
      <c r="KDD41" s="260"/>
      <c r="KDE41" s="260"/>
      <c r="KDF41" s="260"/>
      <c r="KDG41" s="260"/>
      <c r="KDH41" s="260"/>
      <c r="KDI41" s="260"/>
      <c r="KDJ41" s="260"/>
      <c r="KDK41" s="260"/>
      <c r="KDL41" s="260"/>
      <c r="KDM41" s="260"/>
      <c r="KDN41" s="260"/>
      <c r="KDO41" s="260"/>
      <c r="KDP41" s="260"/>
      <c r="KDQ41" s="260"/>
      <c r="KDR41" s="260"/>
      <c r="KDS41" s="260"/>
      <c r="KDT41" s="260"/>
      <c r="KDU41" s="260"/>
      <c r="KDV41" s="260"/>
      <c r="KDW41" s="260"/>
      <c r="KDX41" s="260"/>
      <c r="KDY41" s="260"/>
      <c r="KDZ41" s="260"/>
      <c r="KEA41" s="260"/>
      <c r="KEB41" s="260"/>
      <c r="KEC41" s="260"/>
      <c r="KED41" s="260"/>
      <c r="KEE41" s="260"/>
      <c r="KEF41" s="260"/>
      <c r="KEG41" s="260"/>
      <c r="KEH41" s="260"/>
      <c r="KEI41" s="260"/>
      <c r="KEJ41" s="260"/>
      <c r="KEK41" s="260"/>
      <c r="KEL41" s="260"/>
      <c r="KEM41" s="260"/>
      <c r="KEN41" s="260"/>
      <c r="KEO41" s="260"/>
      <c r="KEP41" s="260"/>
      <c r="KEQ41" s="260"/>
      <c r="KER41" s="260"/>
      <c r="KES41" s="260"/>
      <c r="KET41" s="260"/>
      <c r="KEU41" s="260"/>
      <c r="KEV41" s="260"/>
      <c r="KEW41" s="260"/>
      <c r="KEX41" s="260"/>
      <c r="KEY41" s="260"/>
      <c r="KEZ41" s="260"/>
      <c r="KFA41" s="260"/>
      <c r="KFB41" s="260"/>
      <c r="KFC41" s="260"/>
      <c r="KFD41" s="260"/>
      <c r="KFE41" s="260"/>
      <c r="KFF41" s="260"/>
      <c r="KFG41" s="260"/>
      <c r="KFH41" s="260"/>
      <c r="KFI41" s="260"/>
      <c r="KFJ41" s="260"/>
      <c r="KFK41" s="260"/>
      <c r="KFL41" s="260"/>
      <c r="KFM41" s="260"/>
      <c r="KFN41" s="260"/>
      <c r="KFO41" s="260"/>
      <c r="KFP41" s="260"/>
      <c r="KFQ41" s="260"/>
      <c r="KFR41" s="260"/>
      <c r="KFS41" s="260"/>
      <c r="KFT41" s="260"/>
      <c r="KFU41" s="260"/>
      <c r="KFV41" s="260"/>
      <c r="KFW41" s="260"/>
      <c r="KFX41" s="260"/>
      <c r="KFY41" s="260"/>
      <c r="KFZ41" s="260"/>
      <c r="KGA41" s="260"/>
      <c r="KGB41" s="260"/>
      <c r="KGC41" s="260"/>
      <c r="KGD41" s="260"/>
      <c r="KGE41" s="260"/>
      <c r="KGF41" s="260"/>
      <c r="KGG41" s="260"/>
      <c r="KGH41" s="260"/>
      <c r="KGI41" s="260"/>
      <c r="KGJ41" s="260"/>
      <c r="KGK41" s="260"/>
      <c r="KGL41" s="260"/>
      <c r="KGM41" s="260"/>
      <c r="KGN41" s="260"/>
      <c r="KGO41" s="260"/>
      <c r="KGP41" s="260"/>
      <c r="KGQ41" s="260"/>
      <c r="KGR41" s="260"/>
      <c r="KGS41" s="260"/>
      <c r="KGT41" s="260"/>
      <c r="KGU41" s="260"/>
      <c r="KGV41" s="260"/>
      <c r="KGW41" s="260"/>
      <c r="KGX41" s="260"/>
      <c r="KGY41" s="260"/>
      <c r="KGZ41" s="260"/>
      <c r="KHA41" s="260"/>
      <c r="KHB41" s="260"/>
      <c r="KHC41" s="260"/>
      <c r="KHD41" s="260"/>
      <c r="KHE41" s="260"/>
      <c r="KHF41" s="260"/>
      <c r="KHG41" s="260"/>
      <c r="KHH41" s="260"/>
      <c r="KHI41" s="260"/>
      <c r="KHJ41" s="260"/>
      <c r="KHK41" s="260"/>
      <c r="KHL41" s="260"/>
      <c r="KHM41" s="260"/>
      <c r="KHN41" s="260"/>
      <c r="KHO41" s="260"/>
      <c r="KHP41" s="260"/>
      <c r="KHQ41" s="260"/>
      <c r="KHR41" s="260"/>
      <c r="KHS41" s="260"/>
      <c r="KHT41" s="260"/>
      <c r="KHU41" s="260"/>
      <c r="KHV41" s="260"/>
      <c r="KHW41" s="260"/>
      <c r="KHX41" s="260"/>
      <c r="KHY41" s="260"/>
      <c r="KHZ41" s="260"/>
      <c r="KIA41" s="260"/>
      <c r="KIB41" s="260"/>
      <c r="KIC41" s="260"/>
      <c r="KID41" s="260"/>
      <c r="KIE41" s="260"/>
      <c r="KIF41" s="260"/>
      <c r="KIG41" s="260"/>
      <c r="KIH41" s="260"/>
      <c r="KII41" s="260"/>
      <c r="KIJ41" s="260"/>
      <c r="KIK41" s="260"/>
      <c r="KIL41" s="260"/>
      <c r="KIM41" s="260"/>
      <c r="KIN41" s="260"/>
      <c r="KIO41" s="260"/>
      <c r="KIP41" s="260"/>
      <c r="KIQ41" s="260"/>
      <c r="KIR41" s="260"/>
      <c r="KIS41" s="260"/>
      <c r="KIT41" s="260"/>
      <c r="KIU41" s="260"/>
      <c r="KIV41" s="260"/>
      <c r="KIW41" s="260"/>
      <c r="KIX41" s="260"/>
      <c r="KIY41" s="260"/>
      <c r="KIZ41" s="260"/>
      <c r="KJA41" s="260"/>
      <c r="KJB41" s="260"/>
      <c r="KJC41" s="260"/>
      <c r="KJD41" s="260"/>
      <c r="KJE41" s="260"/>
      <c r="KJF41" s="260"/>
      <c r="KJG41" s="260"/>
      <c r="KJH41" s="260"/>
      <c r="KJI41" s="260"/>
      <c r="KJJ41" s="260"/>
      <c r="KJK41" s="260"/>
      <c r="KJL41" s="260"/>
      <c r="KJM41" s="260"/>
      <c r="KJN41" s="260"/>
      <c r="KJO41" s="260"/>
      <c r="KJP41" s="260"/>
      <c r="KJQ41" s="260"/>
      <c r="KJR41" s="260"/>
      <c r="KJS41" s="260"/>
      <c r="KJT41" s="260"/>
      <c r="KJU41" s="260"/>
      <c r="KJV41" s="260"/>
      <c r="KJW41" s="260"/>
      <c r="KJX41" s="260"/>
      <c r="KJY41" s="260"/>
      <c r="KJZ41" s="260"/>
      <c r="KKA41" s="260"/>
      <c r="KKB41" s="260"/>
      <c r="KKC41" s="260"/>
      <c r="KKD41" s="260"/>
      <c r="KKE41" s="260"/>
      <c r="KKF41" s="260"/>
      <c r="KKG41" s="260"/>
      <c r="KKH41" s="260"/>
      <c r="KKI41" s="260"/>
      <c r="KKJ41" s="260"/>
      <c r="KKK41" s="260"/>
      <c r="KKL41" s="260"/>
      <c r="KKM41" s="260"/>
      <c r="KKN41" s="260"/>
      <c r="KKO41" s="260"/>
      <c r="KKP41" s="260"/>
      <c r="KKQ41" s="260"/>
      <c r="KKR41" s="260"/>
      <c r="KKS41" s="260"/>
      <c r="KKT41" s="260"/>
      <c r="KKU41" s="260"/>
      <c r="KKV41" s="260"/>
      <c r="KKW41" s="260"/>
      <c r="KKX41" s="260"/>
      <c r="KKY41" s="260"/>
      <c r="KKZ41" s="260"/>
      <c r="KLA41" s="260"/>
      <c r="KLB41" s="260"/>
      <c r="KLC41" s="260"/>
      <c r="KLD41" s="260"/>
      <c r="KLE41" s="260"/>
      <c r="KLF41" s="260"/>
      <c r="KLG41" s="260"/>
      <c r="KLH41" s="260"/>
      <c r="KLI41" s="260"/>
      <c r="KLJ41" s="260"/>
      <c r="KLK41" s="260"/>
      <c r="KLL41" s="260"/>
      <c r="KLM41" s="260"/>
      <c r="KLN41" s="260"/>
      <c r="KLO41" s="260"/>
      <c r="KLP41" s="260"/>
      <c r="KLQ41" s="260"/>
      <c r="KLR41" s="260"/>
      <c r="KLS41" s="260"/>
      <c r="KLT41" s="260"/>
      <c r="KLU41" s="260"/>
      <c r="KLV41" s="260"/>
      <c r="KLW41" s="260"/>
      <c r="KLX41" s="260"/>
      <c r="KLY41" s="260"/>
      <c r="KLZ41" s="260"/>
      <c r="KMA41" s="260"/>
      <c r="KMB41" s="260"/>
      <c r="KMC41" s="260"/>
      <c r="KMD41" s="260"/>
      <c r="KME41" s="260"/>
      <c r="KMF41" s="260"/>
      <c r="KMG41" s="260"/>
      <c r="KMH41" s="260"/>
      <c r="KMI41" s="260"/>
      <c r="KMJ41" s="260"/>
      <c r="KMK41" s="260"/>
      <c r="KML41" s="260"/>
      <c r="KMM41" s="260"/>
      <c r="KMN41" s="260"/>
      <c r="KMO41" s="260"/>
      <c r="KMP41" s="260"/>
      <c r="KMQ41" s="260"/>
      <c r="KMR41" s="260"/>
      <c r="KMS41" s="260"/>
      <c r="KMT41" s="260"/>
      <c r="KMU41" s="260"/>
      <c r="KMV41" s="260"/>
      <c r="KMW41" s="260"/>
      <c r="KMX41" s="260"/>
      <c r="KMY41" s="260"/>
      <c r="KMZ41" s="260"/>
      <c r="KNA41" s="260"/>
      <c r="KNB41" s="260"/>
      <c r="KNC41" s="260"/>
      <c r="KND41" s="260"/>
      <c r="KNE41" s="260"/>
      <c r="KNF41" s="260"/>
      <c r="KNG41" s="260"/>
      <c r="KNH41" s="260"/>
      <c r="KNI41" s="260"/>
      <c r="KNJ41" s="260"/>
      <c r="KNK41" s="260"/>
      <c r="KNL41" s="260"/>
      <c r="KNM41" s="260"/>
      <c r="KNN41" s="260"/>
      <c r="KNO41" s="260"/>
      <c r="KNP41" s="260"/>
      <c r="KNQ41" s="260"/>
      <c r="KNR41" s="260"/>
      <c r="KNS41" s="260"/>
      <c r="KNT41" s="260"/>
      <c r="KNU41" s="260"/>
      <c r="KNV41" s="260"/>
      <c r="KNW41" s="260"/>
      <c r="KNX41" s="260"/>
      <c r="KNY41" s="260"/>
      <c r="KNZ41" s="260"/>
      <c r="KOA41" s="260"/>
      <c r="KOB41" s="260"/>
      <c r="KOC41" s="260"/>
      <c r="KOD41" s="260"/>
      <c r="KOE41" s="260"/>
      <c r="KOF41" s="260"/>
      <c r="KOG41" s="260"/>
      <c r="KOH41" s="260"/>
      <c r="KOI41" s="260"/>
      <c r="KOJ41" s="260"/>
      <c r="KOK41" s="260"/>
      <c r="KOL41" s="260"/>
      <c r="KOM41" s="260"/>
      <c r="KON41" s="260"/>
      <c r="KOO41" s="260"/>
      <c r="KOP41" s="260"/>
      <c r="KOQ41" s="260"/>
      <c r="KOR41" s="260"/>
      <c r="KOS41" s="260"/>
      <c r="KOT41" s="260"/>
      <c r="KOU41" s="260"/>
      <c r="KOV41" s="260"/>
      <c r="KOW41" s="260"/>
      <c r="KOX41" s="260"/>
      <c r="KOY41" s="260"/>
      <c r="KOZ41" s="260"/>
      <c r="KPA41" s="260"/>
      <c r="KPB41" s="260"/>
      <c r="KPC41" s="260"/>
      <c r="KPD41" s="260"/>
      <c r="KPE41" s="260"/>
      <c r="KPF41" s="260"/>
      <c r="KPG41" s="260"/>
      <c r="KPH41" s="260"/>
      <c r="KPI41" s="260"/>
      <c r="KPJ41" s="260"/>
      <c r="KPK41" s="260"/>
      <c r="KPL41" s="260"/>
      <c r="KPM41" s="260"/>
      <c r="KPN41" s="260"/>
      <c r="KPO41" s="260"/>
      <c r="KPP41" s="260"/>
      <c r="KPQ41" s="260"/>
      <c r="KPR41" s="260"/>
      <c r="KPS41" s="260"/>
      <c r="KPT41" s="260"/>
      <c r="KPU41" s="260"/>
      <c r="KPV41" s="260"/>
      <c r="KPW41" s="260"/>
      <c r="KPX41" s="260"/>
      <c r="KPY41" s="260"/>
      <c r="KPZ41" s="260"/>
      <c r="KQA41" s="260"/>
      <c r="KQB41" s="260"/>
      <c r="KQC41" s="260"/>
      <c r="KQD41" s="260"/>
      <c r="KQE41" s="260"/>
      <c r="KQF41" s="260"/>
      <c r="KQG41" s="260"/>
      <c r="KQH41" s="260"/>
      <c r="KQI41" s="260"/>
      <c r="KQJ41" s="260"/>
      <c r="KQK41" s="260"/>
      <c r="KQL41" s="260"/>
      <c r="KQM41" s="260"/>
      <c r="KQN41" s="260"/>
      <c r="KQO41" s="260"/>
      <c r="KQP41" s="260"/>
      <c r="KQQ41" s="260"/>
      <c r="KQR41" s="260"/>
      <c r="KQS41" s="260"/>
      <c r="KQT41" s="260"/>
      <c r="KQU41" s="260"/>
      <c r="KQV41" s="260"/>
      <c r="KQW41" s="260"/>
      <c r="KQX41" s="260"/>
      <c r="KQY41" s="260"/>
      <c r="KQZ41" s="260"/>
      <c r="KRA41" s="260"/>
      <c r="KRB41" s="260"/>
      <c r="KRC41" s="260"/>
      <c r="KRD41" s="260"/>
      <c r="KRE41" s="260"/>
      <c r="KRF41" s="260"/>
      <c r="KRG41" s="260"/>
      <c r="KRH41" s="260"/>
      <c r="KRI41" s="260"/>
      <c r="KRJ41" s="260"/>
      <c r="KRK41" s="260"/>
      <c r="KRL41" s="260"/>
      <c r="KRM41" s="260"/>
      <c r="KRN41" s="260"/>
      <c r="KRO41" s="260"/>
      <c r="KRP41" s="260"/>
      <c r="KRQ41" s="260"/>
      <c r="KRR41" s="260"/>
      <c r="KRS41" s="260"/>
      <c r="KRT41" s="260"/>
      <c r="KRU41" s="260"/>
      <c r="KRV41" s="260"/>
      <c r="KRW41" s="260"/>
      <c r="KRX41" s="260"/>
      <c r="KRY41" s="260"/>
      <c r="KRZ41" s="260"/>
      <c r="KSA41" s="260"/>
      <c r="KSB41" s="260"/>
      <c r="KSC41" s="260"/>
      <c r="KSD41" s="260"/>
      <c r="KSE41" s="260"/>
      <c r="KSF41" s="260"/>
      <c r="KSG41" s="260"/>
      <c r="KSH41" s="260"/>
      <c r="KSI41" s="260"/>
      <c r="KSJ41" s="260"/>
      <c r="KSK41" s="260"/>
      <c r="KSL41" s="260"/>
      <c r="KSM41" s="260"/>
      <c r="KSN41" s="260"/>
      <c r="KSO41" s="260"/>
      <c r="KSP41" s="260"/>
      <c r="KSQ41" s="260"/>
      <c r="KSR41" s="260"/>
      <c r="KSS41" s="260"/>
      <c r="KST41" s="260"/>
      <c r="KSU41" s="260"/>
      <c r="KSV41" s="260"/>
      <c r="KSW41" s="260"/>
      <c r="KSX41" s="260"/>
      <c r="KSY41" s="260"/>
      <c r="KSZ41" s="260"/>
      <c r="KTA41" s="260"/>
      <c r="KTB41" s="260"/>
      <c r="KTC41" s="260"/>
      <c r="KTD41" s="260"/>
      <c r="KTE41" s="260"/>
      <c r="KTF41" s="260"/>
      <c r="KTG41" s="260"/>
      <c r="KTH41" s="260"/>
      <c r="KTI41" s="260"/>
      <c r="KTJ41" s="260"/>
      <c r="KTK41" s="260"/>
      <c r="KTL41" s="260"/>
      <c r="KTM41" s="260"/>
      <c r="KTN41" s="260"/>
      <c r="KTO41" s="260"/>
      <c r="KTP41" s="260"/>
      <c r="KTQ41" s="260"/>
      <c r="KTR41" s="260"/>
      <c r="KTS41" s="260"/>
      <c r="KTT41" s="260"/>
      <c r="KTU41" s="260"/>
      <c r="KTV41" s="260"/>
      <c r="KTW41" s="260"/>
      <c r="KTX41" s="260"/>
      <c r="KTY41" s="260"/>
      <c r="KTZ41" s="260"/>
      <c r="KUA41" s="260"/>
      <c r="KUB41" s="260"/>
      <c r="KUC41" s="260"/>
      <c r="KUD41" s="260"/>
      <c r="KUE41" s="260"/>
      <c r="KUF41" s="260"/>
      <c r="KUG41" s="260"/>
      <c r="KUH41" s="260"/>
      <c r="KUI41" s="260"/>
      <c r="KUJ41" s="260"/>
      <c r="KUK41" s="260"/>
      <c r="KUL41" s="260"/>
      <c r="KUM41" s="260"/>
      <c r="KUN41" s="260"/>
      <c r="KUO41" s="260"/>
      <c r="KUP41" s="260"/>
      <c r="KUQ41" s="260"/>
      <c r="KUR41" s="260"/>
      <c r="KUS41" s="260"/>
      <c r="KUT41" s="260"/>
      <c r="KUU41" s="260"/>
      <c r="KUV41" s="260"/>
      <c r="KUW41" s="260"/>
      <c r="KUX41" s="260"/>
      <c r="KUY41" s="260"/>
      <c r="KUZ41" s="260"/>
      <c r="KVA41" s="260"/>
      <c r="KVB41" s="260"/>
      <c r="KVC41" s="260"/>
      <c r="KVD41" s="260"/>
      <c r="KVE41" s="260"/>
      <c r="KVF41" s="260"/>
      <c r="KVG41" s="260"/>
      <c r="KVH41" s="260"/>
      <c r="KVI41" s="260"/>
      <c r="KVJ41" s="260"/>
      <c r="KVK41" s="260"/>
      <c r="KVL41" s="260"/>
      <c r="KVM41" s="260"/>
      <c r="KVN41" s="260"/>
      <c r="KVO41" s="260"/>
      <c r="KVP41" s="260"/>
      <c r="KVQ41" s="260"/>
      <c r="KVR41" s="260"/>
      <c r="KVS41" s="260"/>
      <c r="KVT41" s="260"/>
      <c r="KVU41" s="260"/>
      <c r="KVV41" s="260"/>
      <c r="KVW41" s="260"/>
      <c r="KVX41" s="260"/>
      <c r="KVY41" s="260"/>
      <c r="KVZ41" s="260"/>
      <c r="KWA41" s="260"/>
      <c r="KWB41" s="260"/>
      <c r="KWC41" s="260"/>
      <c r="KWD41" s="260"/>
      <c r="KWE41" s="260"/>
      <c r="KWF41" s="260"/>
      <c r="KWG41" s="260"/>
      <c r="KWH41" s="260"/>
      <c r="KWI41" s="260"/>
      <c r="KWJ41" s="260"/>
      <c r="KWK41" s="260"/>
      <c r="KWL41" s="260"/>
      <c r="KWM41" s="260"/>
      <c r="KWN41" s="260"/>
      <c r="KWO41" s="260"/>
      <c r="KWP41" s="260"/>
      <c r="KWQ41" s="260"/>
      <c r="KWR41" s="260"/>
      <c r="KWS41" s="260"/>
      <c r="KWT41" s="260"/>
      <c r="KWU41" s="260"/>
      <c r="KWV41" s="260"/>
      <c r="KWW41" s="260"/>
      <c r="KWX41" s="260"/>
      <c r="KWY41" s="260"/>
      <c r="KWZ41" s="260"/>
      <c r="KXA41" s="260"/>
      <c r="KXB41" s="260"/>
      <c r="KXC41" s="260"/>
      <c r="KXD41" s="260"/>
      <c r="KXE41" s="260"/>
      <c r="KXF41" s="260"/>
      <c r="KXG41" s="260"/>
      <c r="KXH41" s="260"/>
      <c r="KXI41" s="260"/>
      <c r="KXJ41" s="260"/>
      <c r="KXK41" s="260"/>
      <c r="KXL41" s="260"/>
      <c r="KXM41" s="260"/>
      <c r="KXN41" s="260"/>
      <c r="KXO41" s="260"/>
      <c r="KXP41" s="260"/>
      <c r="KXQ41" s="260"/>
      <c r="KXR41" s="260"/>
      <c r="KXS41" s="260"/>
      <c r="KXT41" s="260"/>
      <c r="KXU41" s="260"/>
      <c r="KXV41" s="260"/>
      <c r="KXW41" s="260"/>
      <c r="KXX41" s="260"/>
      <c r="KXY41" s="260"/>
      <c r="KXZ41" s="260"/>
      <c r="KYA41" s="260"/>
      <c r="KYB41" s="260"/>
      <c r="KYC41" s="260"/>
      <c r="KYD41" s="260"/>
      <c r="KYE41" s="260"/>
      <c r="KYF41" s="260"/>
      <c r="KYG41" s="260"/>
      <c r="KYH41" s="260"/>
      <c r="KYI41" s="260"/>
      <c r="KYJ41" s="260"/>
      <c r="KYK41" s="260"/>
      <c r="KYL41" s="260"/>
      <c r="KYM41" s="260"/>
      <c r="KYN41" s="260"/>
      <c r="KYO41" s="260"/>
      <c r="KYP41" s="260"/>
      <c r="KYQ41" s="260"/>
      <c r="KYR41" s="260"/>
      <c r="KYS41" s="260"/>
      <c r="KYT41" s="260"/>
      <c r="KYU41" s="260"/>
      <c r="KYV41" s="260"/>
      <c r="KYW41" s="260"/>
      <c r="KYX41" s="260"/>
      <c r="KYY41" s="260"/>
      <c r="KYZ41" s="260"/>
      <c r="KZA41" s="260"/>
      <c r="KZB41" s="260"/>
      <c r="KZC41" s="260"/>
      <c r="KZD41" s="260"/>
      <c r="KZE41" s="260"/>
      <c r="KZF41" s="260"/>
      <c r="KZG41" s="260"/>
      <c r="KZH41" s="260"/>
      <c r="KZI41" s="260"/>
      <c r="KZJ41" s="260"/>
      <c r="KZK41" s="260"/>
      <c r="KZL41" s="260"/>
      <c r="KZM41" s="260"/>
      <c r="KZN41" s="260"/>
      <c r="KZO41" s="260"/>
      <c r="KZP41" s="260"/>
      <c r="KZQ41" s="260"/>
      <c r="KZR41" s="260"/>
      <c r="KZS41" s="260"/>
      <c r="KZT41" s="260"/>
      <c r="KZU41" s="260"/>
      <c r="KZV41" s="260"/>
      <c r="KZW41" s="260"/>
      <c r="KZX41" s="260"/>
      <c r="KZY41" s="260"/>
      <c r="KZZ41" s="260"/>
      <c r="LAA41" s="260"/>
      <c r="LAB41" s="260"/>
      <c r="LAC41" s="260"/>
      <c r="LAD41" s="260"/>
      <c r="LAE41" s="260"/>
      <c r="LAF41" s="260"/>
      <c r="LAG41" s="260"/>
      <c r="LAH41" s="260"/>
      <c r="LAI41" s="260"/>
      <c r="LAJ41" s="260"/>
      <c r="LAK41" s="260"/>
      <c r="LAL41" s="260"/>
      <c r="LAM41" s="260"/>
      <c r="LAN41" s="260"/>
      <c r="LAO41" s="260"/>
      <c r="LAP41" s="260"/>
      <c r="LAQ41" s="260"/>
      <c r="LAR41" s="260"/>
      <c r="LAS41" s="260"/>
      <c r="LAT41" s="260"/>
      <c r="LAU41" s="260"/>
      <c r="LAV41" s="260"/>
      <c r="LAW41" s="260"/>
      <c r="LAX41" s="260"/>
      <c r="LAY41" s="260"/>
      <c r="LAZ41" s="260"/>
      <c r="LBA41" s="260"/>
      <c r="LBB41" s="260"/>
      <c r="LBC41" s="260"/>
      <c r="LBD41" s="260"/>
      <c r="LBE41" s="260"/>
      <c r="LBF41" s="260"/>
      <c r="LBG41" s="260"/>
      <c r="LBH41" s="260"/>
      <c r="LBI41" s="260"/>
      <c r="LBJ41" s="260"/>
      <c r="LBK41" s="260"/>
      <c r="LBL41" s="260"/>
      <c r="LBM41" s="260"/>
      <c r="LBN41" s="260"/>
      <c r="LBO41" s="260"/>
      <c r="LBP41" s="260"/>
      <c r="LBQ41" s="260"/>
      <c r="LBR41" s="260"/>
      <c r="LBS41" s="260"/>
      <c r="LBT41" s="260"/>
      <c r="LBU41" s="260"/>
      <c r="LBV41" s="260"/>
      <c r="LBW41" s="260"/>
      <c r="LBX41" s="260"/>
      <c r="LBY41" s="260"/>
      <c r="LBZ41" s="260"/>
      <c r="LCA41" s="260"/>
      <c r="LCB41" s="260"/>
      <c r="LCC41" s="260"/>
      <c r="LCD41" s="260"/>
      <c r="LCE41" s="260"/>
      <c r="LCF41" s="260"/>
      <c r="LCG41" s="260"/>
      <c r="LCH41" s="260"/>
      <c r="LCI41" s="260"/>
      <c r="LCJ41" s="260"/>
      <c r="LCK41" s="260"/>
      <c r="LCL41" s="260"/>
      <c r="LCM41" s="260"/>
      <c r="LCN41" s="260"/>
      <c r="LCO41" s="260"/>
      <c r="LCP41" s="260"/>
      <c r="LCQ41" s="260"/>
      <c r="LCR41" s="260"/>
      <c r="LCS41" s="260"/>
      <c r="LCT41" s="260"/>
      <c r="LCU41" s="260"/>
      <c r="LCV41" s="260"/>
      <c r="LCW41" s="260"/>
      <c r="LCX41" s="260"/>
      <c r="LCY41" s="260"/>
      <c r="LCZ41" s="260"/>
      <c r="LDA41" s="260"/>
      <c r="LDB41" s="260"/>
      <c r="LDC41" s="260"/>
      <c r="LDD41" s="260"/>
      <c r="LDE41" s="260"/>
      <c r="LDF41" s="260"/>
      <c r="LDG41" s="260"/>
      <c r="LDH41" s="260"/>
      <c r="LDI41" s="260"/>
      <c r="LDJ41" s="260"/>
      <c r="LDK41" s="260"/>
      <c r="LDL41" s="260"/>
      <c r="LDM41" s="260"/>
      <c r="LDN41" s="260"/>
      <c r="LDO41" s="260"/>
      <c r="LDP41" s="260"/>
      <c r="LDQ41" s="260"/>
      <c r="LDR41" s="260"/>
      <c r="LDS41" s="260"/>
      <c r="LDT41" s="260"/>
      <c r="LDU41" s="260"/>
      <c r="LDV41" s="260"/>
      <c r="LDW41" s="260"/>
      <c r="LDX41" s="260"/>
      <c r="LDY41" s="260"/>
      <c r="LDZ41" s="260"/>
      <c r="LEA41" s="260"/>
      <c r="LEB41" s="260"/>
      <c r="LEC41" s="260"/>
      <c r="LED41" s="260"/>
      <c r="LEE41" s="260"/>
      <c r="LEF41" s="260"/>
      <c r="LEG41" s="260"/>
      <c r="LEH41" s="260"/>
      <c r="LEI41" s="260"/>
      <c r="LEJ41" s="260"/>
      <c r="LEK41" s="260"/>
      <c r="LEL41" s="260"/>
      <c r="LEM41" s="260"/>
      <c r="LEN41" s="260"/>
      <c r="LEO41" s="260"/>
      <c r="LEP41" s="260"/>
      <c r="LEQ41" s="260"/>
      <c r="LER41" s="260"/>
      <c r="LES41" s="260"/>
      <c r="LET41" s="260"/>
      <c r="LEU41" s="260"/>
      <c r="LEV41" s="260"/>
      <c r="LEW41" s="260"/>
      <c r="LEX41" s="260"/>
      <c r="LEY41" s="260"/>
      <c r="LEZ41" s="260"/>
      <c r="LFA41" s="260"/>
      <c r="LFB41" s="260"/>
      <c r="LFC41" s="260"/>
      <c r="LFD41" s="260"/>
      <c r="LFE41" s="260"/>
      <c r="LFF41" s="260"/>
      <c r="LFG41" s="260"/>
      <c r="LFH41" s="260"/>
      <c r="LFI41" s="260"/>
      <c r="LFJ41" s="260"/>
      <c r="LFK41" s="260"/>
      <c r="LFL41" s="260"/>
      <c r="LFM41" s="260"/>
      <c r="LFN41" s="260"/>
      <c r="LFO41" s="260"/>
      <c r="LFP41" s="260"/>
      <c r="LFQ41" s="260"/>
      <c r="LFR41" s="260"/>
      <c r="LFS41" s="260"/>
      <c r="LFT41" s="260"/>
      <c r="LFU41" s="260"/>
      <c r="LFV41" s="260"/>
      <c r="LFW41" s="260"/>
      <c r="LFX41" s="260"/>
      <c r="LFY41" s="260"/>
      <c r="LFZ41" s="260"/>
      <c r="LGA41" s="260"/>
      <c r="LGB41" s="260"/>
      <c r="LGC41" s="260"/>
      <c r="LGD41" s="260"/>
      <c r="LGE41" s="260"/>
      <c r="LGF41" s="260"/>
      <c r="LGG41" s="260"/>
      <c r="LGH41" s="260"/>
      <c r="LGI41" s="260"/>
      <c r="LGJ41" s="260"/>
      <c r="LGK41" s="260"/>
      <c r="LGL41" s="260"/>
      <c r="LGM41" s="260"/>
      <c r="LGN41" s="260"/>
      <c r="LGO41" s="260"/>
      <c r="LGP41" s="260"/>
      <c r="LGQ41" s="260"/>
      <c r="LGR41" s="260"/>
      <c r="LGS41" s="260"/>
      <c r="LGT41" s="260"/>
      <c r="LGU41" s="260"/>
      <c r="LGV41" s="260"/>
      <c r="LGW41" s="260"/>
      <c r="LGX41" s="260"/>
      <c r="LGY41" s="260"/>
      <c r="LGZ41" s="260"/>
      <c r="LHA41" s="260"/>
      <c r="LHB41" s="260"/>
      <c r="LHC41" s="260"/>
      <c r="LHD41" s="260"/>
      <c r="LHE41" s="260"/>
      <c r="LHF41" s="260"/>
      <c r="LHG41" s="260"/>
      <c r="LHH41" s="260"/>
      <c r="LHI41" s="260"/>
      <c r="LHJ41" s="260"/>
      <c r="LHK41" s="260"/>
      <c r="LHL41" s="260"/>
      <c r="LHM41" s="260"/>
      <c r="LHN41" s="260"/>
      <c r="LHO41" s="260"/>
      <c r="LHP41" s="260"/>
      <c r="LHQ41" s="260"/>
      <c r="LHR41" s="260"/>
      <c r="LHS41" s="260"/>
      <c r="LHT41" s="260"/>
      <c r="LHU41" s="260"/>
      <c r="LHV41" s="260"/>
      <c r="LHW41" s="260"/>
      <c r="LHX41" s="260"/>
      <c r="LHY41" s="260"/>
      <c r="LHZ41" s="260"/>
      <c r="LIA41" s="260"/>
      <c r="LIB41" s="260"/>
      <c r="LIC41" s="260"/>
      <c r="LID41" s="260"/>
      <c r="LIE41" s="260"/>
      <c r="LIF41" s="260"/>
      <c r="LIG41" s="260"/>
      <c r="LIH41" s="260"/>
      <c r="LII41" s="260"/>
      <c r="LIJ41" s="260"/>
      <c r="LIK41" s="260"/>
      <c r="LIL41" s="260"/>
      <c r="LIM41" s="260"/>
      <c r="LIN41" s="260"/>
      <c r="LIO41" s="260"/>
      <c r="LIP41" s="260"/>
      <c r="LIQ41" s="260"/>
      <c r="LIR41" s="260"/>
      <c r="LIS41" s="260"/>
      <c r="LIT41" s="260"/>
      <c r="LIU41" s="260"/>
      <c r="LIV41" s="260"/>
      <c r="LIW41" s="260"/>
      <c r="LIX41" s="260"/>
      <c r="LIY41" s="260"/>
      <c r="LIZ41" s="260"/>
      <c r="LJA41" s="260"/>
      <c r="LJB41" s="260"/>
      <c r="LJC41" s="260"/>
      <c r="LJD41" s="260"/>
      <c r="LJE41" s="260"/>
      <c r="LJF41" s="260"/>
      <c r="LJG41" s="260"/>
      <c r="LJH41" s="260"/>
      <c r="LJI41" s="260"/>
      <c r="LJJ41" s="260"/>
      <c r="LJK41" s="260"/>
      <c r="LJL41" s="260"/>
      <c r="LJM41" s="260"/>
      <c r="LJN41" s="260"/>
      <c r="LJO41" s="260"/>
      <c r="LJP41" s="260"/>
      <c r="LJQ41" s="260"/>
      <c r="LJR41" s="260"/>
      <c r="LJS41" s="260"/>
      <c r="LJT41" s="260"/>
      <c r="LJU41" s="260"/>
      <c r="LJV41" s="260"/>
      <c r="LJW41" s="260"/>
      <c r="LJX41" s="260"/>
      <c r="LJY41" s="260"/>
      <c r="LJZ41" s="260"/>
      <c r="LKA41" s="260"/>
      <c r="LKB41" s="260"/>
      <c r="LKC41" s="260"/>
      <c r="LKD41" s="260"/>
      <c r="LKE41" s="260"/>
      <c r="LKF41" s="260"/>
      <c r="LKG41" s="260"/>
      <c r="LKH41" s="260"/>
      <c r="LKI41" s="260"/>
      <c r="LKJ41" s="260"/>
      <c r="LKK41" s="260"/>
      <c r="LKL41" s="260"/>
      <c r="LKM41" s="260"/>
      <c r="LKN41" s="260"/>
      <c r="LKO41" s="260"/>
      <c r="LKP41" s="260"/>
      <c r="LKQ41" s="260"/>
      <c r="LKR41" s="260"/>
      <c r="LKS41" s="260"/>
      <c r="LKT41" s="260"/>
      <c r="LKU41" s="260"/>
      <c r="LKV41" s="260"/>
      <c r="LKW41" s="260"/>
      <c r="LKX41" s="260"/>
      <c r="LKY41" s="260"/>
      <c r="LKZ41" s="260"/>
      <c r="LLA41" s="260"/>
      <c r="LLB41" s="260"/>
      <c r="LLC41" s="260"/>
      <c r="LLD41" s="260"/>
      <c r="LLE41" s="260"/>
      <c r="LLF41" s="260"/>
      <c r="LLG41" s="260"/>
      <c r="LLH41" s="260"/>
      <c r="LLI41" s="260"/>
      <c r="LLJ41" s="260"/>
      <c r="LLK41" s="260"/>
      <c r="LLL41" s="260"/>
      <c r="LLM41" s="260"/>
      <c r="LLN41" s="260"/>
      <c r="LLO41" s="260"/>
      <c r="LLP41" s="260"/>
      <c r="LLQ41" s="260"/>
      <c r="LLR41" s="260"/>
      <c r="LLS41" s="260"/>
      <c r="LLT41" s="260"/>
      <c r="LLU41" s="260"/>
      <c r="LLV41" s="260"/>
      <c r="LLW41" s="260"/>
      <c r="LLX41" s="260"/>
      <c r="LLY41" s="260"/>
      <c r="LLZ41" s="260"/>
      <c r="LMA41" s="260"/>
      <c r="LMB41" s="260"/>
      <c r="LMC41" s="260"/>
      <c r="LMD41" s="260"/>
      <c r="LME41" s="260"/>
      <c r="LMF41" s="260"/>
      <c r="LMG41" s="260"/>
      <c r="LMH41" s="260"/>
      <c r="LMI41" s="260"/>
      <c r="LMJ41" s="260"/>
      <c r="LMK41" s="260"/>
      <c r="LML41" s="260"/>
      <c r="LMM41" s="260"/>
      <c r="LMN41" s="260"/>
      <c r="LMO41" s="260"/>
      <c r="LMP41" s="260"/>
      <c r="LMQ41" s="260"/>
      <c r="LMR41" s="260"/>
      <c r="LMS41" s="260"/>
      <c r="LMT41" s="260"/>
      <c r="LMU41" s="260"/>
      <c r="LMV41" s="260"/>
      <c r="LMW41" s="260"/>
      <c r="LMX41" s="260"/>
      <c r="LMY41" s="260"/>
      <c r="LMZ41" s="260"/>
      <c r="LNA41" s="260"/>
      <c r="LNB41" s="260"/>
      <c r="LNC41" s="260"/>
      <c r="LND41" s="260"/>
      <c r="LNE41" s="260"/>
      <c r="LNF41" s="260"/>
      <c r="LNG41" s="260"/>
      <c r="LNH41" s="260"/>
      <c r="LNI41" s="260"/>
      <c r="LNJ41" s="260"/>
      <c r="LNK41" s="260"/>
      <c r="LNL41" s="260"/>
      <c r="LNM41" s="260"/>
      <c r="LNN41" s="260"/>
      <c r="LNO41" s="260"/>
      <c r="LNP41" s="260"/>
      <c r="LNQ41" s="260"/>
      <c r="LNR41" s="260"/>
      <c r="LNS41" s="260"/>
      <c r="LNT41" s="260"/>
      <c r="LNU41" s="260"/>
      <c r="LNV41" s="260"/>
      <c r="LNW41" s="260"/>
      <c r="LNX41" s="260"/>
      <c r="LNY41" s="260"/>
      <c r="LNZ41" s="260"/>
      <c r="LOA41" s="260"/>
      <c r="LOB41" s="260"/>
      <c r="LOC41" s="260"/>
      <c r="LOD41" s="260"/>
      <c r="LOE41" s="260"/>
      <c r="LOF41" s="260"/>
      <c r="LOG41" s="260"/>
      <c r="LOH41" s="260"/>
      <c r="LOI41" s="260"/>
      <c r="LOJ41" s="260"/>
      <c r="LOK41" s="260"/>
      <c r="LOL41" s="260"/>
      <c r="LOM41" s="260"/>
      <c r="LON41" s="260"/>
      <c r="LOO41" s="260"/>
      <c r="LOP41" s="260"/>
      <c r="LOQ41" s="260"/>
      <c r="LOR41" s="260"/>
      <c r="LOS41" s="260"/>
      <c r="LOT41" s="260"/>
      <c r="LOU41" s="260"/>
      <c r="LOV41" s="260"/>
      <c r="LOW41" s="260"/>
      <c r="LOX41" s="260"/>
      <c r="LOY41" s="260"/>
      <c r="LOZ41" s="260"/>
      <c r="LPA41" s="260"/>
      <c r="LPB41" s="260"/>
      <c r="LPC41" s="260"/>
      <c r="LPD41" s="260"/>
      <c r="LPE41" s="260"/>
      <c r="LPF41" s="260"/>
      <c r="LPG41" s="260"/>
      <c r="LPH41" s="260"/>
      <c r="LPI41" s="260"/>
      <c r="LPJ41" s="260"/>
      <c r="LPK41" s="260"/>
      <c r="LPL41" s="260"/>
      <c r="LPM41" s="260"/>
      <c r="LPN41" s="260"/>
      <c r="LPO41" s="260"/>
      <c r="LPP41" s="260"/>
      <c r="LPQ41" s="260"/>
      <c r="LPR41" s="260"/>
      <c r="LPS41" s="260"/>
      <c r="LPT41" s="260"/>
      <c r="LPU41" s="260"/>
      <c r="LPV41" s="260"/>
      <c r="LPW41" s="260"/>
      <c r="LPX41" s="260"/>
      <c r="LPY41" s="260"/>
      <c r="LPZ41" s="260"/>
      <c r="LQA41" s="260"/>
      <c r="LQB41" s="260"/>
      <c r="LQC41" s="260"/>
      <c r="LQD41" s="260"/>
      <c r="LQE41" s="260"/>
      <c r="LQF41" s="260"/>
      <c r="LQG41" s="260"/>
      <c r="LQH41" s="260"/>
      <c r="LQI41" s="260"/>
      <c r="LQJ41" s="260"/>
      <c r="LQK41" s="260"/>
      <c r="LQL41" s="260"/>
      <c r="LQM41" s="260"/>
      <c r="LQN41" s="260"/>
      <c r="LQO41" s="260"/>
      <c r="LQP41" s="260"/>
      <c r="LQQ41" s="260"/>
      <c r="LQR41" s="260"/>
      <c r="LQS41" s="260"/>
      <c r="LQT41" s="260"/>
      <c r="LQU41" s="260"/>
      <c r="LQV41" s="260"/>
      <c r="LQW41" s="260"/>
      <c r="LQX41" s="260"/>
      <c r="LQY41" s="260"/>
      <c r="LQZ41" s="260"/>
      <c r="LRA41" s="260"/>
      <c r="LRB41" s="260"/>
      <c r="LRC41" s="260"/>
      <c r="LRD41" s="260"/>
      <c r="LRE41" s="260"/>
      <c r="LRF41" s="260"/>
      <c r="LRG41" s="260"/>
      <c r="LRH41" s="260"/>
      <c r="LRI41" s="260"/>
      <c r="LRJ41" s="260"/>
      <c r="LRK41" s="260"/>
      <c r="LRL41" s="260"/>
      <c r="LRM41" s="260"/>
      <c r="LRN41" s="260"/>
      <c r="LRO41" s="260"/>
      <c r="LRP41" s="260"/>
      <c r="LRQ41" s="260"/>
      <c r="LRR41" s="260"/>
      <c r="LRS41" s="260"/>
      <c r="LRT41" s="260"/>
      <c r="LRU41" s="260"/>
      <c r="LRV41" s="260"/>
      <c r="LRW41" s="260"/>
      <c r="LRX41" s="260"/>
      <c r="LRY41" s="260"/>
      <c r="LRZ41" s="260"/>
      <c r="LSA41" s="260"/>
      <c r="LSB41" s="260"/>
      <c r="LSC41" s="260"/>
      <c r="LSD41" s="260"/>
      <c r="LSE41" s="260"/>
      <c r="LSF41" s="260"/>
      <c r="LSG41" s="260"/>
      <c r="LSH41" s="260"/>
      <c r="LSI41" s="260"/>
      <c r="LSJ41" s="260"/>
      <c r="LSK41" s="260"/>
      <c r="LSL41" s="260"/>
      <c r="LSM41" s="260"/>
      <c r="LSN41" s="260"/>
      <c r="LSO41" s="260"/>
      <c r="LSP41" s="260"/>
      <c r="LSQ41" s="260"/>
      <c r="LSR41" s="260"/>
      <c r="LSS41" s="260"/>
      <c r="LST41" s="260"/>
      <c r="LSU41" s="260"/>
      <c r="LSV41" s="260"/>
      <c r="LSW41" s="260"/>
      <c r="LSX41" s="260"/>
      <c r="LSY41" s="260"/>
      <c r="LSZ41" s="260"/>
      <c r="LTA41" s="260"/>
      <c r="LTB41" s="260"/>
      <c r="LTC41" s="260"/>
      <c r="LTD41" s="260"/>
      <c r="LTE41" s="260"/>
      <c r="LTF41" s="260"/>
      <c r="LTG41" s="260"/>
      <c r="LTH41" s="260"/>
      <c r="LTI41" s="260"/>
      <c r="LTJ41" s="260"/>
      <c r="LTK41" s="260"/>
      <c r="LTL41" s="260"/>
      <c r="LTM41" s="260"/>
      <c r="LTN41" s="260"/>
      <c r="LTO41" s="260"/>
      <c r="LTP41" s="260"/>
      <c r="LTQ41" s="260"/>
      <c r="LTR41" s="260"/>
      <c r="LTS41" s="260"/>
      <c r="LTT41" s="260"/>
      <c r="LTU41" s="260"/>
      <c r="LTV41" s="260"/>
      <c r="LTW41" s="260"/>
      <c r="LTX41" s="260"/>
      <c r="LTY41" s="260"/>
      <c r="LTZ41" s="260"/>
      <c r="LUA41" s="260"/>
      <c r="LUB41" s="260"/>
      <c r="LUC41" s="260"/>
      <c r="LUD41" s="260"/>
      <c r="LUE41" s="260"/>
      <c r="LUF41" s="260"/>
      <c r="LUG41" s="260"/>
      <c r="LUH41" s="260"/>
      <c r="LUI41" s="260"/>
      <c r="LUJ41" s="260"/>
      <c r="LUK41" s="260"/>
      <c r="LUL41" s="260"/>
      <c r="LUM41" s="260"/>
      <c r="LUN41" s="260"/>
      <c r="LUO41" s="260"/>
      <c r="LUP41" s="260"/>
      <c r="LUQ41" s="260"/>
      <c r="LUR41" s="260"/>
      <c r="LUS41" s="260"/>
      <c r="LUT41" s="260"/>
      <c r="LUU41" s="260"/>
      <c r="LUV41" s="260"/>
      <c r="LUW41" s="260"/>
      <c r="LUX41" s="260"/>
      <c r="LUY41" s="260"/>
      <c r="LUZ41" s="260"/>
      <c r="LVA41" s="260"/>
      <c r="LVB41" s="260"/>
      <c r="LVC41" s="260"/>
      <c r="LVD41" s="260"/>
      <c r="LVE41" s="260"/>
      <c r="LVF41" s="260"/>
      <c r="LVG41" s="260"/>
      <c r="LVH41" s="260"/>
      <c r="LVI41" s="260"/>
      <c r="LVJ41" s="260"/>
      <c r="LVK41" s="260"/>
      <c r="LVL41" s="260"/>
      <c r="LVM41" s="260"/>
      <c r="LVN41" s="260"/>
      <c r="LVO41" s="260"/>
      <c r="LVP41" s="260"/>
      <c r="LVQ41" s="260"/>
      <c r="LVR41" s="260"/>
      <c r="LVS41" s="260"/>
      <c r="LVT41" s="260"/>
      <c r="LVU41" s="260"/>
      <c r="LVV41" s="260"/>
      <c r="LVW41" s="260"/>
      <c r="LVX41" s="260"/>
      <c r="LVY41" s="260"/>
      <c r="LVZ41" s="260"/>
      <c r="LWA41" s="260"/>
      <c r="LWB41" s="260"/>
      <c r="LWC41" s="260"/>
      <c r="LWD41" s="260"/>
      <c r="LWE41" s="260"/>
      <c r="LWF41" s="260"/>
      <c r="LWG41" s="260"/>
      <c r="LWH41" s="260"/>
      <c r="LWI41" s="260"/>
      <c r="LWJ41" s="260"/>
      <c r="LWK41" s="260"/>
      <c r="LWL41" s="260"/>
      <c r="LWM41" s="260"/>
      <c r="LWN41" s="260"/>
      <c r="LWO41" s="260"/>
      <c r="LWP41" s="260"/>
      <c r="LWQ41" s="260"/>
      <c r="LWR41" s="260"/>
      <c r="LWS41" s="260"/>
      <c r="LWT41" s="260"/>
      <c r="LWU41" s="260"/>
      <c r="LWV41" s="260"/>
      <c r="LWW41" s="260"/>
      <c r="LWX41" s="260"/>
      <c r="LWY41" s="260"/>
      <c r="LWZ41" s="260"/>
      <c r="LXA41" s="260"/>
      <c r="LXB41" s="260"/>
      <c r="LXC41" s="260"/>
      <c r="LXD41" s="260"/>
      <c r="LXE41" s="260"/>
      <c r="LXF41" s="260"/>
      <c r="LXG41" s="260"/>
      <c r="LXH41" s="260"/>
      <c r="LXI41" s="260"/>
      <c r="LXJ41" s="260"/>
      <c r="LXK41" s="260"/>
      <c r="LXL41" s="260"/>
      <c r="LXM41" s="260"/>
      <c r="LXN41" s="260"/>
      <c r="LXO41" s="260"/>
      <c r="LXP41" s="260"/>
      <c r="LXQ41" s="260"/>
      <c r="LXR41" s="260"/>
      <c r="LXS41" s="260"/>
      <c r="LXT41" s="260"/>
      <c r="LXU41" s="260"/>
      <c r="LXV41" s="260"/>
      <c r="LXW41" s="260"/>
      <c r="LXX41" s="260"/>
      <c r="LXY41" s="260"/>
      <c r="LXZ41" s="260"/>
      <c r="LYA41" s="260"/>
      <c r="LYB41" s="260"/>
      <c r="LYC41" s="260"/>
      <c r="LYD41" s="260"/>
      <c r="LYE41" s="260"/>
      <c r="LYF41" s="260"/>
      <c r="LYG41" s="260"/>
      <c r="LYH41" s="260"/>
      <c r="LYI41" s="260"/>
      <c r="LYJ41" s="260"/>
      <c r="LYK41" s="260"/>
      <c r="LYL41" s="260"/>
      <c r="LYM41" s="260"/>
      <c r="LYN41" s="260"/>
      <c r="LYO41" s="260"/>
      <c r="LYP41" s="260"/>
      <c r="LYQ41" s="260"/>
      <c r="LYR41" s="260"/>
      <c r="LYS41" s="260"/>
      <c r="LYT41" s="260"/>
      <c r="LYU41" s="260"/>
      <c r="LYV41" s="260"/>
      <c r="LYW41" s="260"/>
      <c r="LYX41" s="260"/>
      <c r="LYY41" s="260"/>
      <c r="LYZ41" s="260"/>
      <c r="LZA41" s="260"/>
      <c r="LZB41" s="260"/>
      <c r="LZC41" s="260"/>
      <c r="LZD41" s="260"/>
      <c r="LZE41" s="260"/>
      <c r="LZF41" s="260"/>
      <c r="LZG41" s="260"/>
      <c r="LZH41" s="260"/>
      <c r="LZI41" s="260"/>
      <c r="LZJ41" s="260"/>
      <c r="LZK41" s="260"/>
      <c r="LZL41" s="260"/>
      <c r="LZM41" s="260"/>
      <c r="LZN41" s="260"/>
      <c r="LZO41" s="260"/>
      <c r="LZP41" s="260"/>
      <c r="LZQ41" s="260"/>
      <c r="LZR41" s="260"/>
      <c r="LZS41" s="260"/>
      <c r="LZT41" s="260"/>
      <c r="LZU41" s="260"/>
      <c r="LZV41" s="260"/>
      <c r="LZW41" s="260"/>
      <c r="LZX41" s="260"/>
      <c r="LZY41" s="260"/>
      <c r="LZZ41" s="260"/>
      <c r="MAA41" s="260"/>
      <c r="MAB41" s="260"/>
      <c r="MAC41" s="260"/>
      <c r="MAD41" s="260"/>
      <c r="MAE41" s="260"/>
      <c r="MAF41" s="260"/>
      <c r="MAG41" s="260"/>
      <c r="MAH41" s="260"/>
      <c r="MAI41" s="260"/>
      <c r="MAJ41" s="260"/>
      <c r="MAK41" s="260"/>
      <c r="MAL41" s="260"/>
      <c r="MAM41" s="260"/>
      <c r="MAN41" s="260"/>
      <c r="MAO41" s="260"/>
      <c r="MAP41" s="260"/>
      <c r="MAQ41" s="260"/>
      <c r="MAR41" s="260"/>
      <c r="MAS41" s="260"/>
      <c r="MAT41" s="260"/>
      <c r="MAU41" s="260"/>
      <c r="MAV41" s="260"/>
      <c r="MAW41" s="260"/>
      <c r="MAX41" s="260"/>
      <c r="MAY41" s="260"/>
      <c r="MAZ41" s="260"/>
      <c r="MBA41" s="260"/>
      <c r="MBB41" s="260"/>
      <c r="MBC41" s="260"/>
      <c r="MBD41" s="260"/>
      <c r="MBE41" s="260"/>
      <c r="MBF41" s="260"/>
      <c r="MBG41" s="260"/>
      <c r="MBH41" s="260"/>
      <c r="MBI41" s="260"/>
      <c r="MBJ41" s="260"/>
      <c r="MBK41" s="260"/>
      <c r="MBL41" s="260"/>
      <c r="MBM41" s="260"/>
      <c r="MBN41" s="260"/>
      <c r="MBO41" s="260"/>
      <c r="MBP41" s="260"/>
      <c r="MBQ41" s="260"/>
      <c r="MBR41" s="260"/>
      <c r="MBS41" s="260"/>
      <c r="MBT41" s="260"/>
      <c r="MBU41" s="260"/>
      <c r="MBV41" s="260"/>
      <c r="MBW41" s="260"/>
      <c r="MBX41" s="260"/>
      <c r="MBY41" s="260"/>
      <c r="MBZ41" s="260"/>
      <c r="MCA41" s="260"/>
      <c r="MCB41" s="260"/>
      <c r="MCC41" s="260"/>
      <c r="MCD41" s="260"/>
      <c r="MCE41" s="260"/>
      <c r="MCF41" s="260"/>
      <c r="MCG41" s="260"/>
      <c r="MCH41" s="260"/>
      <c r="MCI41" s="260"/>
      <c r="MCJ41" s="260"/>
      <c r="MCK41" s="260"/>
      <c r="MCL41" s="260"/>
      <c r="MCM41" s="260"/>
      <c r="MCN41" s="260"/>
      <c r="MCO41" s="260"/>
      <c r="MCP41" s="260"/>
      <c r="MCQ41" s="260"/>
      <c r="MCR41" s="260"/>
      <c r="MCS41" s="260"/>
      <c r="MCT41" s="260"/>
      <c r="MCU41" s="260"/>
      <c r="MCV41" s="260"/>
      <c r="MCW41" s="260"/>
      <c r="MCX41" s="260"/>
      <c r="MCY41" s="260"/>
      <c r="MCZ41" s="260"/>
      <c r="MDA41" s="260"/>
      <c r="MDB41" s="260"/>
      <c r="MDC41" s="260"/>
      <c r="MDD41" s="260"/>
      <c r="MDE41" s="260"/>
      <c r="MDF41" s="260"/>
      <c r="MDG41" s="260"/>
      <c r="MDH41" s="260"/>
      <c r="MDI41" s="260"/>
      <c r="MDJ41" s="260"/>
      <c r="MDK41" s="260"/>
      <c r="MDL41" s="260"/>
      <c r="MDM41" s="260"/>
      <c r="MDN41" s="260"/>
      <c r="MDO41" s="260"/>
      <c r="MDP41" s="260"/>
      <c r="MDQ41" s="260"/>
      <c r="MDR41" s="260"/>
      <c r="MDS41" s="260"/>
      <c r="MDT41" s="260"/>
      <c r="MDU41" s="260"/>
      <c r="MDV41" s="260"/>
      <c r="MDW41" s="260"/>
      <c r="MDX41" s="260"/>
      <c r="MDY41" s="260"/>
      <c r="MDZ41" s="260"/>
      <c r="MEA41" s="260"/>
      <c r="MEB41" s="260"/>
      <c r="MEC41" s="260"/>
      <c r="MED41" s="260"/>
      <c r="MEE41" s="260"/>
      <c r="MEF41" s="260"/>
      <c r="MEG41" s="260"/>
      <c r="MEH41" s="260"/>
      <c r="MEI41" s="260"/>
      <c r="MEJ41" s="260"/>
      <c r="MEK41" s="260"/>
      <c r="MEL41" s="260"/>
      <c r="MEM41" s="260"/>
      <c r="MEN41" s="260"/>
      <c r="MEO41" s="260"/>
      <c r="MEP41" s="260"/>
      <c r="MEQ41" s="260"/>
      <c r="MER41" s="260"/>
      <c r="MES41" s="260"/>
      <c r="MET41" s="260"/>
      <c r="MEU41" s="260"/>
      <c r="MEV41" s="260"/>
      <c r="MEW41" s="260"/>
      <c r="MEX41" s="260"/>
      <c r="MEY41" s="260"/>
      <c r="MEZ41" s="260"/>
      <c r="MFA41" s="260"/>
      <c r="MFB41" s="260"/>
      <c r="MFC41" s="260"/>
      <c r="MFD41" s="260"/>
      <c r="MFE41" s="260"/>
      <c r="MFF41" s="260"/>
      <c r="MFG41" s="260"/>
      <c r="MFH41" s="260"/>
      <c r="MFI41" s="260"/>
      <c r="MFJ41" s="260"/>
      <c r="MFK41" s="260"/>
      <c r="MFL41" s="260"/>
      <c r="MFM41" s="260"/>
      <c r="MFN41" s="260"/>
      <c r="MFO41" s="260"/>
      <c r="MFP41" s="260"/>
      <c r="MFQ41" s="260"/>
      <c r="MFR41" s="260"/>
      <c r="MFS41" s="260"/>
      <c r="MFT41" s="260"/>
      <c r="MFU41" s="260"/>
      <c r="MFV41" s="260"/>
      <c r="MFW41" s="260"/>
      <c r="MFX41" s="260"/>
      <c r="MFY41" s="260"/>
      <c r="MFZ41" s="260"/>
      <c r="MGA41" s="260"/>
      <c r="MGB41" s="260"/>
      <c r="MGC41" s="260"/>
      <c r="MGD41" s="260"/>
      <c r="MGE41" s="260"/>
      <c r="MGF41" s="260"/>
      <c r="MGG41" s="260"/>
      <c r="MGH41" s="260"/>
      <c r="MGI41" s="260"/>
      <c r="MGJ41" s="260"/>
      <c r="MGK41" s="260"/>
      <c r="MGL41" s="260"/>
      <c r="MGM41" s="260"/>
      <c r="MGN41" s="260"/>
      <c r="MGO41" s="260"/>
      <c r="MGP41" s="260"/>
      <c r="MGQ41" s="260"/>
      <c r="MGR41" s="260"/>
      <c r="MGS41" s="260"/>
      <c r="MGT41" s="260"/>
      <c r="MGU41" s="260"/>
      <c r="MGV41" s="260"/>
      <c r="MGW41" s="260"/>
      <c r="MGX41" s="260"/>
      <c r="MGY41" s="260"/>
      <c r="MGZ41" s="260"/>
      <c r="MHA41" s="260"/>
      <c r="MHB41" s="260"/>
      <c r="MHC41" s="260"/>
      <c r="MHD41" s="260"/>
      <c r="MHE41" s="260"/>
      <c r="MHF41" s="260"/>
      <c r="MHG41" s="260"/>
      <c r="MHH41" s="260"/>
      <c r="MHI41" s="260"/>
      <c r="MHJ41" s="260"/>
      <c r="MHK41" s="260"/>
      <c r="MHL41" s="260"/>
      <c r="MHM41" s="260"/>
      <c r="MHN41" s="260"/>
      <c r="MHO41" s="260"/>
      <c r="MHP41" s="260"/>
      <c r="MHQ41" s="260"/>
      <c r="MHR41" s="260"/>
      <c r="MHS41" s="260"/>
      <c r="MHT41" s="260"/>
      <c r="MHU41" s="260"/>
      <c r="MHV41" s="260"/>
      <c r="MHW41" s="260"/>
      <c r="MHX41" s="260"/>
      <c r="MHY41" s="260"/>
      <c r="MHZ41" s="260"/>
      <c r="MIA41" s="260"/>
      <c r="MIB41" s="260"/>
      <c r="MIC41" s="260"/>
      <c r="MID41" s="260"/>
      <c r="MIE41" s="260"/>
      <c r="MIF41" s="260"/>
      <c r="MIG41" s="260"/>
      <c r="MIH41" s="260"/>
      <c r="MII41" s="260"/>
      <c r="MIJ41" s="260"/>
      <c r="MIK41" s="260"/>
      <c r="MIL41" s="260"/>
      <c r="MIM41" s="260"/>
      <c r="MIN41" s="260"/>
      <c r="MIO41" s="260"/>
      <c r="MIP41" s="260"/>
      <c r="MIQ41" s="260"/>
      <c r="MIR41" s="260"/>
      <c r="MIS41" s="260"/>
      <c r="MIT41" s="260"/>
      <c r="MIU41" s="260"/>
      <c r="MIV41" s="260"/>
      <c r="MIW41" s="260"/>
      <c r="MIX41" s="260"/>
      <c r="MIY41" s="260"/>
      <c r="MIZ41" s="260"/>
      <c r="MJA41" s="260"/>
      <c r="MJB41" s="260"/>
      <c r="MJC41" s="260"/>
      <c r="MJD41" s="260"/>
      <c r="MJE41" s="260"/>
      <c r="MJF41" s="260"/>
      <c r="MJG41" s="260"/>
      <c r="MJH41" s="260"/>
      <c r="MJI41" s="260"/>
      <c r="MJJ41" s="260"/>
      <c r="MJK41" s="260"/>
      <c r="MJL41" s="260"/>
      <c r="MJM41" s="260"/>
      <c r="MJN41" s="260"/>
      <c r="MJO41" s="260"/>
      <c r="MJP41" s="260"/>
      <c r="MJQ41" s="260"/>
      <c r="MJR41" s="260"/>
      <c r="MJS41" s="260"/>
      <c r="MJT41" s="260"/>
      <c r="MJU41" s="260"/>
      <c r="MJV41" s="260"/>
      <c r="MJW41" s="260"/>
      <c r="MJX41" s="260"/>
      <c r="MJY41" s="260"/>
      <c r="MJZ41" s="260"/>
      <c r="MKA41" s="260"/>
      <c r="MKB41" s="260"/>
      <c r="MKC41" s="260"/>
      <c r="MKD41" s="260"/>
      <c r="MKE41" s="260"/>
      <c r="MKF41" s="260"/>
      <c r="MKG41" s="260"/>
      <c r="MKH41" s="260"/>
      <c r="MKI41" s="260"/>
      <c r="MKJ41" s="260"/>
      <c r="MKK41" s="260"/>
      <c r="MKL41" s="260"/>
      <c r="MKM41" s="260"/>
      <c r="MKN41" s="260"/>
      <c r="MKO41" s="260"/>
      <c r="MKP41" s="260"/>
      <c r="MKQ41" s="260"/>
      <c r="MKR41" s="260"/>
      <c r="MKS41" s="260"/>
      <c r="MKT41" s="260"/>
      <c r="MKU41" s="260"/>
      <c r="MKV41" s="260"/>
      <c r="MKW41" s="260"/>
      <c r="MKX41" s="260"/>
      <c r="MKY41" s="260"/>
      <c r="MKZ41" s="260"/>
      <c r="MLA41" s="260"/>
      <c r="MLB41" s="260"/>
      <c r="MLC41" s="260"/>
      <c r="MLD41" s="260"/>
      <c r="MLE41" s="260"/>
      <c r="MLF41" s="260"/>
      <c r="MLG41" s="260"/>
      <c r="MLH41" s="260"/>
      <c r="MLI41" s="260"/>
      <c r="MLJ41" s="260"/>
      <c r="MLK41" s="260"/>
      <c r="MLL41" s="260"/>
      <c r="MLM41" s="260"/>
      <c r="MLN41" s="260"/>
      <c r="MLO41" s="260"/>
      <c r="MLP41" s="260"/>
      <c r="MLQ41" s="260"/>
      <c r="MLR41" s="260"/>
      <c r="MLS41" s="260"/>
      <c r="MLT41" s="260"/>
      <c r="MLU41" s="260"/>
      <c r="MLV41" s="260"/>
      <c r="MLW41" s="260"/>
      <c r="MLX41" s="260"/>
      <c r="MLY41" s="260"/>
      <c r="MLZ41" s="260"/>
      <c r="MMA41" s="260"/>
      <c r="MMB41" s="260"/>
      <c r="MMC41" s="260"/>
      <c r="MMD41" s="260"/>
      <c r="MME41" s="260"/>
      <c r="MMF41" s="260"/>
      <c r="MMG41" s="260"/>
      <c r="MMH41" s="260"/>
      <c r="MMI41" s="260"/>
      <c r="MMJ41" s="260"/>
      <c r="MMK41" s="260"/>
      <c r="MML41" s="260"/>
      <c r="MMM41" s="260"/>
      <c r="MMN41" s="260"/>
      <c r="MMO41" s="260"/>
      <c r="MMP41" s="260"/>
      <c r="MMQ41" s="260"/>
      <c r="MMR41" s="260"/>
      <c r="MMS41" s="260"/>
      <c r="MMT41" s="260"/>
      <c r="MMU41" s="260"/>
      <c r="MMV41" s="260"/>
      <c r="MMW41" s="260"/>
      <c r="MMX41" s="260"/>
      <c r="MMY41" s="260"/>
      <c r="MMZ41" s="260"/>
      <c r="MNA41" s="260"/>
      <c r="MNB41" s="260"/>
      <c r="MNC41" s="260"/>
      <c r="MND41" s="260"/>
      <c r="MNE41" s="260"/>
      <c r="MNF41" s="260"/>
      <c r="MNG41" s="260"/>
      <c r="MNH41" s="260"/>
      <c r="MNI41" s="260"/>
      <c r="MNJ41" s="260"/>
      <c r="MNK41" s="260"/>
      <c r="MNL41" s="260"/>
      <c r="MNM41" s="260"/>
      <c r="MNN41" s="260"/>
      <c r="MNO41" s="260"/>
      <c r="MNP41" s="260"/>
      <c r="MNQ41" s="260"/>
      <c r="MNR41" s="260"/>
      <c r="MNS41" s="260"/>
      <c r="MNT41" s="260"/>
      <c r="MNU41" s="260"/>
      <c r="MNV41" s="260"/>
      <c r="MNW41" s="260"/>
      <c r="MNX41" s="260"/>
      <c r="MNY41" s="260"/>
      <c r="MNZ41" s="260"/>
      <c r="MOA41" s="260"/>
      <c r="MOB41" s="260"/>
      <c r="MOC41" s="260"/>
      <c r="MOD41" s="260"/>
      <c r="MOE41" s="260"/>
      <c r="MOF41" s="260"/>
      <c r="MOG41" s="260"/>
      <c r="MOH41" s="260"/>
      <c r="MOI41" s="260"/>
      <c r="MOJ41" s="260"/>
      <c r="MOK41" s="260"/>
      <c r="MOL41" s="260"/>
      <c r="MOM41" s="260"/>
      <c r="MON41" s="260"/>
      <c r="MOO41" s="260"/>
      <c r="MOP41" s="260"/>
      <c r="MOQ41" s="260"/>
      <c r="MOR41" s="260"/>
      <c r="MOS41" s="260"/>
      <c r="MOT41" s="260"/>
      <c r="MOU41" s="260"/>
      <c r="MOV41" s="260"/>
      <c r="MOW41" s="260"/>
      <c r="MOX41" s="260"/>
      <c r="MOY41" s="260"/>
      <c r="MOZ41" s="260"/>
      <c r="MPA41" s="260"/>
      <c r="MPB41" s="260"/>
      <c r="MPC41" s="260"/>
      <c r="MPD41" s="260"/>
      <c r="MPE41" s="260"/>
      <c r="MPF41" s="260"/>
      <c r="MPG41" s="260"/>
      <c r="MPH41" s="260"/>
      <c r="MPI41" s="260"/>
      <c r="MPJ41" s="260"/>
      <c r="MPK41" s="260"/>
      <c r="MPL41" s="260"/>
      <c r="MPM41" s="260"/>
      <c r="MPN41" s="260"/>
      <c r="MPO41" s="260"/>
      <c r="MPP41" s="260"/>
      <c r="MPQ41" s="260"/>
      <c r="MPR41" s="260"/>
      <c r="MPS41" s="260"/>
      <c r="MPT41" s="260"/>
      <c r="MPU41" s="260"/>
      <c r="MPV41" s="260"/>
      <c r="MPW41" s="260"/>
      <c r="MPX41" s="260"/>
      <c r="MPY41" s="260"/>
      <c r="MPZ41" s="260"/>
      <c r="MQA41" s="260"/>
      <c r="MQB41" s="260"/>
      <c r="MQC41" s="260"/>
      <c r="MQD41" s="260"/>
      <c r="MQE41" s="260"/>
      <c r="MQF41" s="260"/>
      <c r="MQG41" s="260"/>
      <c r="MQH41" s="260"/>
      <c r="MQI41" s="260"/>
      <c r="MQJ41" s="260"/>
      <c r="MQK41" s="260"/>
      <c r="MQL41" s="260"/>
      <c r="MQM41" s="260"/>
      <c r="MQN41" s="260"/>
      <c r="MQO41" s="260"/>
      <c r="MQP41" s="260"/>
      <c r="MQQ41" s="260"/>
      <c r="MQR41" s="260"/>
      <c r="MQS41" s="260"/>
      <c r="MQT41" s="260"/>
      <c r="MQU41" s="260"/>
      <c r="MQV41" s="260"/>
      <c r="MQW41" s="260"/>
      <c r="MQX41" s="260"/>
      <c r="MQY41" s="260"/>
      <c r="MQZ41" s="260"/>
      <c r="MRA41" s="260"/>
      <c r="MRB41" s="260"/>
      <c r="MRC41" s="260"/>
      <c r="MRD41" s="260"/>
      <c r="MRE41" s="260"/>
      <c r="MRF41" s="260"/>
      <c r="MRG41" s="260"/>
      <c r="MRH41" s="260"/>
      <c r="MRI41" s="260"/>
      <c r="MRJ41" s="260"/>
      <c r="MRK41" s="260"/>
      <c r="MRL41" s="260"/>
      <c r="MRM41" s="260"/>
      <c r="MRN41" s="260"/>
      <c r="MRO41" s="260"/>
      <c r="MRP41" s="260"/>
      <c r="MRQ41" s="260"/>
      <c r="MRR41" s="260"/>
      <c r="MRS41" s="260"/>
      <c r="MRT41" s="260"/>
      <c r="MRU41" s="260"/>
      <c r="MRV41" s="260"/>
      <c r="MRW41" s="260"/>
      <c r="MRX41" s="260"/>
      <c r="MRY41" s="260"/>
      <c r="MRZ41" s="260"/>
      <c r="MSA41" s="260"/>
      <c r="MSB41" s="260"/>
      <c r="MSC41" s="260"/>
      <c r="MSD41" s="260"/>
      <c r="MSE41" s="260"/>
      <c r="MSF41" s="260"/>
      <c r="MSG41" s="260"/>
      <c r="MSH41" s="260"/>
      <c r="MSI41" s="260"/>
      <c r="MSJ41" s="260"/>
      <c r="MSK41" s="260"/>
      <c r="MSL41" s="260"/>
      <c r="MSM41" s="260"/>
      <c r="MSN41" s="260"/>
      <c r="MSO41" s="260"/>
      <c r="MSP41" s="260"/>
      <c r="MSQ41" s="260"/>
      <c r="MSR41" s="260"/>
      <c r="MSS41" s="260"/>
      <c r="MST41" s="260"/>
      <c r="MSU41" s="260"/>
      <c r="MSV41" s="260"/>
      <c r="MSW41" s="260"/>
      <c r="MSX41" s="260"/>
      <c r="MSY41" s="260"/>
      <c r="MSZ41" s="260"/>
      <c r="MTA41" s="260"/>
      <c r="MTB41" s="260"/>
      <c r="MTC41" s="260"/>
      <c r="MTD41" s="260"/>
      <c r="MTE41" s="260"/>
      <c r="MTF41" s="260"/>
      <c r="MTG41" s="260"/>
      <c r="MTH41" s="260"/>
      <c r="MTI41" s="260"/>
      <c r="MTJ41" s="260"/>
      <c r="MTK41" s="260"/>
      <c r="MTL41" s="260"/>
      <c r="MTM41" s="260"/>
      <c r="MTN41" s="260"/>
      <c r="MTO41" s="260"/>
      <c r="MTP41" s="260"/>
      <c r="MTQ41" s="260"/>
      <c r="MTR41" s="260"/>
      <c r="MTS41" s="260"/>
      <c r="MTT41" s="260"/>
      <c r="MTU41" s="260"/>
      <c r="MTV41" s="260"/>
      <c r="MTW41" s="260"/>
      <c r="MTX41" s="260"/>
      <c r="MTY41" s="260"/>
      <c r="MTZ41" s="260"/>
      <c r="MUA41" s="260"/>
      <c r="MUB41" s="260"/>
      <c r="MUC41" s="260"/>
      <c r="MUD41" s="260"/>
      <c r="MUE41" s="260"/>
      <c r="MUF41" s="260"/>
      <c r="MUG41" s="260"/>
      <c r="MUH41" s="260"/>
      <c r="MUI41" s="260"/>
      <c r="MUJ41" s="260"/>
      <c r="MUK41" s="260"/>
      <c r="MUL41" s="260"/>
      <c r="MUM41" s="260"/>
      <c r="MUN41" s="260"/>
      <c r="MUO41" s="260"/>
      <c r="MUP41" s="260"/>
      <c r="MUQ41" s="260"/>
      <c r="MUR41" s="260"/>
      <c r="MUS41" s="260"/>
      <c r="MUT41" s="260"/>
      <c r="MUU41" s="260"/>
      <c r="MUV41" s="260"/>
      <c r="MUW41" s="260"/>
      <c r="MUX41" s="260"/>
      <c r="MUY41" s="260"/>
      <c r="MUZ41" s="260"/>
      <c r="MVA41" s="260"/>
      <c r="MVB41" s="260"/>
      <c r="MVC41" s="260"/>
      <c r="MVD41" s="260"/>
      <c r="MVE41" s="260"/>
      <c r="MVF41" s="260"/>
      <c r="MVG41" s="260"/>
      <c r="MVH41" s="260"/>
      <c r="MVI41" s="260"/>
      <c r="MVJ41" s="260"/>
      <c r="MVK41" s="260"/>
      <c r="MVL41" s="260"/>
      <c r="MVM41" s="260"/>
      <c r="MVN41" s="260"/>
      <c r="MVO41" s="260"/>
      <c r="MVP41" s="260"/>
      <c r="MVQ41" s="260"/>
      <c r="MVR41" s="260"/>
      <c r="MVS41" s="260"/>
      <c r="MVT41" s="260"/>
      <c r="MVU41" s="260"/>
      <c r="MVV41" s="260"/>
      <c r="MVW41" s="260"/>
      <c r="MVX41" s="260"/>
      <c r="MVY41" s="260"/>
      <c r="MVZ41" s="260"/>
      <c r="MWA41" s="260"/>
      <c r="MWB41" s="260"/>
      <c r="MWC41" s="260"/>
      <c r="MWD41" s="260"/>
      <c r="MWE41" s="260"/>
      <c r="MWF41" s="260"/>
      <c r="MWG41" s="260"/>
      <c r="MWH41" s="260"/>
      <c r="MWI41" s="260"/>
      <c r="MWJ41" s="260"/>
      <c r="MWK41" s="260"/>
      <c r="MWL41" s="260"/>
      <c r="MWM41" s="260"/>
      <c r="MWN41" s="260"/>
      <c r="MWO41" s="260"/>
      <c r="MWP41" s="260"/>
      <c r="MWQ41" s="260"/>
      <c r="MWR41" s="260"/>
      <c r="MWS41" s="260"/>
      <c r="MWT41" s="260"/>
      <c r="MWU41" s="260"/>
      <c r="MWV41" s="260"/>
      <c r="MWW41" s="260"/>
      <c r="MWX41" s="260"/>
      <c r="MWY41" s="260"/>
      <c r="MWZ41" s="260"/>
      <c r="MXA41" s="260"/>
      <c r="MXB41" s="260"/>
      <c r="MXC41" s="260"/>
      <c r="MXD41" s="260"/>
      <c r="MXE41" s="260"/>
      <c r="MXF41" s="260"/>
      <c r="MXG41" s="260"/>
      <c r="MXH41" s="260"/>
      <c r="MXI41" s="260"/>
      <c r="MXJ41" s="260"/>
      <c r="MXK41" s="260"/>
      <c r="MXL41" s="260"/>
      <c r="MXM41" s="260"/>
      <c r="MXN41" s="260"/>
      <c r="MXO41" s="260"/>
      <c r="MXP41" s="260"/>
      <c r="MXQ41" s="260"/>
      <c r="MXR41" s="260"/>
      <c r="MXS41" s="260"/>
      <c r="MXT41" s="260"/>
      <c r="MXU41" s="260"/>
      <c r="MXV41" s="260"/>
      <c r="MXW41" s="260"/>
      <c r="MXX41" s="260"/>
      <c r="MXY41" s="260"/>
      <c r="MXZ41" s="260"/>
      <c r="MYA41" s="260"/>
      <c r="MYB41" s="260"/>
      <c r="MYC41" s="260"/>
      <c r="MYD41" s="260"/>
      <c r="MYE41" s="260"/>
      <c r="MYF41" s="260"/>
      <c r="MYG41" s="260"/>
      <c r="MYH41" s="260"/>
      <c r="MYI41" s="260"/>
      <c r="MYJ41" s="260"/>
      <c r="MYK41" s="260"/>
      <c r="MYL41" s="260"/>
      <c r="MYM41" s="260"/>
      <c r="MYN41" s="260"/>
      <c r="MYO41" s="260"/>
      <c r="MYP41" s="260"/>
      <c r="MYQ41" s="260"/>
      <c r="MYR41" s="260"/>
      <c r="MYS41" s="260"/>
      <c r="MYT41" s="260"/>
      <c r="MYU41" s="260"/>
      <c r="MYV41" s="260"/>
      <c r="MYW41" s="260"/>
      <c r="MYX41" s="260"/>
      <c r="MYY41" s="260"/>
      <c r="MYZ41" s="260"/>
      <c r="MZA41" s="260"/>
      <c r="MZB41" s="260"/>
      <c r="MZC41" s="260"/>
      <c r="MZD41" s="260"/>
      <c r="MZE41" s="260"/>
      <c r="MZF41" s="260"/>
      <c r="MZG41" s="260"/>
      <c r="MZH41" s="260"/>
      <c r="MZI41" s="260"/>
      <c r="MZJ41" s="260"/>
      <c r="MZK41" s="260"/>
      <c r="MZL41" s="260"/>
      <c r="MZM41" s="260"/>
      <c r="MZN41" s="260"/>
      <c r="MZO41" s="260"/>
      <c r="MZP41" s="260"/>
      <c r="MZQ41" s="260"/>
      <c r="MZR41" s="260"/>
      <c r="MZS41" s="260"/>
      <c r="MZT41" s="260"/>
      <c r="MZU41" s="260"/>
      <c r="MZV41" s="260"/>
      <c r="MZW41" s="260"/>
      <c r="MZX41" s="260"/>
      <c r="MZY41" s="260"/>
      <c r="MZZ41" s="260"/>
      <c r="NAA41" s="260"/>
      <c r="NAB41" s="260"/>
      <c r="NAC41" s="260"/>
      <c r="NAD41" s="260"/>
      <c r="NAE41" s="260"/>
      <c r="NAF41" s="260"/>
      <c r="NAG41" s="260"/>
      <c r="NAH41" s="260"/>
      <c r="NAI41" s="260"/>
      <c r="NAJ41" s="260"/>
      <c r="NAK41" s="260"/>
      <c r="NAL41" s="260"/>
      <c r="NAM41" s="260"/>
      <c r="NAN41" s="260"/>
      <c r="NAO41" s="260"/>
      <c r="NAP41" s="260"/>
      <c r="NAQ41" s="260"/>
      <c r="NAR41" s="260"/>
      <c r="NAS41" s="260"/>
      <c r="NAT41" s="260"/>
      <c r="NAU41" s="260"/>
      <c r="NAV41" s="260"/>
      <c r="NAW41" s="260"/>
      <c r="NAX41" s="260"/>
      <c r="NAY41" s="260"/>
      <c r="NAZ41" s="260"/>
      <c r="NBA41" s="260"/>
      <c r="NBB41" s="260"/>
      <c r="NBC41" s="260"/>
      <c r="NBD41" s="260"/>
      <c r="NBE41" s="260"/>
      <c r="NBF41" s="260"/>
      <c r="NBG41" s="260"/>
      <c r="NBH41" s="260"/>
      <c r="NBI41" s="260"/>
      <c r="NBJ41" s="260"/>
      <c r="NBK41" s="260"/>
      <c r="NBL41" s="260"/>
      <c r="NBM41" s="260"/>
      <c r="NBN41" s="260"/>
      <c r="NBO41" s="260"/>
      <c r="NBP41" s="260"/>
      <c r="NBQ41" s="260"/>
      <c r="NBR41" s="260"/>
      <c r="NBS41" s="260"/>
      <c r="NBT41" s="260"/>
      <c r="NBU41" s="260"/>
      <c r="NBV41" s="260"/>
      <c r="NBW41" s="260"/>
      <c r="NBX41" s="260"/>
      <c r="NBY41" s="260"/>
      <c r="NBZ41" s="260"/>
      <c r="NCA41" s="260"/>
      <c r="NCB41" s="260"/>
      <c r="NCC41" s="260"/>
      <c r="NCD41" s="260"/>
      <c r="NCE41" s="260"/>
      <c r="NCF41" s="260"/>
      <c r="NCG41" s="260"/>
      <c r="NCH41" s="260"/>
      <c r="NCI41" s="260"/>
      <c r="NCJ41" s="260"/>
      <c r="NCK41" s="260"/>
      <c r="NCL41" s="260"/>
      <c r="NCM41" s="260"/>
      <c r="NCN41" s="260"/>
      <c r="NCO41" s="260"/>
      <c r="NCP41" s="260"/>
      <c r="NCQ41" s="260"/>
      <c r="NCR41" s="260"/>
      <c r="NCS41" s="260"/>
      <c r="NCT41" s="260"/>
      <c r="NCU41" s="260"/>
      <c r="NCV41" s="260"/>
      <c r="NCW41" s="260"/>
      <c r="NCX41" s="260"/>
      <c r="NCY41" s="260"/>
      <c r="NCZ41" s="260"/>
      <c r="NDA41" s="260"/>
      <c r="NDB41" s="260"/>
      <c r="NDC41" s="260"/>
      <c r="NDD41" s="260"/>
      <c r="NDE41" s="260"/>
      <c r="NDF41" s="260"/>
      <c r="NDG41" s="260"/>
      <c r="NDH41" s="260"/>
      <c r="NDI41" s="260"/>
      <c r="NDJ41" s="260"/>
      <c r="NDK41" s="260"/>
      <c r="NDL41" s="260"/>
      <c r="NDM41" s="260"/>
      <c r="NDN41" s="260"/>
      <c r="NDO41" s="260"/>
      <c r="NDP41" s="260"/>
      <c r="NDQ41" s="260"/>
      <c r="NDR41" s="260"/>
      <c r="NDS41" s="260"/>
      <c r="NDT41" s="260"/>
      <c r="NDU41" s="260"/>
      <c r="NDV41" s="260"/>
      <c r="NDW41" s="260"/>
      <c r="NDX41" s="260"/>
      <c r="NDY41" s="260"/>
      <c r="NDZ41" s="260"/>
      <c r="NEA41" s="260"/>
      <c r="NEB41" s="260"/>
      <c r="NEC41" s="260"/>
      <c r="NED41" s="260"/>
      <c r="NEE41" s="260"/>
      <c r="NEF41" s="260"/>
      <c r="NEG41" s="260"/>
      <c r="NEH41" s="260"/>
      <c r="NEI41" s="260"/>
      <c r="NEJ41" s="260"/>
      <c r="NEK41" s="260"/>
      <c r="NEL41" s="260"/>
      <c r="NEM41" s="260"/>
      <c r="NEN41" s="260"/>
      <c r="NEO41" s="260"/>
      <c r="NEP41" s="260"/>
      <c r="NEQ41" s="260"/>
      <c r="NER41" s="260"/>
      <c r="NES41" s="260"/>
      <c r="NET41" s="260"/>
      <c r="NEU41" s="260"/>
      <c r="NEV41" s="260"/>
      <c r="NEW41" s="260"/>
      <c r="NEX41" s="260"/>
      <c r="NEY41" s="260"/>
      <c r="NEZ41" s="260"/>
      <c r="NFA41" s="260"/>
      <c r="NFB41" s="260"/>
      <c r="NFC41" s="260"/>
      <c r="NFD41" s="260"/>
      <c r="NFE41" s="260"/>
      <c r="NFF41" s="260"/>
      <c r="NFG41" s="260"/>
      <c r="NFH41" s="260"/>
      <c r="NFI41" s="260"/>
      <c r="NFJ41" s="260"/>
      <c r="NFK41" s="260"/>
      <c r="NFL41" s="260"/>
      <c r="NFM41" s="260"/>
      <c r="NFN41" s="260"/>
      <c r="NFO41" s="260"/>
      <c r="NFP41" s="260"/>
      <c r="NFQ41" s="260"/>
      <c r="NFR41" s="260"/>
      <c r="NFS41" s="260"/>
      <c r="NFT41" s="260"/>
      <c r="NFU41" s="260"/>
      <c r="NFV41" s="260"/>
      <c r="NFW41" s="260"/>
      <c r="NFX41" s="260"/>
      <c r="NFY41" s="260"/>
      <c r="NFZ41" s="260"/>
      <c r="NGA41" s="260"/>
      <c r="NGB41" s="260"/>
      <c r="NGC41" s="260"/>
      <c r="NGD41" s="260"/>
      <c r="NGE41" s="260"/>
      <c r="NGF41" s="260"/>
      <c r="NGG41" s="260"/>
      <c r="NGH41" s="260"/>
      <c r="NGI41" s="260"/>
      <c r="NGJ41" s="260"/>
      <c r="NGK41" s="260"/>
      <c r="NGL41" s="260"/>
      <c r="NGM41" s="260"/>
      <c r="NGN41" s="260"/>
      <c r="NGO41" s="260"/>
      <c r="NGP41" s="260"/>
      <c r="NGQ41" s="260"/>
      <c r="NGR41" s="260"/>
      <c r="NGS41" s="260"/>
      <c r="NGT41" s="260"/>
      <c r="NGU41" s="260"/>
      <c r="NGV41" s="260"/>
      <c r="NGW41" s="260"/>
      <c r="NGX41" s="260"/>
      <c r="NGY41" s="260"/>
      <c r="NGZ41" s="260"/>
      <c r="NHA41" s="260"/>
      <c r="NHB41" s="260"/>
      <c r="NHC41" s="260"/>
      <c r="NHD41" s="260"/>
      <c r="NHE41" s="260"/>
      <c r="NHF41" s="260"/>
      <c r="NHG41" s="260"/>
      <c r="NHH41" s="260"/>
      <c r="NHI41" s="260"/>
      <c r="NHJ41" s="260"/>
      <c r="NHK41" s="260"/>
      <c r="NHL41" s="260"/>
      <c r="NHM41" s="260"/>
      <c r="NHN41" s="260"/>
      <c r="NHO41" s="260"/>
      <c r="NHP41" s="260"/>
      <c r="NHQ41" s="260"/>
      <c r="NHR41" s="260"/>
      <c r="NHS41" s="260"/>
      <c r="NHT41" s="260"/>
      <c r="NHU41" s="260"/>
      <c r="NHV41" s="260"/>
      <c r="NHW41" s="260"/>
      <c r="NHX41" s="260"/>
      <c r="NHY41" s="260"/>
      <c r="NHZ41" s="260"/>
      <c r="NIA41" s="260"/>
      <c r="NIB41" s="260"/>
      <c r="NIC41" s="260"/>
      <c r="NID41" s="260"/>
      <c r="NIE41" s="260"/>
      <c r="NIF41" s="260"/>
      <c r="NIG41" s="260"/>
      <c r="NIH41" s="260"/>
      <c r="NII41" s="260"/>
      <c r="NIJ41" s="260"/>
      <c r="NIK41" s="260"/>
      <c r="NIL41" s="260"/>
      <c r="NIM41" s="260"/>
      <c r="NIN41" s="260"/>
      <c r="NIO41" s="260"/>
      <c r="NIP41" s="260"/>
      <c r="NIQ41" s="260"/>
      <c r="NIR41" s="260"/>
      <c r="NIS41" s="260"/>
      <c r="NIT41" s="260"/>
      <c r="NIU41" s="260"/>
      <c r="NIV41" s="260"/>
      <c r="NIW41" s="260"/>
      <c r="NIX41" s="260"/>
      <c r="NIY41" s="260"/>
      <c r="NIZ41" s="260"/>
      <c r="NJA41" s="260"/>
      <c r="NJB41" s="260"/>
      <c r="NJC41" s="260"/>
      <c r="NJD41" s="260"/>
      <c r="NJE41" s="260"/>
      <c r="NJF41" s="260"/>
      <c r="NJG41" s="260"/>
      <c r="NJH41" s="260"/>
      <c r="NJI41" s="260"/>
      <c r="NJJ41" s="260"/>
      <c r="NJK41" s="260"/>
      <c r="NJL41" s="260"/>
      <c r="NJM41" s="260"/>
      <c r="NJN41" s="260"/>
      <c r="NJO41" s="260"/>
      <c r="NJP41" s="260"/>
      <c r="NJQ41" s="260"/>
      <c r="NJR41" s="260"/>
      <c r="NJS41" s="260"/>
      <c r="NJT41" s="260"/>
      <c r="NJU41" s="260"/>
      <c r="NJV41" s="260"/>
      <c r="NJW41" s="260"/>
      <c r="NJX41" s="260"/>
      <c r="NJY41" s="260"/>
      <c r="NJZ41" s="260"/>
      <c r="NKA41" s="260"/>
      <c r="NKB41" s="260"/>
      <c r="NKC41" s="260"/>
      <c r="NKD41" s="260"/>
      <c r="NKE41" s="260"/>
      <c r="NKF41" s="260"/>
      <c r="NKG41" s="260"/>
      <c r="NKH41" s="260"/>
      <c r="NKI41" s="260"/>
      <c r="NKJ41" s="260"/>
      <c r="NKK41" s="260"/>
      <c r="NKL41" s="260"/>
      <c r="NKM41" s="260"/>
      <c r="NKN41" s="260"/>
      <c r="NKO41" s="260"/>
      <c r="NKP41" s="260"/>
      <c r="NKQ41" s="260"/>
      <c r="NKR41" s="260"/>
      <c r="NKS41" s="260"/>
      <c r="NKT41" s="260"/>
      <c r="NKU41" s="260"/>
      <c r="NKV41" s="260"/>
      <c r="NKW41" s="260"/>
      <c r="NKX41" s="260"/>
      <c r="NKY41" s="260"/>
      <c r="NKZ41" s="260"/>
      <c r="NLA41" s="260"/>
      <c r="NLB41" s="260"/>
      <c r="NLC41" s="260"/>
      <c r="NLD41" s="260"/>
      <c r="NLE41" s="260"/>
      <c r="NLF41" s="260"/>
      <c r="NLG41" s="260"/>
      <c r="NLH41" s="260"/>
      <c r="NLI41" s="260"/>
      <c r="NLJ41" s="260"/>
      <c r="NLK41" s="260"/>
      <c r="NLL41" s="260"/>
      <c r="NLM41" s="260"/>
      <c r="NLN41" s="260"/>
      <c r="NLO41" s="260"/>
      <c r="NLP41" s="260"/>
      <c r="NLQ41" s="260"/>
      <c r="NLR41" s="260"/>
      <c r="NLS41" s="260"/>
      <c r="NLT41" s="260"/>
      <c r="NLU41" s="260"/>
      <c r="NLV41" s="260"/>
      <c r="NLW41" s="260"/>
      <c r="NLX41" s="260"/>
      <c r="NLY41" s="260"/>
      <c r="NLZ41" s="260"/>
      <c r="NMA41" s="260"/>
      <c r="NMB41" s="260"/>
      <c r="NMC41" s="260"/>
      <c r="NMD41" s="260"/>
      <c r="NME41" s="260"/>
      <c r="NMF41" s="260"/>
      <c r="NMG41" s="260"/>
      <c r="NMH41" s="260"/>
      <c r="NMI41" s="260"/>
      <c r="NMJ41" s="260"/>
      <c r="NMK41" s="260"/>
      <c r="NML41" s="260"/>
      <c r="NMM41" s="260"/>
      <c r="NMN41" s="260"/>
      <c r="NMO41" s="260"/>
      <c r="NMP41" s="260"/>
      <c r="NMQ41" s="260"/>
      <c r="NMR41" s="260"/>
      <c r="NMS41" s="260"/>
      <c r="NMT41" s="260"/>
      <c r="NMU41" s="260"/>
      <c r="NMV41" s="260"/>
      <c r="NMW41" s="260"/>
      <c r="NMX41" s="260"/>
      <c r="NMY41" s="260"/>
      <c r="NMZ41" s="260"/>
      <c r="NNA41" s="260"/>
      <c r="NNB41" s="260"/>
      <c r="NNC41" s="260"/>
      <c r="NND41" s="260"/>
      <c r="NNE41" s="260"/>
      <c r="NNF41" s="260"/>
      <c r="NNG41" s="260"/>
      <c r="NNH41" s="260"/>
      <c r="NNI41" s="260"/>
      <c r="NNJ41" s="260"/>
      <c r="NNK41" s="260"/>
      <c r="NNL41" s="260"/>
      <c r="NNM41" s="260"/>
      <c r="NNN41" s="260"/>
      <c r="NNO41" s="260"/>
      <c r="NNP41" s="260"/>
      <c r="NNQ41" s="260"/>
      <c r="NNR41" s="260"/>
      <c r="NNS41" s="260"/>
      <c r="NNT41" s="260"/>
      <c r="NNU41" s="260"/>
      <c r="NNV41" s="260"/>
      <c r="NNW41" s="260"/>
      <c r="NNX41" s="260"/>
      <c r="NNY41" s="260"/>
      <c r="NNZ41" s="260"/>
      <c r="NOA41" s="260"/>
      <c r="NOB41" s="260"/>
      <c r="NOC41" s="260"/>
      <c r="NOD41" s="260"/>
      <c r="NOE41" s="260"/>
      <c r="NOF41" s="260"/>
      <c r="NOG41" s="260"/>
      <c r="NOH41" s="260"/>
      <c r="NOI41" s="260"/>
      <c r="NOJ41" s="260"/>
      <c r="NOK41" s="260"/>
      <c r="NOL41" s="260"/>
      <c r="NOM41" s="260"/>
      <c r="NON41" s="260"/>
      <c r="NOO41" s="260"/>
      <c r="NOP41" s="260"/>
      <c r="NOQ41" s="260"/>
      <c r="NOR41" s="260"/>
      <c r="NOS41" s="260"/>
      <c r="NOT41" s="260"/>
      <c r="NOU41" s="260"/>
      <c r="NOV41" s="260"/>
      <c r="NOW41" s="260"/>
      <c r="NOX41" s="260"/>
      <c r="NOY41" s="260"/>
      <c r="NOZ41" s="260"/>
      <c r="NPA41" s="260"/>
      <c r="NPB41" s="260"/>
      <c r="NPC41" s="260"/>
      <c r="NPD41" s="260"/>
      <c r="NPE41" s="260"/>
      <c r="NPF41" s="260"/>
      <c r="NPG41" s="260"/>
      <c r="NPH41" s="260"/>
      <c r="NPI41" s="260"/>
      <c r="NPJ41" s="260"/>
      <c r="NPK41" s="260"/>
      <c r="NPL41" s="260"/>
      <c r="NPM41" s="260"/>
      <c r="NPN41" s="260"/>
      <c r="NPO41" s="260"/>
      <c r="NPP41" s="260"/>
      <c r="NPQ41" s="260"/>
      <c r="NPR41" s="260"/>
      <c r="NPS41" s="260"/>
      <c r="NPT41" s="260"/>
      <c r="NPU41" s="260"/>
      <c r="NPV41" s="260"/>
      <c r="NPW41" s="260"/>
      <c r="NPX41" s="260"/>
      <c r="NPY41" s="260"/>
      <c r="NPZ41" s="260"/>
      <c r="NQA41" s="260"/>
      <c r="NQB41" s="260"/>
      <c r="NQC41" s="260"/>
      <c r="NQD41" s="260"/>
      <c r="NQE41" s="260"/>
      <c r="NQF41" s="260"/>
      <c r="NQG41" s="260"/>
      <c r="NQH41" s="260"/>
      <c r="NQI41" s="260"/>
      <c r="NQJ41" s="260"/>
      <c r="NQK41" s="260"/>
      <c r="NQL41" s="260"/>
      <c r="NQM41" s="260"/>
      <c r="NQN41" s="260"/>
      <c r="NQO41" s="260"/>
      <c r="NQP41" s="260"/>
      <c r="NQQ41" s="260"/>
      <c r="NQR41" s="260"/>
      <c r="NQS41" s="260"/>
      <c r="NQT41" s="260"/>
      <c r="NQU41" s="260"/>
      <c r="NQV41" s="260"/>
      <c r="NQW41" s="260"/>
      <c r="NQX41" s="260"/>
      <c r="NQY41" s="260"/>
      <c r="NQZ41" s="260"/>
      <c r="NRA41" s="260"/>
      <c r="NRB41" s="260"/>
      <c r="NRC41" s="260"/>
      <c r="NRD41" s="260"/>
      <c r="NRE41" s="260"/>
      <c r="NRF41" s="260"/>
      <c r="NRG41" s="260"/>
      <c r="NRH41" s="260"/>
      <c r="NRI41" s="260"/>
      <c r="NRJ41" s="260"/>
      <c r="NRK41" s="260"/>
      <c r="NRL41" s="260"/>
      <c r="NRM41" s="260"/>
      <c r="NRN41" s="260"/>
      <c r="NRO41" s="260"/>
      <c r="NRP41" s="260"/>
      <c r="NRQ41" s="260"/>
      <c r="NRR41" s="260"/>
      <c r="NRS41" s="260"/>
      <c r="NRT41" s="260"/>
      <c r="NRU41" s="260"/>
      <c r="NRV41" s="260"/>
      <c r="NRW41" s="260"/>
      <c r="NRX41" s="260"/>
      <c r="NRY41" s="260"/>
      <c r="NRZ41" s="260"/>
      <c r="NSA41" s="260"/>
      <c r="NSB41" s="260"/>
      <c r="NSC41" s="260"/>
      <c r="NSD41" s="260"/>
      <c r="NSE41" s="260"/>
      <c r="NSF41" s="260"/>
      <c r="NSG41" s="260"/>
      <c r="NSH41" s="260"/>
      <c r="NSI41" s="260"/>
      <c r="NSJ41" s="260"/>
      <c r="NSK41" s="260"/>
      <c r="NSL41" s="260"/>
      <c r="NSM41" s="260"/>
      <c r="NSN41" s="260"/>
      <c r="NSO41" s="260"/>
      <c r="NSP41" s="260"/>
      <c r="NSQ41" s="260"/>
      <c r="NSR41" s="260"/>
      <c r="NSS41" s="260"/>
      <c r="NST41" s="260"/>
      <c r="NSU41" s="260"/>
      <c r="NSV41" s="260"/>
      <c r="NSW41" s="260"/>
      <c r="NSX41" s="260"/>
      <c r="NSY41" s="260"/>
      <c r="NSZ41" s="260"/>
      <c r="NTA41" s="260"/>
      <c r="NTB41" s="260"/>
      <c r="NTC41" s="260"/>
      <c r="NTD41" s="260"/>
      <c r="NTE41" s="260"/>
      <c r="NTF41" s="260"/>
      <c r="NTG41" s="260"/>
      <c r="NTH41" s="260"/>
      <c r="NTI41" s="260"/>
      <c r="NTJ41" s="260"/>
      <c r="NTK41" s="260"/>
      <c r="NTL41" s="260"/>
      <c r="NTM41" s="260"/>
      <c r="NTN41" s="260"/>
      <c r="NTO41" s="260"/>
      <c r="NTP41" s="260"/>
      <c r="NTQ41" s="260"/>
      <c r="NTR41" s="260"/>
      <c r="NTS41" s="260"/>
      <c r="NTT41" s="260"/>
      <c r="NTU41" s="260"/>
      <c r="NTV41" s="260"/>
      <c r="NTW41" s="260"/>
      <c r="NTX41" s="260"/>
      <c r="NTY41" s="260"/>
      <c r="NTZ41" s="260"/>
      <c r="NUA41" s="260"/>
      <c r="NUB41" s="260"/>
      <c r="NUC41" s="260"/>
      <c r="NUD41" s="260"/>
      <c r="NUE41" s="260"/>
      <c r="NUF41" s="260"/>
      <c r="NUG41" s="260"/>
      <c r="NUH41" s="260"/>
      <c r="NUI41" s="260"/>
      <c r="NUJ41" s="260"/>
      <c r="NUK41" s="260"/>
      <c r="NUL41" s="260"/>
      <c r="NUM41" s="260"/>
      <c r="NUN41" s="260"/>
      <c r="NUO41" s="260"/>
      <c r="NUP41" s="260"/>
      <c r="NUQ41" s="260"/>
      <c r="NUR41" s="260"/>
      <c r="NUS41" s="260"/>
      <c r="NUT41" s="260"/>
      <c r="NUU41" s="260"/>
      <c r="NUV41" s="260"/>
      <c r="NUW41" s="260"/>
      <c r="NUX41" s="260"/>
      <c r="NUY41" s="260"/>
      <c r="NUZ41" s="260"/>
      <c r="NVA41" s="260"/>
      <c r="NVB41" s="260"/>
      <c r="NVC41" s="260"/>
      <c r="NVD41" s="260"/>
      <c r="NVE41" s="260"/>
      <c r="NVF41" s="260"/>
      <c r="NVG41" s="260"/>
      <c r="NVH41" s="260"/>
      <c r="NVI41" s="260"/>
      <c r="NVJ41" s="260"/>
      <c r="NVK41" s="260"/>
      <c r="NVL41" s="260"/>
      <c r="NVM41" s="260"/>
      <c r="NVN41" s="260"/>
      <c r="NVO41" s="260"/>
      <c r="NVP41" s="260"/>
      <c r="NVQ41" s="260"/>
      <c r="NVR41" s="260"/>
      <c r="NVS41" s="260"/>
      <c r="NVT41" s="260"/>
      <c r="NVU41" s="260"/>
      <c r="NVV41" s="260"/>
      <c r="NVW41" s="260"/>
      <c r="NVX41" s="260"/>
      <c r="NVY41" s="260"/>
      <c r="NVZ41" s="260"/>
      <c r="NWA41" s="260"/>
      <c r="NWB41" s="260"/>
      <c r="NWC41" s="260"/>
      <c r="NWD41" s="260"/>
      <c r="NWE41" s="260"/>
      <c r="NWF41" s="260"/>
      <c r="NWG41" s="260"/>
      <c r="NWH41" s="260"/>
      <c r="NWI41" s="260"/>
      <c r="NWJ41" s="260"/>
      <c r="NWK41" s="260"/>
      <c r="NWL41" s="260"/>
      <c r="NWM41" s="260"/>
      <c r="NWN41" s="260"/>
      <c r="NWO41" s="260"/>
      <c r="NWP41" s="260"/>
      <c r="NWQ41" s="260"/>
      <c r="NWR41" s="260"/>
      <c r="NWS41" s="260"/>
      <c r="NWT41" s="260"/>
      <c r="NWU41" s="260"/>
      <c r="NWV41" s="260"/>
      <c r="NWW41" s="260"/>
      <c r="NWX41" s="260"/>
      <c r="NWY41" s="260"/>
      <c r="NWZ41" s="260"/>
      <c r="NXA41" s="260"/>
      <c r="NXB41" s="260"/>
      <c r="NXC41" s="260"/>
      <c r="NXD41" s="260"/>
      <c r="NXE41" s="260"/>
      <c r="NXF41" s="260"/>
      <c r="NXG41" s="260"/>
      <c r="NXH41" s="260"/>
      <c r="NXI41" s="260"/>
      <c r="NXJ41" s="260"/>
      <c r="NXK41" s="260"/>
      <c r="NXL41" s="260"/>
      <c r="NXM41" s="260"/>
      <c r="NXN41" s="260"/>
      <c r="NXO41" s="260"/>
      <c r="NXP41" s="260"/>
      <c r="NXQ41" s="260"/>
      <c r="NXR41" s="260"/>
      <c r="NXS41" s="260"/>
      <c r="NXT41" s="260"/>
      <c r="NXU41" s="260"/>
      <c r="NXV41" s="260"/>
      <c r="NXW41" s="260"/>
      <c r="NXX41" s="260"/>
      <c r="NXY41" s="260"/>
      <c r="NXZ41" s="260"/>
      <c r="NYA41" s="260"/>
      <c r="NYB41" s="260"/>
      <c r="NYC41" s="260"/>
      <c r="NYD41" s="260"/>
      <c r="NYE41" s="260"/>
      <c r="NYF41" s="260"/>
      <c r="NYG41" s="260"/>
      <c r="NYH41" s="260"/>
      <c r="NYI41" s="260"/>
      <c r="NYJ41" s="260"/>
      <c r="NYK41" s="260"/>
      <c r="NYL41" s="260"/>
      <c r="NYM41" s="260"/>
      <c r="NYN41" s="260"/>
      <c r="NYO41" s="260"/>
      <c r="NYP41" s="260"/>
      <c r="NYQ41" s="260"/>
      <c r="NYR41" s="260"/>
      <c r="NYS41" s="260"/>
      <c r="NYT41" s="260"/>
      <c r="NYU41" s="260"/>
      <c r="NYV41" s="260"/>
      <c r="NYW41" s="260"/>
      <c r="NYX41" s="260"/>
      <c r="NYY41" s="260"/>
      <c r="NYZ41" s="260"/>
      <c r="NZA41" s="260"/>
      <c r="NZB41" s="260"/>
      <c r="NZC41" s="260"/>
      <c r="NZD41" s="260"/>
      <c r="NZE41" s="260"/>
      <c r="NZF41" s="260"/>
      <c r="NZG41" s="260"/>
      <c r="NZH41" s="260"/>
      <c r="NZI41" s="260"/>
      <c r="NZJ41" s="260"/>
      <c r="NZK41" s="260"/>
      <c r="NZL41" s="260"/>
      <c r="NZM41" s="260"/>
      <c r="NZN41" s="260"/>
      <c r="NZO41" s="260"/>
      <c r="NZP41" s="260"/>
      <c r="NZQ41" s="260"/>
      <c r="NZR41" s="260"/>
      <c r="NZS41" s="260"/>
      <c r="NZT41" s="260"/>
      <c r="NZU41" s="260"/>
      <c r="NZV41" s="260"/>
      <c r="NZW41" s="260"/>
      <c r="NZX41" s="260"/>
      <c r="NZY41" s="260"/>
      <c r="NZZ41" s="260"/>
      <c r="OAA41" s="260"/>
      <c r="OAB41" s="260"/>
      <c r="OAC41" s="260"/>
      <c r="OAD41" s="260"/>
      <c r="OAE41" s="260"/>
      <c r="OAF41" s="260"/>
      <c r="OAG41" s="260"/>
      <c r="OAH41" s="260"/>
      <c r="OAI41" s="260"/>
      <c r="OAJ41" s="260"/>
      <c r="OAK41" s="260"/>
      <c r="OAL41" s="260"/>
      <c r="OAM41" s="260"/>
      <c r="OAN41" s="260"/>
      <c r="OAO41" s="260"/>
      <c r="OAP41" s="260"/>
      <c r="OAQ41" s="260"/>
      <c r="OAR41" s="260"/>
      <c r="OAS41" s="260"/>
      <c r="OAT41" s="260"/>
      <c r="OAU41" s="260"/>
      <c r="OAV41" s="260"/>
      <c r="OAW41" s="260"/>
      <c r="OAX41" s="260"/>
      <c r="OAY41" s="260"/>
      <c r="OAZ41" s="260"/>
      <c r="OBA41" s="260"/>
      <c r="OBB41" s="260"/>
      <c r="OBC41" s="260"/>
      <c r="OBD41" s="260"/>
      <c r="OBE41" s="260"/>
      <c r="OBF41" s="260"/>
      <c r="OBG41" s="260"/>
      <c r="OBH41" s="260"/>
      <c r="OBI41" s="260"/>
      <c r="OBJ41" s="260"/>
      <c r="OBK41" s="260"/>
      <c r="OBL41" s="260"/>
      <c r="OBM41" s="260"/>
      <c r="OBN41" s="260"/>
      <c r="OBO41" s="260"/>
      <c r="OBP41" s="260"/>
      <c r="OBQ41" s="260"/>
      <c r="OBR41" s="260"/>
      <c r="OBS41" s="260"/>
      <c r="OBT41" s="260"/>
      <c r="OBU41" s="260"/>
      <c r="OBV41" s="260"/>
      <c r="OBW41" s="260"/>
      <c r="OBX41" s="260"/>
      <c r="OBY41" s="260"/>
      <c r="OBZ41" s="260"/>
      <c r="OCA41" s="260"/>
      <c r="OCB41" s="260"/>
      <c r="OCC41" s="260"/>
      <c r="OCD41" s="260"/>
      <c r="OCE41" s="260"/>
      <c r="OCF41" s="260"/>
      <c r="OCG41" s="260"/>
      <c r="OCH41" s="260"/>
      <c r="OCI41" s="260"/>
      <c r="OCJ41" s="260"/>
      <c r="OCK41" s="260"/>
      <c r="OCL41" s="260"/>
      <c r="OCM41" s="260"/>
      <c r="OCN41" s="260"/>
      <c r="OCO41" s="260"/>
      <c r="OCP41" s="260"/>
      <c r="OCQ41" s="260"/>
      <c r="OCR41" s="260"/>
      <c r="OCS41" s="260"/>
      <c r="OCT41" s="260"/>
      <c r="OCU41" s="260"/>
      <c r="OCV41" s="260"/>
      <c r="OCW41" s="260"/>
      <c r="OCX41" s="260"/>
      <c r="OCY41" s="260"/>
      <c r="OCZ41" s="260"/>
      <c r="ODA41" s="260"/>
      <c r="ODB41" s="260"/>
      <c r="ODC41" s="260"/>
      <c r="ODD41" s="260"/>
      <c r="ODE41" s="260"/>
      <c r="ODF41" s="260"/>
      <c r="ODG41" s="260"/>
      <c r="ODH41" s="260"/>
      <c r="ODI41" s="260"/>
      <c r="ODJ41" s="260"/>
      <c r="ODK41" s="260"/>
      <c r="ODL41" s="260"/>
      <c r="ODM41" s="260"/>
      <c r="ODN41" s="260"/>
      <c r="ODO41" s="260"/>
      <c r="ODP41" s="260"/>
      <c r="ODQ41" s="260"/>
      <c r="ODR41" s="260"/>
      <c r="ODS41" s="260"/>
      <c r="ODT41" s="260"/>
      <c r="ODU41" s="260"/>
      <c r="ODV41" s="260"/>
      <c r="ODW41" s="260"/>
      <c r="ODX41" s="260"/>
      <c r="ODY41" s="260"/>
      <c r="ODZ41" s="260"/>
      <c r="OEA41" s="260"/>
      <c r="OEB41" s="260"/>
      <c r="OEC41" s="260"/>
      <c r="OED41" s="260"/>
      <c r="OEE41" s="260"/>
      <c r="OEF41" s="260"/>
      <c r="OEG41" s="260"/>
      <c r="OEH41" s="260"/>
      <c r="OEI41" s="260"/>
      <c r="OEJ41" s="260"/>
      <c r="OEK41" s="260"/>
      <c r="OEL41" s="260"/>
      <c r="OEM41" s="260"/>
      <c r="OEN41" s="260"/>
      <c r="OEO41" s="260"/>
      <c r="OEP41" s="260"/>
      <c r="OEQ41" s="260"/>
      <c r="OER41" s="260"/>
      <c r="OES41" s="260"/>
      <c r="OET41" s="260"/>
      <c r="OEU41" s="260"/>
      <c r="OEV41" s="260"/>
      <c r="OEW41" s="260"/>
      <c r="OEX41" s="260"/>
      <c r="OEY41" s="260"/>
      <c r="OEZ41" s="260"/>
      <c r="OFA41" s="260"/>
      <c r="OFB41" s="260"/>
      <c r="OFC41" s="260"/>
      <c r="OFD41" s="260"/>
      <c r="OFE41" s="260"/>
      <c r="OFF41" s="260"/>
      <c r="OFG41" s="260"/>
      <c r="OFH41" s="260"/>
      <c r="OFI41" s="260"/>
      <c r="OFJ41" s="260"/>
      <c r="OFK41" s="260"/>
      <c r="OFL41" s="260"/>
      <c r="OFM41" s="260"/>
      <c r="OFN41" s="260"/>
      <c r="OFO41" s="260"/>
      <c r="OFP41" s="260"/>
      <c r="OFQ41" s="260"/>
      <c r="OFR41" s="260"/>
      <c r="OFS41" s="260"/>
      <c r="OFT41" s="260"/>
      <c r="OFU41" s="260"/>
      <c r="OFV41" s="260"/>
      <c r="OFW41" s="260"/>
      <c r="OFX41" s="260"/>
      <c r="OFY41" s="260"/>
      <c r="OFZ41" s="260"/>
      <c r="OGA41" s="260"/>
      <c r="OGB41" s="260"/>
      <c r="OGC41" s="260"/>
      <c r="OGD41" s="260"/>
      <c r="OGE41" s="260"/>
      <c r="OGF41" s="260"/>
      <c r="OGG41" s="260"/>
      <c r="OGH41" s="260"/>
      <c r="OGI41" s="260"/>
      <c r="OGJ41" s="260"/>
      <c r="OGK41" s="260"/>
      <c r="OGL41" s="260"/>
      <c r="OGM41" s="260"/>
      <c r="OGN41" s="260"/>
      <c r="OGO41" s="260"/>
      <c r="OGP41" s="260"/>
      <c r="OGQ41" s="260"/>
      <c r="OGR41" s="260"/>
      <c r="OGS41" s="260"/>
      <c r="OGT41" s="260"/>
      <c r="OGU41" s="260"/>
      <c r="OGV41" s="260"/>
      <c r="OGW41" s="260"/>
      <c r="OGX41" s="260"/>
      <c r="OGY41" s="260"/>
      <c r="OGZ41" s="260"/>
      <c r="OHA41" s="260"/>
      <c r="OHB41" s="260"/>
      <c r="OHC41" s="260"/>
      <c r="OHD41" s="260"/>
      <c r="OHE41" s="260"/>
      <c r="OHF41" s="260"/>
      <c r="OHG41" s="260"/>
      <c r="OHH41" s="260"/>
      <c r="OHI41" s="260"/>
      <c r="OHJ41" s="260"/>
      <c r="OHK41" s="260"/>
      <c r="OHL41" s="260"/>
      <c r="OHM41" s="260"/>
      <c r="OHN41" s="260"/>
      <c r="OHO41" s="260"/>
      <c r="OHP41" s="260"/>
      <c r="OHQ41" s="260"/>
      <c r="OHR41" s="260"/>
      <c r="OHS41" s="260"/>
      <c r="OHT41" s="260"/>
      <c r="OHU41" s="260"/>
      <c r="OHV41" s="260"/>
      <c r="OHW41" s="260"/>
      <c r="OHX41" s="260"/>
      <c r="OHY41" s="260"/>
      <c r="OHZ41" s="260"/>
      <c r="OIA41" s="260"/>
      <c r="OIB41" s="260"/>
      <c r="OIC41" s="260"/>
      <c r="OID41" s="260"/>
      <c r="OIE41" s="260"/>
      <c r="OIF41" s="260"/>
      <c r="OIG41" s="260"/>
      <c r="OIH41" s="260"/>
      <c r="OII41" s="260"/>
      <c r="OIJ41" s="260"/>
      <c r="OIK41" s="260"/>
      <c r="OIL41" s="260"/>
      <c r="OIM41" s="260"/>
      <c r="OIN41" s="260"/>
      <c r="OIO41" s="260"/>
      <c r="OIP41" s="260"/>
      <c r="OIQ41" s="260"/>
      <c r="OIR41" s="260"/>
      <c r="OIS41" s="260"/>
      <c r="OIT41" s="260"/>
      <c r="OIU41" s="260"/>
      <c r="OIV41" s="260"/>
      <c r="OIW41" s="260"/>
      <c r="OIX41" s="260"/>
      <c r="OIY41" s="260"/>
      <c r="OIZ41" s="260"/>
      <c r="OJA41" s="260"/>
      <c r="OJB41" s="260"/>
      <c r="OJC41" s="260"/>
      <c r="OJD41" s="260"/>
      <c r="OJE41" s="260"/>
      <c r="OJF41" s="260"/>
      <c r="OJG41" s="260"/>
      <c r="OJH41" s="260"/>
      <c r="OJI41" s="260"/>
      <c r="OJJ41" s="260"/>
      <c r="OJK41" s="260"/>
      <c r="OJL41" s="260"/>
      <c r="OJM41" s="260"/>
      <c r="OJN41" s="260"/>
      <c r="OJO41" s="260"/>
      <c r="OJP41" s="260"/>
      <c r="OJQ41" s="260"/>
      <c r="OJR41" s="260"/>
      <c r="OJS41" s="260"/>
      <c r="OJT41" s="260"/>
      <c r="OJU41" s="260"/>
      <c r="OJV41" s="260"/>
      <c r="OJW41" s="260"/>
      <c r="OJX41" s="260"/>
      <c r="OJY41" s="260"/>
      <c r="OJZ41" s="260"/>
      <c r="OKA41" s="260"/>
      <c r="OKB41" s="260"/>
      <c r="OKC41" s="260"/>
      <c r="OKD41" s="260"/>
      <c r="OKE41" s="260"/>
      <c r="OKF41" s="260"/>
      <c r="OKG41" s="260"/>
      <c r="OKH41" s="260"/>
      <c r="OKI41" s="260"/>
      <c r="OKJ41" s="260"/>
      <c r="OKK41" s="260"/>
      <c r="OKL41" s="260"/>
      <c r="OKM41" s="260"/>
      <c r="OKN41" s="260"/>
      <c r="OKO41" s="260"/>
      <c r="OKP41" s="260"/>
      <c r="OKQ41" s="260"/>
      <c r="OKR41" s="260"/>
      <c r="OKS41" s="260"/>
      <c r="OKT41" s="260"/>
      <c r="OKU41" s="260"/>
      <c r="OKV41" s="260"/>
      <c r="OKW41" s="260"/>
      <c r="OKX41" s="260"/>
      <c r="OKY41" s="260"/>
      <c r="OKZ41" s="260"/>
      <c r="OLA41" s="260"/>
      <c r="OLB41" s="260"/>
      <c r="OLC41" s="260"/>
      <c r="OLD41" s="260"/>
      <c r="OLE41" s="260"/>
      <c r="OLF41" s="260"/>
      <c r="OLG41" s="260"/>
      <c r="OLH41" s="260"/>
      <c r="OLI41" s="260"/>
      <c r="OLJ41" s="260"/>
      <c r="OLK41" s="260"/>
      <c r="OLL41" s="260"/>
      <c r="OLM41" s="260"/>
      <c r="OLN41" s="260"/>
      <c r="OLO41" s="260"/>
      <c r="OLP41" s="260"/>
      <c r="OLQ41" s="260"/>
      <c r="OLR41" s="260"/>
      <c r="OLS41" s="260"/>
      <c r="OLT41" s="260"/>
      <c r="OLU41" s="260"/>
      <c r="OLV41" s="260"/>
      <c r="OLW41" s="260"/>
      <c r="OLX41" s="260"/>
      <c r="OLY41" s="260"/>
      <c r="OLZ41" s="260"/>
      <c r="OMA41" s="260"/>
      <c r="OMB41" s="260"/>
      <c r="OMC41" s="260"/>
      <c r="OMD41" s="260"/>
      <c r="OME41" s="260"/>
      <c r="OMF41" s="260"/>
      <c r="OMG41" s="260"/>
      <c r="OMH41" s="260"/>
      <c r="OMI41" s="260"/>
      <c r="OMJ41" s="260"/>
      <c r="OMK41" s="260"/>
      <c r="OML41" s="260"/>
      <c r="OMM41" s="260"/>
      <c r="OMN41" s="260"/>
      <c r="OMO41" s="260"/>
      <c r="OMP41" s="260"/>
      <c r="OMQ41" s="260"/>
      <c r="OMR41" s="260"/>
      <c r="OMS41" s="260"/>
      <c r="OMT41" s="260"/>
      <c r="OMU41" s="260"/>
      <c r="OMV41" s="260"/>
      <c r="OMW41" s="260"/>
      <c r="OMX41" s="260"/>
      <c r="OMY41" s="260"/>
      <c r="OMZ41" s="260"/>
      <c r="ONA41" s="260"/>
      <c r="ONB41" s="260"/>
      <c r="ONC41" s="260"/>
      <c r="OND41" s="260"/>
      <c r="ONE41" s="260"/>
      <c r="ONF41" s="260"/>
      <c r="ONG41" s="260"/>
      <c r="ONH41" s="260"/>
      <c r="ONI41" s="260"/>
      <c r="ONJ41" s="260"/>
      <c r="ONK41" s="260"/>
      <c r="ONL41" s="260"/>
      <c r="ONM41" s="260"/>
      <c r="ONN41" s="260"/>
      <c r="ONO41" s="260"/>
      <c r="ONP41" s="260"/>
      <c r="ONQ41" s="260"/>
      <c r="ONR41" s="260"/>
      <c r="ONS41" s="260"/>
      <c r="ONT41" s="260"/>
      <c r="ONU41" s="260"/>
      <c r="ONV41" s="260"/>
      <c r="ONW41" s="260"/>
      <c r="ONX41" s="260"/>
      <c r="ONY41" s="260"/>
      <c r="ONZ41" s="260"/>
      <c r="OOA41" s="260"/>
      <c r="OOB41" s="260"/>
      <c r="OOC41" s="260"/>
      <c r="OOD41" s="260"/>
      <c r="OOE41" s="260"/>
      <c r="OOF41" s="260"/>
      <c r="OOG41" s="260"/>
      <c r="OOH41" s="260"/>
      <c r="OOI41" s="260"/>
      <c r="OOJ41" s="260"/>
      <c r="OOK41" s="260"/>
      <c r="OOL41" s="260"/>
      <c r="OOM41" s="260"/>
      <c r="OON41" s="260"/>
      <c r="OOO41" s="260"/>
      <c r="OOP41" s="260"/>
      <c r="OOQ41" s="260"/>
      <c r="OOR41" s="260"/>
      <c r="OOS41" s="260"/>
      <c r="OOT41" s="260"/>
      <c r="OOU41" s="260"/>
      <c r="OOV41" s="260"/>
      <c r="OOW41" s="260"/>
      <c r="OOX41" s="260"/>
      <c r="OOY41" s="260"/>
      <c r="OOZ41" s="260"/>
      <c r="OPA41" s="260"/>
      <c r="OPB41" s="260"/>
      <c r="OPC41" s="260"/>
      <c r="OPD41" s="260"/>
      <c r="OPE41" s="260"/>
      <c r="OPF41" s="260"/>
      <c r="OPG41" s="260"/>
      <c r="OPH41" s="260"/>
      <c r="OPI41" s="260"/>
      <c r="OPJ41" s="260"/>
      <c r="OPK41" s="260"/>
      <c r="OPL41" s="260"/>
      <c r="OPM41" s="260"/>
      <c r="OPN41" s="260"/>
      <c r="OPO41" s="260"/>
      <c r="OPP41" s="260"/>
      <c r="OPQ41" s="260"/>
      <c r="OPR41" s="260"/>
      <c r="OPS41" s="260"/>
      <c r="OPT41" s="260"/>
      <c r="OPU41" s="260"/>
      <c r="OPV41" s="260"/>
      <c r="OPW41" s="260"/>
      <c r="OPX41" s="260"/>
      <c r="OPY41" s="260"/>
      <c r="OPZ41" s="260"/>
      <c r="OQA41" s="260"/>
      <c r="OQB41" s="260"/>
      <c r="OQC41" s="260"/>
      <c r="OQD41" s="260"/>
      <c r="OQE41" s="260"/>
      <c r="OQF41" s="260"/>
      <c r="OQG41" s="260"/>
      <c r="OQH41" s="260"/>
      <c r="OQI41" s="260"/>
      <c r="OQJ41" s="260"/>
      <c r="OQK41" s="260"/>
      <c r="OQL41" s="260"/>
      <c r="OQM41" s="260"/>
      <c r="OQN41" s="260"/>
      <c r="OQO41" s="260"/>
      <c r="OQP41" s="260"/>
      <c r="OQQ41" s="260"/>
      <c r="OQR41" s="260"/>
      <c r="OQS41" s="260"/>
      <c r="OQT41" s="260"/>
      <c r="OQU41" s="260"/>
      <c r="OQV41" s="260"/>
      <c r="OQW41" s="260"/>
      <c r="OQX41" s="260"/>
      <c r="OQY41" s="260"/>
      <c r="OQZ41" s="260"/>
      <c r="ORA41" s="260"/>
      <c r="ORB41" s="260"/>
      <c r="ORC41" s="260"/>
      <c r="ORD41" s="260"/>
      <c r="ORE41" s="260"/>
      <c r="ORF41" s="260"/>
      <c r="ORG41" s="260"/>
      <c r="ORH41" s="260"/>
      <c r="ORI41" s="260"/>
      <c r="ORJ41" s="260"/>
      <c r="ORK41" s="260"/>
      <c r="ORL41" s="260"/>
      <c r="ORM41" s="260"/>
      <c r="ORN41" s="260"/>
      <c r="ORO41" s="260"/>
      <c r="ORP41" s="260"/>
      <c r="ORQ41" s="260"/>
      <c r="ORR41" s="260"/>
      <c r="ORS41" s="260"/>
      <c r="ORT41" s="260"/>
      <c r="ORU41" s="260"/>
      <c r="ORV41" s="260"/>
      <c r="ORW41" s="260"/>
      <c r="ORX41" s="260"/>
      <c r="ORY41" s="260"/>
      <c r="ORZ41" s="260"/>
      <c r="OSA41" s="260"/>
      <c r="OSB41" s="260"/>
      <c r="OSC41" s="260"/>
      <c r="OSD41" s="260"/>
      <c r="OSE41" s="260"/>
      <c r="OSF41" s="260"/>
      <c r="OSG41" s="260"/>
      <c r="OSH41" s="260"/>
      <c r="OSI41" s="260"/>
      <c r="OSJ41" s="260"/>
      <c r="OSK41" s="260"/>
      <c r="OSL41" s="260"/>
      <c r="OSM41" s="260"/>
      <c r="OSN41" s="260"/>
      <c r="OSO41" s="260"/>
      <c r="OSP41" s="260"/>
      <c r="OSQ41" s="260"/>
      <c r="OSR41" s="260"/>
      <c r="OSS41" s="260"/>
      <c r="OST41" s="260"/>
      <c r="OSU41" s="260"/>
      <c r="OSV41" s="260"/>
      <c r="OSW41" s="260"/>
      <c r="OSX41" s="260"/>
      <c r="OSY41" s="260"/>
      <c r="OSZ41" s="260"/>
      <c r="OTA41" s="260"/>
      <c r="OTB41" s="260"/>
      <c r="OTC41" s="260"/>
      <c r="OTD41" s="260"/>
      <c r="OTE41" s="260"/>
      <c r="OTF41" s="260"/>
      <c r="OTG41" s="260"/>
      <c r="OTH41" s="260"/>
      <c r="OTI41" s="260"/>
      <c r="OTJ41" s="260"/>
      <c r="OTK41" s="260"/>
      <c r="OTL41" s="260"/>
      <c r="OTM41" s="260"/>
      <c r="OTN41" s="260"/>
      <c r="OTO41" s="260"/>
      <c r="OTP41" s="260"/>
      <c r="OTQ41" s="260"/>
      <c r="OTR41" s="260"/>
      <c r="OTS41" s="260"/>
      <c r="OTT41" s="260"/>
      <c r="OTU41" s="260"/>
      <c r="OTV41" s="260"/>
      <c r="OTW41" s="260"/>
      <c r="OTX41" s="260"/>
      <c r="OTY41" s="260"/>
      <c r="OTZ41" s="260"/>
      <c r="OUA41" s="260"/>
      <c r="OUB41" s="260"/>
      <c r="OUC41" s="260"/>
      <c r="OUD41" s="260"/>
      <c r="OUE41" s="260"/>
      <c r="OUF41" s="260"/>
      <c r="OUG41" s="260"/>
      <c r="OUH41" s="260"/>
      <c r="OUI41" s="260"/>
      <c r="OUJ41" s="260"/>
      <c r="OUK41" s="260"/>
      <c r="OUL41" s="260"/>
      <c r="OUM41" s="260"/>
      <c r="OUN41" s="260"/>
      <c r="OUO41" s="260"/>
      <c r="OUP41" s="260"/>
      <c r="OUQ41" s="260"/>
      <c r="OUR41" s="260"/>
      <c r="OUS41" s="260"/>
      <c r="OUT41" s="260"/>
      <c r="OUU41" s="260"/>
      <c r="OUV41" s="260"/>
      <c r="OUW41" s="260"/>
      <c r="OUX41" s="260"/>
      <c r="OUY41" s="260"/>
      <c r="OUZ41" s="260"/>
      <c r="OVA41" s="260"/>
      <c r="OVB41" s="260"/>
      <c r="OVC41" s="260"/>
      <c r="OVD41" s="260"/>
      <c r="OVE41" s="260"/>
      <c r="OVF41" s="260"/>
      <c r="OVG41" s="260"/>
      <c r="OVH41" s="260"/>
      <c r="OVI41" s="260"/>
      <c r="OVJ41" s="260"/>
      <c r="OVK41" s="260"/>
      <c r="OVL41" s="260"/>
      <c r="OVM41" s="260"/>
      <c r="OVN41" s="260"/>
      <c r="OVO41" s="260"/>
      <c r="OVP41" s="260"/>
      <c r="OVQ41" s="260"/>
      <c r="OVR41" s="260"/>
      <c r="OVS41" s="260"/>
      <c r="OVT41" s="260"/>
      <c r="OVU41" s="260"/>
      <c r="OVV41" s="260"/>
      <c r="OVW41" s="260"/>
      <c r="OVX41" s="260"/>
      <c r="OVY41" s="260"/>
      <c r="OVZ41" s="260"/>
      <c r="OWA41" s="260"/>
      <c r="OWB41" s="260"/>
      <c r="OWC41" s="260"/>
      <c r="OWD41" s="260"/>
      <c r="OWE41" s="260"/>
      <c r="OWF41" s="260"/>
      <c r="OWG41" s="260"/>
      <c r="OWH41" s="260"/>
      <c r="OWI41" s="260"/>
      <c r="OWJ41" s="260"/>
      <c r="OWK41" s="260"/>
      <c r="OWL41" s="260"/>
      <c r="OWM41" s="260"/>
      <c r="OWN41" s="260"/>
      <c r="OWO41" s="260"/>
      <c r="OWP41" s="260"/>
      <c r="OWQ41" s="260"/>
      <c r="OWR41" s="260"/>
      <c r="OWS41" s="260"/>
      <c r="OWT41" s="260"/>
      <c r="OWU41" s="260"/>
      <c r="OWV41" s="260"/>
      <c r="OWW41" s="260"/>
      <c r="OWX41" s="260"/>
      <c r="OWY41" s="260"/>
      <c r="OWZ41" s="260"/>
      <c r="OXA41" s="260"/>
      <c r="OXB41" s="260"/>
      <c r="OXC41" s="260"/>
      <c r="OXD41" s="260"/>
      <c r="OXE41" s="260"/>
      <c r="OXF41" s="260"/>
      <c r="OXG41" s="260"/>
      <c r="OXH41" s="260"/>
      <c r="OXI41" s="260"/>
      <c r="OXJ41" s="260"/>
      <c r="OXK41" s="260"/>
      <c r="OXL41" s="260"/>
      <c r="OXM41" s="260"/>
      <c r="OXN41" s="260"/>
      <c r="OXO41" s="260"/>
      <c r="OXP41" s="260"/>
      <c r="OXQ41" s="260"/>
      <c r="OXR41" s="260"/>
      <c r="OXS41" s="260"/>
      <c r="OXT41" s="260"/>
      <c r="OXU41" s="260"/>
      <c r="OXV41" s="260"/>
      <c r="OXW41" s="260"/>
      <c r="OXX41" s="260"/>
      <c r="OXY41" s="260"/>
      <c r="OXZ41" s="260"/>
      <c r="OYA41" s="260"/>
      <c r="OYB41" s="260"/>
      <c r="OYC41" s="260"/>
      <c r="OYD41" s="260"/>
      <c r="OYE41" s="260"/>
      <c r="OYF41" s="260"/>
      <c r="OYG41" s="260"/>
      <c r="OYH41" s="260"/>
      <c r="OYI41" s="260"/>
      <c r="OYJ41" s="260"/>
      <c r="OYK41" s="260"/>
      <c r="OYL41" s="260"/>
      <c r="OYM41" s="260"/>
      <c r="OYN41" s="260"/>
      <c r="OYO41" s="260"/>
      <c r="OYP41" s="260"/>
      <c r="OYQ41" s="260"/>
      <c r="OYR41" s="260"/>
      <c r="OYS41" s="260"/>
      <c r="OYT41" s="260"/>
      <c r="OYU41" s="260"/>
      <c r="OYV41" s="260"/>
      <c r="OYW41" s="260"/>
      <c r="OYX41" s="260"/>
      <c r="OYY41" s="260"/>
      <c r="OYZ41" s="260"/>
      <c r="OZA41" s="260"/>
      <c r="OZB41" s="260"/>
      <c r="OZC41" s="260"/>
      <c r="OZD41" s="260"/>
      <c r="OZE41" s="260"/>
      <c r="OZF41" s="260"/>
      <c r="OZG41" s="260"/>
      <c r="OZH41" s="260"/>
      <c r="OZI41" s="260"/>
      <c r="OZJ41" s="260"/>
      <c r="OZK41" s="260"/>
      <c r="OZL41" s="260"/>
      <c r="OZM41" s="260"/>
      <c r="OZN41" s="260"/>
      <c r="OZO41" s="260"/>
      <c r="OZP41" s="260"/>
      <c r="OZQ41" s="260"/>
      <c r="OZR41" s="260"/>
      <c r="OZS41" s="260"/>
      <c r="OZT41" s="260"/>
      <c r="OZU41" s="260"/>
      <c r="OZV41" s="260"/>
      <c r="OZW41" s="260"/>
      <c r="OZX41" s="260"/>
      <c r="OZY41" s="260"/>
      <c r="OZZ41" s="260"/>
      <c r="PAA41" s="260"/>
      <c r="PAB41" s="260"/>
      <c r="PAC41" s="260"/>
      <c r="PAD41" s="260"/>
      <c r="PAE41" s="260"/>
      <c r="PAF41" s="260"/>
      <c r="PAG41" s="260"/>
      <c r="PAH41" s="260"/>
      <c r="PAI41" s="260"/>
      <c r="PAJ41" s="260"/>
      <c r="PAK41" s="260"/>
      <c r="PAL41" s="260"/>
      <c r="PAM41" s="260"/>
      <c r="PAN41" s="260"/>
      <c r="PAO41" s="260"/>
      <c r="PAP41" s="260"/>
      <c r="PAQ41" s="260"/>
      <c r="PAR41" s="260"/>
      <c r="PAS41" s="260"/>
      <c r="PAT41" s="260"/>
      <c r="PAU41" s="260"/>
      <c r="PAV41" s="260"/>
      <c r="PAW41" s="260"/>
      <c r="PAX41" s="260"/>
      <c r="PAY41" s="260"/>
      <c r="PAZ41" s="260"/>
      <c r="PBA41" s="260"/>
      <c r="PBB41" s="260"/>
      <c r="PBC41" s="260"/>
      <c r="PBD41" s="260"/>
      <c r="PBE41" s="260"/>
      <c r="PBF41" s="260"/>
      <c r="PBG41" s="260"/>
      <c r="PBH41" s="260"/>
      <c r="PBI41" s="260"/>
      <c r="PBJ41" s="260"/>
      <c r="PBK41" s="260"/>
      <c r="PBL41" s="260"/>
      <c r="PBM41" s="260"/>
      <c r="PBN41" s="260"/>
      <c r="PBO41" s="260"/>
      <c r="PBP41" s="260"/>
      <c r="PBQ41" s="260"/>
      <c r="PBR41" s="260"/>
      <c r="PBS41" s="260"/>
      <c r="PBT41" s="260"/>
      <c r="PBU41" s="260"/>
      <c r="PBV41" s="260"/>
      <c r="PBW41" s="260"/>
      <c r="PBX41" s="260"/>
      <c r="PBY41" s="260"/>
      <c r="PBZ41" s="260"/>
      <c r="PCA41" s="260"/>
      <c r="PCB41" s="260"/>
      <c r="PCC41" s="260"/>
      <c r="PCD41" s="260"/>
      <c r="PCE41" s="260"/>
      <c r="PCF41" s="260"/>
      <c r="PCG41" s="260"/>
      <c r="PCH41" s="260"/>
      <c r="PCI41" s="260"/>
      <c r="PCJ41" s="260"/>
      <c r="PCK41" s="260"/>
      <c r="PCL41" s="260"/>
      <c r="PCM41" s="260"/>
      <c r="PCN41" s="260"/>
      <c r="PCO41" s="260"/>
      <c r="PCP41" s="260"/>
      <c r="PCQ41" s="260"/>
      <c r="PCR41" s="260"/>
      <c r="PCS41" s="260"/>
      <c r="PCT41" s="260"/>
      <c r="PCU41" s="260"/>
      <c r="PCV41" s="260"/>
      <c r="PCW41" s="260"/>
      <c r="PCX41" s="260"/>
      <c r="PCY41" s="260"/>
      <c r="PCZ41" s="260"/>
      <c r="PDA41" s="260"/>
      <c r="PDB41" s="260"/>
      <c r="PDC41" s="260"/>
      <c r="PDD41" s="260"/>
      <c r="PDE41" s="260"/>
      <c r="PDF41" s="260"/>
      <c r="PDG41" s="260"/>
      <c r="PDH41" s="260"/>
      <c r="PDI41" s="260"/>
      <c r="PDJ41" s="260"/>
      <c r="PDK41" s="260"/>
      <c r="PDL41" s="260"/>
      <c r="PDM41" s="260"/>
      <c r="PDN41" s="260"/>
      <c r="PDO41" s="260"/>
      <c r="PDP41" s="260"/>
      <c r="PDQ41" s="260"/>
      <c r="PDR41" s="260"/>
      <c r="PDS41" s="260"/>
      <c r="PDT41" s="260"/>
      <c r="PDU41" s="260"/>
      <c r="PDV41" s="260"/>
      <c r="PDW41" s="260"/>
      <c r="PDX41" s="260"/>
      <c r="PDY41" s="260"/>
      <c r="PDZ41" s="260"/>
      <c r="PEA41" s="260"/>
      <c r="PEB41" s="260"/>
      <c r="PEC41" s="260"/>
      <c r="PED41" s="260"/>
      <c r="PEE41" s="260"/>
      <c r="PEF41" s="260"/>
      <c r="PEG41" s="260"/>
      <c r="PEH41" s="260"/>
      <c r="PEI41" s="260"/>
      <c r="PEJ41" s="260"/>
      <c r="PEK41" s="260"/>
      <c r="PEL41" s="260"/>
      <c r="PEM41" s="260"/>
      <c r="PEN41" s="260"/>
      <c r="PEO41" s="260"/>
      <c r="PEP41" s="260"/>
      <c r="PEQ41" s="260"/>
      <c r="PER41" s="260"/>
      <c r="PES41" s="260"/>
      <c r="PET41" s="260"/>
      <c r="PEU41" s="260"/>
      <c r="PEV41" s="260"/>
      <c r="PEW41" s="260"/>
      <c r="PEX41" s="260"/>
      <c r="PEY41" s="260"/>
      <c r="PEZ41" s="260"/>
      <c r="PFA41" s="260"/>
      <c r="PFB41" s="260"/>
      <c r="PFC41" s="260"/>
      <c r="PFD41" s="260"/>
      <c r="PFE41" s="260"/>
      <c r="PFF41" s="260"/>
      <c r="PFG41" s="260"/>
      <c r="PFH41" s="260"/>
      <c r="PFI41" s="260"/>
      <c r="PFJ41" s="260"/>
      <c r="PFK41" s="260"/>
      <c r="PFL41" s="260"/>
      <c r="PFM41" s="260"/>
      <c r="PFN41" s="260"/>
      <c r="PFO41" s="260"/>
      <c r="PFP41" s="260"/>
      <c r="PFQ41" s="260"/>
      <c r="PFR41" s="260"/>
      <c r="PFS41" s="260"/>
      <c r="PFT41" s="260"/>
      <c r="PFU41" s="260"/>
      <c r="PFV41" s="260"/>
      <c r="PFW41" s="260"/>
      <c r="PFX41" s="260"/>
      <c r="PFY41" s="260"/>
      <c r="PFZ41" s="260"/>
      <c r="PGA41" s="260"/>
      <c r="PGB41" s="260"/>
      <c r="PGC41" s="260"/>
      <c r="PGD41" s="260"/>
      <c r="PGE41" s="260"/>
      <c r="PGF41" s="260"/>
      <c r="PGG41" s="260"/>
      <c r="PGH41" s="260"/>
      <c r="PGI41" s="260"/>
      <c r="PGJ41" s="260"/>
      <c r="PGK41" s="260"/>
      <c r="PGL41" s="260"/>
      <c r="PGM41" s="260"/>
      <c r="PGN41" s="260"/>
      <c r="PGO41" s="260"/>
      <c r="PGP41" s="260"/>
      <c r="PGQ41" s="260"/>
      <c r="PGR41" s="260"/>
      <c r="PGS41" s="260"/>
      <c r="PGT41" s="260"/>
      <c r="PGU41" s="260"/>
      <c r="PGV41" s="260"/>
      <c r="PGW41" s="260"/>
      <c r="PGX41" s="260"/>
      <c r="PGY41" s="260"/>
      <c r="PGZ41" s="260"/>
      <c r="PHA41" s="260"/>
      <c r="PHB41" s="260"/>
      <c r="PHC41" s="260"/>
      <c r="PHD41" s="260"/>
      <c r="PHE41" s="260"/>
      <c r="PHF41" s="260"/>
      <c r="PHG41" s="260"/>
      <c r="PHH41" s="260"/>
      <c r="PHI41" s="260"/>
      <c r="PHJ41" s="260"/>
      <c r="PHK41" s="260"/>
      <c r="PHL41" s="260"/>
      <c r="PHM41" s="260"/>
      <c r="PHN41" s="260"/>
      <c r="PHO41" s="260"/>
      <c r="PHP41" s="260"/>
      <c r="PHQ41" s="260"/>
      <c r="PHR41" s="260"/>
      <c r="PHS41" s="260"/>
      <c r="PHT41" s="260"/>
      <c r="PHU41" s="260"/>
      <c r="PHV41" s="260"/>
      <c r="PHW41" s="260"/>
      <c r="PHX41" s="260"/>
      <c r="PHY41" s="260"/>
      <c r="PHZ41" s="260"/>
      <c r="PIA41" s="260"/>
      <c r="PIB41" s="260"/>
      <c r="PIC41" s="260"/>
      <c r="PID41" s="260"/>
      <c r="PIE41" s="260"/>
      <c r="PIF41" s="260"/>
      <c r="PIG41" s="260"/>
      <c r="PIH41" s="260"/>
      <c r="PII41" s="260"/>
      <c r="PIJ41" s="260"/>
      <c r="PIK41" s="260"/>
      <c r="PIL41" s="260"/>
      <c r="PIM41" s="260"/>
      <c r="PIN41" s="260"/>
      <c r="PIO41" s="260"/>
      <c r="PIP41" s="260"/>
      <c r="PIQ41" s="260"/>
      <c r="PIR41" s="260"/>
      <c r="PIS41" s="260"/>
      <c r="PIT41" s="260"/>
      <c r="PIU41" s="260"/>
      <c r="PIV41" s="260"/>
      <c r="PIW41" s="260"/>
      <c r="PIX41" s="260"/>
      <c r="PIY41" s="260"/>
      <c r="PIZ41" s="260"/>
      <c r="PJA41" s="260"/>
      <c r="PJB41" s="260"/>
      <c r="PJC41" s="260"/>
      <c r="PJD41" s="260"/>
      <c r="PJE41" s="260"/>
      <c r="PJF41" s="260"/>
      <c r="PJG41" s="260"/>
      <c r="PJH41" s="260"/>
      <c r="PJI41" s="260"/>
      <c r="PJJ41" s="260"/>
      <c r="PJK41" s="260"/>
      <c r="PJL41" s="260"/>
      <c r="PJM41" s="260"/>
      <c r="PJN41" s="260"/>
      <c r="PJO41" s="260"/>
      <c r="PJP41" s="260"/>
      <c r="PJQ41" s="260"/>
      <c r="PJR41" s="260"/>
      <c r="PJS41" s="260"/>
      <c r="PJT41" s="260"/>
      <c r="PJU41" s="260"/>
      <c r="PJV41" s="260"/>
      <c r="PJW41" s="260"/>
      <c r="PJX41" s="260"/>
      <c r="PJY41" s="260"/>
      <c r="PJZ41" s="260"/>
      <c r="PKA41" s="260"/>
      <c r="PKB41" s="260"/>
      <c r="PKC41" s="260"/>
      <c r="PKD41" s="260"/>
      <c r="PKE41" s="260"/>
      <c r="PKF41" s="260"/>
      <c r="PKG41" s="260"/>
      <c r="PKH41" s="260"/>
      <c r="PKI41" s="260"/>
      <c r="PKJ41" s="260"/>
      <c r="PKK41" s="260"/>
      <c r="PKL41" s="260"/>
      <c r="PKM41" s="260"/>
      <c r="PKN41" s="260"/>
      <c r="PKO41" s="260"/>
      <c r="PKP41" s="260"/>
      <c r="PKQ41" s="260"/>
      <c r="PKR41" s="260"/>
      <c r="PKS41" s="260"/>
      <c r="PKT41" s="260"/>
      <c r="PKU41" s="260"/>
      <c r="PKV41" s="260"/>
      <c r="PKW41" s="260"/>
      <c r="PKX41" s="260"/>
      <c r="PKY41" s="260"/>
      <c r="PKZ41" s="260"/>
      <c r="PLA41" s="260"/>
      <c r="PLB41" s="260"/>
      <c r="PLC41" s="260"/>
      <c r="PLD41" s="260"/>
      <c r="PLE41" s="260"/>
      <c r="PLF41" s="260"/>
      <c r="PLG41" s="260"/>
      <c r="PLH41" s="260"/>
      <c r="PLI41" s="260"/>
      <c r="PLJ41" s="260"/>
      <c r="PLK41" s="260"/>
      <c r="PLL41" s="260"/>
      <c r="PLM41" s="260"/>
      <c r="PLN41" s="260"/>
      <c r="PLO41" s="260"/>
      <c r="PLP41" s="260"/>
      <c r="PLQ41" s="260"/>
      <c r="PLR41" s="260"/>
      <c r="PLS41" s="260"/>
      <c r="PLT41" s="260"/>
      <c r="PLU41" s="260"/>
      <c r="PLV41" s="260"/>
      <c r="PLW41" s="260"/>
      <c r="PLX41" s="260"/>
      <c r="PLY41" s="260"/>
      <c r="PLZ41" s="260"/>
      <c r="PMA41" s="260"/>
      <c r="PMB41" s="260"/>
      <c r="PMC41" s="260"/>
      <c r="PMD41" s="260"/>
      <c r="PME41" s="260"/>
      <c r="PMF41" s="260"/>
      <c r="PMG41" s="260"/>
      <c r="PMH41" s="260"/>
      <c r="PMI41" s="260"/>
      <c r="PMJ41" s="260"/>
      <c r="PMK41" s="260"/>
      <c r="PML41" s="260"/>
      <c r="PMM41" s="260"/>
      <c r="PMN41" s="260"/>
      <c r="PMO41" s="260"/>
      <c r="PMP41" s="260"/>
      <c r="PMQ41" s="260"/>
      <c r="PMR41" s="260"/>
      <c r="PMS41" s="260"/>
      <c r="PMT41" s="260"/>
      <c r="PMU41" s="260"/>
      <c r="PMV41" s="260"/>
      <c r="PMW41" s="260"/>
      <c r="PMX41" s="260"/>
      <c r="PMY41" s="260"/>
      <c r="PMZ41" s="260"/>
      <c r="PNA41" s="260"/>
      <c r="PNB41" s="260"/>
      <c r="PNC41" s="260"/>
      <c r="PND41" s="260"/>
      <c r="PNE41" s="260"/>
      <c r="PNF41" s="260"/>
      <c r="PNG41" s="260"/>
      <c r="PNH41" s="260"/>
      <c r="PNI41" s="260"/>
      <c r="PNJ41" s="260"/>
      <c r="PNK41" s="260"/>
      <c r="PNL41" s="260"/>
      <c r="PNM41" s="260"/>
      <c r="PNN41" s="260"/>
      <c r="PNO41" s="260"/>
      <c r="PNP41" s="260"/>
      <c r="PNQ41" s="260"/>
      <c r="PNR41" s="260"/>
      <c r="PNS41" s="260"/>
      <c r="PNT41" s="260"/>
      <c r="PNU41" s="260"/>
      <c r="PNV41" s="260"/>
      <c r="PNW41" s="260"/>
      <c r="PNX41" s="260"/>
      <c r="PNY41" s="260"/>
      <c r="PNZ41" s="260"/>
      <c r="POA41" s="260"/>
      <c r="POB41" s="260"/>
      <c r="POC41" s="260"/>
      <c r="POD41" s="260"/>
      <c r="POE41" s="260"/>
      <c r="POF41" s="260"/>
      <c r="POG41" s="260"/>
      <c r="POH41" s="260"/>
      <c r="POI41" s="260"/>
      <c r="POJ41" s="260"/>
      <c r="POK41" s="260"/>
      <c r="POL41" s="260"/>
      <c r="POM41" s="260"/>
      <c r="PON41" s="260"/>
      <c r="POO41" s="260"/>
      <c r="POP41" s="260"/>
      <c r="POQ41" s="260"/>
      <c r="POR41" s="260"/>
      <c r="POS41" s="260"/>
      <c r="POT41" s="260"/>
      <c r="POU41" s="260"/>
      <c r="POV41" s="260"/>
      <c r="POW41" s="260"/>
      <c r="POX41" s="260"/>
      <c r="POY41" s="260"/>
      <c r="POZ41" s="260"/>
      <c r="PPA41" s="260"/>
      <c r="PPB41" s="260"/>
      <c r="PPC41" s="260"/>
      <c r="PPD41" s="260"/>
      <c r="PPE41" s="260"/>
      <c r="PPF41" s="260"/>
      <c r="PPG41" s="260"/>
      <c r="PPH41" s="260"/>
      <c r="PPI41" s="260"/>
      <c r="PPJ41" s="260"/>
      <c r="PPK41" s="260"/>
      <c r="PPL41" s="260"/>
      <c r="PPM41" s="260"/>
      <c r="PPN41" s="260"/>
      <c r="PPO41" s="260"/>
      <c r="PPP41" s="260"/>
      <c r="PPQ41" s="260"/>
      <c r="PPR41" s="260"/>
      <c r="PPS41" s="260"/>
      <c r="PPT41" s="260"/>
      <c r="PPU41" s="260"/>
      <c r="PPV41" s="260"/>
      <c r="PPW41" s="260"/>
      <c r="PPX41" s="260"/>
      <c r="PPY41" s="260"/>
      <c r="PPZ41" s="260"/>
      <c r="PQA41" s="260"/>
      <c r="PQB41" s="260"/>
      <c r="PQC41" s="260"/>
      <c r="PQD41" s="260"/>
      <c r="PQE41" s="260"/>
      <c r="PQF41" s="260"/>
      <c r="PQG41" s="260"/>
      <c r="PQH41" s="260"/>
      <c r="PQI41" s="260"/>
      <c r="PQJ41" s="260"/>
      <c r="PQK41" s="260"/>
      <c r="PQL41" s="260"/>
      <c r="PQM41" s="260"/>
      <c r="PQN41" s="260"/>
      <c r="PQO41" s="260"/>
      <c r="PQP41" s="260"/>
      <c r="PQQ41" s="260"/>
      <c r="PQR41" s="260"/>
      <c r="PQS41" s="260"/>
      <c r="PQT41" s="260"/>
      <c r="PQU41" s="260"/>
      <c r="PQV41" s="260"/>
      <c r="PQW41" s="260"/>
      <c r="PQX41" s="260"/>
      <c r="PQY41" s="260"/>
      <c r="PQZ41" s="260"/>
      <c r="PRA41" s="260"/>
      <c r="PRB41" s="260"/>
      <c r="PRC41" s="260"/>
      <c r="PRD41" s="260"/>
      <c r="PRE41" s="260"/>
      <c r="PRF41" s="260"/>
      <c r="PRG41" s="260"/>
      <c r="PRH41" s="260"/>
      <c r="PRI41" s="260"/>
      <c r="PRJ41" s="260"/>
      <c r="PRK41" s="260"/>
      <c r="PRL41" s="260"/>
      <c r="PRM41" s="260"/>
      <c r="PRN41" s="260"/>
      <c r="PRO41" s="260"/>
      <c r="PRP41" s="260"/>
      <c r="PRQ41" s="260"/>
      <c r="PRR41" s="260"/>
      <c r="PRS41" s="260"/>
      <c r="PRT41" s="260"/>
      <c r="PRU41" s="260"/>
      <c r="PRV41" s="260"/>
      <c r="PRW41" s="260"/>
      <c r="PRX41" s="260"/>
      <c r="PRY41" s="260"/>
      <c r="PRZ41" s="260"/>
      <c r="PSA41" s="260"/>
      <c r="PSB41" s="260"/>
      <c r="PSC41" s="260"/>
      <c r="PSD41" s="260"/>
      <c r="PSE41" s="260"/>
      <c r="PSF41" s="260"/>
      <c r="PSG41" s="260"/>
      <c r="PSH41" s="260"/>
      <c r="PSI41" s="260"/>
      <c r="PSJ41" s="260"/>
      <c r="PSK41" s="260"/>
      <c r="PSL41" s="260"/>
      <c r="PSM41" s="260"/>
      <c r="PSN41" s="260"/>
      <c r="PSO41" s="260"/>
      <c r="PSP41" s="260"/>
      <c r="PSQ41" s="260"/>
      <c r="PSR41" s="260"/>
      <c r="PSS41" s="260"/>
      <c r="PST41" s="260"/>
      <c r="PSU41" s="260"/>
      <c r="PSV41" s="260"/>
      <c r="PSW41" s="260"/>
      <c r="PSX41" s="260"/>
      <c r="PSY41" s="260"/>
      <c r="PSZ41" s="260"/>
      <c r="PTA41" s="260"/>
      <c r="PTB41" s="260"/>
      <c r="PTC41" s="260"/>
      <c r="PTD41" s="260"/>
      <c r="PTE41" s="260"/>
      <c r="PTF41" s="260"/>
      <c r="PTG41" s="260"/>
      <c r="PTH41" s="260"/>
      <c r="PTI41" s="260"/>
      <c r="PTJ41" s="260"/>
      <c r="PTK41" s="260"/>
      <c r="PTL41" s="260"/>
      <c r="PTM41" s="260"/>
      <c r="PTN41" s="260"/>
      <c r="PTO41" s="260"/>
      <c r="PTP41" s="260"/>
      <c r="PTQ41" s="260"/>
      <c r="PTR41" s="260"/>
      <c r="PTS41" s="260"/>
      <c r="PTT41" s="260"/>
      <c r="PTU41" s="260"/>
      <c r="PTV41" s="260"/>
      <c r="PTW41" s="260"/>
      <c r="PTX41" s="260"/>
      <c r="PTY41" s="260"/>
      <c r="PTZ41" s="260"/>
      <c r="PUA41" s="260"/>
      <c r="PUB41" s="260"/>
      <c r="PUC41" s="260"/>
      <c r="PUD41" s="260"/>
      <c r="PUE41" s="260"/>
      <c r="PUF41" s="260"/>
      <c r="PUG41" s="260"/>
      <c r="PUH41" s="260"/>
      <c r="PUI41" s="260"/>
      <c r="PUJ41" s="260"/>
      <c r="PUK41" s="260"/>
      <c r="PUL41" s="260"/>
      <c r="PUM41" s="260"/>
      <c r="PUN41" s="260"/>
      <c r="PUO41" s="260"/>
      <c r="PUP41" s="260"/>
      <c r="PUQ41" s="260"/>
      <c r="PUR41" s="260"/>
      <c r="PUS41" s="260"/>
      <c r="PUT41" s="260"/>
      <c r="PUU41" s="260"/>
      <c r="PUV41" s="260"/>
      <c r="PUW41" s="260"/>
      <c r="PUX41" s="260"/>
      <c r="PUY41" s="260"/>
      <c r="PUZ41" s="260"/>
      <c r="PVA41" s="260"/>
      <c r="PVB41" s="260"/>
      <c r="PVC41" s="260"/>
      <c r="PVD41" s="260"/>
      <c r="PVE41" s="260"/>
      <c r="PVF41" s="260"/>
      <c r="PVG41" s="260"/>
      <c r="PVH41" s="260"/>
      <c r="PVI41" s="260"/>
      <c r="PVJ41" s="260"/>
      <c r="PVK41" s="260"/>
      <c r="PVL41" s="260"/>
      <c r="PVM41" s="260"/>
      <c r="PVN41" s="260"/>
      <c r="PVO41" s="260"/>
      <c r="PVP41" s="260"/>
      <c r="PVQ41" s="260"/>
      <c r="PVR41" s="260"/>
      <c r="PVS41" s="260"/>
      <c r="PVT41" s="260"/>
      <c r="PVU41" s="260"/>
      <c r="PVV41" s="260"/>
      <c r="PVW41" s="260"/>
      <c r="PVX41" s="260"/>
      <c r="PVY41" s="260"/>
      <c r="PVZ41" s="260"/>
      <c r="PWA41" s="260"/>
      <c r="PWB41" s="260"/>
      <c r="PWC41" s="260"/>
      <c r="PWD41" s="260"/>
      <c r="PWE41" s="260"/>
      <c r="PWF41" s="260"/>
      <c r="PWG41" s="260"/>
      <c r="PWH41" s="260"/>
      <c r="PWI41" s="260"/>
      <c r="PWJ41" s="260"/>
      <c r="PWK41" s="260"/>
      <c r="PWL41" s="260"/>
      <c r="PWM41" s="260"/>
      <c r="PWN41" s="260"/>
      <c r="PWO41" s="260"/>
      <c r="PWP41" s="260"/>
      <c r="PWQ41" s="260"/>
      <c r="PWR41" s="260"/>
      <c r="PWS41" s="260"/>
      <c r="PWT41" s="260"/>
      <c r="PWU41" s="260"/>
      <c r="PWV41" s="260"/>
      <c r="PWW41" s="260"/>
      <c r="PWX41" s="260"/>
      <c r="PWY41" s="260"/>
      <c r="PWZ41" s="260"/>
      <c r="PXA41" s="260"/>
      <c r="PXB41" s="260"/>
      <c r="PXC41" s="260"/>
      <c r="PXD41" s="260"/>
      <c r="PXE41" s="260"/>
      <c r="PXF41" s="260"/>
      <c r="PXG41" s="260"/>
      <c r="PXH41" s="260"/>
      <c r="PXI41" s="260"/>
      <c r="PXJ41" s="260"/>
      <c r="PXK41" s="260"/>
      <c r="PXL41" s="260"/>
      <c r="PXM41" s="260"/>
      <c r="PXN41" s="260"/>
      <c r="PXO41" s="260"/>
      <c r="PXP41" s="260"/>
      <c r="PXQ41" s="260"/>
      <c r="PXR41" s="260"/>
      <c r="PXS41" s="260"/>
      <c r="PXT41" s="260"/>
      <c r="PXU41" s="260"/>
      <c r="PXV41" s="260"/>
      <c r="PXW41" s="260"/>
      <c r="PXX41" s="260"/>
      <c r="PXY41" s="260"/>
      <c r="PXZ41" s="260"/>
      <c r="PYA41" s="260"/>
      <c r="PYB41" s="260"/>
      <c r="PYC41" s="260"/>
      <c r="PYD41" s="260"/>
      <c r="PYE41" s="260"/>
      <c r="PYF41" s="260"/>
      <c r="PYG41" s="260"/>
      <c r="PYH41" s="260"/>
      <c r="PYI41" s="260"/>
      <c r="PYJ41" s="260"/>
      <c r="PYK41" s="260"/>
      <c r="PYL41" s="260"/>
      <c r="PYM41" s="260"/>
      <c r="PYN41" s="260"/>
      <c r="PYO41" s="260"/>
      <c r="PYP41" s="260"/>
      <c r="PYQ41" s="260"/>
      <c r="PYR41" s="260"/>
      <c r="PYS41" s="260"/>
      <c r="PYT41" s="260"/>
      <c r="PYU41" s="260"/>
      <c r="PYV41" s="260"/>
      <c r="PYW41" s="260"/>
      <c r="PYX41" s="260"/>
      <c r="PYY41" s="260"/>
      <c r="PYZ41" s="260"/>
      <c r="PZA41" s="260"/>
      <c r="PZB41" s="260"/>
      <c r="PZC41" s="260"/>
      <c r="PZD41" s="260"/>
      <c r="PZE41" s="260"/>
      <c r="PZF41" s="260"/>
      <c r="PZG41" s="260"/>
      <c r="PZH41" s="260"/>
      <c r="PZI41" s="260"/>
      <c r="PZJ41" s="260"/>
      <c r="PZK41" s="260"/>
      <c r="PZL41" s="260"/>
      <c r="PZM41" s="260"/>
      <c r="PZN41" s="260"/>
      <c r="PZO41" s="260"/>
      <c r="PZP41" s="260"/>
      <c r="PZQ41" s="260"/>
      <c r="PZR41" s="260"/>
      <c r="PZS41" s="260"/>
      <c r="PZT41" s="260"/>
      <c r="PZU41" s="260"/>
      <c r="PZV41" s="260"/>
      <c r="PZW41" s="260"/>
      <c r="PZX41" s="260"/>
      <c r="PZY41" s="260"/>
      <c r="PZZ41" s="260"/>
      <c r="QAA41" s="260"/>
      <c r="QAB41" s="260"/>
      <c r="QAC41" s="260"/>
      <c r="QAD41" s="260"/>
      <c r="QAE41" s="260"/>
      <c r="QAF41" s="260"/>
      <c r="QAG41" s="260"/>
      <c r="QAH41" s="260"/>
      <c r="QAI41" s="260"/>
      <c r="QAJ41" s="260"/>
      <c r="QAK41" s="260"/>
      <c r="QAL41" s="260"/>
      <c r="QAM41" s="260"/>
      <c r="QAN41" s="260"/>
      <c r="QAO41" s="260"/>
      <c r="QAP41" s="260"/>
      <c r="QAQ41" s="260"/>
      <c r="QAR41" s="260"/>
      <c r="QAS41" s="260"/>
      <c r="QAT41" s="260"/>
      <c r="QAU41" s="260"/>
      <c r="QAV41" s="260"/>
      <c r="QAW41" s="260"/>
      <c r="QAX41" s="260"/>
      <c r="QAY41" s="260"/>
      <c r="QAZ41" s="260"/>
      <c r="QBA41" s="260"/>
      <c r="QBB41" s="260"/>
      <c r="QBC41" s="260"/>
      <c r="QBD41" s="260"/>
      <c r="QBE41" s="260"/>
      <c r="QBF41" s="260"/>
      <c r="QBG41" s="260"/>
      <c r="QBH41" s="260"/>
      <c r="QBI41" s="260"/>
      <c r="QBJ41" s="260"/>
      <c r="QBK41" s="260"/>
      <c r="QBL41" s="260"/>
      <c r="QBM41" s="260"/>
      <c r="QBN41" s="260"/>
      <c r="QBO41" s="260"/>
      <c r="QBP41" s="260"/>
      <c r="QBQ41" s="260"/>
      <c r="QBR41" s="260"/>
      <c r="QBS41" s="260"/>
      <c r="QBT41" s="260"/>
      <c r="QBU41" s="260"/>
      <c r="QBV41" s="260"/>
      <c r="QBW41" s="260"/>
      <c r="QBX41" s="260"/>
      <c r="QBY41" s="260"/>
      <c r="QBZ41" s="260"/>
      <c r="QCA41" s="260"/>
      <c r="QCB41" s="260"/>
      <c r="QCC41" s="260"/>
      <c r="QCD41" s="260"/>
      <c r="QCE41" s="260"/>
      <c r="QCF41" s="260"/>
      <c r="QCG41" s="260"/>
      <c r="QCH41" s="260"/>
      <c r="QCI41" s="260"/>
      <c r="QCJ41" s="260"/>
      <c r="QCK41" s="260"/>
      <c r="QCL41" s="260"/>
      <c r="QCM41" s="260"/>
      <c r="QCN41" s="260"/>
      <c r="QCO41" s="260"/>
      <c r="QCP41" s="260"/>
      <c r="QCQ41" s="260"/>
      <c r="QCR41" s="260"/>
      <c r="QCS41" s="260"/>
      <c r="QCT41" s="260"/>
      <c r="QCU41" s="260"/>
      <c r="QCV41" s="260"/>
      <c r="QCW41" s="260"/>
      <c r="QCX41" s="260"/>
      <c r="QCY41" s="260"/>
      <c r="QCZ41" s="260"/>
      <c r="QDA41" s="260"/>
      <c r="QDB41" s="260"/>
      <c r="QDC41" s="260"/>
      <c r="QDD41" s="260"/>
      <c r="QDE41" s="260"/>
      <c r="QDF41" s="260"/>
      <c r="QDG41" s="260"/>
      <c r="QDH41" s="260"/>
      <c r="QDI41" s="260"/>
      <c r="QDJ41" s="260"/>
      <c r="QDK41" s="260"/>
      <c r="QDL41" s="260"/>
      <c r="QDM41" s="260"/>
      <c r="QDN41" s="260"/>
      <c r="QDO41" s="260"/>
      <c r="QDP41" s="260"/>
      <c r="QDQ41" s="260"/>
      <c r="QDR41" s="260"/>
      <c r="QDS41" s="260"/>
      <c r="QDT41" s="260"/>
      <c r="QDU41" s="260"/>
      <c r="QDV41" s="260"/>
      <c r="QDW41" s="260"/>
      <c r="QDX41" s="260"/>
      <c r="QDY41" s="260"/>
      <c r="QDZ41" s="260"/>
      <c r="QEA41" s="260"/>
      <c r="QEB41" s="260"/>
      <c r="QEC41" s="260"/>
      <c r="QED41" s="260"/>
      <c r="QEE41" s="260"/>
      <c r="QEF41" s="260"/>
      <c r="QEG41" s="260"/>
      <c r="QEH41" s="260"/>
      <c r="QEI41" s="260"/>
      <c r="QEJ41" s="260"/>
      <c r="QEK41" s="260"/>
      <c r="QEL41" s="260"/>
      <c r="QEM41" s="260"/>
      <c r="QEN41" s="260"/>
      <c r="QEO41" s="260"/>
      <c r="QEP41" s="260"/>
      <c r="QEQ41" s="260"/>
      <c r="QER41" s="260"/>
      <c r="QES41" s="260"/>
      <c r="QET41" s="260"/>
      <c r="QEU41" s="260"/>
      <c r="QEV41" s="260"/>
      <c r="QEW41" s="260"/>
      <c r="QEX41" s="260"/>
      <c r="QEY41" s="260"/>
      <c r="QEZ41" s="260"/>
      <c r="QFA41" s="260"/>
      <c r="QFB41" s="260"/>
      <c r="QFC41" s="260"/>
      <c r="QFD41" s="260"/>
      <c r="QFE41" s="260"/>
      <c r="QFF41" s="260"/>
      <c r="QFG41" s="260"/>
      <c r="QFH41" s="260"/>
      <c r="QFI41" s="260"/>
      <c r="QFJ41" s="260"/>
      <c r="QFK41" s="260"/>
      <c r="QFL41" s="260"/>
      <c r="QFM41" s="260"/>
      <c r="QFN41" s="260"/>
      <c r="QFO41" s="260"/>
      <c r="QFP41" s="260"/>
      <c r="QFQ41" s="260"/>
      <c r="QFR41" s="260"/>
      <c r="QFS41" s="260"/>
      <c r="QFT41" s="260"/>
      <c r="QFU41" s="260"/>
      <c r="QFV41" s="260"/>
      <c r="QFW41" s="260"/>
      <c r="QFX41" s="260"/>
      <c r="QFY41" s="260"/>
      <c r="QFZ41" s="260"/>
      <c r="QGA41" s="260"/>
      <c r="QGB41" s="260"/>
      <c r="QGC41" s="260"/>
      <c r="QGD41" s="260"/>
      <c r="QGE41" s="260"/>
      <c r="QGF41" s="260"/>
      <c r="QGG41" s="260"/>
      <c r="QGH41" s="260"/>
      <c r="QGI41" s="260"/>
      <c r="QGJ41" s="260"/>
      <c r="QGK41" s="260"/>
      <c r="QGL41" s="260"/>
      <c r="QGM41" s="260"/>
      <c r="QGN41" s="260"/>
      <c r="QGO41" s="260"/>
      <c r="QGP41" s="260"/>
      <c r="QGQ41" s="260"/>
      <c r="QGR41" s="260"/>
      <c r="QGS41" s="260"/>
      <c r="QGT41" s="260"/>
      <c r="QGU41" s="260"/>
      <c r="QGV41" s="260"/>
      <c r="QGW41" s="260"/>
      <c r="QGX41" s="260"/>
      <c r="QGY41" s="260"/>
      <c r="QGZ41" s="260"/>
      <c r="QHA41" s="260"/>
      <c r="QHB41" s="260"/>
      <c r="QHC41" s="260"/>
      <c r="QHD41" s="260"/>
      <c r="QHE41" s="260"/>
      <c r="QHF41" s="260"/>
      <c r="QHG41" s="260"/>
      <c r="QHH41" s="260"/>
      <c r="QHI41" s="260"/>
      <c r="QHJ41" s="260"/>
      <c r="QHK41" s="260"/>
      <c r="QHL41" s="260"/>
      <c r="QHM41" s="260"/>
      <c r="QHN41" s="260"/>
      <c r="QHO41" s="260"/>
      <c r="QHP41" s="260"/>
      <c r="QHQ41" s="260"/>
      <c r="QHR41" s="260"/>
      <c r="QHS41" s="260"/>
      <c r="QHT41" s="260"/>
      <c r="QHU41" s="260"/>
      <c r="QHV41" s="260"/>
      <c r="QHW41" s="260"/>
      <c r="QHX41" s="260"/>
      <c r="QHY41" s="260"/>
      <c r="QHZ41" s="260"/>
      <c r="QIA41" s="260"/>
      <c r="QIB41" s="260"/>
      <c r="QIC41" s="260"/>
      <c r="QID41" s="260"/>
      <c r="QIE41" s="260"/>
      <c r="QIF41" s="260"/>
      <c r="QIG41" s="260"/>
      <c r="QIH41" s="260"/>
      <c r="QII41" s="260"/>
      <c r="QIJ41" s="260"/>
      <c r="QIK41" s="260"/>
      <c r="QIL41" s="260"/>
      <c r="QIM41" s="260"/>
      <c r="QIN41" s="260"/>
      <c r="QIO41" s="260"/>
      <c r="QIP41" s="260"/>
      <c r="QIQ41" s="260"/>
      <c r="QIR41" s="260"/>
      <c r="QIS41" s="260"/>
      <c r="QIT41" s="260"/>
      <c r="QIU41" s="260"/>
      <c r="QIV41" s="260"/>
      <c r="QIW41" s="260"/>
      <c r="QIX41" s="260"/>
      <c r="QIY41" s="260"/>
      <c r="QIZ41" s="260"/>
      <c r="QJA41" s="260"/>
      <c r="QJB41" s="260"/>
      <c r="QJC41" s="260"/>
      <c r="QJD41" s="260"/>
      <c r="QJE41" s="260"/>
      <c r="QJF41" s="260"/>
      <c r="QJG41" s="260"/>
      <c r="QJH41" s="260"/>
      <c r="QJI41" s="260"/>
      <c r="QJJ41" s="260"/>
      <c r="QJK41" s="260"/>
      <c r="QJL41" s="260"/>
      <c r="QJM41" s="260"/>
      <c r="QJN41" s="260"/>
      <c r="QJO41" s="260"/>
      <c r="QJP41" s="260"/>
      <c r="QJQ41" s="260"/>
      <c r="QJR41" s="260"/>
      <c r="QJS41" s="260"/>
      <c r="QJT41" s="260"/>
      <c r="QJU41" s="260"/>
      <c r="QJV41" s="260"/>
      <c r="QJW41" s="260"/>
      <c r="QJX41" s="260"/>
      <c r="QJY41" s="260"/>
      <c r="QJZ41" s="260"/>
      <c r="QKA41" s="260"/>
      <c r="QKB41" s="260"/>
      <c r="QKC41" s="260"/>
      <c r="QKD41" s="260"/>
      <c r="QKE41" s="260"/>
      <c r="QKF41" s="260"/>
      <c r="QKG41" s="260"/>
      <c r="QKH41" s="260"/>
      <c r="QKI41" s="260"/>
      <c r="QKJ41" s="260"/>
      <c r="QKK41" s="260"/>
      <c r="QKL41" s="260"/>
      <c r="QKM41" s="260"/>
      <c r="QKN41" s="260"/>
      <c r="QKO41" s="260"/>
      <c r="QKP41" s="260"/>
      <c r="QKQ41" s="260"/>
      <c r="QKR41" s="260"/>
      <c r="QKS41" s="260"/>
      <c r="QKT41" s="260"/>
      <c r="QKU41" s="260"/>
      <c r="QKV41" s="260"/>
      <c r="QKW41" s="260"/>
      <c r="QKX41" s="260"/>
      <c r="QKY41" s="260"/>
      <c r="QKZ41" s="260"/>
      <c r="QLA41" s="260"/>
      <c r="QLB41" s="260"/>
      <c r="QLC41" s="260"/>
      <c r="QLD41" s="260"/>
      <c r="QLE41" s="260"/>
      <c r="QLF41" s="260"/>
      <c r="QLG41" s="260"/>
      <c r="QLH41" s="260"/>
      <c r="QLI41" s="260"/>
      <c r="QLJ41" s="260"/>
      <c r="QLK41" s="260"/>
      <c r="QLL41" s="260"/>
      <c r="QLM41" s="260"/>
      <c r="QLN41" s="260"/>
      <c r="QLO41" s="260"/>
      <c r="QLP41" s="260"/>
      <c r="QLQ41" s="260"/>
      <c r="QLR41" s="260"/>
      <c r="QLS41" s="260"/>
      <c r="QLT41" s="260"/>
      <c r="QLU41" s="260"/>
      <c r="QLV41" s="260"/>
      <c r="QLW41" s="260"/>
      <c r="QLX41" s="260"/>
      <c r="QLY41" s="260"/>
      <c r="QLZ41" s="260"/>
      <c r="QMA41" s="260"/>
      <c r="QMB41" s="260"/>
      <c r="QMC41" s="260"/>
      <c r="QMD41" s="260"/>
      <c r="QME41" s="260"/>
      <c r="QMF41" s="260"/>
      <c r="QMG41" s="260"/>
      <c r="QMH41" s="260"/>
      <c r="QMI41" s="260"/>
      <c r="QMJ41" s="260"/>
      <c r="QMK41" s="260"/>
      <c r="QML41" s="260"/>
      <c r="QMM41" s="260"/>
      <c r="QMN41" s="260"/>
      <c r="QMO41" s="260"/>
      <c r="QMP41" s="260"/>
      <c r="QMQ41" s="260"/>
      <c r="QMR41" s="260"/>
      <c r="QMS41" s="260"/>
      <c r="QMT41" s="260"/>
      <c r="QMU41" s="260"/>
      <c r="QMV41" s="260"/>
      <c r="QMW41" s="260"/>
      <c r="QMX41" s="260"/>
      <c r="QMY41" s="260"/>
      <c r="QMZ41" s="260"/>
      <c r="QNA41" s="260"/>
      <c r="QNB41" s="260"/>
      <c r="QNC41" s="260"/>
      <c r="QND41" s="260"/>
      <c r="QNE41" s="260"/>
      <c r="QNF41" s="260"/>
      <c r="QNG41" s="260"/>
      <c r="QNH41" s="260"/>
      <c r="QNI41" s="260"/>
      <c r="QNJ41" s="260"/>
      <c r="QNK41" s="260"/>
      <c r="QNL41" s="260"/>
      <c r="QNM41" s="260"/>
      <c r="QNN41" s="260"/>
      <c r="QNO41" s="260"/>
      <c r="QNP41" s="260"/>
      <c r="QNQ41" s="260"/>
      <c r="QNR41" s="260"/>
      <c r="QNS41" s="260"/>
      <c r="QNT41" s="260"/>
      <c r="QNU41" s="260"/>
      <c r="QNV41" s="260"/>
      <c r="QNW41" s="260"/>
      <c r="QNX41" s="260"/>
      <c r="QNY41" s="260"/>
      <c r="QNZ41" s="260"/>
      <c r="QOA41" s="260"/>
      <c r="QOB41" s="260"/>
      <c r="QOC41" s="260"/>
      <c r="QOD41" s="260"/>
      <c r="QOE41" s="260"/>
      <c r="QOF41" s="260"/>
      <c r="QOG41" s="260"/>
      <c r="QOH41" s="260"/>
      <c r="QOI41" s="260"/>
      <c r="QOJ41" s="260"/>
      <c r="QOK41" s="260"/>
      <c r="QOL41" s="260"/>
      <c r="QOM41" s="260"/>
      <c r="QON41" s="260"/>
      <c r="QOO41" s="260"/>
      <c r="QOP41" s="260"/>
      <c r="QOQ41" s="260"/>
      <c r="QOR41" s="260"/>
      <c r="QOS41" s="260"/>
      <c r="QOT41" s="260"/>
      <c r="QOU41" s="260"/>
      <c r="QOV41" s="260"/>
      <c r="QOW41" s="260"/>
      <c r="QOX41" s="260"/>
      <c r="QOY41" s="260"/>
      <c r="QOZ41" s="260"/>
      <c r="QPA41" s="260"/>
      <c r="QPB41" s="260"/>
      <c r="QPC41" s="260"/>
      <c r="QPD41" s="260"/>
      <c r="QPE41" s="260"/>
      <c r="QPF41" s="260"/>
      <c r="QPG41" s="260"/>
      <c r="QPH41" s="260"/>
      <c r="QPI41" s="260"/>
      <c r="QPJ41" s="260"/>
      <c r="QPK41" s="260"/>
      <c r="QPL41" s="260"/>
      <c r="QPM41" s="260"/>
      <c r="QPN41" s="260"/>
      <c r="QPO41" s="260"/>
      <c r="QPP41" s="260"/>
      <c r="QPQ41" s="260"/>
      <c r="QPR41" s="260"/>
      <c r="QPS41" s="260"/>
      <c r="QPT41" s="260"/>
      <c r="QPU41" s="260"/>
      <c r="QPV41" s="260"/>
      <c r="QPW41" s="260"/>
      <c r="QPX41" s="260"/>
      <c r="QPY41" s="260"/>
      <c r="QPZ41" s="260"/>
      <c r="QQA41" s="260"/>
      <c r="QQB41" s="260"/>
      <c r="QQC41" s="260"/>
      <c r="QQD41" s="260"/>
      <c r="QQE41" s="260"/>
      <c r="QQF41" s="260"/>
      <c r="QQG41" s="260"/>
      <c r="QQH41" s="260"/>
      <c r="QQI41" s="260"/>
      <c r="QQJ41" s="260"/>
      <c r="QQK41" s="260"/>
      <c r="QQL41" s="260"/>
      <c r="QQM41" s="260"/>
      <c r="QQN41" s="260"/>
      <c r="QQO41" s="260"/>
      <c r="QQP41" s="260"/>
      <c r="QQQ41" s="260"/>
      <c r="QQR41" s="260"/>
      <c r="QQS41" s="260"/>
      <c r="QQT41" s="260"/>
      <c r="QQU41" s="260"/>
      <c r="QQV41" s="260"/>
      <c r="QQW41" s="260"/>
      <c r="QQX41" s="260"/>
      <c r="QQY41" s="260"/>
      <c r="QQZ41" s="260"/>
      <c r="QRA41" s="260"/>
      <c r="QRB41" s="260"/>
      <c r="QRC41" s="260"/>
      <c r="QRD41" s="260"/>
      <c r="QRE41" s="260"/>
      <c r="QRF41" s="260"/>
      <c r="QRG41" s="260"/>
      <c r="QRH41" s="260"/>
      <c r="QRI41" s="260"/>
      <c r="QRJ41" s="260"/>
      <c r="QRK41" s="260"/>
      <c r="QRL41" s="260"/>
      <c r="QRM41" s="260"/>
      <c r="QRN41" s="260"/>
      <c r="QRO41" s="260"/>
      <c r="QRP41" s="260"/>
      <c r="QRQ41" s="260"/>
      <c r="QRR41" s="260"/>
      <c r="QRS41" s="260"/>
      <c r="QRT41" s="260"/>
      <c r="QRU41" s="260"/>
      <c r="QRV41" s="260"/>
      <c r="QRW41" s="260"/>
      <c r="QRX41" s="260"/>
      <c r="QRY41" s="260"/>
      <c r="QRZ41" s="260"/>
      <c r="QSA41" s="260"/>
      <c r="QSB41" s="260"/>
      <c r="QSC41" s="260"/>
      <c r="QSD41" s="260"/>
      <c r="QSE41" s="260"/>
      <c r="QSF41" s="260"/>
      <c r="QSG41" s="260"/>
      <c r="QSH41" s="260"/>
      <c r="QSI41" s="260"/>
      <c r="QSJ41" s="260"/>
      <c r="QSK41" s="260"/>
      <c r="QSL41" s="260"/>
      <c r="QSM41" s="260"/>
      <c r="QSN41" s="260"/>
      <c r="QSO41" s="260"/>
      <c r="QSP41" s="260"/>
      <c r="QSQ41" s="260"/>
      <c r="QSR41" s="260"/>
      <c r="QSS41" s="260"/>
      <c r="QST41" s="260"/>
      <c r="QSU41" s="260"/>
      <c r="QSV41" s="260"/>
      <c r="QSW41" s="260"/>
      <c r="QSX41" s="260"/>
      <c r="QSY41" s="260"/>
      <c r="QSZ41" s="260"/>
      <c r="QTA41" s="260"/>
      <c r="QTB41" s="260"/>
      <c r="QTC41" s="260"/>
      <c r="QTD41" s="260"/>
      <c r="QTE41" s="260"/>
      <c r="QTF41" s="260"/>
      <c r="QTG41" s="260"/>
      <c r="QTH41" s="260"/>
      <c r="QTI41" s="260"/>
      <c r="QTJ41" s="260"/>
      <c r="QTK41" s="260"/>
      <c r="QTL41" s="260"/>
      <c r="QTM41" s="260"/>
      <c r="QTN41" s="260"/>
      <c r="QTO41" s="260"/>
      <c r="QTP41" s="260"/>
      <c r="QTQ41" s="260"/>
      <c r="QTR41" s="260"/>
      <c r="QTS41" s="260"/>
      <c r="QTT41" s="260"/>
      <c r="QTU41" s="260"/>
      <c r="QTV41" s="260"/>
      <c r="QTW41" s="260"/>
      <c r="QTX41" s="260"/>
      <c r="QTY41" s="260"/>
      <c r="QTZ41" s="260"/>
      <c r="QUA41" s="260"/>
      <c r="QUB41" s="260"/>
      <c r="QUC41" s="260"/>
      <c r="QUD41" s="260"/>
      <c r="QUE41" s="260"/>
      <c r="QUF41" s="260"/>
      <c r="QUG41" s="260"/>
      <c r="QUH41" s="260"/>
      <c r="QUI41" s="260"/>
      <c r="QUJ41" s="260"/>
      <c r="QUK41" s="260"/>
      <c r="QUL41" s="260"/>
      <c r="QUM41" s="260"/>
      <c r="QUN41" s="260"/>
      <c r="QUO41" s="260"/>
      <c r="QUP41" s="260"/>
      <c r="QUQ41" s="260"/>
      <c r="QUR41" s="260"/>
      <c r="QUS41" s="260"/>
      <c r="QUT41" s="260"/>
      <c r="QUU41" s="260"/>
      <c r="QUV41" s="260"/>
      <c r="QUW41" s="260"/>
      <c r="QUX41" s="260"/>
      <c r="QUY41" s="260"/>
      <c r="QUZ41" s="260"/>
      <c r="QVA41" s="260"/>
      <c r="QVB41" s="260"/>
      <c r="QVC41" s="260"/>
      <c r="QVD41" s="260"/>
      <c r="QVE41" s="260"/>
      <c r="QVF41" s="260"/>
      <c r="QVG41" s="260"/>
      <c r="QVH41" s="260"/>
      <c r="QVI41" s="260"/>
      <c r="QVJ41" s="260"/>
      <c r="QVK41" s="260"/>
      <c r="QVL41" s="260"/>
      <c r="QVM41" s="260"/>
      <c r="QVN41" s="260"/>
      <c r="QVO41" s="260"/>
      <c r="QVP41" s="260"/>
      <c r="QVQ41" s="260"/>
      <c r="QVR41" s="260"/>
      <c r="QVS41" s="260"/>
      <c r="QVT41" s="260"/>
      <c r="QVU41" s="260"/>
      <c r="QVV41" s="260"/>
      <c r="QVW41" s="260"/>
      <c r="QVX41" s="260"/>
      <c r="QVY41" s="260"/>
      <c r="QVZ41" s="260"/>
      <c r="QWA41" s="260"/>
      <c r="QWB41" s="260"/>
      <c r="QWC41" s="260"/>
      <c r="QWD41" s="260"/>
      <c r="QWE41" s="260"/>
      <c r="QWF41" s="260"/>
      <c r="QWG41" s="260"/>
      <c r="QWH41" s="260"/>
      <c r="QWI41" s="260"/>
      <c r="QWJ41" s="260"/>
      <c r="QWK41" s="260"/>
      <c r="QWL41" s="260"/>
      <c r="QWM41" s="260"/>
      <c r="QWN41" s="260"/>
      <c r="QWO41" s="260"/>
      <c r="QWP41" s="260"/>
      <c r="QWQ41" s="260"/>
      <c r="QWR41" s="260"/>
      <c r="QWS41" s="260"/>
      <c r="QWT41" s="260"/>
      <c r="QWU41" s="260"/>
      <c r="QWV41" s="260"/>
      <c r="QWW41" s="260"/>
      <c r="QWX41" s="260"/>
      <c r="QWY41" s="260"/>
      <c r="QWZ41" s="260"/>
      <c r="QXA41" s="260"/>
      <c r="QXB41" s="260"/>
      <c r="QXC41" s="260"/>
      <c r="QXD41" s="260"/>
      <c r="QXE41" s="260"/>
      <c r="QXF41" s="260"/>
      <c r="QXG41" s="260"/>
      <c r="QXH41" s="260"/>
      <c r="QXI41" s="260"/>
      <c r="QXJ41" s="260"/>
      <c r="QXK41" s="260"/>
      <c r="QXL41" s="260"/>
      <c r="QXM41" s="260"/>
      <c r="QXN41" s="260"/>
      <c r="QXO41" s="260"/>
      <c r="QXP41" s="260"/>
      <c r="QXQ41" s="260"/>
      <c r="QXR41" s="260"/>
      <c r="QXS41" s="260"/>
      <c r="QXT41" s="260"/>
      <c r="QXU41" s="260"/>
      <c r="QXV41" s="260"/>
      <c r="QXW41" s="260"/>
      <c r="QXX41" s="260"/>
      <c r="QXY41" s="260"/>
      <c r="QXZ41" s="260"/>
      <c r="QYA41" s="260"/>
      <c r="QYB41" s="260"/>
      <c r="QYC41" s="260"/>
      <c r="QYD41" s="260"/>
      <c r="QYE41" s="260"/>
      <c r="QYF41" s="260"/>
      <c r="QYG41" s="260"/>
      <c r="QYH41" s="260"/>
      <c r="QYI41" s="260"/>
      <c r="QYJ41" s="260"/>
      <c r="QYK41" s="260"/>
      <c r="QYL41" s="260"/>
      <c r="QYM41" s="260"/>
      <c r="QYN41" s="260"/>
      <c r="QYO41" s="260"/>
      <c r="QYP41" s="260"/>
      <c r="QYQ41" s="260"/>
      <c r="QYR41" s="260"/>
      <c r="QYS41" s="260"/>
      <c r="QYT41" s="260"/>
      <c r="QYU41" s="260"/>
      <c r="QYV41" s="260"/>
      <c r="QYW41" s="260"/>
      <c r="QYX41" s="260"/>
      <c r="QYY41" s="260"/>
      <c r="QYZ41" s="260"/>
      <c r="QZA41" s="260"/>
      <c r="QZB41" s="260"/>
      <c r="QZC41" s="260"/>
      <c r="QZD41" s="260"/>
      <c r="QZE41" s="260"/>
      <c r="QZF41" s="260"/>
      <c r="QZG41" s="260"/>
      <c r="QZH41" s="260"/>
      <c r="QZI41" s="260"/>
      <c r="QZJ41" s="260"/>
      <c r="QZK41" s="260"/>
      <c r="QZL41" s="260"/>
      <c r="QZM41" s="260"/>
      <c r="QZN41" s="260"/>
      <c r="QZO41" s="260"/>
      <c r="QZP41" s="260"/>
      <c r="QZQ41" s="260"/>
      <c r="QZR41" s="260"/>
      <c r="QZS41" s="260"/>
      <c r="QZT41" s="260"/>
      <c r="QZU41" s="260"/>
      <c r="QZV41" s="260"/>
      <c r="QZW41" s="260"/>
      <c r="QZX41" s="260"/>
      <c r="QZY41" s="260"/>
      <c r="QZZ41" s="260"/>
      <c r="RAA41" s="260"/>
      <c r="RAB41" s="260"/>
      <c r="RAC41" s="260"/>
      <c r="RAD41" s="260"/>
      <c r="RAE41" s="260"/>
      <c r="RAF41" s="260"/>
      <c r="RAG41" s="260"/>
      <c r="RAH41" s="260"/>
      <c r="RAI41" s="260"/>
      <c r="RAJ41" s="260"/>
      <c r="RAK41" s="260"/>
      <c r="RAL41" s="260"/>
      <c r="RAM41" s="260"/>
      <c r="RAN41" s="260"/>
      <c r="RAO41" s="260"/>
      <c r="RAP41" s="260"/>
      <c r="RAQ41" s="260"/>
      <c r="RAR41" s="260"/>
      <c r="RAS41" s="260"/>
      <c r="RAT41" s="260"/>
      <c r="RAU41" s="260"/>
      <c r="RAV41" s="260"/>
      <c r="RAW41" s="260"/>
      <c r="RAX41" s="260"/>
      <c r="RAY41" s="260"/>
      <c r="RAZ41" s="260"/>
      <c r="RBA41" s="260"/>
      <c r="RBB41" s="260"/>
      <c r="RBC41" s="260"/>
      <c r="RBD41" s="260"/>
      <c r="RBE41" s="260"/>
      <c r="RBF41" s="260"/>
      <c r="RBG41" s="260"/>
      <c r="RBH41" s="260"/>
      <c r="RBI41" s="260"/>
      <c r="RBJ41" s="260"/>
      <c r="RBK41" s="260"/>
      <c r="RBL41" s="260"/>
      <c r="RBM41" s="260"/>
      <c r="RBN41" s="260"/>
      <c r="RBO41" s="260"/>
      <c r="RBP41" s="260"/>
      <c r="RBQ41" s="260"/>
      <c r="RBR41" s="260"/>
      <c r="RBS41" s="260"/>
      <c r="RBT41" s="260"/>
      <c r="RBU41" s="260"/>
      <c r="RBV41" s="260"/>
      <c r="RBW41" s="260"/>
      <c r="RBX41" s="260"/>
      <c r="RBY41" s="260"/>
      <c r="RBZ41" s="260"/>
      <c r="RCA41" s="260"/>
      <c r="RCB41" s="260"/>
      <c r="RCC41" s="260"/>
      <c r="RCD41" s="260"/>
      <c r="RCE41" s="260"/>
      <c r="RCF41" s="260"/>
      <c r="RCG41" s="260"/>
      <c r="RCH41" s="260"/>
      <c r="RCI41" s="260"/>
      <c r="RCJ41" s="260"/>
      <c r="RCK41" s="260"/>
      <c r="RCL41" s="260"/>
      <c r="RCM41" s="260"/>
      <c r="RCN41" s="260"/>
      <c r="RCO41" s="260"/>
      <c r="RCP41" s="260"/>
      <c r="RCQ41" s="260"/>
      <c r="RCR41" s="260"/>
      <c r="RCS41" s="260"/>
      <c r="RCT41" s="260"/>
      <c r="RCU41" s="260"/>
      <c r="RCV41" s="260"/>
      <c r="RCW41" s="260"/>
      <c r="RCX41" s="260"/>
      <c r="RCY41" s="260"/>
      <c r="RCZ41" s="260"/>
      <c r="RDA41" s="260"/>
      <c r="RDB41" s="260"/>
      <c r="RDC41" s="260"/>
      <c r="RDD41" s="260"/>
      <c r="RDE41" s="260"/>
      <c r="RDF41" s="260"/>
      <c r="RDG41" s="260"/>
      <c r="RDH41" s="260"/>
      <c r="RDI41" s="260"/>
      <c r="RDJ41" s="260"/>
      <c r="RDK41" s="260"/>
      <c r="RDL41" s="260"/>
      <c r="RDM41" s="260"/>
      <c r="RDN41" s="260"/>
      <c r="RDO41" s="260"/>
      <c r="RDP41" s="260"/>
      <c r="RDQ41" s="260"/>
      <c r="RDR41" s="260"/>
      <c r="RDS41" s="260"/>
      <c r="RDT41" s="260"/>
      <c r="RDU41" s="260"/>
      <c r="RDV41" s="260"/>
      <c r="RDW41" s="260"/>
      <c r="RDX41" s="260"/>
      <c r="RDY41" s="260"/>
      <c r="RDZ41" s="260"/>
      <c r="REA41" s="260"/>
      <c r="REB41" s="260"/>
      <c r="REC41" s="260"/>
      <c r="RED41" s="260"/>
      <c r="REE41" s="260"/>
      <c r="REF41" s="260"/>
      <c r="REG41" s="260"/>
      <c r="REH41" s="260"/>
      <c r="REI41" s="260"/>
      <c r="REJ41" s="260"/>
      <c r="REK41" s="260"/>
      <c r="REL41" s="260"/>
      <c r="REM41" s="260"/>
      <c r="REN41" s="260"/>
      <c r="REO41" s="260"/>
      <c r="REP41" s="260"/>
      <c r="REQ41" s="260"/>
      <c r="RER41" s="260"/>
      <c r="RES41" s="260"/>
      <c r="RET41" s="260"/>
      <c r="REU41" s="260"/>
      <c r="REV41" s="260"/>
      <c r="REW41" s="260"/>
      <c r="REX41" s="260"/>
      <c r="REY41" s="260"/>
      <c r="REZ41" s="260"/>
      <c r="RFA41" s="260"/>
      <c r="RFB41" s="260"/>
      <c r="RFC41" s="260"/>
      <c r="RFD41" s="260"/>
      <c r="RFE41" s="260"/>
      <c r="RFF41" s="260"/>
      <c r="RFG41" s="260"/>
      <c r="RFH41" s="260"/>
      <c r="RFI41" s="260"/>
      <c r="RFJ41" s="260"/>
      <c r="RFK41" s="260"/>
      <c r="RFL41" s="260"/>
      <c r="RFM41" s="260"/>
      <c r="RFN41" s="260"/>
      <c r="RFO41" s="260"/>
      <c r="RFP41" s="260"/>
      <c r="RFQ41" s="260"/>
      <c r="RFR41" s="260"/>
      <c r="RFS41" s="260"/>
      <c r="RFT41" s="260"/>
      <c r="RFU41" s="260"/>
      <c r="RFV41" s="260"/>
      <c r="RFW41" s="260"/>
      <c r="RFX41" s="260"/>
      <c r="RFY41" s="260"/>
      <c r="RFZ41" s="260"/>
      <c r="RGA41" s="260"/>
      <c r="RGB41" s="260"/>
      <c r="RGC41" s="260"/>
      <c r="RGD41" s="260"/>
      <c r="RGE41" s="260"/>
      <c r="RGF41" s="260"/>
      <c r="RGG41" s="260"/>
      <c r="RGH41" s="260"/>
      <c r="RGI41" s="260"/>
      <c r="RGJ41" s="260"/>
      <c r="RGK41" s="260"/>
      <c r="RGL41" s="260"/>
      <c r="RGM41" s="260"/>
      <c r="RGN41" s="260"/>
      <c r="RGO41" s="260"/>
      <c r="RGP41" s="260"/>
      <c r="RGQ41" s="260"/>
      <c r="RGR41" s="260"/>
      <c r="RGS41" s="260"/>
      <c r="RGT41" s="260"/>
      <c r="RGU41" s="260"/>
      <c r="RGV41" s="260"/>
      <c r="RGW41" s="260"/>
      <c r="RGX41" s="260"/>
      <c r="RGY41" s="260"/>
      <c r="RGZ41" s="260"/>
      <c r="RHA41" s="260"/>
      <c r="RHB41" s="260"/>
      <c r="RHC41" s="260"/>
      <c r="RHD41" s="260"/>
      <c r="RHE41" s="260"/>
      <c r="RHF41" s="260"/>
      <c r="RHG41" s="260"/>
      <c r="RHH41" s="260"/>
      <c r="RHI41" s="260"/>
      <c r="RHJ41" s="260"/>
      <c r="RHK41" s="260"/>
      <c r="RHL41" s="260"/>
      <c r="RHM41" s="260"/>
      <c r="RHN41" s="260"/>
      <c r="RHO41" s="260"/>
      <c r="RHP41" s="260"/>
      <c r="RHQ41" s="260"/>
      <c r="RHR41" s="260"/>
      <c r="RHS41" s="260"/>
      <c r="RHT41" s="260"/>
      <c r="RHU41" s="260"/>
      <c r="RHV41" s="260"/>
      <c r="RHW41" s="260"/>
      <c r="RHX41" s="260"/>
      <c r="RHY41" s="260"/>
      <c r="RHZ41" s="260"/>
      <c r="RIA41" s="260"/>
      <c r="RIB41" s="260"/>
      <c r="RIC41" s="260"/>
      <c r="RID41" s="260"/>
      <c r="RIE41" s="260"/>
      <c r="RIF41" s="260"/>
      <c r="RIG41" s="260"/>
      <c r="RIH41" s="260"/>
      <c r="RII41" s="260"/>
      <c r="RIJ41" s="260"/>
      <c r="RIK41" s="260"/>
      <c r="RIL41" s="260"/>
      <c r="RIM41" s="260"/>
      <c r="RIN41" s="260"/>
      <c r="RIO41" s="260"/>
      <c r="RIP41" s="260"/>
      <c r="RIQ41" s="260"/>
      <c r="RIR41" s="260"/>
      <c r="RIS41" s="260"/>
      <c r="RIT41" s="260"/>
      <c r="RIU41" s="260"/>
      <c r="RIV41" s="260"/>
      <c r="RIW41" s="260"/>
      <c r="RIX41" s="260"/>
      <c r="RIY41" s="260"/>
      <c r="RIZ41" s="260"/>
      <c r="RJA41" s="260"/>
      <c r="RJB41" s="260"/>
      <c r="RJC41" s="260"/>
      <c r="RJD41" s="260"/>
      <c r="RJE41" s="260"/>
      <c r="RJF41" s="260"/>
      <c r="RJG41" s="260"/>
      <c r="RJH41" s="260"/>
      <c r="RJI41" s="260"/>
      <c r="RJJ41" s="260"/>
      <c r="RJK41" s="260"/>
      <c r="RJL41" s="260"/>
      <c r="RJM41" s="260"/>
      <c r="RJN41" s="260"/>
      <c r="RJO41" s="260"/>
      <c r="RJP41" s="260"/>
      <c r="RJQ41" s="260"/>
      <c r="RJR41" s="260"/>
      <c r="RJS41" s="260"/>
      <c r="RJT41" s="260"/>
      <c r="RJU41" s="260"/>
      <c r="RJV41" s="260"/>
      <c r="RJW41" s="260"/>
      <c r="RJX41" s="260"/>
      <c r="RJY41" s="260"/>
      <c r="RJZ41" s="260"/>
      <c r="RKA41" s="260"/>
      <c r="RKB41" s="260"/>
      <c r="RKC41" s="260"/>
      <c r="RKD41" s="260"/>
      <c r="RKE41" s="260"/>
      <c r="RKF41" s="260"/>
      <c r="RKG41" s="260"/>
      <c r="RKH41" s="260"/>
      <c r="RKI41" s="260"/>
      <c r="RKJ41" s="260"/>
      <c r="RKK41" s="260"/>
      <c r="RKL41" s="260"/>
      <c r="RKM41" s="260"/>
      <c r="RKN41" s="260"/>
      <c r="RKO41" s="260"/>
      <c r="RKP41" s="260"/>
      <c r="RKQ41" s="260"/>
      <c r="RKR41" s="260"/>
      <c r="RKS41" s="260"/>
      <c r="RKT41" s="260"/>
      <c r="RKU41" s="260"/>
      <c r="RKV41" s="260"/>
      <c r="RKW41" s="260"/>
      <c r="RKX41" s="260"/>
      <c r="RKY41" s="260"/>
      <c r="RKZ41" s="260"/>
      <c r="RLA41" s="260"/>
      <c r="RLB41" s="260"/>
      <c r="RLC41" s="260"/>
      <c r="RLD41" s="260"/>
      <c r="RLE41" s="260"/>
      <c r="RLF41" s="260"/>
      <c r="RLG41" s="260"/>
      <c r="RLH41" s="260"/>
      <c r="RLI41" s="260"/>
      <c r="RLJ41" s="260"/>
      <c r="RLK41" s="260"/>
      <c r="RLL41" s="260"/>
      <c r="RLM41" s="260"/>
      <c r="RLN41" s="260"/>
      <c r="RLO41" s="260"/>
      <c r="RLP41" s="260"/>
      <c r="RLQ41" s="260"/>
      <c r="RLR41" s="260"/>
      <c r="RLS41" s="260"/>
      <c r="RLT41" s="260"/>
      <c r="RLU41" s="260"/>
      <c r="RLV41" s="260"/>
      <c r="RLW41" s="260"/>
      <c r="RLX41" s="260"/>
      <c r="RLY41" s="260"/>
      <c r="RLZ41" s="260"/>
      <c r="RMA41" s="260"/>
      <c r="RMB41" s="260"/>
      <c r="RMC41" s="260"/>
      <c r="RMD41" s="260"/>
      <c r="RME41" s="260"/>
      <c r="RMF41" s="260"/>
      <c r="RMG41" s="260"/>
      <c r="RMH41" s="260"/>
      <c r="RMI41" s="260"/>
      <c r="RMJ41" s="260"/>
      <c r="RMK41" s="260"/>
      <c r="RML41" s="260"/>
      <c r="RMM41" s="260"/>
      <c r="RMN41" s="260"/>
      <c r="RMO41" s="260"/>
      <c r="RMP41" s="260"/>
      <c r="RMQ41" s="260"/>
      <c r="RMR41" s="260"/>
      <c r="RMS41" s="260"/>
      <c r="RMT41" s="260"/>
      <c r="RMU41" s="260"/>
      <c r="RMV41" s="260"/>
      <c r="RMW41" s="260"/>
      <c r="RMX41" s="260"/>
      <c r="RMY41" s="260"/>
      <c r="RMZ41" s="260"/>
      <c r="RNA41" s="260"/>
      <c r="RNB41" s="260"/>
      <c r="RNC41" s="260"/>
      <c r="RND41" s="260"/>
      <c r="RNE41" s="260"/>
      <c r="RNF41" s="260"/>
      <c r="RNG41" s="260"/>
      <c r="RNH41" s="260"/>
      <c r="RNI41" s="260"/>
      <c r="RNJ41" s="260"/>
      <c r="RNK41" s="260"/>
      <c r="RNL41" s="260"/>
      <c r="RNM41" s="260"/>
      <c r="RNN41" s="260"/>
      <c r="RNO41" s="260"/>
      <c r="RNP41" s="260"/>
      <c r="RNQ41" s="260"/>
      <c r="RNR41" s="260"/>
      <c r="RNS41" s="260"/>
      <c r="RNT41" s="260"/>
      <c r="RNU41" s="260"/>
      <c r="RNV41" s="260"/>
      <c r="RNW41" s="260"/>
      <c r="RNX41" s="260"/>
      <c r="RNY41" s="260"/>
      <c r="RNZ41" s="260"/>
      <c r="ROA41" s="260"/>
      <c r="ROB41" s="260"/>
      <c r="ROC41" s="260"/>
      <c r="ROD41" s="260"/>
      <c r="ROE41" s="260"/>
      <c r="ROF41" s="260"/>
      <c r="ROG41" s="260"/>
      <c r="ROH41" s="260"/>
      <c r="ROI41" s="260"/>
      <c r="ROJ41" s="260"/>
      <c r="ROK41" s="260"/>
      <c r="ROL41" s="260"/>
      <c r="ROM41" s="260"/>
      <c r="RON41" s="260"/>
      <c r="ROO41" s="260"/>
      <c r="ROP41" s="260"/>
      <c r="ROQ41" s="260"/>
      <c r="ROR41" s="260"/>
      <c r="ROS41" s="260"/>
      <c r="ROT41" s="260"/>
      <c r="ROU41" s="260"/>
      <c r="ROV41" s="260"/>
      <c r="ROW41" s="260"/>
      <c r="ROX41" s="260"/>
      <c r="ROY41" s="260"/>
      <c r="ROZ41" s="260"/>
      <c r="RPA41" s="260"/>
      <c r="RPB41" s="260"/>
      <c r="RPC41" s="260"/>
      <c r="RPD41" s="260"/>
      <c r="RPE41" s="260"/>
      <c r="RPF41" s="260"/>
      <c r="RPG41" s="260"/>
      <c r="RPH41" s="260"/>
      <c r="RPI41" s="260"/>
      <c r="RPJ41" s="260"/>
      <c r="RPK41" s="260"/>
      <c r="RPL41" s="260"/>
      <c r="RPM41" s="260"/>
      <c r="RPN41" s="260"/>
      <c r="RPO41" s="260"/>
      <c r="RPP41" s="260"/>
      <c r="RPQ41" s="260"/>
      <c r="RPR41" s="260"/>
      <c r="RPS41" s="260"/>
      <c r="RPT41" s="260"/>
      <c r="RPU41" s="260"/>
      <c r="RPV41" s="260"/>
      <c r="RPW41" s="260"/>
      <c r="RPX41" s="260"/>
      <c r="RPY41" s="260"/>
      <c r="RPZ41" s="260"/>
      <c r="RQA41" s="260"/>
      <c r="RQB41" s="260"/>
      <c r="RQC41" s="260"/>
      <c r="RQD41" s="260"/>
      <c r="RQE41" s="260"/>
      <c r="RQF41" s="260"/>
      <c r="RQG41" s="260"/>
      <c r="RQH41" s="260"/>
      <c r="RQI41" s="260"/>
      <c r="RQJ41" s="260"/>
      <c r="RQK41" s="260"/>
      <c r="RQL41" s="260"/>
      <c r="RQM41" s="260"/>
      <c r="RQN41" s="260"/>
      <c r="RQO41" s="260"/>
      <c r="RQP41" s="260"/>
      <c r="RQQ41" s="260"/>
      <c r="RQR41" s="260"/>
      <c r="RQS41" s="260"/>
      <c r="RQT41" s="260"/>
      <c r="RQU41" s="260"/>
      <c r="RQV41" s="260"/>
      <c r="RQW41" s="260"/>
      <c r="RQX41" s="260"/>
      <c r="RQY41" s="260"/>
      <c r="RQZ41" s="260"/>
      <c r="RRA41" s="260"/>
      <c r="RRB41" s="260"/>
      <c r="RRC41" s="260"/>
      <c r="RRD41" s="260"/>
      <c r="RRE41" s="260"/>
      <c r="RRF41" s="260"/>
      <c r="RRG41" s="260"/>
      <c r="RRH41" s="260"/>
      <c r="RRI41" s="260"/>
      <c r="RRJ41" s="260"/>
      <c r="RRK41" s="260"/>
      <c r="RRL41" s="260"/>
      <c r="RRM41" s="260"/>
      <c r="RRN41" s="260"/>
      <c r="RRO41" s="260"/>
      <c r="RRP41" s="260"/>
      <c r="RRQ41" s="260"/>
      <c r="RRR41" s="260"/>
      <c r="RRS41" s="260"/>
      <c r="RRT41" s="260"/>
      <c r="RRU41" s="260"/>
      <c r="RRV41" s="260"/>
      <c r="RRW41" s="260"/>
      <c r="RRX41" s="260"/>
      <c r="RRY41" s="260"/>
      <c r="RRZ41" s="260"/>
      <c r="RSA41" s="260"/>
      <c r="RSB41" s="260"/>
      <c r="RSC41" s="260"/>
      <c r="RSD41" s="260"/>
      <c r="RSE41" s="260"/>
      <c r="RSF41" s="260"/>
      <c r="RSG41" s="260"/>
      <c r="RSH41" s="260"/>
      <c r="RSI41" s="260"/>
      <c r="RSJ41" s="260"/>
      <c r="RSK41" s="260"/>
      <c r="RSL41" s="260"/>
      <c r="RSM41" s="260"/>
      <c r="RSN41" s="260"/>
      <c r="RSO41" s="260"/>
      <c r="RSP41" s="260"/>
      <c r="RSQ41" s="260"/>
      <c r="RSR41" s="260"/>
      <c r="RSS41" s="260"/>
      <c r="RST41" s="260"/>
      <c r="RSU41" s="260"/>
      <c r="RSV41" s="260"/>
      <c r="RSW41" s="260"/>
      <c r="RSX41" s="260"/>
      <c r="RSY41" s="260"/>
      <c r="RSZ41" s="260"/>
      <c r="RTA41" s="260"/>
      <c r="RTB41" s="260"/>
      <c r="RTC41" s="260"/>
      <c r="RTD41" s="260"/>
      <c r="RTE41" s="260"/>
      <c r="RTF41" s="260"/>
      <c r="RTG41" s="260"/>
      <c r="RTH41" s="260"/>
      <c r="RTI41" s="260"/>
      <c r="RTJ41" s="260"/>
      <c r="RTK41" s="260"/>
      <c r="RTL41" s="260"/>
      <c r="RTM41" s="260"/>
      <c r="RTN41" s="260"/>
      <c r="RTO41" s="260"/>
      <c r="RTP41" s="260"/>
      <c r="RTQ41" s="260"/>
      <c r="RTR41" s="260"/>
      <c r="RTS41" s="260"/>
      <c r="RTT41" s="260"/>
      <c r="RTU41" s="260"/>
      <c r="RTV41" s="260"/>
      <c r="RTW41" s="260"/>
      <c r="RTX41" s="260"/>
      <c r="RTY41" s="260"/>
      <c r="RTZ41" s="260"/>
      <c r="RUA41" s="260"/>
      <c r="RUB41" s="260"/>
      <c r="RUC41" s="260"/>
      <c r="RUD41" s="260"/>
      <c r="RUE41" s="260"/>
      <c r="RUF41" s="260"/>
      <c r="RUG41" s="260"/>
      <c r="RUH41" s="260"/>
      <c r="RUI41" s="260"/>
      <c r="RUJ41" s="260"/>
      <c r="RUK41" s="260"/>
      <c r="RUL41" s="260"/>
      <c r="RUM41" s="260"/>
      <c r="RUN41" s="260"/>
      <c r="RUO41" s="260"/>
      <c r="RUP41" s="260"/>
      <c r="RUQ41" s="260"/>
      <c r="RUR41" s="260"/>
      <c r="RUS41" s="260"/>
      <c r="RUT41" s="260"/>
      <c r="RUU41" s="260"/>
      <c r="RUV41" s="260"/>
      <c r="RUW41" s="260"/>
      <c r="RUX41" s="260"/>
      <c r="RUY41" s="260"/>
      <c r="RUZ41" s="260"/>
      <c r="RVA41" s="260"/>
      <c r="RVB41" s="260"/>
      <c r="RVC41" s="260"/>
      <c r="RVD41" s="260"/>
      <c r="RVE41" s="260"/>
      <c r="RVF41" s="260"/>
      <c r="RVG41" s="260"/>
      <c r="RVH41" s="260"/>
      <c r="RVI41" s="260"/>
      <c r="RVJ41" s="260"/>
      <c r="RVK41" s="260"/>
      <c r="RVL41" s="260"/>
      <c r="RVM41" s="260"/>
      <c r="RVN41" s="260"/>
      <c r="RVO41" s="260"/>
      <c r="RVP41" s="260"/>
      <c r="RVQ41" s="260"/>
      <c r="RVR41" s="260"/>
      <c r="RVS41" s="260"/>
      <c r="RVT41" s="260"/>
      <c r="RVU41" s="260"/>
      <c r="RVV41" s="260"/>
      <c r="RVW41" s="260"/>
      <c r="RVX41" s="260"/>
      <c r="RVY41" s="260"/>
      <c r="RVZ41" s="260"/>
      <c r="RWA41" s="260"/>
      <c r="RWB41" s="260"/>
      <c r="RWC41" s="260"/>
      <c r="RWD41" s="260"/>
      <c r="RWE41" s="260"/>
      <c r="RWF41" s="260"/>
      <c r="RWG41" s="260"/>
      <c r="RWH41" s="260"/>
      <c r="RWI41" s="260"/>
      <c r="RWJ41" s="260"/>
      <c r="RWK41" s="260"/>
      <c r="RWL41" s="260"/>
      <c r="RWM41" s="260"/>
      <c r="RWN41" s="260"/>
      <c r="RWO41" s="260"/>
      <c r="RWP41" s="260"/>
      <c r="RWQ41" s="260"/>
      <c r="RWR41" s="260"/>
      <c r="RWS41" s="260"/>
      <c r="RWT41" s="260"/>
      <c r="RWU41" s="260"/>
      <c r="RWV41" s="260"/>
      <c r="RWW41" s="260"/>
      <c r="RWX41" s="260"/>
      <c r="RWY41" s="260"/>
      <c r="RWZ41" s="260"/>
      <c r="RXA41" s="260"/>
      <c r="RXB41" s="260"/>
      <c r="RXC41" s="260"/>
      <c r="RXD41" s="260"/>
      <c r="RXE41" s="260"/>
      <c r="RXF41" s="260"/>
      <c r="RXG41" s="260"/>
      <c r="RXH41" s="260"/>
      <c r="RXI41" s="260"/>
      <c r="RXJ41" s="260"/>
      <c r="RXK41" s="260"/>
      <c r="RXL41" s="260"/>
      <c r="RXM41" s="260"/>
      <c r="RXN41" s="260"/>
      <c r="RXO41" s="260"/>
      <c r="RXP41" s="260"/>
      <c r="RXQ41" s="260"/>
      <c r="RXR41" s="260"/>
      <c r="RXS41" s="260"/>
      <c r="RXT41" s="260"/>
      <c r="RXU41" s="260"/>
      <c r="RXV41" s="260"/>
      <c r="RXW41" s="260"/>
      <c r="RXX41" s="260"/>
      <c r="RXY41" s="260"/>
      <c r="RXZ41" s="260"/>
      <c r="RYA41" s="260"/>
      <c r="RYB41" s="260"/>
      <c r="RYC41" s="260"/>
      <c r="RYD41" s="260"/>
      <c r="RYE41" s="260"/>
      <c r="RYF41" s="260"/>
      <c r="RYG41" s="260"/>
      <c r="RYH41" s="260"/>
      <c r="RYI41" s="260"/>
      <c r="RYJ41" s="260"/>
      <c r="RYK41" s="260"/>
      <c r="RYL41" s="260"/>
      <c r="RYM41" s="260"/>
      <c r="RYN41" s="260"/>
      <c r="RYO41" s="260"/>
      <c r="RYP41" s="260"/>
      <c r="RYQ41" s="260"/>
      <c r="RYR41" s="260"/>
      <c r="RYS41" s="260"/>
      <c r="RYT41" s="260"/>
      <c r="RYU41" s="260"/>
      <c r="RYV41" s="260"/>
      <c r="RYW41" s="260"/>
      <c r="RYX41" s="260"/>
      <c r="RYY41" s="260"/>
      <c r="RYZ41" s="260"/>
      <c r="RZA41" s="260"/>
      <c r="RZB41" s="260"/>
      <c r="RZC41" s="260"/>
      <c r="RZD41" s="260"/>
      <c r="RZE41" s="260"/>
      <c r="RZF41" s="260"/>
      <c r="RZG41" s="260"/>
      <c r="RZH41" s="260"/>
      <c r="RZI41" s="260"/>
      <c r="RZJ41" s="260"/>
      <c r="RZK41" s="260"/>
      <c r="RZL41" s="260"/>
      <c r="RZM41" s="260"/>
      <c r="RZN41" s="260"/>
      <c r="RZO41" s="260"/>
      <c r="RZP41" s="260"/>
      <c r="RZQ41" s="260"/>
      <c r="RZR41" s="260"/>
      <c r="RZS41" s="260"/>
      <c r="RZT41" s="260"/>
      <c r="RZU41" s="260"/>
      <c r="RZV41" s="260"/>
      <c r="RZW41" s="260"/>
      <c r="RZX41" s="260"/>
      <c r="RZY41" s="260"/>
      <c r="RZZ41" s="260"/>
      <c r="SAA41" s="260"/>
      <c r="SAB41" s="260"/>
      <c r="SAC41" s="260"/>
      <c r="SAD41" s="260"/>
      <c r="SAE41" s="260"/>
      <c r="SAF41" s="260"/>
      <c r="SAG41" s="260"/>
      <c r="SAH41" s="260"/>
      <c r="SAI41" s="260"/>
      <c r="SAJ41" s="260"/>
      <c r="SAK41" s="260"/>
      <c r="SAL41" s="260"/>
      <c r="SAM41" s="260"/>
      <c r="SAN41" s="260"/>
      <c r="SAO41" s="260"/>
      <c r="SAP41" s="260"/>
      <c r="SAQ41" s="260"/>
      <c r="SAR41" s="260"/>
      <c r="SAS41" s="260"/>
      <c r="SAT41" s="260"/>
      <c r="SAU41" s="260"/>
      <c r="SAV41" s="260"/>
      <c r="SAW41" s="260"/>
      <c r="SAX41" s="260"/>
      <c r="SAY41" s="260"/>
      <c r="SAZ41" s="260"/>
      <c r="SBA41" s="260"/>
      <c r="SBB41" s="260"/>
      <c r="SBC41" s="260"/>
      <c r="SBD41" s="260"/>
      <c r="SBE41" s="260"/>
      <c r="SBF41" s="260"/>
      <c r="SBG41" s="260"/>
      <c r="SBH41" s="260"/>
      <c r="SBI41" s="260"/>
      <c r="SBJ41" s="260"/>
      <c r="SBK41" s="260"/>
      <c r="SBL41" s="260"/>
      <c r="SBM41" s="260"/>
      <c r="SBN41" s="260"/>
      <c r="SBO41" s="260"/>
      <c r="SBP41" s="260"/>
      <c r="SBQ41" s="260"/>
      <c r="SBR41" s="260"/>
      <c r="SBS41" s="260"/>
      <c r="SBT41" s="260"/>
      <c r="SBU41" s="260"/>
      <c r="SBV41" s="260"/>
      <c r="SBW41" s="260"/>
      <c r="SBX41" s="260"/>
      <c r="SBY41" s="260"/>
      <c r="SBZ41" s="260"/>
      <c r="SCA41" s="260"/>
      <c r="SCB41" s="260"/>
      <c r="SCC41" s="260"/>
      <c r="SCD41" s="260"/>
      <c r="SCE41" s="260"/>
      <c r="SCF41" s="260"/>
      <c r="SCG41" s="260"/>
      <c r="SCH41" s="260"/>
      <c r="SCI41" s="260"/>
      <c r="SCJ41" s="260"/>
      <c r="SCK41" s="260"/>
      <c r="SCL41" s="260"/>
      <c r="SCM41" s="260"/>
      <c r="SCN41" s="260"/>
      <c r="SCO41" s="260"/>
      <c r="SCP41" s="260"/>
      <c r="SCQ41" s="260"/>
      <c r="SCR41" s="260"/>
      <c r="SCS41" s="260"/>
      <c r="SCT41" s="260"/>
      <c r="SCU41" s="260"/>
      <c r="SCV41" s="260"/>
      <c r="SCW41" s="260"/>
      <c r="SCX41" s="260"/>
      <c r="SCY41" s="260"/>
      <c r="SCZ41" s="260"/>
      <c r="SDA41" s="260"/>
      <c r="SDB41" s="260"/>
      <c r="SDC41" s="260"/>
      <c r="SDD41" s="260"/>
      <c r="SDE41" s="260"/>
      <c r="SDF41" s="260"/>
      <c r="SDG41" s="260"/>
      <c r="SDH41" s="260"/>
      <c r="SDI41" s="260"/>
      <c r="SDJ41" s="260"/>
      <c r="SDK41" s="260"/>
      <c r="SDL41" s="260"/>
      <c r="SDM41" s="260"/>
      <c r="SDN41" s="260"/>
      <c r="SDO41" s="260"/>
      <c r="SDP41" s="260"/>
      <c r="SDQ41" s="260"/>
      <c r="SDR41" s="260"/>
      <c r="SDS41" s="260"/>
      <c r="SDT41" s="260"/>
      <c r="SDU41" s="260"/>
      <c r="SDV41" s="260"/>
      <c r="SDW41" s="260"/>
      <c r="SDX41" s="260"/>
      <c r="SDY41" s="260"/>
      <c r="SDZ41" s="260"/>
      <c r="SEA41" s="260"/>
      <c r="SEB41" s="260"/>
      <c r="SEC41" s="260"/>
      <c r="SED41" s="260"/>
      <c r="SEE41" s="260"/>
      <c r="SEF41" s="260"/>
      <c r="SEG41" s="260"/>
      <c r="SEH41" s="260"/>
      <c r="SEI41" s="260"/>
      <c r="SEJ41" s="260"/>
      <c r="SEK41" s="260"/>
      <c r="SEL41" s="260"/>
      <c r="SEM41" s="260"/>
      <c r="SEN41" s="260"/>
      <c r="SEO41" s="260"/>
      <c r="SEP41" s="260"/>
      <c r="SEQ41" s="260"/>
      <c r="SER41" s="260"/>
      <c r="SES41" s="260"/>
      <c r="SET41" s="260"/>
      <c r="SEU41" s="260"/>
      <c r="SEV41" s="260"/>
      <c r="SEW41" s="260"/>
      <c r="SEX41" s="260"/>
      <c r="SEY41" s="260"/>
      <c r="SEZ41" s="260"/>
      <c r="SFA41" s="260"/>
      <c r="SFB41" s="260"/>
      <c r="SFC41" s="260"/>
      <c r="SFD41" s="260"/>
      <c r="SFE41" s="260"/>
      <c r="SFF41" s="260"/>
      <c r="SFG41" s="260"/>
      <c r="SFH41" s="260"/>
      <c r="SFI41" s="260"/>
      <c r="SFJ41" s="260"/>
      <c r="SFK41" s="260"/>
      <c r="SFL41" s="260"/>
      <c r="SFM41" s="260"/>
      <c r="SFN41" s="260"/>
      <c r="SFO41" s="260"/>
      <c r="SFP41" s="260"/>
      <c r="SFQ41" s="260"/>
      <c r="SFR41" s="260"/>
      <c r="SFS41" s="260"/>
      <c r="SFT41" s="260"/>
      <c r="SFU41" s="260"/>
      <c r="SFV41" s="260"/>
      <c r="SFW41" s="260"/>
      <c r="SFX41" s="260"/>
      <c r="SFY41" s="260"/>
      <c r="SFZ41" s="260"/>
      <c r="SGA41" s="260"/>
      <c r="SGB41" s="260"/>
      <c r="SGC41" s="260"/>
      <c r="SGD41" s="260"/>
      <c r="SGE41" s="260"/>
      <c r="SGF41" s="260"/>
      <c r="SGG41" s="260"/>
      <c r="SGH41" s="260"/>
      <c r="SGI41" s="260"/>
      <c r="SGJ41" s="260"/>
      <c r="SGK41" s="260"/>
      <c r="SGL41" s="260"/>
      <c r="SGM41" s="260"/>
      <c r="SGN41" s="260"/>
      <c r="SGO41" s="260"/>
      <c r="SGP41" s="260"/>
      <c r="SGQ41" s="260"/>
      <c r="SGR41" s="260"/>
      <c r="SGS41" s="260"/>
      <c r="SGT41" s="260"/>
      <c r="SGU41" s="260"/>
      <c r="SGV41" s="260"/>
      <c r="SGW41" s="260"/>
      <c r="SGX41" s="260"/>
      <c r="SGY41" s="260"/>
      <c r="SGZ41" s="260"/>
      <c r="SHA41" s="260"/>
      <c r="SHB41" s="260"/>
      <c r="SHC41" s="260"/>
      <c r="SHD41" s="260"/>
      <c r="SHE41" s="260"/>
      <c r="SHF41" s="260"/>
      <c r="SHG41" s="260"/>
      <c r="SHH41" s="260"/>
      <c r="SHI41" s="260"/>
      <c r="SHJ41" s="260"/>
      <c r="SHK41" s="260"/>
      <c r="SHL41" s="260"/>
      <c r="SHM41" s="260"/>
      <c r="SHN41" s="260"/>
      <c r="SHO41" s="260"/>
      <c r="SHP41" s="260"/>
      <c r="SHQ41" s="260"/>
      <c r="SHR41" s="260"/>
      <c r="SHS41" s="260"/>
      <c r="SHT41" s="260"/>
      <c r="SHU41" s="260"/>
      <c r="SHV41" s="260"/>
      <c r="SHW41" s="260"/>
      <c r="SHX41" s="260"/>
      <c r="SHY41" s="260"/>
      <c r="SHZ41" s="260"/>
      <c r="SIA41" s="260"/>
      <c r="SIB41" s="260"/>
      <c r="SIC41" s="260"/>
      <c r="SID41" s="260"/>
      <c r="SIE41" s="260"/>
      <c r="SIF41" s="260"/>
      <c r="SIG41" s="260"/>
      <c r="SIH41" s="260"/>
      <c r="SII41" s="260"/>
      <c r="SIJ41" s="260"/>
      <c r="SIK41" s="260"/>
      <c r="SIL41" s="260"/>
      <c r="SIM41" s="260"/>
      <c r="SIN41" s="260"/>
      <c r="SIO41" s="260"/>
      <c r="SIP41" s="260"/>
      <c r="SIQ41" s="260"/>
      <c r="SIR41" s="260"/>
      <c r="SIS41" s="260"/>
      <c r="SIT41" s="260"/>
      <c r="SIU41" s="260"/>
      <c r="SIV41" s="260"/>
      <c r="SIW41" s="260"/>
      <c r="SIX41" s="260"/>
      <c r="SIY41" s="260"/>
      <c r="SIZ41" s="260"/>
      <c r="SJA41" s="260"/>
      <c r="SJB41" s="260"/>
      <c r="SJC41" s="260"/>
      <c r="SJD41" s="260"/>
      <c r="SJE41" s="260"/>
      <c r="SJF41" s="260"/>
      <c r="SJG41" s="260"/>
      <c r="SJH41" s="260"/>
      <c r="SJI41" s="260"/>
      <c r="SJJ41" s="260"/>
      <c r="SJK41" s="260"/>
      <c r="SJL41" s="260"/>
      <c r="SJM41" s="260"/>
      <c r="SJN41" s="260"/>
      <c r="SJO41" s="260"/>
      <c r="SJP41" s="260"/>
      <c r="SJQ41" s="260"/>
      <c r="SJR41" s="260"/>
      <c r="SJS41" s="260"/>
      <c r="SJT41" s="260"/>
      <c r="SJU41" s="260"/>
      <c r="SJV41" s="260"/>
      <c r="SJW41" s="260"/>
      <c r="SJX41" s="260"/>
      <c r="SJY41" s="260"/>
      <c r="SJZ41" s="260"/>
      <c r="SKA41" s="260"/>
      <c r="SKB41" s="260"/>
      <c r="SKC41" s="260"/>
      <c r="SKD41" s="260"/>
      <c r="SKE41" s="260"/>
      <c r="SKF41" s="260"/>
      <c r="SKG41" s="260"/>
      <c r="SKH41" s="260"/>
      <c r="SKI41" s="260"/>
      <c r="SKJ41" s="260"/>
      <c r="SKK41" s="260"/>
      <c r="SKL41" s="260"/>
      <c r="SKM41" s="260"/>
      <c r="SKN41" s="260"/>
      <c r="SKO41" s="260"/>
      <c r="SKP41" s="260"/>
      <c r="SKQ41" s="260"/>
      <c r="SKR41" s="260"/>
      <c r="SKS41" s="260"/>
      <c r="SKT41" s="260"/>
      <c r="SKU41" s="260"/>
      <c r="SKV41" s="260"/>
      <c r="SKW41" s="260"/>
      <c r="SKX41" s="260"/>
      <c r="SKY41" s="260"/>
      <c r="SKZ41" s="260"/>
      <c r="SLA41" s="260"/>
      <c r="SLB41" s="260"/>
      <c r="SLC41" s="260"/>
      <c r="SLD41" s="260"/>
      <c r="SLE41" s="260"/>
      <c r="SLF41" s="260"/>
      <c r="SLG41" s="260"/>
      <c r="SLH41" s="260"/>
      <c r="SLI41" s="260"/>
      <c r="SLJ41" s="260"/>
      <c r="SLK41" s="260"/>
      <c r="SLL41" s="260"/>
      <c r="SLM41" s="260"/>
      <c r="SLN41" s="260"/>
      <c r="SLO41" s="260"/>
      <c r="SLP41" s="260"/>
      <c r="SLQ41" s="260"/>
      <c r="SLR41" s="260"/>
      <c r="SLS41" s="260"/>
      <c r="SLT41" s="260"/>
      <c r="SLU41" s="260"/>
      <c r="SLV41" s="260"/>
      <c r="SLW41" s="260"/>
      <c r="SLX41" s="260"/>
      <c r="SLY41" s="260"/>
      <c r="SLZ41" s="260"/>
      <c r="SMA41" s="260"/>
      <c r="SMB41" s="260"/>
      <c r="SMC41" s="260"/>
      <c r="SMD41" s="260"/>
      <c r="SME41" s="260"/>
      <c r="SMF41" s="260"/>
      <c r="SMG41" s="260"/>
      <c r="SMH41" s="260"/>
      <c r="SMI41" s="260"/>
      <c r="SMJ41" s="260"/>
      <c r="SMK41" s="260"/>
      <c r="SML41" s="260"/>
      <c r="SMM41" s="260"/>
      <c r="SMN41" s="260"/>
      <c r="SMO41" s="260"/>
      <c r="SMP41" s="260"/>
      <c r="SMQ41" s="260"/>
      <c r="SMR41" s="260"/>
      <c r="SMS41" s="260"/>
      <c r="SMT41" s="260"/>
      <c r="SMU41" s="260"/>
      <c r="SMV41" s="260"/>
      <c r="SMW41" s="260"/>
      <c r="SMX41" s="260"/>
      <c r="SMY41" s="260"/>
      <c r="SMZ41" s="260"/>
      <c r="SNA41" s="260"/>
      <c r="SNB41" s="260"/>
      <c r="SNC41" s="260"/>
      <c r="SND41" s="260"/>
      <c r="SNE41" s="260"/>
      <c r="SNF41" s="260"/>
      <c r="SNG41" s="260"/>
      <c r="SNH41" s="260"/>
      <c r="SNI41" s="260"/>
      <c r="SNJ41" s="260"/>
      <c r="SNK41" s="260"/>
      <c r="SNL41" s="260"/>
      <c r="SNM41" s="260"/>
      <c r="SNN41" s="260"/>
      <c r="SNO41" s="260"/>
      <c r="SNP41" s="260"/>
      <c r="SNQ41" s="260"/>
      <c r="SNR41" s="260"/>
      <c r="SNS41" s="260"/>
      <c r="SNT41" s="260"/>
      <c r="SNU41" s="260"/>
      <c r="SNV41" s="260"/>
      <c r="SNW41" s="260"/>
      <c r="SNX41" s="260"/>
      <c r="SNY41" s="260"/>
      <c r="SNZ41" s="260"/>
      <c r="SOA41" s="260"/>
      <c r="SOB41" s="260"/>
      <c r="SOC41" s="260"/>
      <c r="SOD41" s="260"/>
      <c r="SOE41" s="260"/>
      <c r="SOF41" s="260"/>
      <c r="SOG41" s="260"/>
      <c r="SOH41" s="260"/>
      <c r="SOI41" s="260"/>
      <c r="SOJ41" s="260"/>
      <c r="SOK41" s="260"/>
      <c r="SOL41" s="260"/>
      <c r="SOM41" s="260"/>
      <c r="SON41" s="260"/>
      <c r="SOO41" s="260"/>
      <c r="SOP41" s="260"/>
      <c r="SOQ41" s="260"/>
      <c r="SOR41" s="260"/>
      <c r="SOS41" s="260"/>
      <c r="SOT41" s="260"/>
      <c r="SOU41" s="260"/>
      <c r="SOV41" s="260"/>
      <c r="SOW41" s="260"/>
      <c r="SOX41" s="260"/>
      <c r="SOY41" s="260"/>
      <c r="SOZ41" s="260"/>
      <c r="SPA41" s="260"/>
      <c r="SPB41" s="260"/>
      <c r="SPC41" s="260"/>
      <c r="SPD41" s="260"/>
      <c r="SPE41" s="260"/>
      <c r="SPF41" s="260"/>
      <c r="SPG41" s="260"/>
      <c r="SPH41" s="260"/>
      <c r="SPI41" s="260"/>
      <c r="SPJ41" s="260"/>
      <c r="SPK41" s="260"/>
      <c r="SPL41" s="260"/>
      <c r="SPM41" s="260"/>
      <c r="SPN41" s="260"/>
      <c r="SPO41" s="260"/>
      <c r="SPP41" s="260"/>
      <c r="SPQ41" s="260"/>
      <c r="SPR41" s="260"/>
      <c r="SPS41" s="260"/>
      <c r="SPT41" s="260"/>
      <c r="SPU41" s="260"/>
      <c r="SPV41" s="260"/>
      <c r="SPW41" s="260"/>
      <c r="SPX41" s="260"/>
      <c r="SPY41" s="260"/>
      <c r="SPZ41" s="260"/>
      <c r="SQA41" s="260"/>
      <c r="SQB41" s="260"/>
      <c r="SQC41" s="260"/>
      <c r="SQD41" s="260"/>
      <c r="SQE41" s="260"/>
      <c r="SQF41" s="260"/>
      <c r="SQG41" s="260"/>
      <c r="SQH41" s="260"/>
      <c r="SQI41" s="260"/>
      <c r="SQJ41" s="260"/>
      <c r="SQK41" s="260"/>
      <c r="SQL41" s="260"/>
      <c r="SQM41" s="260"/>
      <c r="SQN41" s="260"/>
      <c r="SQO41" s="260"/>
      <c r="SQP41" s="260"/>
      <c r="SQQ41" s="260"/>
      <c r="SQR41" s="260"/>
      <c r="SQS41" s="260"/>
      <c r="SQT41" s="260"/>
      <c r="SQU41" s="260"/>
      <c r="SQV41" s="260"/>
      <c r="SQW41" s="260"/>
      <c r="SQX41" s="260"/>
      <c r="SQY41" s="260"/>
      <c r="SQZ41" s="260"/>
      <c r="SRA41" s="260"/>
      <c r="SRB41" s="260"/>
      <c r="SRC41" s="260"/>
      <c r="SRD41" s="260"/>
      <c r="SRE41" s="260"/>
      <c r="SRF41" s="260"/>
      <c r="SRG41" s="260"/>
      <c r="SRH41" s="260"/>
      <c r="SRI41" s="260"/>
      <c r="SRJ41" s="260"/>
      <c r="SRK41" s="260"/>
      <c r="SRL41" s="260"/>
      <c r="SRM41" s="260"/>
      <c r="SRN41" s="260"/>
      <c r="SRO41" s="260"/>
      <c r="SRP41" s="260"/>
      <c r="SRQ41" s="260"/>
      <c r="SRR41" s="260"/>
      <c r="SRS41" s="260"/>
      <c r="SRT41" s="260"/>
      <c r="SRU41" s="260"/>
      <c r="SRV41" s="260"/>
      <c r="SRW41" s="260"/>
      <c r="SRX41" s="260"/>
      <c r="SRY41" s="260"/>
      <c r="SRZ41" s="260"/>
      <c r="SSA41" s="260"/>
      <c r="SSB41" s="260"/>
      <c r="SSC41" s="260"/>
      <c r="SSD41" s="260"/>
      <c r="SSE41" s="260"/>
      <c r="SSF41" s="260"/>
      <c r="SSG41" s="260"/>
      <c r="SSH41" s="260"/>
      <c r="SSI41" s="260"/>
      <c r="SSJ41" s="260"/>
      <c r="SSK41" s="260"/>
      <c r="SSL41" s="260"/>
      <c r="SSM41" s="260"/>
      <c r="SSN41" s="260"/>
      <c r="SSO41" s="260"/>
      <c r="SSP41" s="260"/>
      <c r="SSQ41" s="260"/>
      <c r="SSR41" s="260"/>
      <c r="SSS41" s="260"/>
      <c r="SST41" s="260"/>
      <c r="SSU41" s="260"/>
      <c r="SSV41" s="260"/>
      <c r="SSW41" s="260"/>
      <c r="SSX41" s="260"/>
      <c r="SSY41" s="260"/>
      <c r="SSZ41" s="260"/>
      <c r="STA41" s="260"/>
      <c r="STB41" s="260"/>
      <c r="STC41" s="260"/>
      <c r="STD41" s="260"/>
      <c r="STE41" s="260"/>
      <c r="STF41" s="260"/>
      <c r="STG41" s="260"/>
      <c r="STH41" s="260"/>
      <c r="STI41" s="260"/>
      <c r="STJ41" s="260"/>
      <c r="STK41" s="260"/>
      <c r="STL41" s="260"/>
      <c r="STM41" s="260"/>
      <c r="STN41" s="260"/>
      <c r="STO41" s="260"/>
      <c r="STP41" s="260"/>
      <c r="STQ41" s="260"/>
      <c r="STR41" s="260"/>
      <c r="STS41" s="260"/>
      <c r="STT41" s="260"/>
      <c r="STU41" s="260"/>
      <c r="STV41" s="260"/>
      <c r="STW41" s="260"/>
      <c r="STX41" s="260"/>
      <c r="STY41" s="260"/>
      <c r="STZ41" s="260"/>
      <c r="SUA41" s="260"/>
      <c r="SUB41" s="260"/>
      <c r="SUC41" s="260"/>
      <c r="SUD41" s="260"/>
      <c r="SUE41" s="260"/>
      <c r="SUF41" s="260"/>
      <c r="SUG41" s="260"/>
      <c r="SUH41" s="260"/>
      <c r="SUI41" s="260"/>
      <c r="SUJ41" s="260"/>
      <c r="SUK41" s="260"/>
      <c r="SUL41" s="260"/>
      <c r="SUM41" s="260"/>
      <c r="SUN41" s="260"/>
      <c r="SUO41" s="260"/>
      <c r="SUP41" s="260"/>
      <c r="SUQ41" s="260"/>
      <c r="SUR41" s="260"/>
      <c r="SUS41" s="260"/>
      <c r="SUT41" s="260"/>
      <c r="SUU41" s="260"/>
      <c r="SUV41" s="260"/>
      <c r="SUW41" s="260"/>
      <c r="SUX41" s="260"/>
      <c r="SUY41" s="260"/>
      <c r="SUZ41" s="260"/>
      <c r="SVA41" s="260"/>
      <c r="SVB41" s="260"/>
      <c r="SVC41" s="260"/>
      <c r="SVD41" s="260"/>
      <c r="SVE41" s="260"/>
      <c r="SVF41" s="260"/>
      <c r="SVG41" s="260"/>
      <c r="SVH41" s="260"/>
      <c r="SVI41" s="260"/>
      <c r="SVJ41" s="260"/>
      <c r="SVK41" s="260"/>
      <c r="SVL41" s="260"/>
      <c r="SVM41" s="260"/>
      <c r="SVN41" s="260"/>
      <c r="SVO41" s="260"/>
      <c r="SVP41" s="260"/>
      <c r="SVQ41" s="260"/>
      <c r="SVR41" s="260"/>
      <c r="SVS41" s="260"/>
      <c r="SVT41" s="260"/>
      <c r="SVU41" s="260"/>
      <c r="SVV41" s="260"/>
      <c r="SVW41" s="260"/>
      <c r="SVX41" s="260"/>
      <c r="SVY41" s="260"/>
      <c r="SVZ41" s="260"/>
      <c r="SWA41" s="260"/>
      <c r="SWB41" s="260"/>
      <c r="SWC41" s="260"/>
      <c r="SWD41" s="260"/>
      <c r="SWE41" s="260"/>
      <c r="SWF41" s="260"/>
      <c r="SWG41" s="260"/>
      <c r="SWH41" s="260"/>
      <c r="SWI41" s="260"/>
      <c r="SWJ41" s="260"/>
      <c r="SWK41" s="260"/>
      <c r="SWL41" s="260"/>
      <c r="SWM41" s="260"/>
      <c r="SWN41" s="260"/>
      <c r="SWO41" s="260"/>
      <c r="SWP41" s="260"/>
      <c r="SWQ41" s="260"/>
      <c r="SWR41" s="260"/>
      <c r="SWS41" s="260"/>
      <c r="SWT41" s="260"/>
      <c r="SWU41" s="260"/>
      <c r="SWV41" s="260"/>
      <c r="SWW41" s="260"/>
      <c r="SWX41" s="260"/>
      <c r="SWY41" s="260"/>
      <c r="SWZ41" s="260"/>
      <c r="SXA41" s="260"/>
      <c r="SXB41" s="260"/>
      <c r="SXC41" s="260"/>
      <c r="SXD41" s="260"/>
      <c r="SXE41" s="260"/>
      <c r="SXF41" s="260"/>
      <c r="SXG41" s="260"/>
      <c r="SXH41" s="260"/>
      <c r="SXI41" s="260"/>
      <c r="SXJ41" s="260"/>
      <c r="SXK41" s="260"/>
      <c r="SXL41" s="260"/>
      <c r="SXM41" s="260"/>
      <c r="SXN41" s="260"/>
      <c r="SXO41" s="260"/>
      <c r="SXP41" s="260"/>
      <c r="SXQ41" s="260"/>
      <c r="SXR41" s="260"/>
      <c r="SXS41" s="260"/>
      <c r="SXT41" s="260"/>
      <c r="SXU41" s="260"/>
      <c r="SXV41" s="260"/>
      <c r="SXW41" s="260"/>
      <c r="SXX41" s="260"/>
      <c r="SXY41" s="260"/>
      <c r="SXZ41" s="260"/>
      <c r="SYA41" s="260"/>
      <c r="SYB41" s="260"/>
      <c r="SYC41" s="260"/>
      <c r="SYD41" s="260"/>
      <c r="SYE41" s="260"/>
      <c r="SYF41" s="260"/>
      <c r="SYG41" s="260"/>
      <c r="SYH41" s="260"/>
      <c r="SYI41" s="260"/>
      <c r="SYJ41" s="260"/>
      <c r="SYK41" s="260"/>
      <c r="SYL41" s="260"/>
      <c r="SYM41" s="260"/>
      <c r="SYN41" s="260"/>
      <c r="SYO41" s="260"/>
      <c r="SYP41" s="260"/>
      <c r="SYQ41" s="260"/>
      <c r="SYR41" s="260"/>
      <c r="SYS41" s="260"/>
      <c r="SYT41" s="260"/>
      <c r="SYU41" s="260"/>
      <c r="SYV41" s="260"/>
      <c r="SYW41" s="260"/>
      <c r="SYX41" s="260"/>
      <c r="SYY41" s="260"/>
      <c r="SYZ41" s="260"/>
      <c r="SZA41" s="260"/>
      <c r="SZB41" s="260"/>
      <c r="SZC41" s="260"/>
      <c r="SZD41" s="260"/>
      <c r="SZE41" s="260"/>
      <c r="SZF41" s="260"/>
      <c r="SZG41" s="260"/>
      <c r="SZH41" s="260"/>
      <c r="SZI41" s="260"/>
      <c r="SZJ41" s="260"/>
      <c r="SZK41" s="260"/>
      <c r="SZL41" s="260"/>
      <c r="SZM41" s="260"/>
      <c r="SZN41" s="260"/>
      <c r="SZO41" s="260"/>
      <c r="SZP41" s="260"/>
      <c r="SZQ41" s="260"/>
      <c r="SZR41" s="260"/>
      <c r="SZS41" s="260"/>
      <c r="SZT41" s="260"/>
      <c r="SZU41" s="260"/>
      <c r="SZV41" s="260"/>
      <c r="SZW41" s="260"/>
      <c r="SZX41" s="260"/>
      <c r="SZY41" s="260"/>
      <c r="SZZ41" s="260"/>
      <c r="TAA41" s="260"/>
      <c r="TAB41" s="260"/>
      <c r="TAC41" s="260"/>
      <c r="TAD41" s="260"/>
      <c r="TAE41" s="260"/>
      <c r="TAF41" s="260"/>
      <c r="TAG41" s="260"/>
      <c r="TAH41" s="260"/>
      <c r="TAI41" s="260"/>
      <c r="TAJ41" s="260"/>
      <c r="TAK41" s="260"/>
      <c r="TAL41" s="260"/>
      <c r="TAM41" s="260"/>
      <c r="TAN41" s="260"/>
      <c r="TAO41" s="260"/>
      <c r="TAP41" s="260"/>
      <c r="TAQ41" s="260"/>
      <c r="TAR41" s="260"/>
      <c r="TAS41" s="260"/>
      <c r="TAT41" s="260"/>
      <c r="TAU41" s="260"/>
      <c r="TAV41" s="260"/>
      <c r="TAW41" s="260"/>
      <c r="TAX41" s="260"/>
      <c r="TAY41" s="260"/>
      <c r="TAZ41" s="260"/>
      <c r="TBA41" s="260"/>
      <c r="TBB41" s="260"/>
      <c r="TBC41" s="260"/>
      <c r="TBD41" s="260"/>
      <c r="TBE41" s="260"/>
      <c r="TBF41" s="260"/>
      <c r="TBG41" s="260"/>
      <c r="TBH41" s="260"/>
      <c r="TBI41" s="260"/>
      <c r="TBJ41" s="260"/>
      <c r="TBK41" s="260"/>
      <c r="TBL41" s="260"/>
      <c r="TBM41" s="260"/>
      <c r="TBN41" s="260"/>
      <c r="TBO41" s="260"/>
      <c r="TBP41" s="260"/>
      <c r="TBQ41" s="260"/>
      <c r="TBR41" s="260"/>
      <c r="TBS41" s="260"/>
      <c r="TBT41" s="260"/>
      <c r="TBU41" s="260"/>
      <c r="TBV41" s="260"/>
      <c r="TBW41" s="260"/>
      <c r="TBX41" s="260"/>
      <c r="TBY41" s="260"/>
      <c r="TBZ41" s="260"/>
      <c r="TCA41" s="260"/>
      <c r="TCB41" s="260"/>
      <c r="TCC41" s="260"/>
      <c r="TCD41" s="260"/>
      <c r="TCE41" s="260"/>
      <c r="TCF41" s="260"/>
      <c r="TCG41" s="260"/>
      <c r="TCH41" s="260"/>
      <c r="TCI41" s="260"/>
      <c r="TCJ41" s="260"/>
      <c r="TCK41" s="260"/>
      <c r="TCL41" s="260"/>
      <c r="TCM41" s="260"/>
      <c r="TCN41" s="260"/>
      <c r="TCO41" s="260"/>
      <c r="TCP41" s="260"/>
      <c r="TCQ41" s="260"/>
      <c r="TCR41" s="260"/>
      <c r="TCS41" s="260"/>
      <c r="TCT41" s="260"/>
      <c r="TCU41" s="260"/>
      <c r="TCV41" s="260"/>
      <c r="TCW41" s="260"/>
      <c r="TCX41" s="260"/>
      <c r="TCY41" s="260"/>
      <c r="TCZ41" s="260"/>
      <c r="TDA41" s="260"/>
      <c r="TDB41" s="260"/>
      <c r="TDC41" s="260"/>
      <c r="TDD41" s="260"/>
      <c r="TDE41" s="260"/>
      <c r="TDF41" s="260"/>
      <c r="TDG41" s="260"/>
      <c r="TDH41" s="260"/>
      <c r="TDI41" s="260"/>
      <c r="TDJ41" s="260"/>
      <c r="TDK41" s="260"/>
      <c r="TDL41" s="260"/>
      <c r="TDM41" s="260"/>
      <c r="TDN41" s="260"/>
      <c r="TDO41" s="260"/>
      <c r="TDP41" s="260"/>
      <c r="TDQ41" s="260"/>
      <c r="TDR41" s="260"/>
      <c r="TDS41" s="260"/>
      <c r="TDT41" s="260"/>
      <c r="TDU41" s="260"/>
      <c r="TDV41" s="260"/>
      <c r="TDW41" s="260"/>
      <c r="TDX41" s="260"/>
      <c r="TDY41" s="260"/>
      <c r="TDZ41" s="260"/>
      <c r="TEA41" s="260"/>
      <c r="TEB41" s="260"/>
      <c r="TEC41" s="260"/>
      <c r="TED41" s="260"/>
      <c r="TEE41" s="260"/>
      <c r="TEF41" s="260"/>
      <c r="TEG41" s="260"/>
      <c r="TEH41" s="260"/>
      <c r="TEI41" s="260"/>
      <c r="TEJ41" s="260"/>
      <c r="TEK41" s="260"/>
      <c r="TEL41" s="260"/>
      <c r="TEM41" s="260"/>
      <c r="TEN41" s="260"/>
      <c r="TEO41" s="260"/>
      <c r="TEP41" s="260"/>
      <c r="TEQ41" s="260"/>
      <c r="TER41" s="260"/>
      <c r="TES41" s="260"/>
      <c r="TET41" s="260"/>
      <c r="TEU41" s="260"/>
      <c r="TEV41" s="260"/>
      <c r="TEW41" s="260"/>
      <c r="TEX41" s="260"/>
      <c r="TEY41" s="260"/>
      <c r="TEZ41" s="260"/>
      <c r="TFA41" s="260"/>
      <c r="TFB41" s="260"/>
      <c r="TFC41" s="260"/>
      <c r="TFD41" s="260"/>
      <c r="TFE41" s="260"/>
      <c r="TFF41" s="260"/>
      <c r="TFG41" s="260"/>
      <c r="TFH41" s="260"/>
      <c r="TFI41" s="260"/>
      <c r="TFJ41" s="260"/>
      <c r="TFK41" s="260"/>
      <c r="TFL41" s="260"/>
      <c r="TFM41" s="260"/>
      <c r="TFN41" s="260"/>
      <c r="TFO41" s="260"/>
      <c r="TFP41" s="260"/>
      <c r="TFQ41" s="260"/>
      <c r="TFR41" s="260"/>
      <c r="TFS41" s="260"/>
      <c r="TFT41" s="260"/>
      <c r="TFU41" s="260"/>
      <c r="TFV41" s="260"/>
      <c r="TFW41" s="260"/>
      <c r="TFX41" s="260"/>
      <c r="TFY41" s="260"/>
      <c r="TFZ41" s="260"/>
      <c r="TGA41" s="260"/>
      <c r="TGB41" s="260"/>
      <c r="TGC41" s="260"/>
      <c r="TGD41" s="260"/>
      <c r="TGE41" s="260"/>
      <c r="TGF41" s="260"/>
      <c r="TGG41" s="260"/>
      <c r="TGH41" s="260"/>
      <c r="TGI41" s="260"/>
      <c r="TGJ41" s="260"/>
      <c r="TGK41" s="260"/>
      <c r="TGL41" s="260"/>
      <c r="TGM41" s="260"/>
      <c r="TGN41" s="260"/>
      <c r="TGO41" s="260"/>
      <c r="TGP41" s="260"/>
      <c r="TGQ41" s="260"/>
      <c r="TGR41" s="260"/>
      <c r="TGS41" s="260"/>
      <c r="TGT41" s="260"/>
      <c r="TGU41" s="260"/>
      <c r="TGV41" s="260"/>
      <c r="TGW41" s="260"/>
      <c r="TGX41" s="260"/>
      <c r="TGY41" s="260"/>
      <c r="TGZ41" s="260"/>
      <c r="THA41" s="260"/>
      <c r="THB41" s="260"/>
      <c r="THC41" s="260"/>
      <c r="THD41" s="260"/>
      <c r="THE41" s="260"/>
      <c r="THF41" s="260"/>
      <c r="THG41" s="260"/>
      <c r="THH41" s="260"/>
      <c r="THI41" s="260"/>
      <c r="THJ41" s="260"/>
      <c r="THK41" s="260"/>
      <c r="THL41" s="260"/>
      <c r="THM41" s="260"/>
      <c r="THN41" s="260"/>
      <c r="THO41" s="260"/>
      <c r="THP41" s="260"/>
      <c r="THQ41" s="260"/>
      <c r="THR41" s="260"/>
      <c r="THS41" s="260"/>
      <c r="THT41" s="260"/>
      <c r="THU41" s="260"/>
      <c r="THV41" s="260"/>
      <c r="THW41" s="260"/>
      <c r="THX41" s="260"/>
      <c r="THY41" s="260"/>
      <c r="THZ41" s="260"/>
      <c r="TIA41" s="260"/>
      <c r="TIB41" s="260"/>
      <c r="TIC41" s="260"/>
      <c r="TID41" s="260"/>
      <c r="TIE41" s="260"/>
      <c r="TIF41" s="260"/>
      <c r="TIG41" s="260"/>
      <c r="TIH41" s="260"/>
      <c r="TII41" s="260"/>
      <c r="TIJ41" s="260"/>
      <c r="TIK41" s="260"/>
      <c r="TIL41" s="260"/>
      <c r="TIM41" s="260"/>
      <c r="TIN41" s="260"/>
      <c r="TIO41" s="260"/>
      <c r="TIP41" s="260"/>
      <c r="TIQ41" s="260"/>
      <c r="TIR41" s="260"/>
      <c r="TIS41" s="260"/>
      <c r="TIT41" s="260"/>
      <c r="TIU41" s="260"/>
      <c r="TIV41" s="260"/>
      <c r="TIW41" s="260"/>
      <c r="TIX41" s="260"/>
      <c r="TIY41" s="260"/>
      <c r="TIZ41" s="260"/>
      <c r="TJA41" s="260"/>
      <c r="TJB41" s="260"/>
      <c r="TJC41" s="260"/>
      <c r="TJD41" s="260"/>
      <c r="TJE41" s="260"/>
      <c r="TJF41" s="260"/>
      <c r="TJG41" s="260"/>
      <c r="TJH41" s="260"/>
      <c r="TJI41" s="260"/>
      <c r="TJJ41" s="260"/>
      <c r="TJK41" s="260"/>
      <c r="TJL41" s="260"/>
      <c r="TJM41" s="260"/>
      <c r="TJN41" s="260"/>
      <c r="TJO41" s="260"/>
      <c r="TJP41" s="260"/>
      <c r="TJQ41" s="260"/>
      <c r="TJR41" s="260"/>
      <c r="TJS41" s="260"/>
      <c r="TJT41" s="260"/>
      <c r="TJU41" s="260"/>
      <c r="TJV41" s="260"/>
      <c r="TJW41" s="260"/>
      <c r="TJX41" s="260"/>
      <c r="TJY41" s="260"/>
      <c r="TJZ41" s="260"/>
      <c r="TKA41" s="260"/>
      <c r="TKB41" s="260"/>
      <c r="TKC41" s="260"/>
      <c r="TKD41" s="260"/>
      <c r="TKE41" s="260"/>
      <c r="TKF41" s="260"/>
      <c r="TKG41" s="260"/>
      <c r="TKH41" s="260"/>
      <c r="TKI41" s="260"/>
      <c r="TKJ41" s="260"/>
      <c r="TKK41" s="260"/>
      <c r="TKL41" s="260"/>
      <c r="TKM41" s="260"/>
      <c r="TKN41" s="260"/>
      <c r="TKO41" s="260"/>
      <c r="TKP41" s="260"/>
      <c r="TKQ41" s="260"/>
      <c r="TKR41" s="260"/>
      <c r="TKS41" s="260"/>
      <c r="TKT41" s="260"/>
      <c r="TKU41" s="260"/>
      <c r="TKV41" s="260"/>
      <c r="TKW41" s="260"/>
      <c r="TKX41" s="260"/>
      <c r="TKY41" s="260"/>
      <c r="TKZ41" s="260"/>
      <c r="TLA41" s="260"/>
      <c r="TLB41" s="260"/>
      <c r="TLC41" s="260"/>
      <c r="TLD41" s="260"/>
      <c r="TLE41" s="260"/>
      <c r="TLF41" s="260"/>
      <c r="TLG41" s="260"/>
      <c r="TLH41" s="260"/>
      <c r="TLI41" s="260"/>
      <c r="TLJ41" s="260"/>
      <c r="TLK41" s="260"/>
      <c r="TLL41" s="260"/>
      <c r="TLM41" s="260"/>
      <c r="TLN41" s="260"/>
      <c r="TLO41" s="260"/>
      <c r="TLP41" s="260"/>
      <c r="TLQ41" s="260"/>
      <c r="TLR41" s="260"/>
      <c r="TLS41" s="260"/>
      <c r="TLT41" s="260"/>
      <c r="TLU41" s="260"/>
      <c r="TLV41" s="260"/>
      <c r="TLW41" s="260"/>
      <c r="TLX41" s="260"/>
      <c r="TLY41" s="260"/>
      <c r="TLZ41" s="260"/>
      <c r="TMA41" s="260"/>
      <c r="TMB41" s="260"/>
      <c r="TMC41" s="260"/>
      <c r="TMD41" s="260"/>
      <c r="TME41" s="260"/>
      <c r="TMF41" s="260"/>
      <c r="TMG41" s="260"/>
      <c r="TMH41" s="260"/>
      <c r="TMI41" s="260"/>
      <c r="TMJ41" s="260"/>
      <c r="TMK41" s="260"/>
      <c r="TML41" s="260"/>
      <c r="TMM41" s="260"/>
      <c r="TMN41" s="260"/>
      <c r="TMO41" s="260"/>
      <c r="TMP41" s="260"/>
      <c r="TMQ41" s="260"/>
      <c r="TMR41" s="260"/>
      <c r="TMS41" s="260"/>
      <c r="TMT41" s="260"/>
      <c r="TMU41" s="260"/>
      <c r="TMV41" s="260"/>
      <c r="TMW41" s="260"/>
      <c r="TMX41" s="260"/>
      <c r="TMY41" s="260"/>
      <c r="TMZ41" s="260"/>
      <c r="TNA41" s="260"/>
      <c r="TNB41" s="260"/>
      <c r="TNC41" s="260"/>
      <c r="TND41" s="260"/>
      <c r="TNE41" s="260"/>
      <c r="TNF41" s="260"/>
      <c r="TNG41" s="260"/>
      <c r="TNH41" s="260"/>
      <c r="TNI41" s="260"/>
      <c r="TNJ41" s="260"/>
      <c r="TNK41" s="260"/>
      <c r="TNL41" s="260"/>
      <c r="TNM41" s="260"/>
      <c r="TNN41" s="260"/>
      <c r="TNO41" s="260"/>
      <c r="TNP41" s="260"/>
      <c r="TNQ41" s="260"/>
      <c r="TNR41" s="260"/>
      <c r="TNS41" s="260"/>
      <c r="TNT41" s="260"/>
      <c r="TNU41" s="260"/>
      <c r="TNV41" s="260"/>
      <c r="TNW41" s="260"/>
      <c r="TNX41" s="260"/>
      <c r="TNY41" s="260"/>
      <c r="TNZ41" s="260"/>
      <c r="TOA41" s="260"/>
      <c r="TOB41" s="260"/>
      <c r="TOC41" s="260"/>
      <c r="TOD41" s="260"/>
      <c r="TOE41" s="260"/>
      <c r="TOF41" s="260"/>
      <c r="TOG41" s="260"/>
      <c r="TOH41" s="260"/>
      <c r="TOI41" s="260"/>
      <c r="TOJ41" s="260"/>
      <c r="TOK41" s="260"/>
      <c r="TOL41" s="260"/>
      <c r="TOM41" s="260"/>
      <c r="TON41" s="260"/>
      <c r="TOO41" s="260"/>
      <c r="TOP41" s="260"/>
      <c r="TOQ41" s="260"/>
      <c r="TOR41" s="260"/>
      <c r="TOS41" s="260"/>
      <c r="TOT41" s="260"/>
      <c r="TOU41" s="260"/>
      <c r="TOV41" s="260"/>
      <c r="TOW41" s="260"/>
      <c r="TOX41" s="260"/>
      <c r="TOY41" s="260"/>
      <c r="TOZ41" s="260"/>
      <c r="TPA41" s="260"/>
      <c r="TPB41" s="260"/>
      <c r="TPC41" s="260"/>
      <c r="TPD41" s="260"/>
      <c r="TPE41" s="260"/>
      <c r="TPF41" s="260"/>
      <c r="TPG41" s="260"/>
      <c r="TPH41" s="260"/>
      <c r="TPI41" s="260"/>
      <c r="TPJ41" s="260"/>
      <c r="TPK41" s="260"/>
      <c r="TPL41" s="260"/>
      <c r="TPM41" s="260"/>
      <c r="TPN41" s="260"/>
      <c r="TPO41" s="260"/>
      <c r="TPP41" s="260"/>
      <c r="TPQ41" s="260"/>
      <c r="TPR41" s="260"/>
      <c r="TPS41" s="260"/>
      <c r="TPT41" s="260"/>
      <c r="TPU41" s="260"/>
      <c r="TPV41" s="260"/>
      <c r="TPW41" s="260"/>
      <c r="TPX41" s="260"/>
      <c r="TPY41" s="260"/>
      <c r="TPZ41" s="260"/>
      <c r="TQA41" s="260"/>
      <c r="TQB41" s="260"/>
      <c r="TQC41" s="260"/>
      <c r="TQD41" s="260"/>
      <c r="TQE41" s="260"/>
      <c r="TQF41" s="260"/>
      <c r="TQG41" s="260"/>
      <c r="TQH41" s="260"/>
      <c r="TQI41" s="260"/>
      <c r="TQJ41" s="260"/>
      <c r="TQK41" s="260"/>
      <c r="TQL41" s="260"/>
      <c r="TQM41" s="260"/>
      <c r="TQN41" s="260"/>
      <c r="TQO41" s="260"/>
      <c r="TQP41" s="260"/>
      <c r="TQQ41" s="260"/>
      <c r="TQR41" s="260"/>
      <c r="TQS41" s="260"/>
      <c r="TQT41" s="260"/>
      <c r="TQU41" s="260"/>
      <c r="TQV41" s="260"/>
      <c r="TQW41" s="260"/>
      <c r="TQX41" s="260"/>
      <c r="TQY41" s="260"/>
      <c r="TQZ41" s="260"/>
      <c r="TRA41" s="260"/>
      <c r="TRB41" s="260"/>
      <c r="TRC41" s="260"/>
      <c r="TRD41" s="260"/>
      <c r="TRE41" s="260"/>
      <c r="TRF41" s="260"/>
      <c r="TRG41" s="260"/>
      <c r="TRH41" s="260"/>
      <c r="TRI41" s="260"/>
      <c r="TRJ41" s="260"/>
      <c r="TRK41" s="260"/>
      <c r="TRL41" s="260"/>
      <c r="TRM41" s="260"/>
      <c r="TRN41" s="260"/>
      <c r="TRO41" s="260"/>
      <c r="TRP41" s="260"/>
      <c r="TRQ41" s="260"/>
      <c r="TRR41" s="260"/>
      <c r="TRS41" s="260"/>
      <c r="TRT41" s="260"/>
      <c r="TRU41" s="260"/>
      <c r="TRV41" s="260"/>
      <c r="TRW41" s="260"/>
      <c r="TRX41" s="260"/>
      <c r="TRY41" s="260"/>
      <c r="TRZ41" s="260"/>
      <c r="TSA41" s="260"/>
      <c r="TSB41" s="260"/>
      <c r="TSC41" s="260"/>
      <c r="TSD41" s="260"/>
      <c r="TSE41" s="260"/>
      <c r="TSF41" s="260"/>
      <c r="TSG41" s="260"/>
      <c r="TSH41" s="260"/>
      <c r="TSI41" s="260"/>
      <c r="TSJ41" s="260"/>
      <c r="TSK41" s="260"/>
      <c r="TSL41" s="260"/>
      <c r="TSM41" s="260"/>
      <c r="TSN41" s="260"/>
      <c r="TSO41" s="260"/>
      <c r="TSP41" s="260"/>
      <c r="TSQ41" s="260"/>
      <c r="TSR41" s="260"/>
      <c r="TSS41" s="260"/>
      <c r="TST41" s="260"/>
      <c r="TSU41" s="260"/>
      <c r="TSV41" s="260"/>
      <c r="TSW41" s="260"/>
      <c r="TSX41" s="260"/>
      <c r="TSY41" s="260"/>
      <c r="TSZ41" s="260"/>
      <c r="TTA41" s="260"/>
      <c r="TTB41" s="260"/>
      <c r="TTC41" s="260"/>
      <c r="TTD41" s="260"/>
      <c r="TTE41" s="260"/>
      <c r="TTF41" s="260"/>
      <c r="TTG41" s="260"/>
      <c r="TTH41" s="260"/>
      <c r="TTI41" s="260"/>
      <c r="TTJ41" s="260"/>
      <c r="TTK41" s="260"/>
      <c r="TTL41" s="260"/>
      <c r="TTM41" s="260"/>
      <c r="TTN41" s="260"/>
      <c r="TTO41" s="260"/>
      <c r="TTP41" s="260"/>
      <c r="TTQ41" s="260"/>
      <c r="TTR41" s="260"/>
      <c r="TTS41" s="260"/>
      <c r="TTT41" s="260"/>
      <c r="TTU41" s="260"/>
      <c r="TTV41" s="260"/>
      <c r="TTW41" s="260"/>
      <c r="TTX41" s="260"/>
      <c r="TTY41" s="260"/>
      <c r="TTZ41" s="260"/>
      <c r="TUA41" s="260"/>
      <c r="TUB41" s="260"/>
      <c r="TUC41" s="260"/>
      <c r="TUD41" s="260"/>
      <c r="TUE41" s="260"/>
      <c r="TUF41" s="260"/>
      <c r="TUG41" s="260"/>
      <c r="TUH41" s="260"/>
      <c r="TUI41" s="260"/>
      <c r="TUJ41" s="260"/>
      <c r="TUK41" s="260"/>
      <c r="TUL41" s="260"/>
      <c r="TUM41" s="260"/>
      <c r="TUN41" s="260"/>
      <c r="TUO41" s="260"/>
      <c r="TUP41" s="260"/>
      <c r="TUQ41" s="260"/>
      <c r="TUR41" s="260"/>
      <c r="TUS41" s="260"/>
      <c r="TUT41" s="260"/>
      <c r="TUU41" s="260"/>
      <c r="TUV41" s="260"/>
      <c r="TUW41" s="260"/>
      <c r="TUX41" s="260"/>
      <c r="TUY41" s="260"/>
      <c r="TUZ41" s="260"/>
      <c r="TVA41" s="260"/>
      <c r="TVB41" s="260"/>
      <c r="TVC41" s="260"/>
      <c r="TVD41" s="260"/>
      <c r="TVE41" s="260"/>
      <c r="TVF41" s="260"/>
      <c r="TVG41" s="260"/>
      <c r="TVH41" s="260"/>
      <c r="TVI41" s="260"/>
      <c r="TVJ41" s="260"/>
      <c r="TVK41" s="260"/>
      <c r="TVL41" s="260"/>
      <c r="TVM41" s="260"/>
      <c r="TVN41" s="260"/>
      <c r="TVO41" s="260"/>
      <c r="TVP41" s="260"/>
      <c r="TVQ41" s="260"/>
      <c r="TVR41" s="260"/>
      <c r="TVS41" s="260"/>
      <c r="TVT41" s="260"/>
      <c r="TVU41" s="260"/>
      <c r="TVV41" s="260"/>
      <c r="TVW41" s="260"/>
      <c r="TVX41" s="260"/>
      <c r="TVY41" s="260"/>
      <c r="TVZ41" s="260"/>
      <c r="TWA41" s="260"/>
      <c r="TWB41" s="260"/>
      <c r="TWC41" s="260"/>
      <c r="TWD41" s="260"/>
      <c r="TWE41" s="260"/>
      <c r="TWF41" s="260"/>
      <c r="TWG41" s="260"/>
      <c r="TWH41" s="260"/>
      <c r="TWI41" s="260"/>
      <c r="TWJ41" s="260"/>
      <c r="TWK41" s="260"/>
      <c r="TWL41" s="260"/>
      <c r="TWM41" s="260"/>
      <c r="TWN41" s="260"/>
      <c r="TWO41" s="260"/>
      <c r="TWP41" s="260"/>
      <c r="TWQ41" s="260"/>
      <c r="TWR41" s="260"/>
      <c r="TWS41" s="260"/>
      <c r="TWT41" s="260"/>
      <c r="TWU41" s="260"/>
      <c r="TWV41" s="260"/>
      <c r="TWW41" s="260"/>
      <c r="TWX41" s="260"/>
      <c r="TWY41" s="260"/>
      <c r="TWZ41" s="260"/>
      <c r="TXA41" s="260"/>
      <c r="TXB41" s="260"/>
      <c r="TXC41" s="260"/>
      <c r="TXD41" s="260"/>
      <c r="TXE41" s="260"/>
      <c r="TXF41" s="260"/>
      <c r="TXG41" s="260"/>
      <c r="TXH41" s="260"/>
      <c r="TXI41" s="260"/>
      <c r="TXJ41" s="260"/>
      <c r="TXK41" s="260"/>
      <c r="TXL41" s="260"/>
      <c r="TXM41" s="260"/>
      <c r="TXN41" s="260"/>
      <c r="TXO41" s="260"/>
      <c r="TXP41" s="260"/>
      <c r="TXQ41" s="260"/>
      <c r="TXR41" s="260"/>
      <c r="TXS41" s="260"/>
      <c r="TXT41" s="260"/>
      <c r="TXU41" s="260"/>
      <c r="TXV41" s="260"/>
      <c r="TXW41" s="260"/>
      <c r="TXX41" s="260"/>
      <c r="TXY41" s="260"/>
      <c r="TXZ41" s="260"/>
      <c r="TYA41" s="260"/>
      <c r="TYB41" s="260"/>
      <c r="TYC41" s="260"/>
      <c r="TYD41" s="260"/>
      <c r="TYE41" s="260"/>
      <c r="TYF41" s="260"/>
      <c r="TYG41" s="260"/>
      <c r="TYH41" s="260"/>
      <c r="TYI41" s="260"/>
      <c r="TYJ41" s="260"/>
      <c r="TYK41" s="260"/>
      <c r="TYL41" s="260"/>
      <c r="TYM41" s="260"/>
      <c r="TYN41" s="260"/>
      <c r="TYO41" s="260"/>
      <c r="TYP41" s="260"/>
      <c r="TYQ41" s="260"/>
      <c r="TYR41" s="260"/>
      <c r="TYS41" s="260"/>
      <c r="TYT41" s="260"/>
      <c r="TYU41" s="260"/>
      <c r="TYV41" s="260"/>
      <c r="TYW41" s="260"/>
      <c r="TYX41" s="260"/>
      <c r="TYY41" s="260"/>
      <c r="TYZ41" s="260"/>
      <c r="TZA41" s="260"/>
      <c r="TZB41" s="260"/>
      <c r="TZC41" s="260"/>
      <c r="TZD41" s="260"/>
      <c r="TZE41" s="260"/>
      <c r="TZF41" s="260"/>
      <c r="TZG41" s="260"/>
      <c r="TZH41" s="260"/>
      <c r="TZI41" s="260"/>
      <c r="TZJ41" s="260"/>
      <c r="TZK41" s="260"/>
      <c r="TZL41" s="260"/>
      <c r="TZM41" s="260"/>
      <c r="TZN41" s="260"/>
      <c r="TZO41" s="260"/>
      <c r="TZP41" s="260"/>
      <c r="TZQ41" s="260"/>
      <c r="TZR41" s="260"/>
      <c r="TZS41" s="260"/>
      <c r="TZT41" s="260"/>
      <c r="TZU41" s="260"/>
      <c r="TZV41" s="260"/>
      <c r="TZW41" s="260"/>
      <c r="TZX41" s="260"/>
      <c r="TZY41" s="260"/>
      <c r="TZZ41" s="260"/>
      <c r="UAA41" s="260"/>
      <c r="UAB41" s="260"/>
      <c r="UAC41" s="260"/>
      <c r="UAD41" s="260"/>
      <c r="UAE41" s="260"/>
      <c r="UAF41" s="260"/>
      <c r="UAG41" s="260"/>
      <c r="UAH41" s="260"/>
      <c r="UAI41" s="260"/>
      <c r="UAJ41" s="260"/>
      <c r="UAK41" s="260"/>
      <c r="UAL41" s="260"/>
      <c r="UAM41" s="260"/>
      <c r="UAN41" s="260"/>
      <c r="UAO41" s="260"/>
      <c r="UAP41" s="260"/>
      <c r="UAQ41" s="260"/>
      <c r="UAR41" s="260"/>
      <c r="UAS41" s="260"/>
      <c r="UAT41" s="260"/>
      <c r="UAU41" s="260"/>
      <c r="UAV41" s="260"/>
      <c r="UAW41" s="260"/>
      <c r="UAX41" s="260"/>
      <c r="UAY41" s="260"/>
      <c r="UAZ41" s="260"/>
      <c r="UBA41" s="260"/>
      <c r="UBB41" s="260"/>
      <c r="UBC41" s="260"/>
      <c r="UBD41" s="260"/>
      <c r="UBE41" s="260"/>
      <c r="UBF41" s="260"/>
      <c r="UBG41" s="260"/>
      <c r="UBH41" s="260"/>
      <c r="UBI41" s="260"/>
      <c r="UBJ41" s="260"/>
      <c r="UBK41" s="260"/>
      <c r="UBL41" s="260"/>
      <c r="UBM41" s="260"/>
      <c r="UBN41" s="260"/>
      <c r="UBO41" s="260"/>
      <c r="UBP41" s="260"/>
      <c r="UBQ41" s="260"/>
      <c r="UBR41" s="260"/>
      <c r="UBS41" s="260"/>
      <c r="UBT41" s="260"/>
      <c r="UBU41" s="260"/>
      <c r="UBV41" s="260"/>
      <c r="UBW41" s="260"/>
      <c r="UBX41" s="260"/>
      <c r="UBY41" s="260"/>
      <c r="UBZ41" s="260"/>
      <c r="UCA41" s="260"/>
      <c r="UCB41" s="260"/>
      <c r="UCC41" s="260"/>
      <c r="UCD41" s="260"/>
      <c r="UCE41" s="260"/>
      <c r="UCF41" s="260"/>
      <c r="UCG41" s="260"/>
      <c r="UCH41" s="260"/>
      <c r="UCI41" s="260"/>
      <c r="UCJ41" s="260"/>
      <c r="UCK41" s="260"/>
      <c r="UCL41" s="260"/>
      <c r="UCM41" s="260"/>
      <c r="UCN41" s="260"/>
      <c r="UCO41" s="260"/>
      <c r="UCP41" s="260"/>
      <c r="UCQ41" s="260"/>
      <c r="UCR41" s="260"/>
      <c r="UCS41" s="260"/>
      <c r="UCT41" s="260"/>
      <c r="UCU41" s="260"/>
      <c r="UCV41" s="260"/>
      <c r="UCW41" s="260"/>
      <c r="UCX41" s="260"/>
      <c r="UCY41" s="260"/>
      <c r="UCZ41" s="260"/>
      <c r="UDA41" s="260"/>
      <c r="UDB41" s="260"/>
      <c r="UDC41" s="260"/>
      <c r="UDD41" s="260"/>
      <c r="UDE41" s="260"/>
      <c r="UDF41" s="260"/>
      <c r="UDG41" s="260"/>
      <c r="UDH41" s="260"/>
      <c r="UDI41" s="260"/>
      <c r="UDJ41" s="260"/>
      <c r="UDK41" s="260"/>
      <c r="UDL41" s="260"/>
      <c r="UDM41" s="260"/>
      <c r="UDN41" s="260"/>
      <c r="UDO41" s="260"/>
      <c r="UDP41" s="260"/>
      <c r="UDQ41" s="260"/>
      <c r="UDR41" s="260"/>
      <c r="UDS41" s="260"/>
      <c r="UDT41" s="260"/>
      <c r="UDU41" s="260"/>
      <c r="UDV41" s="260"/>
      <c r="UDW41" s="260"/>
      <c r="UDX41" s="260"/>
      <c r="UDY41" s="260"/>
      <c r="UDZ41" s="260"/>
      <c r="UEA41" s="260"/>
      <c r="UEB41" s="260"/>
      <c r="UEC41" s="260"/>
      <c r="UED41" s="260"/>
      <c r="UEE41" s="260"/>
      <c r="UEF41" s="260"/>
      <c r="UEG41" s="260"/>
      <c r="UEH41" s="260"/>
      <c r="UEI41" s="260"/>
      <c r="UEJ41" s="260"/>
      <c r="UEK41" s="260"/>
      <c r="UEL41" s="260"/>
      <c r="UEM41" s="260"/>
      <c r="UEN41" s="260"/>
      <c r="UEO41" s="260"/>
      <c r="UEP41" s="260"/>
      <c r="UEQ41" s="260"/>
      <c r="UER41" s="260"/>
      <c r="UES41" s="260"/>
      <c r="UET41" s="260"/>
      <c r="UEU41" s="260"/>
      <c r="UEV41" s="260"/>
      <c r="UEW41" s="260"/>
      <c r="UEX41" s="260"/>
      <c r="UEY41" s="260"/>
      <c r="UEZ41" s="260"/>
      <c r="UFA41" s="260"/>
      <c r="UFB41" s="260"/>
      <c r="UFC41" s="260"/>
      <c r="UFD41" s="260"/>
      <c r="UFE41" s="260"/>
      <c r="UFF41" s="260"/>
      <c r="UFG41" s="260"/>
      <c r="UFH41" s="260"/>
      <c r="UFI41" s="260"/>
      <c r="UFJ41" s="260"/>
      <c r="UFK41" s="260"/>
      <c r="UFL41" s="260"/>
      <c r="UFM41" s="260"/>
      <c r="UFN41" s="260"/>
      <c r="UFO41" s="260"/>
      <c r="UFP41" s="260"/>
      <c r="UFQ41" s="260"/>
      <c r="UFR41" s="260"/>
      <c r="UFS41" s="260"/>
      <c r="UFT41" s="260"/>
      <c r="UFU41" s="260"/>
      <c r="UFV41" s="260"/>
      <c r="UFW41" s="260"/>
      <c r="UFX41" s="260"/>
      <c r="UFY41" s="260"/>
      <c r="UFZ41" s="260"/>
      <c r="UGA41" s="260"/>
      <c r="UGB41" s="260"/>
      <c r="UGC41" s="260"/>
      <c r="UGD41" s="260"/>
      <c r="UGE41" s="260"/>
      <c r="UGF41" s="260"/>
      <c r="UGG41" s="260"/>
      <c r="UGH41" s="260"/>
      <c r="UGI41" s="260"/>
      <c r="UGJ41" s="260"/>
      <c r="UGK41" s="260"/>
      <c r="UGL41" s="260"/>
      <c r="UGM41" s="260"/>
      <c r="UGN41" s="260"/>
      <c r="UGO41" s="260"/>
      <c r="UGP41" s="260"/>
      <c r="UGQ41" s="260"/>
      <c r="UGR41" s="260"/>
      <c r="UGS41" s="260"/>
      <c r="UGT41" s="260"/>
      <c r="UGU41" s="260"/>
      <c r="UGV41" s="260"/>
      <c r="UGW41" s="260"/>
      <c r="UGX41" s="260"/>
      <c r="UGY41" s="260"/>
      <c r="UGZ41" s="260"/>
      <c r="UHA41" s="260"/>
      <c r="UHB41" s="260"/>
      <c r="UHC41" s="260"/>
      <c r="UHD41" s="260"/>
      <c r="UHE41" s="260"/>
      <c r="UHF41" s="260"/>
      <c r="UHG41" s="260"/>
      <c r="UHH41" s="260"/>
      <c r="UHI41" s="260"/>
      <c r="UHJ41" s="260"/>
      <c r="UHK41" s="260"/>
      <c r="UHL41" s="260"/>
      <c r="UHM41" s="260"/>
      <c r="UHN41" s="260"/>
      <c r="UHO41" s="260"/>
      <c r="UHP41" s="260"/>
      <c r="UHQ41" s="260"/>
      <c r="UHR41" s="260"/>
      <c r="UHS41" s="260"/>
      <c r="UHT41" s="260"/>
      <c r="UHU41" s="260"/>
      <c r="UHV41" s="260"/>
      <c r="UHW41" s="260"/>
      <c r="UHX41" s="260"/>
      <c r="UHY41" s="260"/>
      <c r="UHZ41" s="260"/>
      <c r="UIA41" s="260"/>
      <c r="UIB41" s="260"/>
      <c r="UIC41" s="260"/>
      <c r="UID41" s="260"/>
      <c r="UIE41" s="260"/>
      <c r="UIF41" s="260"/>
      <c r="UIG41" s="260"/>
      <c r="UIH41" s="260"/>
      <c r="UII41" s="260"/>
      <c r="UIJ41" s="260"/>
      <c r="UIK41" s="260"/>
      <c r="UIL41" s="260"/>
      <c r="UIM41" s="260"/>
      <c r="UIN41" s="260"/>
      <c r="UIO41" s="260"/>
      <c r="UIP41" s="260"/>
      <c r="UIQ41" s="260"/>
      <c r="UIR41" s="260"/>
      <c r="UIS41" s="260"/>
      <c r="UIT41" s="260"/>
      <c r="UIU41" s="260"/>
      <c r="UIV41" s="260"/>
      <c r="UIW41" s="260"/>
      <c r="UIX41" s="260"/>
      <c r="UIY41" s="260"/>
      <c r="UIZ41" s="260"/>
      <c r="UJA41" s="260"/>
      <c r="UJB41" s="260"/>
      <c r="UJC41" s="260"/>
      <c r="UJD41" s="260"/>
      <c r="UJE41" s="260"/>
      <c r="UJF41" s="260"/>
      <c r="UJG41" s="260"/>
      <c r="UJH41" s="260"/>
      <c r="UJI41" s="260"/>
      <c r="UJJ41" s="260"/>
      <c r="UJK41" s="260"/>
      <c r="UJL41" s="260"/>
      <c r="UJM41" s="260"/>
      <c r="UJN41" s="260"/>
      <c r="UJO41" s="260"/>
      <c r="UJP41" s="260"/>
      <c r="UJQ41" s="260"/>
      <c r="UJR41" s="260"/>
      <c r="UJS41" s="260"/>
      <c r="UJT41" s="260"/>
      <c r="UJU41" s="260"/>
      <c r="UJV41" s="260"/>
      <c r="UJW41" s="260"/>
      <c r="UJX41" s="260"/>
      <c r="UJY41" s="260"/>
      <c r="UJZ41" s="260"/>
      <c r="UKA41" s="260"/>
      <c r="UKB41" s="260"/>
      <c r="UKC41" s="260"/>
      <c r="UKD41" s="260"/>
      <c r="UKE41" s="260"/>
      <c r="UKF41" s="260"/>
      <c r="UKG41" s="260"/>
      <c r="UKH41" s="260"/>
      <c r="UKI41" s="260"/>
      <c r="UKJ41" s="260"/>
      <c r="UKK41" s="260"/>
      <c r="UKL41" s="260"/>
      <c r="UKM41" s="260"/>
      <c r="UKN41" s="260"/>
      <c r="UKO41" s="260"/>
      <c r="UKP41" s="260"/>
      <c r="UKQ41" s="260"/>
      <c r="UKR41" s="260"/>
      <c r="UKS41" s="260"/>
      <c r="UKT41" s="260"/>
      <c r="UKU41" s="260"/>
      <c r="UKV41" s="260"/>
      <c r="UKW41" s="260"/>
      <c r="UKX41" s="260"/>
      <c r="UKY41" s="260"/>
      <c r="UKZ41" s="260"/>
      <c r="ULA41" s="260"/>
      <c r="ULB41" s="260"/>
      <c r="ULC41" s="260"/>
      <c r="ULD41" s="260"/>
      <c r="ULE41" s="260"/>
      <c r="ULF41" s="260"/>
      <c r="ULG41" s="260"/>
      <c r="ULH41" s="260"/>
      <c r="ULI41" s="260"/>
      <c r="ULJ41" s="260"/>
      <c r="ULK41" s="260"/>
      <c r="ULL41" s="260"/>
      <c r="ULM41" s="260"/>
      <c r="ULN41" s="260"/>
      <c r="ULO41" s="260"/>
      <c r="ULP41" s="260"/>
      <c r="ULQ41" s="260"/>
      <c r="ULR41" s="260"/>
      <c r="ULS41" s="260"/>
      <c r="ULT41" s="260"/>
      <c r="ULU41" s="260"/>
      <c r="ULV41" s="260"/>
      <c r="ULW41" s="260"/>
      <c r="ULX41" s="260"/>
      <c r="ULY41" s="260"/>
      <c r="ULZ41" s="260"/>
      <c r="UMA41" s="260"/>
      <c r="UMB41" s="260"/>
      <c r="UMC41" s="260"/>
      <c r="UMD41" s="260"/>
      <c r="UME41" s="260"/>
      <c r="UMF41" s="260"/>
      <c r="UMG41" s="260"/>
      <c r="UMH41" s="260"/>
      <c r="UMI41" s="260"/>
      <c r="UMJ41" s="260"/>
      <c r="UMK41" s="260"/>
      <c r="UML41" s="260"/>
      <c r="UMM41" s="260"/>
      <c r="UMN41" s="260"/>
      <c r="UMO41" s="260"/>
      <c r="UMP41" s="260"/>
      <c r="UMQ41" s="260"/>
      <c r="UMR41" s="260"/>
      <c r="UMS41" s="260"/>
      <c r="UMT41" s="260"/>
      <c r="UMU41" s="260"/>
      <c r="UMV41" s="260"/>
      <c r="UMW41" s="260"/>
      <c r="UMX41" s="260"/>
      <c r="UMY41" s="260"/>
      <c r="UMZ41" s="260"/>
      <c r="UNA41" s="260"/>
      <c r="UNB41" s="260"/>
      <c r="UNC41" s="260"/>
      <c r="UND41" s="260"/>
      <c r="UNE41" s="260"/>
      <c r="UNF41" s="260"/>
      <c r="UNG41" s="260"/>
      <c r="UNH41" s="260"/>
      <c r="UNI41" s="260"/>
      <c r="UNJ41" s="260"/>
      <c r="UNK41" s="260"/>
      <c r="UNL41" s="260"/>
      <c r="UNM41" s="260"/>
      <c r="UNN41" s="260"/>
      <c r="UNO41" s="260"/>
      <c r="UNP41" s="260"/>
      <c r="UNQ41" s="260"/>
      <c r="UNR41" s="260"/>
      <c r="UNS41" s="260"/>
      <c r="UNT41" s="260"/>
      <c r="UNU41" s="260"/>
      <c r="UNV41" s="260"/>
      <c r="UNW41" s="260"/>
      <c r="UNX41" s="260"/>
      <c r="UNY41" s="260"/>
      <c r="UNZ41" s="260"/>
      <c r="UOA41" s="260"/>
      <c r="UOB41" s="260"/>
      <c r="UOC41" s="260"/>
      <c r="UOD41" s="260"/>
      <c r="UOE41" s="260"/>
      <c r="UOF41" s="260"/>
      <c r="UOG41" s="260"/>
      <c r="UOH41" s="260"/>
      <c r="UOI41" s="260"/>
      <c r="UOJ41" s="260"/>
      <c r="UOK41" s="260"/>
      <c r="UOL41" s="260"/>
      <c r="UOM41" s="260"/>
      <c r="UON41" s="260"/>
      <c r="UOO41" s="260"/>
      <c r="UOP41" s="260"/>
      <c r="UOQ41" s="260"/>
      <c r="UOR41" s="260"/>
      <c r="UOS41" s="260"/>
      <c r="UOT41" s="260"/>
      <c r="UOU41" s="260"/>
      <c r="UOV41" s="260"/>
      <c r="UOW41" s="260"/>
      <c r="UOX41" s="260"/>
      <c r="UOY41" s="260"/>
      <c r="UOZ41" s="260"/>
      <c r="UPA41" s="260"/>
      <c r="UPB41" s="260"/>
      <c r="UPC41" s="260"/>
      <c r="UPD41" s="260"/>
      <c r="UPE41" s="260"/>
      <c r="UPF41" s="260"/>
      <c r="UPG41" s="260"/>
      <c r="UPH41" s="260"/>
      <c r="UPI41" s="260"/>
      <c r="UPJ41" s="260"/>
      <c r="UPK41" s="260"/>
      <c r="UPL41" s="260"/>
      <c r="UPM41" s="260"/>
      <c r="UPN41" s="260"/>
      <c r="UPO41" s="260"/>
      <c r="UPP41" s="260"/>
      <c r="UPQ41" s="260"/>
      <c r="UPR41" s="260"/>
      <c r="UPS41" s="260"/>
      <c r="UPT41" s="260"/>
      <c r="UPU41" s="260"/>
      <c r="UPV41" s="260"/>
      <c r="UPW41" s="260"/>
      <c r="UPX41" s="260"/>
      <c r="UPY41" s="260"/>
      <c r="UPZ41" s="260"/>
      <c r="UQA41" s="260"/>
      <c r="UQB41" s="260"/>
      <c r="UQC41" s="260"/>
      <c r="UQD41" s="260"/>
      <c r="UQE41" s="260"/>
      <c r="UQF41" s="260"/>
      <c r="UQG41" s="260"/>
      <c r="UQH41" s="260"/>
      <c r="UQI41" s="260"/>
      <c r="UQJ41" s="260"/>
      <c r="UQK41" s="260"/>
      <c r="UQL41" s="260"/>
      <c r="UQM41" s="260"/>
      <c r="UQN41" s="260"/>
      <c r="UQO41" s="260"/>
      <c r="UQP41" s="260"/>
      <c r="UQQ41" s="260"/>
      <c r="UQR41" s="260"/>
      <c r="UQS41" s="260"/>
      <c r="UQT41" s="260"/>
      <c r="UQU41" s="260"/>
      <c r="UQV41" s="260"/>
      <c r="UQW41" s="260"/>
      <c r="UQX41" s="260"/>
      <c r="UQY41" s="260"/>
      <c r="UQZ41" s="260"/>
      <c r="URA41" s="260"/>
      <c r="URB41" s="260"/>
      <c r="URC41" s="260"/>
      <c r="URD41" s="260"/>
      <c r="URE41" s="260"/>
      <c r="URF41" s="260"/>
      <c r="URG41" s="260"/>
      <c r="URH41" s="260"/>
      <c r="URI41" s="260"/>
      <c r="URJ41" s="260"/>
      <c r="URK41" s="260"/>
      <c r="URL41" s="260"/>
      <c r="URM41" s="260"/>
      <c r="URN41" s="260"/>
      <c r="URO41" s="260"/>
      <c r="URP41" s="260"/>
      <c r="URQ41" s="260"/>
      <c r="URR41" s="260"/>
      <c r="URS41" s="260"/>
      <c r="URT41" s="260"/>
      <c r="URU41" s="260"/>
      <c r="URV41" s="260"/>
      <c r="URW41" s="260"/>
      <c r="URX41" s="260"/>
      <c r="URY41" s="260"/>
      <c r="URZ41" s="260"/>
      <c r="USA41" s="260"/>
      <c r="USB41" s="260"/>
      <c r="USC41" s="260"/>
      <c r="USD41" s="260"/>
      <c r="USE41" s="260"/>
      <c r="USF41" s="260"/>
      <c r="USG41" s="260"/>
      <c r="USH41" s="260"/>
      <c r="USI41" s="260"/>
      <c r="USJ41" s="260"/>
      <c r="USK41" s="260"/>
      <c r="USL41" s="260"/>
      <c r="USM41" s="260"/>
      <c r="USN41" s="260"/>
      <c r="USO41" s="260"/>
      <c r="USP41" s="260"/>
      <c r="USQ41" s="260"/>
      <c r="USR41" s="260"/>
      <c r="USS41" s="260"/>
      <c r="UST41" s="260"/>
      <c r="USU41" s="260"/>
      <c r="USV41" s="260"/>
      <c r="USW41" s="260"/>
      <c r="USX41" s="260"/>
      <c r="USY41" s="260"/>
      <c r="USZ41" s="260"/>
      <c r="UTA41" s="260"/>
      <c r="UTB41" s="260"/>
      <c r="UTC41" s="260"/>
      <c r="UTD41" s="260"/>
      <c r="UTE41" s="260"/>
      <c r="UTF41" s="260"/>
      <c r="UTG41" s="260"/>
      <c r="UTH41" s="260"/>
      <c r="UTI41" s="260"/>
      <c r="UTJ41" s="260"/>
      <c r="UTK41" s="260"/>
      <c r="UTL41" s="260"/>
      <c r="UTM41" s="260"/>
      <c r="UTN41" s="260"/>
      <c r="UTO41" s="260"/>
      <c r="UTP41" s="260"/>
      <c r="UTQ41" s="260"/>
      <c r="UTR41" s="260"/>
      <c r="UTS41" s="260"/>
      <c r="UTT41" s="260"/>
      <c r="UTU41" s="260"/>
      <c r="UTV41" s="260"/>
      <c r="UTW41" s="260"/>
      <c r="UTX41" s="260"/>
      <c r="UTY41" s="260"/>
      <c r="UTZ41" s="260"/>
      <c r="UUA41" s="260"/>
      <c r="UUB41" s="260"/>
      <c r="UUC41" s="260"/>
      <c r="UUD41" s="260"/>
      <c r="UUE41" s="260"/>
      <c r="UUF41" s="260"/>
      <c r="UUG41" s="260"/>
      <c r="UUH41" s="260"/>
      <c r="UUI41" s="260"/>
      <c r="UUJ41" s="260"/>
      <c r="UUK41" s="260"/>
      <c r="UUL41" s="260"/>
      <c r="UUM41" s="260"/>
      <c r="UUN41" s="260"/>
      <c r="UUO41" s="260"/>
      <c r="UUP41" s="260"/>
      <c r="UUQ41" s="260"/>
      <c r="UUR41" s="260"/>
      <c r="UUS41" s="260"/>
      <c r="UUT41" s="260"/>
      <c r="UUU41" s="260"/>
      <c r="UUV41" s="260"/>
      <c r="UUW41" s="260"/>
      <c r="UUX41" s="260"/>
      <c r="UUY41" s="260"/>
      <c r="UUZ41" s="260"/>
      <c r="UVA41" s="260"/>
      <c r="UVB41" s="260"/>
      <c r="UVC41" s="260"/>
      <c r="UVD41" s="260"/>
      <c r="UVE41" s="260"/>
      <c r="UVF41" s="260"/>
      <c r="UVG41" s="260"/>
      <c r="UVH41" s="260"/>
      <c r="UVI41" s="260"/>
      <c r="UVJ41" s="260"/>
      <c r="UVK41" s="260"/>
      <c r="UVL41" s="260"/>
      <c r="UVM41" s="260"/>
      <c r="UVN41" s="260"/>
      <c r="UVO41" s="260"/>
      <c r="UVP41" s="260"/>
      <c r="UVQ41" s="260"/>
      <c r="UVR41" s="260"/>
      <c r="UVS41" s="260"/>
      <c r="UVT41" s="260"/>
      <c r="UVU41" s="260"/>
      <c r="UVV41" s="260"/>
      <c r="UVW41" s="260"/>
      <c r="UVX41" s="260"/>
      <c r="UVY41" s="260"/>
      <c r="UVZ41" s="260"/>
      <c r="UWA41" s="260"/>
      <c r="UWB41" s="260"/>
      <c r="UWC41" s="260"/>
      <c r="UWD41" s="260"/>
      <c r="UWE41" s="260"/>
      <c r="UWF41" s="260"/>
      <c r="UWG41" s="260"/>
      <c r="UWH41" s="260"/>
      <c r="UWI41" s="260"/>
      <c r="UWJ41" s="260"/>
      <c r="UWK41" s="260"/>
      <c r="UWL41" s="260"/>
      <c r="UWM41" s="260"/>
      <c r="UWN41" s="260"/>
      <c r="UWO41" s="260"/>
      <c r="UWP41" s="260"/>
      <c r="UWQ41" s="260"/>
      <c r="UWR41" s="260"/>
      <c r="UWS41" s="260"/>
      <c r="UWT41" s="260"/>
      <c r="UWU41" s="260"/>
      <c r="UWV41" s="260"/>
      <c r="UWW41" s="260"/>
      <c r="UWX41" s="260"/>
      <c r="UWY41" s="260"/>
      <c r="UWZ41" s="260"/>
      <c r="UXA41" s="260"/>
      <c r="UXB41" s="260"/>
      <c r="UXC41" s="260"/>
      <c r="UXD41" s="260"/>
      <c r="UXE41" s="260"/>
      <c r="UXF41" s="260"/>
      <c r="UXG41" s="260"/>
      <c r="UXH41" s="260"/>
      <c r="UXI41" s="260"/>
      <c r="UXJ41" s="260"/>
      <c r="UXK41" s="260"/>
      <c r="UXL41" s="260"/>
      <c r="UXM41" s="260"/>
      <c r="UXN41" s="260"/>
      <c r="UXO41" s="260"/>
      <c r="UXP41" s="260"/>
      <c r="UXQ41" s="260"/>
      <c r="UXR41" s="260"/>
      <c r="UXS41" s="260"/>
      <c r="UXT41" s="260"/>
      <c r="UXU41" s="260"/>
      <c r="UXV41" s="260"/>
      <c r="UXW41" s="260"/>
      <c r="UXX41" s="260"/>
      <c r="UXY41" s="260"/>
      <c r="UXZ41" s="260"/>
      <c r="UYA41" s="260"/>
      <c r="UYB41" s="260"/>
      <c r="UYC41" s="260"/>
      <c r="UYD41" s="260"/>
      <c r="UYE41" s="260"/>
      <c r="UYF41" s="260"/>
      <c r="UYG41" s="260"/>
      <c r="UYH41" s="260"/>
      <c r="UYI41" s="260"/>
      <c r="UYJ41" s="260"/>
      <c r="UYK41" s="260"/>
      <c r="UYL41" s="260"/>
      <c r="UYM41" s="260"/>
      <c r="UYN41" s="260"/>
      <c r="UYO41" s="260"/>
      <c r="UYP41" s="260"/>
      <c r="UYQ41" s="260"/>
      <c r="UYR41" s="260"/>
      <c r="UYS41" s="260"/>
      <c r="UYT41" s="260"/>
      <c r="UYU41" s="260"/>
      <c r="UYV41" s="260"/>
      <c r="UYW41" s="260"/>
      <c r="UYX41" s="260"/>
      <c r="UYY41" s="260"/>
      <c r="UYZ41" s="260"/>
      <c r="UZA41" s="260"/>
      <c r="UZB41" s="260"/>
      <c r="UZC41" s="260"/>
      <c r="UZD41" s="260"/>
      <c r="UZE41" s="260"/>
      <c r="UZF41" s="260"/>
      <c r="UZG41" s="260"/>
      <c r="UZH41" s="260"/>
      <c r="UZI41" s="260"/>
      <c r="UZJ41" s="260"/>
      <c r="UZK41" s="260"/>
      <c r="UZL41" s="260"/>
      <c r="UZM41" s="260"/>
      <c r="UZN41" s="260"/>
      <c r="UZO41" s="260"/>
      <c r="UZP41" s="260"/>
      <c r="UZQ41" s="260"/>
      <c r="UZR41" s="260"/>
      <c r="UZS41" s="260"/>
      <c r="UZT41" s="260"/>
      <c r="UZU41" s="260"/>
      <c r="UZV41" s="260"/>
      <c r="UZW41" s="260"/>
      <c r="UZX41" s="260"/>
      <c r="UZY41" s="260"/>
      <c r="UZZ41" s="260"/>
      <c r="VAA41" s="260"/>
      <c r="VAB41" s="260"/>
      <c r="VAC41" s="260"/>
      <c r="VAD41" s="260"/>
      <c r="VAE41" s="260"/>
      <c r="VAF41" s="260"/>
      <c r="VAG41" s="260"/>
      <c r="VAH41" s="260"/>
      <c r="VAI41" s="260"/>
      <c r="VAJ41" s="260"/>
      <c r="VAK41" s="260"/>
      <c r="VAL41" s="260"/>
      <c r="VAM41" s="260"/>
      <c r="VAN41" s="260"/>
      <c r="VAO41" s="260"/>
      <c r="VAP41" s="260"/>
      <c r="VAQ41" s="260"/>
      <c r="VAR41" s="260"/>
      <c r="VAS41" s="260"/>
      <c r="VAT41" s="260"/>
      <c r="VAU41" s="260"/>
      <c r="VAV41" s="260"/>
      <c r="VAW41" s="260"/>
      <c r="VAX41" s="260"/>
      <c r="VAY41" s="260"/>
      <c r="VAZ41" s="260"/>
      <c r="VBA41" s="260"/>
      <c r="VBB41" s="260"/>
      <c r="VBC41" s="260"/>
      <c r="VBD41" s="260"/>
      <c r="VBE41" s="260"/>
      <c r="VBF41" s="260"/>
      <c r="VBG41" s="260"/>
      <c r="VBH41" s="260"/>
      <c r="VBI41" s="260"/>
      <c r="VBJ41" s="260"/>
      <c r="VBK41" s="260"/>
      <c r="VBL41" s="260"/>
      <c r="VBM41" s="260"/>
      <c r="VBN41" s="260"/>
      <c r="VBO41" s="260"/>
      <c r="VBP41" s="260"/>
      <c r="VBQ41" s="260"/>
      <c r="VBR41" s="260"/>
      <c r="VBS41" s="260"/>
      <c r="VBT41" s="260"/>
      <c r="VBU41" s="260"/>
      <c r="VBV41" s="260"/>
      <c r="VBW41" s="260"/>
      <c r="VBX41" s="260"/>
      <c r="VBY41" s="260"/>
      <c r="VBZ41" s="260"/>
      <c r="VCA41" s="260"/>
      <c r="VCB41" s="260"/>
      <c r="VCC41" s="260"/>
      <c r="VCD41" s="260"/>
      <c r="VCE41" s="260"/>
      <c r="VCF41" s="260"/>
      <c r="VCG41" s="260"/>
      <c r="VCH41" s="260"/>
      <c r="VCI41" s="260"/>
      <c r="VCJ41" s="260"/>
      <c r="VCK41" s="260"/>
      <c r="VCL41" s="260"/>
      <c r="VCM41" s="260"/>
      <c r="VCN41" s="260"/>
      <c r="VCO41" s="260"/>
      <c r="VCP41" s="260"/>
      <c r="VCQ41" s="260"/>
      <c r="VCR41" s="260"/>
      <c r="VCS41" s="260"/>
      <c r="VCT41" s="260"/>
      <c r="VCU41" s="260"/>
      <c r="VCV41" s="260"/>
      <c r="VCW41" s="260"/>
      <c r="VCX41" s="260"/>
      <c r="VCY41" s="260"/>
      <c r="VCZ41" s="260"/>
      <c r="VDA41" s="260"/>
      <c r="VDB41" s="260"/>
      <c r="VDC41" s="260"/>
      <c r="VDD41" s="260"/>
      <c r="VDE41" s="260"/>
      <c r="VDF41" s="260"/>
      <c r="VDG41" s="260"/>
      <c r="VDH41" s="260"/>
      <c r="VDI41" s="260"/>
      <c r="VDJ41" s="260"/>
      <c r="VDK41" s="260"/>
      <c r="VDL41" s="260"/>
      <c r="VDM41" s="260"/>
      <c r="VDN41" s="260"/>
      <c r="VDO41" s="260"/>
      <c r="VDP41" s="260"/>
      <c r="VDQ41" s="260"/>
      <c r="VDR41" s="260"/>
      <c r="VDS41" s="260"/>
      <c r="VDT41" s="260"/>
      <c r="VDU41" s="260"/>
      <c r="VDV41" s="260"/>
      <c r="VDW41" s="260"/>
      <c r="VDX41" s="260"/>
      <c r="VDY41" s="260"/>
      <c r="VDZ41" s="260"/>
      <c r="VEA41" s="260"/>
      <c r="VEB41" s="260"/>
      <c r="VEC41" s="260"/>
      <c r="VED41" s="260"/>
      <c r="VEE41" s="260"/>
      <c r="VEF41" s="260"/>
      <c r="VEG41" s="260"/>
      <c r="VEH41" s="260"/>
      <c r="VEI41" s="260"/>
      <c r="VEJ41" s="260"/>
      <c r="VEK41" s="260"/>
      <c r="VEL41" s="260"/>
      <c r="VEM41" s="260"/>
      <c r="VEN41" s="260"/>
      <c r="VEO41" s="260"/>
      <c r="VEP41" s="260"/>
      <c r="VEQ41" s="260"/>
      <c r="VER41" s="260"/>
      <c r="VES41" s="260"/>
      <c r="VET41" s="260"/>
      <c r="VEU41" s="260"/>
      <c r="VEV41" s="260"/>
      <c r="VEW41" s="260"/>
      <c r="VEX41" s="260"/>
      <c r="VEY41" s="260"/>
      <c r="VEZ41" s="260"/>
      <c r="VFA41" s="260"/>
      <c r="VFB41" s="260"/>
      <c r="VFC41" s="260"/>
      <c r="VFD41" s="260"/>
      <c r="VFE41" s="260"/>
      <c r="VFF41" s="260"/>
      <c r="VFG41" s="260"/>
      <c r="VFH41" s="260"/>
      <c r="VFI41" s="260"/>
      <c r="VFJ41" s="260"/>
      <c r="VFK41" s="260"/>
      <c r="VFL41" s="260"/>
      <c r="VFM41" s="260"/>
      <c r="VFN41" s="260"/>
      <c r="VFO41" s="260"/>
      <c r="VFP41" s="260"/>
      <c r="VFQ41" s="260"/>
      <c r="VFR41" s="260"/>
      <c r="VFS41" s="260"/>
      <c r="VFT41" s="260"/>
      <c r="VFU41" s="260"/>
      <c r="VFV41" s="260"/>
      <c r="VFW41" s="260"/>
      <c r="VFX41" s="260"/>
      <c r="VFY41" s="260"/>
      <c r="VFZ41" s="260"/>
      <c r="VGA41" s="260"/>
      <c r="VGB41" s="260"/>
      <c r="VGC41" s="260"/>
      <c r="VGD41" s="260"/>
      <c r="VGE41" s="260"/>
      <c r="VGF41" s="260"/>
      <c r="VGG41" s="260"/>
      <c r="VGH41" s="260"/>
      <c r="VGI41" s="260"/>
      <c r="VGJ41" s="260"/>
      <c r="VGK41" s="260"/>
      <c r="VGL41" s="260"/>
      <c r="VGM41" s="260"/>
      <c r="VGN41" s="260"/>
      <c r="VGO41" s="260"/>
      <c r="VGP41" s="260"/>
      <c r="VGQ41" s="260"/>
      <c r="VGR41" s="260"/>
      <c r="VGS41" s="260"/>
      <c r="VGT41" s="260"/>
      <c r="VGU41" s="260"/>
      <c r="VGV41" s="260"/>
      <c r="VGW41" s="260"/>
      <c r="VGX41" s="260"/>
      <c r="VGY41" s="260"/>
      <c r="VGZ41" s="260"/>
      <c r="VHA41" s="260"/>
      <c r="VHB41" s="260"/>
      <c r="VHC41" s="260"/>
      <c r="VHD41" s="260"/>
      <c r="VHE41" s="260"/>
      <c r="VHF41" s="260"/>
      <c r="VHG41" s="260"/>
      <c r="VHH41" s="260"/>
      <c r="VHI41" s="260"/>
      <c r="VHJ41" s="260"/>
      <c r="VHK41" s="260"/>
      <c r="VHL41" s="260"/>
      <c r="VHM41" s="260"/>
      <c r="VHN41" s="260"/>
      <c r="VHO41" s="260"/>
      <c r="VHP41" s="260"/>
      <c r="VHQ41" s="260"/>
      <c r="VHR41" s="260"/>
      <c r="VHS41" s="260"/>
      <c r="VHT41" s="260"/>
      <c r="VHU41" s="260"/>
      <c r="VHV41" s="260"/>
      <c r="VHW41" s="260"/>
      <c r="VHX41" s="260"/>
      <c r="VHY41" s="260"/>
      <c r="VHZ41" s="260"/>
      <c r="VIA41" s="260"/>
      <c r="VIB41" s="260"/>
      <c r="VIC41" s="260"/>
      <c r="VID41" s="260"/>
      <c r="VIE41" s="260"/>
      <c r="VIF41" s="260"/>
      <c r="VIG41" s="260"/>
      <c r="VIH41" s="260"/>
      <c r="VII41" s="260"/>
      <c r="VIJ41" s="260"/>
      <c r="VIK41" s="260"/>
      <c r="VIL41" s="260"/>
      <c r="VIM41" s="260"/>
      <c r="VIN41" s="260"/>
      <c r="VIO41" s="260"/>
      <c r="VIP41" s="260"/>
      <c r="VIQ41" s="260"/>
      <c r="VIR41" s="260"/>
      <c r="VIS41" s="260"/>
      <c r="VIT41" s="260"/>
      <c r="VIU41" s="260"/>
      <c r="VIV41" s="260"/>
      <c r="VIW41" s="260"/>
      <c r="VIX41" s="260"/>
      <c r="VIY41" s="260"/>
      <c r="VIZ41" s="260"/>
      <c r="VJA41" s="260"/>
      <c r="VJB41" s="260"/>
      <c r="VJC41" s="260"/>
      <c r="VJD41" s="260"/>
      <c r="VJE41" s="260"/>
      <c r="VJF41" s="260"/>
      <c r="VJG41" s="260"/>
      <c r="VJH41" s="260"/>
      <c r="VJI41" s="260"/>
      <c r="VJJ41" s="260"/>
      <c r="VJK41" s="260"/>
      <c r="VJL41" s="260"/>
      <c r="VJM41" s="260"/>
      <c r="VJN41" s="260"/>
      <c r="VJO41" s="260"/>
      <c r="VJP41" s="260"/>
      <c r="VJQ41" s="260"/>
      <c r="VJR41" s="260"/>
      <c r="VJS41" s="260"/>
      <c r="VJT41" s="260"/>
      <c r="VJU41" s="260"/>
      <c r="VJV41" s="260"/>
      <c r="VJW41" s="260"/>
      <c r="VJX41" s="260"/>
      <c r="VJY41" s="260"/>
      <c r="VJZ41" s="260"/>
      <c r="VKA41" s="260"/>
      <c r="VKB41" s="260"/>
      <c r="VKC41" s="260"/>
      <c r="VKD41" s="260"/>
      <c r="VKE41" s="260"/>
      <c r="VKF41" s="260"/>
      <c r="VKG41" s="260"/>
      <c r="VKH41" s="260"/>
      <c r="VKI41" s="260"/>
      <c r="VKJ41" s="260"/>
      <c r="VKK41" s="260"/>
      <c r="VKL41" s="260"/>
      <c r="VKM41" s="260"/>
      <c r="VKN41" s="260"/>
      <c r="VKO41" s="260"/>
      <c r="VKP41" s="260"/>
      <c r="VKQ41" s="260"/>
      <c r="VKR41" s="260"/>
      <c r="VKS41" s="260"/>
      <c r="VKT41" s="260"/>
      <c r="VKU41" s="260"/>
      <c r="VKV41" s="260"/>
      <c r="VKW41" s="260"/>
      <c r="VKX41" s="260"/>
      <c r="VKY41" s="260"/>
      <c r="VKZ41" s="260"/>
      <c r="VLA41" s="260"/>
      <c r="VLB41" s="260"/>
      <c r="VLC41" s="260"/>
      <c r="VLD41" s="260"/>
      <c r="VLE41" s="260"/>
      <c r="VLF41" s="260"/>
      <c r="VLG41" s="260"/>
      <c r="VLH41" s="260"/>
      <c r="VLI41" s="260"/>
      <c r="VLJ41" s="260"/>
      <c r="VLK41" s="260"/>
      <c r="VLL41" s="260"/>
      <c r="VLM41" s="260"/>
      <c r="VLN41" s="260"/>
      <c r="VLO41" s="260"/>
      <c r="VLP41" s="260"/>
      <c r="VLQ41" s="260"/>
      <c r="VLR41" s="260"/>
      <c r="VLS41" s="260"/>
      <c r="VLT41" s="260"/>
      <c r="VLU41" s="260"/>
      <c r="VLV41" s="260"/>
      <c r="VLW41" s="260"/>
      <c r="VLX41" s="260"/>
      <c r="VLY41" s="260"/>
      <c r="VLZ41" s="260"/>
      <c r="VMA41" s="260"/>
      <c r="VMB41" s="260"/>
      <c r="VMC41" s="260"/>
      <c r="VMD41" s="260"/>
      <c r="VME41" s="260"/>
      <c r="VMF41" s="260"/>
      <c r="VMG41" s="260"/>
      <c r="VMH41" s="260"/>
      <c r="VMI41" s="260"/>
      <c r="VMJ41" s="260"/>
      <c r="VMK41" s="260"/>
      <c r="VML41" s="260"/>
      <c r="VMM41" s="260"/>
      <c r="VMN41" s="260"/>
      <c r="VMO41" s="260"/>
      <c r="VMP41" s="260"/>
      <c r="VMQ41" s="260"/>
      <c r="VMR41" s="260"/>
      <c r="VMS41" s="260"/>
      <c r="VMT41" s="260"/>
      <c r="VMU41" s="260"/>
      <c r="VMV41" s="260"/>
      <c r="VMW41" s="260"/>
      <c r="VMX41" s="260"/>
      <c r="VMY41" s="260"/>
      <c r="VMZ41" s="260"/>
      <c r="VNA41" s="260"/>
      <c r="VNB41" s="260"/>
      <c r="VNC41" s="260"/>
      <c r="VND41" s="260"/>
      <c r="VNE41" s="260"/>
      <c r="VNF41" s="260"/>
      <c r="VNG41" s="260"/>
      <c r="VNH41" s="260"/>
      <c r="VNI41" s="260"/>
      <c r="VNJ41" s="260"/>
      <c r="VNK41" s="260"/>
      <c r="VNL41" s="260"/>
      <c r="VNM41" s="260"/>
      <c r="VNN41" s="260"/>
      <c r="VNO41" s="260"/>
      <c r="VNP41" s="260"/>
      <c r="VNQ41" s="260"/>
      <c r="VNR41" s="260"/>
      <c r="VNS41" s="260"/>
      <c r="VNT41" s="260"/>
      <c r="VNU41" s="260"/>
      <c r="VNV41" s="260"/>
      <c r="VNW41" s="260"/>
      <c r="VNX41" s="260"/>
      <c r="VNY41" s="260"/>
      <c r="VNZ41" s="260"/>
      <c r="VOA41" s="260"/>
      <c r="VOB41" s="260"/>
      <c r="VOC41" s="260"/>
      <c r="VOD41" s="260"/>
      <c r="VOE41" s="260"/>
      <c r="VOF41" s="260"/>
      <c r="VOG41" s="260"/>
      <c r="VOH41" s="260"/>
      <c r="VOI41" s="260"/>
      <c r="VOJ41" s="260"/>
      <c r="VOK41" s="260"/>
      <c r="VOL41" s="260"/>
      <c r="VOM41" s="260"/>
      <c r="VON41" s="260"/>
      <c r="VOO41" s="260"/>
      <c r="VOP41" s="260"/>
      <c r="VOQ41" s="260"/>
      <c r="VOR41" s="260"/>
      <c r="VOS41" s="260"/>
      <c r="VOT41" s="260"/>
      <c r="VOU41" s="260"/>
      <c r="VOV41" s="260"/>
      <c r="VOW41" s="260"/>
      <c r="VOX41" s="260"/>
      <c r="VOY41" s="260"/>
      <c r="VOZ41" s="260"/>
      <c r="VPA41" s="260"/>
      <c r="VPB41" s="260"/>
      <c r="VPC41" s="260"/>
      <c r="VPD41" s="260"/>
      <c r="VPE41" s="260"/>
      <c r="VPF41" s="260"/>
      <c r="VPG41" s="260"/>
      <c r="VPH41" s="260"/>
      <c r="VPI41" s="260"/>
      <c r="VPJ41" s="260"/>
      <c r="VPK41" s="260"/>
      <c r="VPL41" s="260"/>
      <c r="VPM41" s="260"/>
      <c r="VPN41" s="260"/>
      <c r="VPO41" s="260"/>
      <c r="VPP41" s="260"/>
      <c r="VPQ41" s="260"/>
      <c r="VPR41" s="260"/>
      <c r="VPS41" s="260"/>
      <c r="VPT41" s="260"/>
      <c r="VPU41" s="260"/>
      <c r="VPV41" s="260"/>
      <c r="VPW41" s="260"/>
      <c r="VPX41" s="260"/>
      <c r="VPY41" s="260"/>
      <c r="VPZ41" s="260"/>
      <c r="VQA41" s="260"/>
      <c r="VQB41" s="260"/>
      <c r="VQC41" s="260"/>
      <c r="VQD41" s="260"/>
      <c r="VQE41" s="260"/>
      <c r="VQF41" s="260"/>
      <c r="VQG41" s="260"/>
      <c r="VQH41" s="260"/>
      <c r="VQI41" s="260"/>
      <c r="VQJ41" s="260"/>
      <c r="VQK41" s="260"/>
      <c r="VQL41" s="260"/>
      <c r="VQM41" s="260"/>
      <c r="VQN41" s="260"/>
      <c r="VQO41" s="260"/>
      <c r="VQP41" s="260"/>
      <c r="VQQ41" s="260"/>
      <c r="VQR41" s="260"/>
      <c r="VQS41" s="260"/>
      <c r="VQT41" s="260"/>
      <c r="VQU41" s="260"/>
      <c r="VQV41" s="260"/>
      <c r="VQW41" s="260"/>
      <c r="VQX41" s="260"/>
      <c r="VQY41" s="260"/>
      <c r="VQZ41" s="260"/>
      <c r="VRA41" s="260"/>
      <c r="VRB41" s="260"/>
      <c r="VRC41" s="260"/>
      <c r="VRD41" s="260"/>
      <c r="VRE41" s="260"/>
      <c r="VRF41" s="260"/>
      <c r="VRG41" s="260"/>
      <c r="VRH41" s="260"/>
      <c r="VRI41" s="260"/>
      <c r="VRJ41" s="260"/>
      <c r="VRK41" s="260"/>
      <c r="VRL41" s="260"/>
      <c r="VRM41" s="260"/>
      <c r="VRN41" s="260"/>
      <c r="VRO41" s="260"/>
      <c r="VRP41" s="260"/>
      <c r="VRQ41" s="260"/>
      <c r="VRR41" s="260"/>
      <c r="VRS41" s="260"/>
      <c r="VRT41" s="260"/>
      <c r="VRU41" s="260"/>
      <c r="VRV41" s="260"/>
      <c r="VRW41" s="260"/>
      <c r="VRX41" s="260"/>
      <c r="VRY41" s="260"/>
      <c r="VRZ41" s="260"/>
      <c r="VSA41" s="260"/>
      <c r="VSB41" s="260"/>
      <c r="VSC41" s="260"/>
      <c r="VSD41" s="260"/>
      <c r="VSE41" s="260"/>
      <c r="VSF41" s="260"/>
      <c r="VSG41" s="260"/>
      <c r="VSH41" s="260"/>
      <c r="VSI41" s="260"/>
      <c r="VSJ41" s="260"/>
      <c r="VSK41" s="260"/>
      <c r="VSL41" s="260"/>
      <c r="VSM41" s="260"/>
      <c r="VSN41" s="260"/>
      <c r="VSO41" s="260"/>
      <c r="VSP41" s="260"/>
      <c r="VSQ41" s="260"/>
      <c r="VSR41" s="260"/>
      <c r="VSS41" s="260"/>
      <c r="VST41" s="260"/>
      <c r="VSU41" s="260"/>
      <c r="VSV41" s="260"/>
      <c r="VSW41" s="260"/>
      <c r="VSX41" s="260"/>
      <c r="VSY41" s="260"/>
      <c r="VSZ41" s="260"/>
      <c r="VTA41" s="260"/>
      <c r="VTB41" s="260"/>
      <c r="VTC41" s="260"/>
      <c r="VTD41" s="260"/>
      <c r="VTE41" s="260"/>
      <c r="VTF41" s="260"/>
      <c r="VTG41" s="260"/>
      <c r="VTH41" s="260"/>
      <c r="VTI41" s="260"/>
      <c r="VTJ41" s="260"/>
      <c r="VTK41" s="260"/>
      <c r="VTL41" s="260"/>
      <c r="VTM41" s="260"/>
      <c r="VTN41" s="260"/>
      <c r="VTO41" s="260"/>
      <c r="VTP41" s="260"/>
      <c r="VTQ41" s="260"/>
      <c r="VTR41" s="260"/>
      <c r="VTS41" s="260"/>
      <c r="VTT41" s="260"/>
      <c r="VTU41" s="260"/>
      <c r="VTV41" s="260"/>
      <c r="VTW41" s="260"/>
      <c r="VTX41" s="260"/>
      <c r="VTY41" s="260"/>
      <c r="VTZ41" s="260"/>
      <c r="VUA41" s="260"/>
      <c r="VUB41" s="260"/>
      <c r="VUC41" s="260"/>
      <c r="VUD41" s="260"/>
      <c r="VUE41" s="260"/>
      <c r="VUF41" s="260"/>
      <c r="VUG41" s="260"/>
      <c r="VUH41" s="260"/>
      <c r="VUI41" s="260"/>
      <c r="VUJ41" s="260"/>
      <c r="VUK41" s="260"/>
      <c r="VUL41" s="260"/>
      <c r="VUM41" s="260"/>
      <c r="VUN41" s="260"/>
      <c r="VUO41" s="260"/>
      <c r="VUP41" s="260"/>
      <c r="VUQ41" s="260"/>
      <c r="VUR41" s="260"/>
      <c r="VUS41" s="260"/>
      <c r="VUT41" s="260"/>
      <c r="VUU41" s="260"/>
      <c r="VUV41" s="260"/>
      <c r="VUW41" s="260"/>
      <c r="VUX41" s="260"/>
      <c r="VUY41" s="260"/>
      <c r="VUZ41" s="260"/>
      <c r="VVA41" s="260"/>
      <c r="VVB41" s="260"/>
      <c r="VVC41" s="260"/>
      <c r="VVD41" s="260"/>
      <c r="VVE41" s="260"/>
      <c r="VVF41" s="260"/>
      <c r="VVG41" s="260"/>
      <c r="VVH41" s="260"/>
      <c r="VVI41" s="260"/>
      <c r="VVJ41" s="260"/>
      <c r="VVK41" s="260"/>
      <c r="VVL41" s="260"/>
      <c r="VVM41" s="260"/>
      <c r="VVN41" s="260"/>
      <c r="VVO41" s="260"/>
      <c r="VVP41" s="260"/>
      <c r="VVQ41" s="260"/>
      <c r="VVR41" s="260"/>
      <c r="VVS41" s="260"/>
      <c r="VVT41" s="260"/>
      <c r="VVU41" s="260"/>
      <c r="VVV41" s="260"/>
      <c r="VVW41" s="260"/>
      <c r="VVX41" s="260"/>
      <c r="VVY41" s="260"/>
      <c r="VVZ41" s="260"/>
      <c r="VWA41" s="260"/>
      <c r="VWB41" s="260"/>
      <c r="VWC41" s="260"/>
      <c r="VWD41" s="260"/>
      <c r="VWE41" s="260"/>
      <c r="VWF41" s="260"/>
      <c r="VWG41" s="260"/>
      <c r="VWH41" s="260"/>
      <c r="VWI41" s="260"/>
      <c r="VWJ41" s="260"/>
      <c r="VWK41" s="260"/>
      <c r="VWL41" s="260"/>
      <c r="VWM41" s="260"/>
      <c r="VWN41" s="260"/>
      <c r="VWO41" s="260"/>
      <c r="VWP41" s="260"/>
      <c r="VWQ41" s="260"/>
      <c r="VWR41" s="260"/>
      <c r="VWS41" s="260"/>
      <c r="VWT41" s="260"/>
      <c r="VWU41" s="260"/>
      <c r="VWV41" s="260"/>
      <c r="VWW41" s="260"/>
      <c r="VWX41" s="260"/>
      <c r="VWY41" s="260"/>
      <c r="VWZ41" s="260"/>
      <c r="VXA41" s="260"/>
      <c r="VXB41" s="260"/>
      <c r="VXC41" s="260"/>
      <c r="VXD41" s="260"/>
      <c r="VXE41" s="260"/>
      <c r="VXF41" s="260"/>
      <c r="VXG41" s="260"/>
      <c r="VXH41" s="260"/>
      <c r="VXI41" s="260"/>
      <c r="VXJ41" s="260"/>
      <c r="VXK41" s="260"/>
      <c r="VXL41" s="260"/>
      <c r="VXM41" s="260"/>
      <c r="VXN41" s="260"/>
      <c r="VXO41" s="260"/>
      <c r="VXP41" s="260"/>
      <c r="VXQ41" s="260"/>
      <c r="VXR41" s="260"/>
      <c r="VXS41" s="260"/>
      <c r="VXT41" s="260"/>
      <c r="VXU41" s="260"/>
      <c r="VXV41" s="260"/>
      <c r="VXW41" s="260"/>
      <c r="VXX41" s="260"/>
      <c r="VXY41" s="260"/>
      <c r="VXZ41" s="260"/>
      <c r="VYA41" s="260"/>
      <c r="VYB41" s="260"/>
      <c r="VYC41" s="260"/>
      <c r="VYD41" s="260"/>
      <c r="VYE41" s="260"/>
      <c r="VYF41" s="260"/>
      <c r="VYG41" s="260"/>
      <c r="VYH41" s="260"/>
      <c r="VYI41" s="260"/>
      <c r="VYJ41" s="260"/>
      <c r="VYK41" s="260"/>
      <c r="VYL41" s="260"/>
      <c r="VYM41" s="260"/>
      <c r="VYN41" s="260"/>
      <c r="VYO41" s="260"/>
      <c r="VYP41" s="260"/>
      <c r="VYQ41" s="260"/>
      <c r="VYR41" s="260"/>
      <c r="VYS41" s="260"/>
      <c r="VYT41" s="260"/>
      <c r="VYU41" s="260"/>
      <c r="VYV41" s="260"/>
      <c r="VYW41" s="260"/>
      <c r="VYX41" s="260"/>
      <c r="VYY41" s="260"/>
      <c r="VYZ41" s="260"/>
      <c r="VZA41" s="260"/>
      <c r="VZB41" s="260"/>
      <c r="VZC41" s="260"/>
      <c r="VZD41" s="260"/>
      <c r="VZE41" s="260"/>
      <c r="VZF41" s="260"/>
      <c r="VZG41" s="260"/>
      <c r="VZH41" s="260"/>
      <c r="VZI41" s="260"/>
      <c r="VZJ41" s="260"/>
      <c r="VZK41" s="260"/>
      <c r="VZL41" s="260"/>
      <c r="VZM41" s="260"/>
      <c r="VZN41" s="260"/>
      <c r="VZO41" s="260"/>
      <c r="VZP41" s="260"/>
      <c r="VZQ41" s="260"/>
      <c r="VZR41" s="260"/>
      <c r="VZS41" s="260"/>
      <c r="VZT41" s="260"/>
      <c r="VZU41" s="260"/>
      <c r="VZV41" s="260"/>
      <c r="VZW41" s="260"/>
      <c r="VZX41" s="260"/>
      <c r="VZY41" s="260"/>
      <c r="VZZ41" s="260"/>
      <c r="WAA41" s="260"/>
      <c r="WAB41" s="260"/>
      <c r="WAC41" s="260"/>
      <c r="WAD41" s="260"/>
      <c r="WAE41" s="260"/>
      <c r="WAF41" s="260"/>
      <c r="WAG41" s="260"/>
      <c r="WAH41" s="260"/>
      <c r="WAI41" s="260"/>
      <c r="WAJ41" s="260"/>
      <c r="WAK41" s="260"/>
      <c r="WAL41" s="260"/>
      <c r="WAM41" s="260"/>
      <c r="WAN41" s="260"/>
      <c r="WAO41" s="260"/>
      <c r="WAP41" s="260"/>
      <c r="WAQ41" s="260"/>
      <c r="WAR41" s="260"/>
      <c r="WAS41" s="260"/>
      <c r="WAT41" s="260"/>
      <c r="WAU41" s="260"/>
      <c r="WAV41" s="260"/>
      <c r="WAW41" s="260"/>
      <c r="WAX41" s="260"/>
      <c r="WAY41" s="260"/>
      <c r="WAZ41" s="260"/>
      <c r="WBA41" s="260"/>
      <c r="WBB41" s="260"/>
      <c r="WBC41" s="260"/>
      <c r="WBD41" s="260"/>
      <c r="WBE41" s="260"/>
      <c r="WBF41" s="260"/>
      <c r="WBG41" s="260"/>
      <c r="WBH41" s="260"/>
      <c r="WBI41" s="260"/>
      <c r="WBJ41" s="260"/>
      <c r="WBK41" s="260"/>
      <c r="WBL41" s="260"/>
      <c r="WBM41" s="260"/>
      <c r="WBN41" s="260"/>
      <c r="WBO41" s="260"/>
      <c r="WBP41" s="260"/>
      <c r="WBQ41" s="260"/>
      <c r="WBR41" s="260"/>
      <c r="WBS41" s="260"/>
      <c r="WBT41" s="260"/>
      <c r="WBU41" s="260"/>
      <c r="WBV41" s="260"/>
      <c r="WBW41" s="260"/>
      <c r="WBX41" s="260"/>
      <c r="WBY41" s="260"/>
      <c r="WBZ41" s="260"/>
      <c r="WCA41" s="260"/>
      <c r="WCB41" s="260"/>
      <c r="WCC41" s="260"/>
      <c r="WCD41" s="260"/>
      <c r="WCE41" s="260"/>
      <c r="WCF41" s="260"/>
      <c r="WCG41" s="260"/>
      <c r="WCH41" s="260"/>
      <c r="WCI41" s="260"/>
      <c r="WCJ41" s="260"/>
      <c r="WCK41" s="260"/>
      <c r="WCL41" s="260"/>
      <c r="WCM41" s="260"/>
      <c r="WCN41" s="260"/>
      <c r="WCO41" s="260"/>
      <c r="WCP41" s="260"/>
      <c r="WCQ41" s="260"/>
      <c r="WCR41" s="260"/>
      <c r="WCS41" s="260"/>
      <c r="WCT41" s="260"/>
      <c r="WCU41" s="260"/>
      <c r="WCV41" s="260"/>
      <c r="WCW41" s="260"/>
      <c r="WCX41" s="260"/>
      <c r="WCY41" s="260"/>
      <c r="WCZ41" s="260"/>
      <c r="WDA41" s="260"/>
      <c r="WDB41" s="260"/>
      <c r="WDC41" s="260"/>
      <c r="WDD41" s="260"/>
      <c r="WDE41" s="260"/>
      <c r="WDF41" s="260"/>
      <c r="WDG41" s="260"/>
      <c r="WDH41" s="260"/>
      <c r="WDI41" s="260"/>
      <c r="WDJ41" s="260"/>
      <c r="WDK41" s="260"/>
      <c r="WDL41" s="260"/>
      <c r="WDM41" s="260"/>
      <c r="WDN41" s="260"/>
      <c r="WDO41" s="260"/>
      <c r="WDP41" s="260"/>
      <c r="WDQ41" s="260"/>
      <c r="WDR41" s="260"/>
      <c r="WDS41" s="260"/>
      <c r="WDT41" s="260"/>
      <c r="WDU41" s="260"/>
      <c r="WDV41" s="260"/>
      <c r="WDW41" s="260"/>
      <c r="WDX41" s="260"/>
      <c r="WDY41" s="260"/>
      <c r="WDZ41" s="260"/>
      <c r="WEA41" s="260"/>
      <c r="WEB41" s="260"/>
      <c r="WEC41" s="260"/>
      <c r="WED41" s="260"/>
      <c r="WEE41" s="260"/>
      <c r="WEF41" s="260"/>
      <c r="WEG41" s="260"/>
      <c r="WEH41" s="260"/>
      <c r="WEI41" s="260"/>
      <c r="WEJ41" s="260"/>
      <c r="WEK41" s="260"/>
      <c r="WEL41" s="260"/>
      <c r="WEM41" s="260"/>
      <c r="WEN41" s="260"/>
      <c r="WEO41" s="260"/>
      <c r="WEP41" s="260"/>
      <c r="WEQ41" s="260"/>
      <c r="WER41" s="260"/>
      <c r="WES41" s="260"/>
      <c r="WET41" s="260"/>
      <c r="WEU41" s="260"/>
      <c r="WEV41" s="260"/>
      <c r="WEW41" s="260"/>
      <c r="WEX41" s="260"/>
      <c r="WEY41" s="260"/>
      <c r="WEZ41" s="260"/>
      <c r="WFA41" s="260"/>
      <c r="WFB41" s="260"/>
      <c r="WFC41" s="260"/>
      <c r="WFD41" s="260"/>
      <c r="WFE41" s="260"/>
      <c r="WFF41" s="260"/>
      <c r="WFG41" s="260"/>
      <c r="WFH41" s="260"/>
      <c r="WFI41" s="260"/>
      <c r="WFJ41" s="260"/>
      <c r="WFK41" s="260"/>
      <c r="WFL41" s="260"/>
      <c r="WFM41" s="260"/>
      <c r="WFN41" s="260"/>
      <c r="WFO41" s="260"/>
      <c r="WFP41" s="260"/>
      <c r="WFQ41" s="260"/>
      <c r="WFR41" s="260"/>
      <c r="WFS41" s="260"/>
      <c r="WFT41" s="260"/>
      <c r="WFU41" s="260"/>
      <c r="WFV41" s="260"/>
      <c r="WFW41" s="260"/>
      <c r="WFX41" s="260"/>
      <c r="WFY41" s="260"/>
      <c r="WFZ41" s="260"/>
      <c r="WGA41" s="260"/>
      <c r="WGB41" s="260"/>
      <c r="WGC41" s="260"/>
      <c r="WGD41" s="260"/>
      <c r="WGE41" s="260"/>
      <c r="WGF41" s="260"/>
      <c r="WGG41" s="260"/>
      <c r="WGH41" s="260"/>
      <c r="WGI41" s="260"/>
      <c r="WGJ41" s="260"/>
      <c r="WGK41" s="260"/>
      <c r="WGL41" s="260"/>
      <c r="WGM41" s="260"/>
      <c r="WGN41" s="260"/>
      <c r="WGO41" s="260"/>
      <c r="WGP41" s="260"/>
      <c r="WGQ41" s="260"/>
      <c r="WGR41" s="260"/>
      <c r="WGS41" s="260"/>
      <c r="WGT41" s="260"/>
      <c r="WGU41" s="260"/>
      <c r="WGV41" s="260"/>
      <c r="WGW41" s="260"/>
      <c r="WGX41" s="260"/>
      <c r="WGY41" s="260"/>
      <c r="WGZ41" s="260"/>
      <c r="WHA41" s="260"/>
      <c r="WHB41" s="260"/>
      <c r="WHC41" s="260"/>
      <c r="WHD41" s="260"/>
      <c r="WHE41" s="260"/>
      <c r="WHF41" s="260"/>
      <c r="WHG41" s="260"/>
      <c r="WHH41" s="260"/>
      <c r="WHI41" s="260"/>
      <c r="WHJ41" s="260"/>
      <c r="WHK41" s="260"/>
      <c r="WHL41" s="260"/>
      <c r="WHM41" s="260"/>
      <c r="WHN41" s="260"/>
      <c r="WHO41" s="260"/>
      <c r="WHP41" s="260"/>
      <c r="WHQ41" s="260"/>
      <c r="WHR41" s="260"/>
      <c r="WHS41" s="260"/>
      <c r="WHT41" s="260"/>
      <c r="WHU41" s="260"/>
      <c r="WHV41" s="260"/>
      <c r="WHW41" s="260"/>
      <c r="WHX41" s="260"/>
      <c r="WHY41" s="260"/>
      <c r="WHZ41" s="260"/>
      <c r="WIA41" s="260"/>
      <c r="WIB41" s="260"/>
      <c r="WIC41" s="260"/>
      <c r="WID41" s="260"/>
      <c r="WIE41" s="260"/>
      <c r="WIF41" s="260"/>
      <c r="WIG41" s="260"/>
      <c r="WIH41" s="260"/>
      <c r="WII41" s="260"/>
      <c r="WIJ41" s="260"/>
      <c r="WIK41" s="260"/>
      <c r="WIL41" s="260"/>
      <c r="WIM41" s="260"/>
      <c r="WIN41" s="260"/>
      <c r="WIO41" s="260"/>
      <c r="WIP41" s="260"/>
      <c r="WIQ41" s="260"/>
      <c r="WIR41" s="260"/>
      <c r="WIS41" s="260"/>
      <c r="WIT41" s="260"/>
      <c r="WIU41" s="260"/>
      <c r="WIV41" s="260"/>
      <c r="WIW41" s="260"/>
      <c r="WIX41" s="260"/>
      <c r="WIY41" s="260"/>
      <c r="WIZ41" s="260"/>
      <c r="WJA41" s="260"/>
      <c r="WJB41" s="260"/>
      <c r="WJC41" s="260"/>
      <c r="WJD41" s="260"/>
      <c r="WJE41" s="260"/>
      <c r="WJF41" s="260"/>
      <c r="WJG41" s="260"/>
      <c r="WJH41" s="260"/>
      <c r="WJI41" s="260"/>
      <c r="WJJ41" s="260"/>
      <c r="WJK41" s="260"/>
      <c r="WJL41" s="260"/>
      <c r="WJM41" s="260"/>
      <c r="WJN41" s="260"/>
      <c r="WJO41" s="260"/>
      <c r="WJP41" s="260"/>
      <c r="WJQ41" s="260"/>
      <c r="WJR41" s="260"/>
      <c r="WJS41" s="260"/>
      <c r="WJT41" s="260"/>
      <c r="WJU41" s="260"/>
      <c r="WJV41" s="260"/>
      <c r="WJW41" s="260"/>
      <c r="WJX41" s="260"/>
      <c r="WJY41" s="260"/>
      <c r="WJZ41" s="260"/>
      <c r="WKA41" s="260"/>
      <c r="WKB41" s="260"/>
      <c r="WKC41" s="260"/>
      <c r="WKD41" s="260"/>
      <c r="WKE41" s="260"/>
      <c r="WKF41" s="260"/>
      <c r="WKG41" s="260"/>
      <c r="WKH41" s="260"/>
      <c r="WKI41" s="260"/>
      <c r="WKJ41" s="260"/>
      <c r="WKK41" s="260"/>
      <c r="WKL41" s="260"/>
      <c r="WKM41" s="260"/>
      <c r="WKN41" s="260"/>
      <c r="WKO41" s="260"/>
      <c r="WKP41" s="260"/>
      <c r="WKQ41" s="260"/>
      <c r="WKR41" s="260"/>
      <c r="WKS41" s="260"/>
      <c r="WKT41" s="260"/>
      <c r="WKU41" s="260"/>
      <c r="WKV41" s="260"/>
      <c r="WKW41" s="260"/>
      <c r="WKX41" s="260"/>
      <c r="WKY41" s="260"/>
      <c r="WKZ41" s="260"/>
      <c r="WLA41" s="260"/>
      <c r="WLB41" s="260"/>
      <c r="WLC41" s="260"/>
      <c r="WLD41" s="260"/>
      <c r="WLE41" s="260"/>
      <c r="WLF41" s="260"/>
      <c r="WLG41" s="260"/>
      <c r="WLH41" s="260"/>
      <c r="WLI41" s="260"/>
      <c r="WLJ41" s="260"/>
      <c r="WLK41" s="260"/>
      <c r="WLL41" s="260"/>
      <c r="WLM41" s="260"/>
      <c r="WLN41" s="260"/>
      <c r="WLO41" s="260"/>
      <c r="WLP41" s="260"/>
      <c r="WLQ41" s="260"/>
      <c r="WLR41" s="260"/>
      <c r="WLS41" s="260"/>
      <c r="WLT41" s="260"/>
      <c r="WLU41" s="260"/>
      <c r="WLV41" s="260"/>
      <c r="WLW41" s="260"/>
      <c r="WLX41" s="260"/>
      <c r="WLY41" s="260"/>
      <c r="WLZ41" s="260"/>
      <c r="WMA41" s="260"/>
      <c r="WMB41" s="260"/>
      <c r="WMC41" s="260"/>
      <c r="WMD41" s="260"/>
      <c r="WME41" s="260"/>
      <c r="WMF41" s="260"/>
      <c r="WMG41" s="260"/>
      <c r="WMH41" s="260"/>
      <c r="WMI41" s="260"/>
      <c r="WMJ41" s="260"/>
      <c r="WMK41" s="260"/>
      <c r="WML41" s="260"/>
      <c r="WMM41" s="260"/>
      <c r="WMN41" s="260"/>
      <c r="WMO41" s="260"/>
      <c r="WMP41" s="260"/>
      <c r="WMQ41" s="260"/>
      <c r="WMR41" s="260"/>
      <c r="WMS41" s="260"/>
      <c r="WMT41" s="260"/>
      <c r="WMU41" s="260"/>
      <c r="WMV41" s="260"/>
      <c r="WMW41" s="260"/>
      <c r="WMX41" s="260"/>
      <c r="WMY41" s="260"/>
      <c r="WMZ41" s="260"/>
      <c r="WNA41" s="260"/>
      <c r="WNB41" s="260"/>
      <c r="WNC41" s="260"/>
      <c r="WND41" s="260"/>
      <c r="WNE41" s="260"/>
      <c r="WNF41" s="260"/>
      <c r="WNG41" s="260"/>
      <c r="WNH41" s="260"/>
      <c r="WNI41" s="260"/>
      <c r="WNJ41" s="260"/>
      <c r="WNK41" s="260"/>
      <c r="WNL41" s="260"/>
      <c r="WNM41" s="260"/>
      <c r="WNN41" s="260"/>
      <c r="WNO41" s="260"/>
      <c r="WNP41" s="260"/>
      <c r="WNQ41" s="260"/>
      <c r="WNR41" s="260"/>
      <c r="WNS41" s="260"/>
      <c r="WNT41" s="260"/>
      <c r="WNU41" s="260"/>
      <c r="WNV41" s="260"/>
      <c r="WNW41" s="260"/>
      <c r="WNX41" s="260"/>
      <c r="WNY41" s="260"/>
      <c r="WNZ41" s="260"/>
      <c r="WOA41" s="260"/>
      <c r="WOB41" s="260"/>
      <c r="WOC41" s="260"/>
      <c r="WOD41" s="260"/>
      <c r="WOE41" s="260"/>
      <c r="WOF41" s="260"/>
      <c r="WOG41" s="260"/>
      <c r="WOH41" s="260"/>
      <c r="WOI41" s="260"/>
      <c r="WOJ41" s="260"/>
      <c r="WOK41" s="260"/>
      <c r="WOL41" s="260"/>
      <c r="WOM41" s="260"/>
      <c r="WON41" s="260"/>
      <c r="WOO41" s="260"/>
      <c r="WOP41" s="260"/>
      <c r="WOQ41" s="260"/>
      <c r="WOR41" s="260"/>
      <c r="WOS41" s="260"/>
      <c r="WOT41" s="260"/>
      <c r="WOU41" s="260"/>
      <c r="WOV41" s="260"/>
      <c r="WOW41" s="260"/>
      <c r="WOX41" s="260"/>
      <c r="WOY41" s="260"/>
      <c r="WOZ41" s="260"/>
      <c r="WPA41" s="260"/>
      <c r="WPB41" s="260"/>
      <c r="WPC41" s="260"/>
      <c r="WPD41" s="260"/>
      <c r="WPE41" s="260"/>
      <c r="WPF41" s="260"/>
      <c r="WPG41" s="260"/>
      <c r="WPH41" s="260"/>
      <c r="WPI41" s="260"/>
      <c r="WPJ41" s="260"/>
      <c r="WPK41" s="260"/>
      <c r="WPL41" s="260"/>
      <c r="WPM41" s="260"/>
      <c r="WPN41" s="260"/>
      <c r="WPO41" s="260"/>
      <c r="WPP41" s="260"/>
      <c r="WPQ41" s="260"/>
      <c r="WPR41" s="260"/>
      <c r="WPS41" s="260"/>
      <c r="WPT41" s="260"/>
      <c r="WPU41" s="260"/>
      <c r="WPV41" s="260"/>
      <c r="WPW41" s="260"/>
      <c r="WPX41" s="260"/>
      <c r="WPY41" s="260"/>
      <c r="WPZ41" s="260"/>
      <c r="WQA41" s="260"/>
      <c r="WQB41" s="260"/>
      <c r="WQC41" s="260"/>
      <c r="WQD41" s="260"/>
      <c r="WQE41" s="260"/>
      <c r="WQF41" s="260"/>
      <c r="WQG41" s="260"/>
      <c r="WQH41" s="260"/>
      <c r="WQI41" s="260"/>
      <c r="WQJ41" s="260"/>
      <c r="WQK41" s="260"/>
      <c r="WQL41" s="260"/>
      <c r="WQM41" s="260"/>
      <c r="WQN41" s="260"/>
      <c r="WQO41" s="260"/>
      <c r="WQP41" s="260"/>
      <c r="WQQ41" s="260"/>
      <c r="WQR41" s="260"/>
      <c r="WQS41" s="260"/>
      <c r="WQT41" s="260"/>
      <c r="WQU41" s="260"/>
      <c r="WQV41" s="260"/>
      <c r="WQW41" s="260"/>
      <c r="WQX41" s="260"/>
      <c r="WQY41" s="260"/>
      <c r="WQZ41" s="260"/>
      <c r="WRA41" s="260"/>
      <c r="WRB41" s="260"/>
      <c r="WRC41" s="260"/>
      <c r="WRD41" s="260"/>
      <c r="WRE41" s="260"/>
      <c r="WRF41" s="260"/>
      <c r="WRG41" s="260"/>
      <c r="WRH41" s="260"/>
      <c r="WRI41" s="260"/>
      <c r="WRJ41" s="260"/>
      <c r="WRK41" s="260"/>
      <c r="WRL41" s="260"/>
      <c r="WRM41" s="260"/>
      <c r="WRN41" s="260"/>
      <c r="WRO41" s="260"/>
      <c r="WRP41" s="260"/>
      <c r="WRQ41" s="260"/>
      <c r="WRR41" s="260"/>
      <c r="WRS41" s="260"/>
      <c r="WRT41" s="260"/>
      <c r="WRU41" s="260"/>
      <c r="WRV41" s="260"/>
      <c r="WRW41" s="260"/>
      <c r="WRX41" s="260"/>
      <c r="WRY41" s="260"/>
      <c r="WRZ41" s="260"/>
      <c r="WSA41" s="260"/>
      <c r="WSB41" s="260"/>
      <c r="WSC41" s="260"/>
      <c r="WSD41" s="260"/>
      <c r="WSE41" s="260"/>
      <c r="WSF41" s="260"/>
      <c r="WSG41" s="260"/>
      <c r="WSH41" s="260"/>
      <c r="WSI41" s="260"/>
      <c r="WSJ41" s="260"/>
      <c r="WSK41" s="260"/>
      <c r="WSL41" s="260"/>
      <c r="WSM41" s="260"/>
      <c r="WSN41" s="260"/>
      <c r="WSO41" s="260"/>
      <c r="WSP41" s="260"/>
      <c r="WSQ41" s="260"/>
      <c r="WSR41" s="260"/>
      <c r="WSS41" s="260"/>
      <c r="WST41" s="260"/>
      <c r="WSU41" s="260"/>
      <c r="WSV41" s="260"/>
      <c r="WSW41" s="260"/>
      <c r="WSX41" s="260"/>
      <c r="WSY41" s="260"/>
      <c r="WSZ41" s="260"/>
      <c r="WTA41" s="260"/>
      <c r="WTB41" s="260"/>
      <c r="WTC41" s="260"/>
      <c r="WTD41" s="260"/>
      <c r="WTE41" s="260"/>
      <c r="WTF41" s="260"/>
      <c r="WTG41" s="260"/>
      <c r="WTH41" s="260"/>
      <c r="WTI41" s="260"/>
      <c r="WTJ41" s="260"/>
      <c r="WTK41" s="260"/>
      <c r="WTL41" s="260"/>
      <c r="WTM41" s="260"/>
      <c r="WTN41" s="260"/>
      <c r="WTO41" s="260"/>
      <c r="WTP41" s="260"/>
      <c r="WTQ41" s="260"/>
      <c r="WTR41" s="260"/>
      <c r="WTS41" s="260"/>
      <c r="WTT41" s="260"/>
      <c r="WTU41" s="260"/>
      <c r="WTV41" s="260"/>
      <c r="WTW41" s="260"/>
      <c r="WTX41" s="260"/>
      <c r="WTY41" s="260"/>
      <c r="WTZ41" s="260"/>
      <c r="WUA41" s="260"/>
      <c r="WUB41" s="260"/>
      <c r="WUC41" s="260"/>
      <c r="WUD41" s="260"/>
      <c r="WUE41" s="260"/>
      <c r="WUF41" s="260"/>
      <c r="WUG41" s="260"/>
      <c r="WUH41" s="260"/>
      <c r="WUI41" s="260"/>
      <c r="WUJ41" s="260"/>
      <c r="WUK41" s="260"/>
      <c r="WUL41" s="260"/>
      <c r="WUM41" s="260"/>
      <c r="WUN41" s="260"/>
      <c r="WUO41" s="260"/>
      <c r="WUP41" s="260"/>
      <c r="WUQ41" s="260"/>
      <c r="WUR41" s="260"/>
      <c r="WUS41" s="260"/>
      <c r="WUT41" s="260"/>
      <c r="WUU41" s="260"/>
      <c r="WUV41" s="260"/>
      <c r="WUW41" s="260"/>
      <c r="WUX41" s="260"/>
      <c r="WUY41" s="260"/>
      <c r="WUZ41" s="260"/>
      <c r="WVA41" s="260"/>
      <c r="WVB41" s="260"/>
      <c r="WVC41" s="260"/>
      <c r="WVD41" s="260"/>
      <c r="WVE41" s="260"/>
      <c r="WVF41" s="260"/>
      <c r="WVG41" s="260"/>
      <c r="WVH41" s="260"/>
      <c r="WVI41" s="260"/>
      <c r="WVJ41" s="260"/>
      <c r="WVK41" s="260"/>
      <c r="WVL41" s="260"/>
      <c r="WVM41" s="260"/>
      <c r="WVN41" s="260"/>
      <c r="WVO41" s="260"/>
      <c r="WVP41" s="260"/>
      <c r="WVQ41" s="260"/>
      <c r="WVR41" s="260"/>
      <c r="WVS41" s="260"/>
      <c r="WVT41" s="260"/>
      <c r="WVU41" s="260"/>
      <c r="WVV41" s="260"/>
      <c r="WVW41" s="260"/>
      <c r="WVX41" s="260"/>
      <c r="WVY41" s="260"/>
      <c r="WVZ41" s="260"/>
      <c r="WWA41" s="260"/>
      <c r="WWB41" s="260"/>
      <c r="WWC41" s="260"/>
      <c r="WWD41" s="260"/>
      <c r="WWE41" s="260"/>
      <c r="WWF41" s="260"/>
      <c r="WWG41" s="260"/>
      <c r="WWH41" s="260"/>
      <c r="WWI41" s="260"/>
      <c r="WWJ41" s="260"/>
      <c r="WWK41" s="260"/>
      <c r="WWL41" s="260"/>
      <c r="WWM41" s="260"/>
      <c r="WWN41" s="260"/>
      <c r="WWO41" s="260"/>
      <c r="WWP41" s="260"/>
      <c r="WWQ41" s="260"/>
      <c r="WWR41" s="260"/>
      <c r="WWS41" s="260"/>
      <c r="WWT41" s="260"/>
      <c r="WWU41" s="260"/>
      <c r="WWV41" s="260"/>
      <c r="WWW41" s="260"/>
      <c r="WWX41" s="260"/>
      <c r="WWY41" s="260"/>
      <c r="WWZ41" s="260"/>
      <c r="WXA41" s="260"/>
      <c r="WXB41" s="260"/>
      <c r="WXC41" s="260"/>
      <c r="WXD41" s="260"/>
      <c r="WXE41" s="260"/>
      <c r="WXF41" s="260"/>
      <c r="WXG41" s="260"/>
      <c r="WXH41" s="260"/>
      <c r="WXI41" s="260"/>
      <c r="WXJ41" s="260"/>
      <c r="WXK41" s="260"/>
      <c r="WXL41" s="260"/>
      <c r="WXM41" s="260"/>
      <c r="WXN41" s="260"/>
      <c r="WXO41" s="260"/>
      <c r="WXP41" s="260"/>
      <c r="WXQ41" s="260"/>
      <c r="WXR41" s="260"/>
      <c r="WXS41" s="260"/>
      <c r="WXT41" s="260"/>
      <c r="WXU41" s="260"/>
      <c r="WXV41" s="260"/>
      <c r="WXW41" s="260"/>
      <c r="WXX41" s="260"/>
      <c r="WXY41" s="260"/>
      <c r="WXZ41" s="260"/>
      <c r="WYA41" s="260"/>
      <c r="WYB41" s="260"/>
      <c r="WYC41" s="260"/>
      <c r="WYD41" s="260"/>
      <c r="WYE41" s="260"/>
      <c r="WYF41" s="260"/>
      <c r="WYG41" s="260"/>
      <c r="WYH41" s="260"/>
      <c r="WYI41" s="260"/>
      <c r="WYJ41" s="260"/>
      <c r="WYK41" s="260"/>
      <c r="WYL41" s="260"/>
      <c r="WYM41" s="260"/>
      <c r="WYN41" s="260"/>
      <c r="WYO41" s="260"/>
      <c r="WYP41" s="260"/>
      <c r="WYQ41" s="260"/>
      <c r="WYR41" s="260"/>
      <c r="WYS41" s="260"/>
      <c r="WYT41" s="260"/>
      <c r="WYU41" s="260"/>
      <c r="WYV41" s="260"/>
      <c r="WYW41" s="260"/>
      <c r="WYX41" s="260"/>
      <c r="WYY41" s="260"/>
      <c r="WYZ41" s="260"/>
      <c r="WZA41" s="260"/>
      <c r="WZB41" s="260"/>
      <c r="WZC41" s="260"/>
      <c r="WZD41" s="260"/>
      <c r="WZE41" s="260"/>
      <c r="WZF41" s="260"/>
      <c r="WZG41" s="260"/>
      <c r="WZH41" s="260"/>
      <c r="WZI41" s="260"/>
      <c r="WZJ41" s="260"/>
      <c r="WZK41" s="260"/>
      <c r="WZL41" s="260"/>
      <c r="WZM41" s="260"/>
      <c r="WZN41" s="260"/>
      <c r="WZO41" s="260"/>
      <c r="WZP41" s="260"/>
      <c r="WZQ41" s="260"/>
      <c r="WZR41" s="260"/>
      <c r="WZS41" s="260"/>
      <c r="WZT41" s="260"/>
      <c r="WZU41" s="260"/>
      <c r="WZV41" s="260"/>
      <c r="WZW41" s="260"/>
      <c r="WZX41" s="260"/>
      <c r="WZY41" s="260"/>
      <c r="WZZ41" s="260"/>
      <c r="XAA41" s="260"/>
      <c r="XAB41" s="260"/>
      <c r="XAC41" s="260"/>
      <c r="XAD41" s="260"/>
      <c r="XAE41" s="260"/>
      <c r="XAF41" s="260"/>
      <c r="XAG41" s="260"/>
      <c r="XAH41" s="260"/>
      <c r="XAI41" s="260"/>
      <c r="XAJ41" s="260"/>
      <c r="XAK41" s="260"/>
      <c r="XAL41" s="260"/>
      <c r="XAM41" s="260"/>
      <c r="XAN41" s="260"/>
      <c r="XAO41" s="260"/>
      <c r="XAP41" s="260"/>
      <c r="XAQ41" s="260"/>
      <c r="XAR41" s="260"/>
      <c r="XAS41" s="260"/>
      <c r="XAT41" s="260"/>
      <c r="XAU41" s="260"/>
      <c r="XAV41" s="260"/>
      <c r="XAW41" s="260"/>
      <c r="XAX41" s="260"/>
      <c r="XAY41" s="260"/>
      <c r="XAZ41" s="260"/>
      <c r="XBA41" s="260"/>
      <c r="XBB41" s="260"/>
      <c r="XBC41" s="260"/>
      <c r="XBD41" s="260"/>
      <c r="XBE41" s="260"/>
      <c r="XBF41" s="260"/>
      <c r="XBG41" s="260"/>
      <c r="XBH41" s="260"/>
      <c r="XBI41" s="260"/>
      <c r="XBJ41" s="260"/>
      <c r="XBK41" s="260"/>
      <c r="XBL41" s="260"/>
      <c r="XBM41" s="260"/>
      <c r="XBN41" s="260"/>
      <c r="XBO41" s="260"/>
      <c r="XBP41" s="260"/>
      <c r="XBQ41" s="260"/>
      <c r="XBR41" s="260"/>
      <c r="XBS41" s="260"/>
      <c r="XBT41" s="260"/>
      <c r="XBU41" s="260"/>
      <c r="XBV41" s="260"/>
      <c r="XBW41" s="260"/>
      <c r="XBX41" s="260"/>
      <c r="XBY41" s="260"/>
      <c r="XBZ41" s="260"/>
      <c r="XCA41" s="260"/>
      <c r="XCB41" s="260"/>
      <c r="XCC41" s="260"/>
      <c r="XCD41" s="260"/>
      <c r="XCE41" s="260"/>
      <c r="XCF41" s="260"/>
      <c r="XCG41" s="260"/>
      <c r="XCH41" s="260"/>
      <c r="XCI41" s="260"/>
      <c r="XCJ41" s="260"/>
      <c r="XCK41" s="260"/>
      <c r="XCL41" s="260"/>
      <c r="XCM41" s="260"/>
      <c r="XCN41" s="260"/>
      <c r="XCO41" s="260"/>
      <c r="XCP41" s="260"/>
      <c r="XCQ41" s="260"/>
      <c r="XCR41" s="260"/>
      <c r="XCS41" s="260"/>
      <c r="XCT41" s="260"/>
      <c r="XCU41" s="260"/>
      <c r="XCV41" s="260"/>
      <c r="XCW41" s="260"/>
      <c r="XCX41" s="260"/>
      <c r="XCY41" s="260"/>
      <c r="XCZ41" s="260"/>
      <c r="XDA41" s="260"/>
      <c r="XDB41" s="260"/>
      <c r="XDC41" s="260"/>
      <c r="XDD41" s="260"/>
      <c r="XDE41" s="260"/>
      <c r="XDF41" s="260"/>
      <c r="XDG41" s="260"/>
      <c r="XDH41" s="260"/>
      <c r="XDI41" s="260"/>
      <c r="XDJ41" s="260"/>
      <c r="XDK41" s="260"/>
      <c r="XDL41" s="260"/>
      <c r="XDM41" s="260"/>
      <c r="XDN41" s="260"/>
      <c r="XDO41" s="260"/>
      <c r="XDP41" s="260"/>
      <c r="XDQ41" s="260"/>
      <c r="XDR41" s="260"/>
      <c r="XDS41" s="260"/>
      <c r="XDT41" s="260"/>
      <c r="XDU41" s="260"/>
      <c r="XDV41" s="260"/>
      <c r="XDW41" s="260"/>
      <c r="XDX41" s="260"/>
      <c r="XDY41" s="260"/>
      <c r="XDZ41" s="260"/>
      <c r="XEA41" s="260"/>
      <c r="XEB41" s="260"/>
      <c r="XEC41" s="260"/>
      <c r="XED41" s="260"/>
      <c r="XEE41" s="260"/>
      <c r="XEF41" s="260"/>
      <c r="XEG41" s="260"/>
      <c r="XEH41" s="260"/>
      <c r="XEI41" s="260"/>
      <c r="XEJ41" s="260"/>
      <c r="XEK41" s="260"/>
      <c r="XEL41" s="260"/>
      <c r="XEM41" s="260"/>
      <c r="XEN41" s="260"/>
      <c r="XEO41" s="260"/>
      <c r="XEP41" s="260"/>
      <c r="XEQ41" s="260"/>
      <c r="XER41" s="260"/>
      <c r="XES41" s="260"/>
      <c r="XET41" s="260"/>
      <c r="XEU41" s="260"/>
      <c r="XEV41" s="260"/>
      <c r="XEW41" s="260"/>
      <c r="XEX41" s="260"/>
      <c r="XEY41" s="260"/>
      <c r="XEZ41" s="260"/>
      <c r="XFA41" s="260"/>
      <c r="XFB41" s="260"/>
      <c r="XFC41" s="260"/>
      <c r="XFD41" s="260"/>
    </row>
    <row r="42" spans="1:16384" ht="15" customHeight="1" thickTop="1" thickBot="1">
      <c r="A42" s="466"/>
      <c r="B42" s="466"/>
      <c r="C42" s="467"/>
      <c r="D42" s="467"/>
      <c r="E42" s="468"/>
      <c r="F42" s="515">
        <f>SUM(F10:F40)</f>
        <v>0</v>
      </c>
      <c r="G42" s="515">
        <f>IFERROR((F42/$L$42),0)</f>
        <v>0</v>
      </c>
      <c r="H42" s="515">
        <f>IFERROR(((F42*H$9)/$L$42),0)</f>
        <v>0</v>
      </c>
      <c r="I42" s="515">
        <f>SUM(I10:I40)</f>
        <v>3767.4418604651169</v>
      </c>
      <c r="J42" s="515">
        <f>IFERROR((I42/$L$42),0)</f>
        <v>0</v>
      </c>
      <c r="K42" s="515">
        <f>IFERROR(((I42*K$9)/$L$42),0)</f>
        <v>0</v>
      </c>
      <c r="L42" s="515">
        <f>SUM(L10:L40)</f>
        <v>0</v>
      </c>
      <c r="M42" s="515">
        <f>IFERROR((L42/$L$42),0)</f>
        <v>0</v>
      </c>
      <c r="N42" s="515">
        <f>IFERROR(((L42*N$9)/$L$42),0)</f>
        <v>0</v>
      </c>
      <c r="O42" s="515">
        <f>SUM(O10:O40)</f>
        <v>540</v>
      </c>
      <c r="P42" s="515">
        <f>IFERROR((O42/$L$42),0)</f>
        <v>0</v>
      </c>
      <c r="Q42" s="515">
        <f>IFERROR(((O42*Q$9)/$L$42),0)</f>
        <v>0</v>
      </c>
      <c r="R42" s="515">
        <f>SUM(R10:R40)</f>
        <v>184.5</v>
      </c>
      <c r="S42" s="515">
        <f>IFERROR((R42/$L$42),0)</f>
        <v>0</v>
      </c>
      <c r="T42" s="515">
        <f>IFERROR(((R42*T$9)/$L$42),0)</f>
        <v>0</v>
      </c>
      <c r="U42" s="515">
        <f>SUM(U10:U40)</f>
        <v>198.43749999999994</v>
      </c>
      <c r="V42" s="515">
        <f>IFERROR((U42/$L$42),0)</f>
        <v>0</v>
      </c>
      <c r="W42" s="515">
        <f>IFERROR(((U42*W$9)/$L$42),0)</f>
        <v>0</v>
      </c>
      <c r="X42" s="515">
        <f>SUM(X10:X40)</f>
        <v>0</v>
      </c>
      <c r="Y42" s="515">
        <f>IFERROR((X42/$L$42),0)</f>
        <v>0</v>
      </c>
      <c r="Z42" s="515">
        <f>IFERROR(((X42*Z$9)/$L$42),0)</f>
        <v>0</v>
      </c>
      <c r="AA42" s="515">
        <f>SUM(AA10:AA40)</f>
        <v>0</v>
      </c>
      <c r="AB42" s="515">
        <f>IFERROR((AA42/$L$42),0)</f>
        <v>0</v>
      </c>
      <c r="AC42" s="515">
        <f>IFERROR(((AA42*AC$9)/$L$42),0)</f>
        <v>0</v>
      </c>
      <c r="AD42" s="515">
        <f>SUM(AD10:AD40)</f>
        <v>0</v>
      </c>
      <c r="AE42" s="515">
        <f>IFERROR((AD42/$L$42),0)</f>
        <v>0</v>
      </c>
      <c r="AF42" s="515">
        <f>IFERROR(((AD42*AF$9)/$L$42),0)</f>
        <v>0</v>
      </c>
      <c r="AG42" s="515">
        <f>SUM(AG10:AG40)</f>
        <v>0</v>
      </c>
      <c r="AH42" s="515">
        <f>IFERROR((AG42/$L$42),0)</f>
        <v>0</v>
      </c>
      <c r="AI42" s="515">
        <f>IFERROR(((AG42*AI$9)/$L$42),0)</f>
        <v>0</v>
      </c>
      <c r="AJ42" s="515">
        <f>SUM(AJ10:AJ40)</f>
        <v>0</v>
      </c>
      <c r="AK42" s="515">
        <f>IFERROR((AJ42/$L$42),0)</f>
        <v>0</v>
      </c>
      <c r="AL42" s="515">
        <f>IFERROR(((AJ42*AL$9)/$L$42),0)</f>
        <v>0</v>
      </c>
      <c r="AM42" s="515">
        <f>SUM(AM10:AM40)</f>
        <v>0</v>
      </c>
      <c r="AN42" s="515">
        <f>IFERROR((AM42/$L$42),0)</f>
        <v>0</v>
      </c>
      <c r="AO42" s="515">
        <f>IFERROR(((AM42*AO$9)/$L$42),0)</f>
        <v>0</v>
      </c>
      <c r="AP42" s="515">
        <f>SUM(AP10:AP40)</f>
        <v>1022.3717948717948</v>
      </c>
      <c r="AQ42" s="515">
        <f>IFERROR((AP42/$L$42),0)</f>
        <v>0</v>
      </c>
      <c r="AR42" s="515">
        <f>IFERROR(((AP42*AR$9)/$L$42),0)</f>
        <v>0</v>
      </c>
      <c r="AS42" s="515">
        <f>SUM(AS10:AS40)</f>
        <v>0</v>
      </c>
      <c r="AT42" s="515">
        <f>IFERROR((AS42/$L$42),0)</f>
        <v>0</v>
      </c>
      <c r="AU42" s="515">
        <f>IFERROR(((AS42*AU$9)/$L$42),0)</f>
        <v>0</v>
      </c>
      <c r="AV42" s="515">
        <f>SUM(AV10:AV40)</f>
        <v>149.84999999999997</v>
      </c>
      <c r="AW42" s="515">
        <f>IFERROR((AV42/$L$42),0)</f>
        <v>0</v>
      </c>
      <c r="AX42" s="515">
        <f>IFERROR(((AV42*AX$9)/$L$42),0)</f>
        <v>0</v>
      </c>
      <c r="AY42" s="515">
        <f>SUM(AY10:AY40)</f>
        <v>1031.3333333333335</v>
      </c>
      <c r="AZ42" s="515">
        <f>IFERROR((AY42/$L$42),0)</f>
        <v>0</v>
      </c>
      <c r="BA42" s="515">
        <f>IFERROR(((AY42*BA$9)/$L$42),0)</f>
        <v>0</v>
      </c>
      <c r="BB42" s="515">
        <f>SUM(BB10:BB40)</f>
        <v>0</v>
      </c>
      <c r="BC42" s="515">
        <f>IFERROR((BB42/$L$42),0)</f>
        <v>0</v>
      </c>
      <c r="BD42" s="515">
        <f>IFERROR(((BB42*BD$9)/$L$42),0)</f>
        <v>0</v>
      </c>
      <c r="BE42" s="515">
        <f>SUM(BE10:BE40)</f>
        <v>0</v>
      </c>
      <c r="BF42" s="515">
        <f>IFERROR((BE42/$L$42),0)</f>
        <v>0</v>
      </c>
      <c r="BG42" s="515">
        <f>IFERROR(((BE42*BG$9)/$L$42),0)</f>
        <v>0</v>
      </c>
      <c r="BH42" s="515">
        <f>SUM(BH10:BH40)</f>
        <v>0</v>
      </c>
      <c r="BI42" s="515">
        <f>IFERROR((BH42/$L$42),0)</f>
        <v>0</v>
      </c>
      <c r="BJ42" s="515">
        <f>IFERROR(((BH42*BJ$9)/$L$42),0)</f>
        <v>0</v>
      </c>
      <c r="BK42" s="515">
        <f>SUM(BK10:BK40)</f>
        <v>0</v>
      </c>
      <c r="BL42" s="515">
        <f>IFERROR((BK42/$L$42),0)</f>
        <v>0</v>
      </c>
      <c r="BM42" s="515">
        <f>IFERROR(((BK42*BM$9)/$L$42),0)</f>
        <v>0</v>
      </c>
      <c r="BN42" s="515">
        <f>SUM(BN10:BN40)</f>
        <v>0</v>
      </c>
      <c r="BO42" s="515">
        <f>IFERROR((BN42/$L$42),0)</f>
        <v>0</v>
      </c>
      <c r="BP42" s="515">
        <f>IFERROR(((BN42*BP$9)/$L$42),0)</f>
        <v>0</v>
      </c>
      <c r="BQ42" s="515">
        <f>SUM(BQ10:BQ40)</f>
        <v>138.1338915936384</v>
      </c>
      <c r="BR42" s="515">
        <f>IFERROR((BQ42/$L$42),0)</f>
        <v>0</v>
      </c>
      <c r="BS42" s="515">
        <f>IFERROR(((BQ42*BS$9)/$L$42),0)</f>
        <v>0</v>
      </c>
      <c r="BT42" s="515">
        <f>SUM(BT10:BT40)</f>
        <v>0</v>
      </c>
      <c r="BU42" s="515">
        <f>IFERROR((BT42/$L$42),0)</f>
        <v>0</v>
      </c>
      <c r="BV42" s="515">
        <f>IFERROR(((BT42*BV$9)/$L$42),0)</f>
        <v>0</v>
      </c>
      <c r="BW42" s="515">
        <f>SUM(BW10:BW40)</f>
        <v>0</v>
      </c>
      <c r="BX42" s="515">
        <f>IFERROR((BW42/$L$42),0)</f>
        <v>0</v>
      </c>
      <c r="BY42" s="515">
        <f>IFERROR(((BW42*BY$9)/$L$42),0)</f>
        <v>0</v>
      </c>
      <c r="BZ42" s="515">
        <f>SUM(BZ10:BZ40)</f>
        <v>3063.3604651162791</v>
      </c>
      <c r="CA42" s="515">
        <f>IFERROR((BZ42/$L$42),0)</f>
        <v>0</v>
      </c>
      <c r="CB42" s="515">
        <f>IFERROR(((BZ42*CB$9)/$L$42),0)</f>
        <v>0</v>
      </c>
      <c r="CC42" s="515">
        <f>SUM(CC10:CC40)</f>
        <v>95</v>
      </c>
      <c r="CD42" s="515">
        <f>IFERROR((CC42/$L$42),0)</f>
        <v>0</v>
      </c>
      <c r="CE42" s="515">
        <f>IFERROR(((CC42*CE$9)/$L$42),0)</f>
        <v>0</v>
      </c>
      <c r="CF42" s="515">
        <f>SUM(CF10:CF40)</f>
        <v>189.5</v>
      </c>
      <c r="CG42" s="515">
        <f>IFERROR((CF42/$L$42),0)</f>
        <v>0</v>
      </c>
      <c r="CH42" s="515">
        <f>IFERROR(((CF42*CH$9)/$L$42),0)</f>
        <v>0</v>
      </c>
      <c r="CI42" s="515">
        <f>SUM(CI10:CI40)</f>
        <v>0</v>
      </c>
      <c r="CJ42" s="515">
        <f>IFERROR((CI42/$L$42),0)</f>
        <v>0</v>
      </c>
      <c r="CK42" s="515">
        <f>IFERROR(((CI42*CK$9)/$L$42),0)</f>
        <v>0</v>
      </c>
      <c r="CL42" s="515">
        <f>SUM(CL10:CL40)</f>
        <v>0</v>
      </c>
      <c r="CM42" s="515">
        <f>IFERROR((CL42/$L$42),0)</f>
        <v>0</v>
      </c>
      <c r="CN42" s="515">
        <f>IFERROR(((CL42*CN$9)/$L$42),0)</f>
        <v>0</v>
      </c>
      <c r="CO42" s="515">
        <f>SUM(CO10:CO40)</f>
        <v>0</v>
      </c>
      <c r="CP42" s="515">
        <f>IFERROR((CO42/$L$42),0)</f>
        <v>0</v>
      </c>
      <c r="CQ42" s="515">
        <f>IFERROR(((CO42*CQ$9)/$L$42),0)</f>
        <v>0</v>
      </c>
      <c r="CR42" s="515">
        <f>SUM(CR10:CR40)</f>
        <v>0</v>
      </c>
      <c r="CS42" s="515">
        <f>IFERROR((CR42/$L$42),0)</f>
        <v>0</v>
      </c>
      <c r="CT42" s="515">
        <f>IFERROR(((CR42*CT$9)/$L$42),0)</f>
        <v>0</v>
      </c>
      <c r="CU42" s="515">
        <f>SUM(CU10:CU40)</f>
        <v>0</v>
      </c>
      <c r="CV42" s="515">
        <f>IFERROR((CU42/$L$42),0)</f>
        <v>0</v>
      </c>
      <c r="CW42" s="515">
        <f>IFERROR(((CU42*CW$9)/$L$42),0)</f>
        <v>0</v>
      </c>
      <c r="CX42" s="515">
        <f>SUM(CX10:CX40)</f>
        <v>0</v>
      </c>
      <c r="CY42" s="515">
        <f>IFERROR((CX42/$L$42),0)</f>
        <v>0</v>
      </c>
      <c r="CZ42" s="515">
        <f>IFERROR(((CX42*CZ$9)/$L$42),0)</f>
        <v>0</v>
      </c>
      <c r="DA42" s="515">
        <f>SUM(DA10:DA40)</f>
        <v>1133.7188372093024</v>
      </c>
      <c r="DB42" s="515">
        <f>IFERROR((DA42/$L$42),0)</f>
        <v>0</v>
      </c>
      <c r="DC42" s="515">
        <f>IFERROR(((DA42*DC$9)/$L$42),0)</f>
        <v>0</v>
      </c>
      <c r="DD42" s="515">
        <f>SUM(DD10:DD40)</f>
        <v>0</v>
      </c>
      <c r="DE42" s="515">
        <f>IFERROR((DD42/$L$42),0)</f>
        <v>0</v>
      </c>
      <c r="DF42" s="515">
        <f>IFERROR(((DD42*DF$9)/$L$42),0)</f>
        <v>0</v>
      </c>
      <c r="DG42" s="515">
        <f>SUM(DG15:DG40)</f>
        <v>0</v>
      </c>
      <c r="DH42" s="515">
        <f>IFERROR((DG42/$L$42),0)</f>
        <v>0</v>
      </c>
      <c r="DI42" s="515">
        <f>IFERROR(((DG42*DI$9)/$L$42),0)</f>
        <v>0</v>
      </c>
      <c r="DJ42" s="515">
        <f>SUM(DJ10:DJ40)</f>
        <v>0</v>
      </c>
      <c r="DK42" s="515">
        <f>IFERROR((DJ42/$L$42),0)</f>
        <v>0</v>
      </c>
      <c r="DL42" s="515">
        <f>IFERROR(((DJ42*DL$9)/$L$42),0)</f>
        <v>0</v>
      </c>
      <c r="DM42" s="515">
        <f>SUM(DM10:DM40)</f>
        <v>0</v>
      </c>
      <c r="DN42" s="515">
        <f>IFERROR((DM42/$L$42),0)</f>
        <v>0</v>
      </c>
      <c r="DO42" s="515">
        <f>IFERROR(((DM42*DO$9)/$L$42),0)</f>
        <v>0</v>
      </c>
      <c r="DP42" s="515">
        <f>SUM(DP10:DP40)</f>
        <v>0</v>
      </c>
      <c r="DQ42" s="515">
        <f>IFERROR((DP42/$L$42),0)</f>
        <v>0</v>
      </c>
      <c r="DR42" s="515">
        <f>IFERROR(((DP42*DR$9)/$L$42),0)</f>
        <v>0</v>
      </c>
      <c r="DS42" s="515">
        <f>SUM(DS10:DS40)</f>
        <v>0</v>
      </c>
      <c r="DT42" s="515">
        <f>IFERROR((DS42/$L$42),0)</f>
        <v>0</v>
      </c>
      <c r="DU42" s="515">
        <f>IFERROR(((DS42*DU$9)/$L$42),0)</f>
        <v>0</v>
      </c>
      <c r="DV42" s="515">
        <f>SUM(DV10:DV40)</f>
        <v>0</v>
      </c>
      <c r="DW42" s="515">
        <f>IFERROR((DV42/$L$42),0)</f>
        <v>0</v>
      </c>
      <c r="DX42" s="515">
        <f>IFERROR(((DV42*DX$9)/$L$42),0)</f>
        <v>0</v>
      </c>
      <c r="DY42" s="515">
        <f>SUM(DY10:DY40)</f>
        <v>23.72</v>
      </c>
      <c r="DZ42" s="515">
        <f>IFERROR((DY42/$L$42),0)</f>
        <v>0</v>
      </c>
      <c r="EA42" s="515">
        <f>IFERROR(((DY42*EA$9)/$L$42),0)</f>
        <v>0</v>
      </c>
      <c r="EB42" s="515">
        <f>SUM(EB10:EB40)</f>
        <v>1737.6941176470589</v>
      </c>
      <c r="EC42" s="515">
        <f>IFERROR((EB42/$L$42),0)</f>
        <v>0</v>
      </c>
      <c r="ED42" s="515">
        <f>IFERROR(((EB42*ED$9)/$L$42),0)</f>
        <v>0</v>
      </c>
      <c r="EE42" s="515">
        <f>SUM(EE10:EE40)</f>
        <v>363.37209302325579</v>
      </c>
      <c r="EF42" s="515">
        <f>IFERROR((EE42/$L$42),0)</f>
        <v>0</v>
      </c>
      <c r="EG42" s="515">
        <f>IFERROR(((EE42*EG$9)/$L$42),0)</f>
        <v>0</v>
      </c>
      <c r="EH42" s="515">
        <f>SUM(EH10:EH40)</f>
        <v>58</v>
      </c>
      <c r="EI42" s="515">
        <f>IFERROR((EH42/$L$42),0)</f>
        <v>0</v>
      </c>
      <c r="EJ42" s="515">
        <f>IFERROR(((EH42*EJ$9)/$L$42),0)</f>
        <v>0</v>
      </c>
      <c r="EK42" s="515">
        <f>SUM(EK10:EK40)</f>
        <v>58.139534883721012</v>
      </c>
      <c r="EL42" s="515">
        <f>IFERROR((EK42/$L$42),0)</f>
        <v>0</v>
      </c>
      <c r="EM42" s="515">
        <f>IFERROR(((EK42*EM$9)/$L$42),0)</f>
        <v>0</v>
      </c>
      <c r="EN42" s="515">
        <f>SUM(EN10:EN40)</f>
        <v>0</v>
      </c>
      <c r="EO42" s="515">
        <f>IFERROR((EN42/$L$42),0)</f>
        <v>0</v>
      </c>
      <c r="EP42" s="515">
        <f>IFERROR(((EN42*EP$9)/$L$42),0)</f>
        <v>0</v>
      </c>
      <c r="EQ42" s="515">
        <f>SUM(EQ10:EQ40)</f>
        <v>0</v>
      </c>
      <c r="ER42" s="515">
        <f>IFERROR((EQ42/$L$42),0)</f>
        <v>0</v>
      </c>
      <c r="ES42" s="515">
        <f>IFERROR(((EQ42*ES$9)/$L$42),0)</f>
        <v>0</v>
      </c>
      <c r="ET42" s="515">
        <f>SUM(ET10:ET40)</f>
        <v>0</v>
      </c>
      <c r="EU42" s="515">
        <f>IFERROR((ET42/$L$42),0)</f>
        <v>0</v>
      </c>
      <c r="EV42" s="515">
        <f>IFERROR(((ET42*EV$9)/$L$42),0)</f>
        <v>0</v>
      </c>
      <c r="EW42" s="515">
        <f>SUM(EW10:EW40)</f>
        <v>0</v>
      </c>
      <c r="EX42" s="515">
        <f>IFERROR((EW42/$L$42),0)</f>
        <v>0</v>
      </c>
      <c r="EY42" s="515">
        <f>IFERROR(((EW42*EY$9)/$L$42),0)</f>
        <v>0</v>
      </c>
      <c r="EZ42" s="515">
        <f>SUM(EZ10:EZ40)</f>
        <v>0</v>
      </c>
      <c r="FA42" s="515">
        <f>IFERROR((EZ42/$L$42),0)</f>
        <v>0</v>
      </c>
      <c r="FB42" s="515">
        <f>IFERROR(((EZ42*FB$9)/$L$42),0)</f>
        <v>0</v>
      </c>
      <c r="FC42" s="515">
        <f>SUM(FC10:FC40)</f>
        <v>0</v>
      </c>
      <c r="FD42" s="515">
        <f>IFERROR((FC42/$L$42),0)</f>
        <v>0</v>
      </c>
      <c r="FE42" s="515">
        <f>IFERROR(((FC42*FE$9)/$L$42),0)</f>
        <v>0</v>
      </c>
      <c r="FF42" s="515">
        <f>SUM(FF10:FF40)</f>
        <v>0</v>
      </c>
      <c r="FG42" s="515">
        <f>IFERROR((FF42/$L$42),0)</f>
        <v>0</v>
      </c>
      <c r="FH42" s="515">
        <f>IFERROR(((FF42*FH$9)/$L$42),0)</f>
        <v>0</v>
      </c>
      <c r="FI42" s="515">
        <f>SUM(FI10:FI40)</f>
        <v>0</v>
      </c>
      <c r="FJ42" s="515">
        <f>IFERROR((FI42/$L$42),0)</f>
        <v>0</v>
      </c>
      <c r="FK42" s="515">
        <f>IFERROR(((FI42*FK$9)/$L$42),0)</f>
        <v>0</v>
      </c>
      <c r="FL42" s="515">
        <f>SUM(FL10:FL40)</f>
        <v>0</v>
      </c>
      <c r="FM42" s="515">
        <f>IFERROR((FL42/$L$42),0)</f>
        <v>0</v>
      </c>
      <c r="FN42" s="515">
        <f>IFERROR(((FL42*FN$9)/$L$42),0)</f>
        <v>0</v>
      </c>
      <c r="FO42" s="515">
        <f>SUM(FO10:FO40)</f>
        <v>0</v>
      </c>
      <c r="FP42" s="515">
        <f>IFERROR((FO42/$L$42),0)</f>
        <v>0</v>
      </c>
      <c r="FQ42" s="515">
        <f>IFERROR(((FO42*FQ$9)/$L$42),0)</f>
        <v>0</v>
      </c>
      <c r="FR42" s="515">
        <f>SUM(FR10:FR40)</f>
        <v>0</v>
      </c>
      <c r="FS42" s="515">
        <f>IFERROR((FR42/$L$42),0)</f>
        <v>0</v>
      </c>
      <c r="FT42" s="515">
        <f>IFERROR(((FR42*FT$9)/$L$42),0)</f>
        <v>0</v>
      </c>
      <c r="FU42" s="515">
        <f>SUM(FU10:FU40)</f>
        <v>0</v>
      </c>
      <c r="FV42" s="515">
        <f>IFERROR((FU42/$L$42),0)</f>
        <v>0</v>
      </c>
      <c r="FW42" s="515">
        <f>IFERROR(((FU42*FW$9)/$L$42),0)</f>
        <v>0</v>
      </c>
      <c r="FX42" s="515">
        <f>SUM(FX10:FX40)</f>
        <v>0</v>
      </c>
      <c r="FY42" s="515">
        <f>IFERROR((FX42/$L$42),0)</f>
        <v>0</v>
      </c>
      <c r="FZ42" s="515">
        <f>IFERROR(((FX42*FZ$9)/$L$42),0)</f>
        <v>0</v>
      </c>
      <c r="GA42" s="515">
        <f>SUM(GA10:GA40)</f>
        <v>0</v>
      </c>
      <c r="GB42" s="515">
        <f>IFERROR((GA42/$L$42),0)</f>
        <v>0</v>
      </c>
      <c r="GC42" s="515">
        <f>IFERROR(((GA42*GC$9)/$L$42),0)</f>
        <v>0</v>
      </c>
      <c r="GD42" s="515">
        <f>SUM(GD10:GD40)</f>
        <v>0</v>
      </c>
      <c r="GE42" s="515">
        <f>IFERROR((GD42/$L$42),0)</f>
        <v>0</v>
      </c>
      <c r="GF42" s="515">
        <f>IFERROR(((GD42*GF$9)/$L$42),0)</f>
        <v>0</v>
      </c>
      <c r="GG42" s="515">
        <f>SUM(GG10:GG40)</f>
        <v>9.8875607264617891</v>
      </c>
      <c r="GH42" s="515">
        <f>IFERROR((GG42/$L$42),0)</f>
        <v>0</v>
      </c>
      <c r="GI42" s="515">
        <f>IFERROR(((GG42*GI$9)/$L$42),0)</f>
        <v>0</v>
      </c>
      <c r="GJ42" s="515">
        <f>SUM(GJ10:GJ40)</f>
        <v>9.8875607264617891</v>
      </c>
      <c r="GK42" s="515">
        <f>IFERROR((GJ42/$L$42),0)</f>
        <v>0</v>
      </c>
      <c r="GL42" s="515">
        <f>IFERROR(((GJ42*GL$9)/$L$42),0)</f>
        <v>0</v>
      </c>
      <c r="GM42" s="515">
        <f>SUM(GM10:GM40)</f>
        <v>0</v>
      </c>
      <c r="GN42" s="515">
        <f>IFERROR((GM42/$L$42),0)</f>
        <v>0</v>
      </c>
      <c r="GO42" s="515">
        <f>IFERROR(((GM42*GO$9)/$L$42),0)</f>
        <v>0</v>
      </c>
      <c r="GP42" s="515">
        <f>SUM(GP10:GP40)</f>
        <v>42.22663640311243</v>
      </c>
      <c r="GQ42" s="515">
        <f>IFERROR((GP42/$L$42),0)</f>
        <v>0</v>
      </c>
      <c r="GR42" s="515">
        <f>IFERROR(((GP42*GR$9)/$L$42),0)</f>
        <v>0</v>
      </c>
      <c r="GS42" s="515">
        <f>SUM(GS10:GS40)</f>
        <v>259.25794758827135</v>
      </c>
      <c r="GT42" s="515">
        <f>IFERROR((GS42/$L$42),0)</f>
        <v>0</v>
      </c>
      <c r="GU42" s="515">
        <f>IFERROR(((GS42*GU$9)/$L$42),0)</f>
        <v>0</v>
      </c>
      <c r="GV42" s="515">
        <f>SUM(GV10:GV40)</f>
        <v>44.903029900377703</v>
      </c>
      <c r="GW42" s="515">
        <f>IFERROR((GV42/$L$42),0)</f>
        <v>0</v>
      </c>
      <c r="GX42" s="515">
        <f>IFERROR(((GV42*GX$9)/$L$42),0)</f>
        <v>0</v>
      </c>
      <c r="GY42" s="515">
        <f>SUM(GY10:GY40)</f>
        <v>0</v>
      </c>
      <c r="GZ42" s="515">
        <f>IFERROR((GY42/$L$42),0)</f>
        <v>0</v>
      </c>
      <c r="HA42" s="515">
        <f>IFERROR(((GY42*HA$9)/$L$42),0)</f>
        <v>0</v>
      </c>
      <c r="HB42" s="515">
        <f>SUM(HB10:HB40)</f>
        <v>0</v>
      </c>
      <c r="HC42" s="515">
        <f>IFERROR((HB42/$L$42),0)</f>
        <v>0</v>
      </c>
      <c r="HD42" s="515">
        <f>IFERROR(((HB42*HD$9)/$L$42),0)</f>
        <v>0</v>
      </c>
      <c r="HE42" s="515">
        <f>SUM(HE10:HE40)</f>
        <v>0</v>
      </c>
      <c r="HF42" s="515">
        <f>IFERROR((HE42/$L$42),0)</f>
        <v>0</v>
      </c>
      <c r="HG42" s="515">
        <f>IFERROR(((HE42*HG$9)/$L$42),0)</f>
        <v>0</v>
      </c>
      <c r="HH42" s="515">
        <f>SUM(HH10:HH40)</f>
        <v>0</v>
      </c>
      <c r="HI42" s="515">
        <f>IFERROR((HH42/$L$42),0)</f>
        <v>0</v>
      </c>
      <c r="HJ42" s="515">
        <f>IFERROR(((HH42*HJ$9)/$L$42),0)</f>
        <v>0</v>
      </c>
      <c r="HK42" s="515">
        <f>SUM(HK10:HK40)</f>
        <v>0</v>
      </c>
      <c r="HL42" s="515">
        <f>IFERROR((HK42/$L$42),0)</f>
        <v>0</v>
      </c>
      <c r="HM42" s="515">
        <f>IFERROR(((HK42*HM$9)/$L$42),0)</f>
        <v>0</v>
      </c>
      <c r="HN42" s="515">
        <f>SUM(HN10:HN40)</f>
        <v>1345.7527002626985</v>
      </c>
      <c r="HO42" s="515">
        <f>IFERROR((HN42/$L$42),0)</f>
        <v>0</v>
      </c>
      <c r="HP42" s="515">
        <f>IFERROR(((HN42*HP$9)/$L$42),0)</f>
        <v>0</v>
      </c>
      <c r="HQ42" s="515">
        <f>SUM(HQ10:HQ40)</f>
        <v>0</v>
      </c>
      <c r="HR42" s="515">
        <f>IFERROR((HQ42/$L$42),0)</f>
        <v>0</v>
      </c>
      <c r="HS42" s="515">
        <f>IFERROR(((HQ42*HS$9)/$L$42),0)</f>
        <v>0</v>
      </c>
      <c r="HT42" s="515">
        <f>SUM(HT10:HT40)</f>
        <v>0</v>
      </c>
      <c r="HU42" s="515">
        <f>IFERROR((HT42/$L$42),0)</f>
        <v>0</v>
      </c>
      <c r="HV42" s="515">
        <f>IFERROR(((HT42*HV$9)/$L$42),0)</f>
        <v>0</v>
      </c>
      <c r="HW42" s="515">
        <f>SUM(HW10:HW40)</f>
        <v>0</v>
      </c>
      <c r="HX42" s="515">
        <f>IFERROR((HW42/$L$42),0)</f>
        <v>0</v>
      </c>
      <c r="HY42" s="515">
        <f>IFERROR(((HW42*HY$9)/$L$42),0)</f>
        <v>0</v>
      </c>
      <c r="HZ42" s="515">
        <f>SUM(HZ10:HZ40)</f>
        <v>0</v>
      </c>
      <c r="IA42" s="515">
        <f>IFERROR((HZ42/$L$42),0)</f>
        <v>0</v>
      </c>
      <c r="IB42" s="515">
        <f>IFERROR(((HZ42*IB$9)/$L$42),0)</f>
        <v>0</v>
      </c>
      <c r="IC42" s="515">
        <f>SUM(IC10:IC40)</f>
        <v>0</v>
      </c>
      <c r="ID42" s="515">
        <f>IFERROR((IC42/$L$42),0)</f>
        <v>0</v>
      </c>
      <c r="IE42" s="515">
        <f>IFERROR(((IC42*IE$9)/$L$42),0)</f>
        <v>0</v>
      </c>
      <c r="IF42" s="515">
        <f>SUM(IF10:IF40)</f>
        <v>0</v>
      </c>
      <c r="IG42" s="515">
        <f>IFERROR((IF42/$L$42),0)</f>
        <v>0</v>
      </c>
      <c r="IH42" s="515">
        <f>IFERROR(((IF42*IH$9)/$L$42),0)</f>
        <v>0</v>
      </c>
      <c r="II42" s="515">
        <f>SUM(II10:II40)</f>
        <v>36.080994835015446</v>
      </c>
      <c r="IJ42" s="515">
        <f>IFERROR((II42/$L$42),0)</f>
        <v>0</v>
      </c>
      <c r="IK42" s="515">
        <f>IFERROR(((II42*IK$9)/$L$42),0)</f>
        <v>0</v>
      </c>
      <c r="IL42" s="515">
        <f>SUM(IL10:IL40)</f>
        <v>0</v>
      </c>
      <c r="IM42" s="515">
        <f>IFERROR((IL42/$L$42),0)</f>
        <v>0</v>
      </c>
      <c r="IN42" s="515">
        <f>IFERROR(((IL42*IN$9)/$L$42),0)</f>
        <v>0</v>
      </c>
      <c r="IO42" s="515">
        <f>SUM(IO10:IO40)</f>
        <v>0</v>
      </c>
      <c r="IP42" s="515">
        <f>IFERROR((IO42/$L$42),0)</f>
        <v>0</v>
      </c>
      <c r="IQ42" s="515">
        <f>IFERROR(((IO42*IQ$9)/$L$42),0)</f>
        <v>0</v>
      </c>
      <c r="IR42" s="515">
        <f>SUM(IR10:IR40)</f>
        <v>62.001757856036008</v>
      </c>
      <c r="IS42" s="515">
        <f>IFERROR((IR42/$L$42),0)</f>
        <v>0</v>
      </c>
      <c r="IT42" s="515">
        <f>IFERROR(((IR42*IT$9)/$L$42),0)</f>
        <v>0</v>
      </c>
      <c r="IU42" s="515">
        <f>SUM(IU10:IU40)</f>
        <v>0</v>
      </c>
      <c r="IV42" s="515">
        <f>IFERROR((IU42/$L$42),0)</f>
        <v>0</v>
      </c>
      <c r="IW42" s="515">
        <f>IFERROR(((IU42*IW$9)/$L$42),0)</f>
        <v>0</v>
      </c>
      <c r="IX42" s="515">
        <f>SUM(IX10:IX40)</f>
        <v>0</v>
      </c>
      <c r="IY42" s="515">
        <f>IFERROR((IX42/$L$42),0)</f>
        <v>0</v>
      </c>
      <c r="IZ42" s="515">
        <f>IFERROR(((IX42*IZ$9)/$L$42),0)</f>
        <v>0</v>
      </c>
      <c r="JA42" s="515">
        <f>SUM(JA10:JA40)</f>
        <v>0</v>
      </c>
      <c r="JB42" s="515">
        <f>IFERROR((JA42/$L$42),0)</f>
        <v>0</v>
      </c>
      <c r="JC42" s="515">
        <f>IFERROR(((JA42*JC$9)/$L$42),0)</f>
        <v>0</v>
      </c>
      <c r="JD42" s="515">
        <f>SUM(JD10:JD40)</f>
        <v>0</v>
      </c>
      <c r="JE42" s="515">
        <f>IFERROR((JD42/$L$42),0)</f>
        <v>0</v>
      </c>
      <c r="JF42" s="515">
        <f>IFERROR(((JD42*JF$9)/$L$42),0)</f>
        <v>0</v>
      </c>
      <c r="JG42" s="515">
        <f>SUM(JG10:JG40)</f>
        <v>0</v>
      </c>
      <c r="JH42" s="515">
        <f>IFERROR((JG42/$L$42),0)</f>
        <v>0</v>
      </c>
      <c r="JI42" s="515">
        <f>IFERROR(((JG42*JI$9)/$L$42),0)</f>
        <v>0</v>
      </c>
      <c r="JJ42" s="515">
        <f>SUM(JJ10:JJ40)</f>
        <v>26.466105196086765</v>
      </c>
      <c r="JK42" s="515">
        <f>IFERROR((JJ42/$L$42),0)</f>
        <v>0</v>
      </c>
      <c r="JL42" s="515">
        <f>IFERROR(((JJ42*JL$9)/$L$42),0)</f>
        <v>0</v>
      </c>
      <c r="JM42" s="515">
        <f>SUM(JM10:JM40)</f>
        <v>0</v>
      </c>
      <c r="JN42" s="515">
        <f>IFERROR((JM42/$L$42),0)</f>
        <v>0</v>
      </c>
      <c r="JO42" s="515">
        <f>IFERROR(((JM42*JO$9)/$L$42),0)</f>
        <v>0</v>
      </c>
      <c r="JP42" s="515">
        <f>SUM(JP10:JP40)</f>
        <v>0</v>
      </c>
      <c r="JQ42" s="515">
        <f>IFERROR((JP42/$L$42),0)</f>
        <v>0</v>
      </c>
      <c r="JR42" s="515">
        <f>IFERROR(((JP42*JR$9)/$L$42),0)</f>
        <v>0</v>
      </c>
      <c r="JS42" s="515">
        <f>SUM(JS10:JS40)</f>
        <v>0</v>
      </c>
      <c r="JT42" s="515">
        <f>IFERROR((JS42/$L$42),0)</f>
        <v>0</v>
      </c>
      <c r="JU42" s="515">
        <f>IFERROR(((JS42*JU$9)/$L$42),0)</f>
        <v>0</v>
      </c>
      <c r="JV42" s="515">
        <f>SUM(JV10:JV40)</f>
        <v>0</v>
      </c>
      <c r="JW42" s="515">
        <f>IFERROR((JV42/$L$42),0)</f>
        <v>0</v>
      </c>
      <c r="JX42" s="515">
        <f>IFERROR(((JV42*JX$9)/$L$42),0)</f>
        <v>0</v>
      </c>
      <c r="JY42" s="515">
        <f>SUM(JY10:JY40)</f>
        <v>0</v>
      </c>
      <c r="JZ42" s="515">
        <f>IFERROR((JY42/$L$42),0)</f>
        <v>0</v>
      </c>
      <c r="KA42" s="515">
        <f>IFERROR(((JY42*KA$9)/$L$42),0)</f>
        <v>0</v>
      </c>
      <c r="KB42" s="515">
        <f>SUM(KB10:KB40)</f>
        <v>0</v>
      </c>
      <c r="KC42" s="515">
        <f>IFERROR((KB42/$L$42),0)</f>
        <v>0</v>
      </c>
      <c r="KD42" s="515">
        <f>IFERROR(((KB42*KD$9)/$L$42),0)</f>
        <v>0</v>
      </c>
      <c r="KE42" s="515">
        <f>SUM(KE10:KE40)</f>
        <v>0</v>
      </c>
      <c r="KF42" s="515">
        <f>IFERROR((KE42/$L$42),0)</f>
        <v>0</v>
      </c>
      <c r="KG42" s="515">
        <f>IFERROR(((KE42*KG$9)/$L$42),0)</f>
        <v>0</v>
      </c>
      <c r="KH42" s="515">
        <f>SUM(KH10:KH40)</f>
        <v>0</v>
      </c>
      <c r="KI42" s="515">
        <f>IFERROR((KH42/$L$42),0)</f>
        <v>0</v>
      </c>
      <c r="KJ42" s="515">
        <f>IFERROR(((KH42*KJ$9)/$L$42),0)</f>
        <v>0</v>
      </c>
      <c r="KK42" s="515">
        <f>SUM(KK10:KK40)</f>
        <v>0</v>
      </c>
      <c r="KL42" s="515">
        <f>IFERROR((KK42/$L$42),0)</f>
        <v>0</v>
      </c>
      <c r="KM42" s="515">
        <f>IFERROR(((KK42*KM$9)/$L$42),0)</f>
        <v>0</v>
      </c>
      <c r="KN42" s="515">
        <f>SUM(KN10:KN40)</f>
        <v>0</v>
      </c>
      <c r="KO42" s="515">
        <f>IFERROR((KN42/$L$42),0)</f>
        <v>0</v>
      </c>
      <c r="KP42" s="515">
        <f>IFERROR(((KN42*KP$9)/$L$42),0)</f>
        <v>0</v>
      </c>
      <c r="KQ42" s="515">
        <f>SUM(KQ10:KQ40)</f>
        <v>0</v>
      </c>
      <c r="KR42" s="515">
        <f>IFERROR((KQ42/$L$42),0)</f>
        <v>0</v>
      </c>
      <c r="KS42" s="515">
        <f>IFERROR(((KQ42*KS$9)/$L$42),0)</f>
        <v>0</v>
      </c>
      <c r="KT42" s="516">
        <f t="shared" si="201"/>
        <v>0</v>
      </c>
      <c r="KU42" s="516">
        <f t="shared" si="202"/>
        <v>0</v>
      </c>
      <c r="KV42" s="263">
        <f t="shared" si="204"/>
        <v>13696.43389325978</v>
      </c>
      <c r="KW42" s="476"/>
      <c r="KX42" s="476"/>
      <c r="KY42" s="476"/>
      <c r="KZ42" s="476"/>
      <c r="LA42" s="476"/>
      <c r="LB42" s="476"/>
      <c r="LC42" s="476"/>
      <c r="LD42" s="476"/>
      <c r="LE42" s="476"/>
      <c r="LF42" s="476"/>
      <c r="LG42" s="476"/>
      <c r="LH42" s="476"/>
      <c r="LI42" s="476"/>
      <c r="LJ42" s="476"/>
      <c r="LK42" s="476"/>
      <c r="LL42" s="476"/>
      <c r="LM42" s="476"/>
      <c r="LN42" s="476"/>
      <c r="LO42" s="476"/>
      <c r="LP42" s="476"/>
      <c r="LQ42" s="476"/>
      <c r="LR42" s="476"/>
      <c r="LS42" s="476"/>
      <c r="LT42" s="476"/>
      <c r="LU42" s="476"/>
      <c r="LV42" s="476"/>
      <c r="LW42" s="476"/>
      <c r="LX42" s="476"/>
      <c r="LY42" s="476"/>
      <c r="LZ42" s="476"/>
      <c r="MA42" s="476"/>
      <c r="MB42" s="476"/>
      <c r="MC42" s="476"/>
      <c r="MD42" s="476"/>
      <c r="ME42" s="476"/>
      <c r="MF42" s="476"/>
      <c r="MG42" s="476"/>
      <c r="MH42" s="476"/>
      <c r="MI42" s="476"/>
      <c r="MJ42" s="476"/>
      <c r="MK42" s="476"/>
      <c r="ML42" s="476"/>
      <c r="MM42" s="476"/>
      <c r="MN42" s="476"/>
      <c r="MO42" s="476"/>
      <c r="MP42" s="476"/>
      <c r="MQ42" s="476"/>
      <c r="MR42" s="476"/>
      <c r="MS42" s="476"/>
      <c r="MT42" s="476"/>
      <c r="MU42" s="476"/>
      <c r="MV42" s="476"/>
      <c r="MW42" s="476"/>
      <c r="MX42" s="476"/>
      <c r="MY42" s="476"/>
      <c r="MZ42" s="476"/>
      <c r="NA42" s="476"/>
      <c r="NB42" s="476"/>
      <c r="NC42" s="476"/>
      <c r="ND42" s="476"/>
      <c r="NE42" s="476"/>
      <c r="NF42" s="476"/>
      <c r="NG42" s="476"/>
      <c r="NH42" s="476"/>
      <c r="NI42" s="476"/>
      <c r="NJ42" s="476"/>
      <c r="NK42" s="476"/>
      <c r="NL42" s="476"/>
      <c r="NM42" s="476"/>
      <c r="NN42" s="476"/>
      <c r="NO42" s="476"/>
      <c r="NP42" s="476"/>
      <c r="NQ42" s="476"/>
      <c r="NR42" s="476"/>
      <c r="NS42" s="476"/>
      <c r="NT42" s="476"/>
      <c r="NU42" s="476"/>
      <c r="NV42" s="476"/>
      <c r="NW42" s="476"/>
      <c r="NX42" s="476"/>
      <c r="NY42" s="476"/>
      <c r="NZ42" s="476"/>
      <c r="OA42" s="476"/>
      <c r="OB42" s="476"/>
      <c r="OC42" s="476"/>
      <c r="OD42" s="476"/>
      <c r="OE42" s="476"/>
      <c r="OF42" s="476"/>
      <c r="OG42" s="476"/>
      <c r="OH42" s="476"/>
      <c r="OI42" s="476"/>
      <c r="OJ42" s="476"/>
      <c r="OK42" s="476"/>
      <c r="OL42" s="476"/>
      <c r="OM42" s="476"/>
      <c r="ON42" s="476"/>
      <c r="OO42" s="476"/>
      <c r="OP42" s="476"/>
      <c r="OQ42" s="476"/>
      <c r="OR42" s="476"/>
      <c r="OS42" s="476"/>
      <c r="OT42" s="476"/>
      <c r="OU42" s="476"/>
      <c r="OV42" s="476"/>
      <c r="OW42" s="476"/>
      <c r="OX42" s="476"/>
      <c r="OY42" s="476"/>
      <c r="OZ42" s="476"/>
      <c r="PA42" s="476"/>
      <c r="PB42" s="476"/>
      <c r="PC42" s="476"/>
      <c r="PD42" s="476"/>
      <c r="PE42" s="476"/>
      <c r="PF42" s="476"/>
      <c r="PG42" s="476"/>
      <c r="PH42" s="476"/>
      <c r="PI42" s="476"/>
      <c r="PJ42" s="476"/>
      <c r="PK42" s="476"/>
      <c r="PL42" s="476"/>
      <c r="PM42" s="476"/>
      <c r="PN42" s="476"/>
      <c r="PO42" s="476"/>
      <c r="PP42" s="476"/>
      <c r="PQ42" s="476"/>
      <c r="PR42" s="476"/>
      <c r="PS42" s="476"/>
      <c r="PT42" s="476"/>
      <c r="PU42" s="476"/>
      <c r="PV42" s="476"/>
      <c r="PW42" s="476"/>
      <c r="PX42" s="476"/>
      <c r="PY42" s="476"/>
      <c r="PZ42" s="476"/>
      <c r="QA42" s="476"/>
      <c r="QB42" s="476"/>
      <c r="QC42" s="476"/>
      <c r="QD42" s="476"/>
      <c r="QE42" s="476"/>
      <c r="QF42" s="476"/>
      <c r="QG42" s="476"/>
      <c r="QH42" s="476"/>
      <c r="QI42" s="476"/>
      <c r="QJ42" s="476"/>
      <c r="QK42" s="476"/>
      <c r="QL42" s="476"/>
      <c r="QM42" s="476"/>
      <c r="QN42" s="476"/>
      <c r="QO42" s="476"/>
      <c r="QP42" s="476"/>
      <c r="QQ42" s="476"/>
      <c r="QR42" s="476"/>
      <c r="QS42" s="476"/>
      <c r="QT42" s="476"/>
      <c r="QU42" s="476"/>
      <c r="QV42" s="476"/>
      <c r="QW42" s="476"/>
      <c r="QX42" s="476"/>
      <c r="QY42" s="476"/>
      <c r="QZ42" s="476"/>
      <c r="RA42" s="476"/>
      <c r="RB42" s="476"/>
      <c r="RC42" s="476"/>
      <c r="RD42" s="476"/>
      <c r="RE42" s="476"/>
      <c r="RF42" s="476"/>
      <c r="RG42" s="476"/>
      <c r="RH42" s="476"/>
      <c r="RI42" s="476"/>
      <c r="RJ42" s="476"/>
      <c r="RK42" s="476"/>
      <c r="RL42" s="476"/>
      <c r="RM42" s="476"/>
      <c r="RN42" s="476"/>
      <c r="RO42" s="476"/>
      <c r="RP42" s="476"/>
      <c r="RQ42" s="476"/>
      <c r="RR42" s="476"/>
      <c r="RS42" s="476"/>
      <c r="RT42" s="476"/>
      <c r="RU42" s="476"/>
      <c r="RV42" s="476"/>
      <c r="RW42" s="476"/>
      <c r="RX42" s="476"/>
      <c r="RY42" s="476"/>
      <c r="RZ42" s="476"/>
      <c r="SA42" s="476"/>
      <c r="SB42" s="476"/>
      <c r="SC42" s="476"/>
      <c r="SD42" s="476"/>
      <c r="SE42" s="476"/>
      <c r="SF42" s="476"/>
      <c r="SG42" s="476"/>
      <c r="SH42" s="476"/>
      <c r="SI42" s="476"/>
      <c r="SJ42" s="476"/>
      <c r="SK42" s="476"/>
      <c r="SL42" s="476"/>
      <c r="SM42" s="476"/>
      <c r="SN42" s="476"/>
      <c r="SO42" s="476"/>
      <c r="SP42" s="476"/>
      <c r="SQ42" s="476"/>
      <c r="SR42" s="476"/>
      <c r="SS42" s="476"/>
      <c r="ST42" s="476"/>
      <c r="SU42" s="476"/>
      <c r="SV42" s="476"/>
      <c r="SW42" s="476"/>
      <c r="SX42" s="476"/>
      <c r="SY42" s="476"/>
      <c r="SZ42" s="476"/>
      <c r="TA42" s="476"/>
      <c r="TB42" s="476"/>
      <c r="TC42" s="476"/>
      <c r="TD42" s="476"/>
      <c r="TE42" s="476"/>
      <c r="TF42" s="476"/>
      <c r="TG42" s="476"/>
      <c r="TH42" s="476"/>
      <c r="TI42" s="476"/>
      <c r="TJ42" s="476"/>
      <c r="TK42" s="476"/>
      <c r="TL42" s="476"/>
      <c r="TM42" s="476"/>
      <c r="TN42" s="476"/>
      <c r="TO42" s="476"/>
      <c r="TP42" s="476"/>
      <c r="TQ42" s="476"/>
      <c r="TR42" s="476"/>
      <c r="TS42" s="476"/>
      <c r="TT42" s="476"/>
      <c r="TU42" s="476"/>
      <c r="TV42" s="476"/>
      <c r="TW42" s="476"/>
      <c r="TX42" s="476"/>
      <c r="TY42" s="476"/>
      <c r="TZ42" s="476"/>
      <c r="UA42" s="476"/>
      <c r="UB42" s="476"/>
      <c r="UC42" s="476"/>
      <c r="UD42" s="476"/>
      <c r="UE42" s="476"/>
      <c r="UF42" s="476"/>
      <c r="UG42" s="476"/>
      <c r="UH42" s="476"/>
      <c r="UI42" s="476"/>
      <c r="UJ42" s="476"/>
      <c r="UK42" s="476"/>
      <c r="UL42" s="476"/>
      <c r="UM42" s="476"/>
      <c r="UN42" s="476"/>
      <c r="UO42" s="476"/>
      <c r="UP42" s="476"/>
      <c r="UQ42" s="476"/>
      <c r="UR42" s="476"/>
      <c r="US42" s="476"/>
      <c r="UT42" s="476"/>
      <c r="UU42" s="476"/>
      <c r="UV42" s="476"/>
      <c r="UW42" s="476"/>
      <c r="UX42" s="476"/>
      <c r="UY42" s="476"/>
      <c r="UZ42" s="476"/>
      <c r="VA42" s="476"/>
      <c r="VB42" s="476"/>
      <c r="VC42" s="476"/>
      <c r="VD42" s="476"/>
      <c r="VE42" s="476"/>
      <c r="VF42" s="476"/>
      <c r="VG42" s="476"/>
      <c r="VH42" s="476"/>
      <c r="VI42" s="476"/>
      <c r="VJ42" s="476"/>
      <c r="VK42" s="476"/>
      <c r="VL42" s="476"/>
      <c r="VM42" s="476"/>
      <c r="VN42" s="476"/>
      <c r="VO42" s="476"/>
      <c r="VP42" s="476"/>
      <c r="VQ42" s="476"/>
      <c r="VR42" s="476"/>
      <c r="VS42" s="476"/>
      <c r="VT42" s="476"/>
      <c r="VU42" s="476"/>
      <c r="VV42" s="476"/>
      <c r="VW42" s="476"/>
      <c r="VX42" s="476"/>
      <c r="VY42" s="476"/>
      <c r="VZ42" s="476"/>
      <c r="WA42" s="476"/>
      <c r="WB42" s="476"/>
      <c r="WC42" s="476"/>
      <c r="WD42" s="476"/>
      <c r="WE42" s="476"/>
      <c r="WF42" s="476"/>
      <c r="WG42" s="476"/>
      <c r="WH42" s="476"/>
      <c r="WI42" s="476"/>
      <c r="WJ42" s="476"/>
      <c r="WK42" s="476"/>
      <c r="WL42" s="476"/>
      <c r="WM42" s="476"/>
      <c r="WN42" s="476"/>
      <c r="WO42" s="476"/>
      <c r="WP42" s="476"/>
      <c r="WQ42" s="476"/>
      <c r="WR42" s="476"/>
      <c r="WS42" s="476"/>
      <c r="WT42" s="476"/>
      <c r="WU42" s="476"/>
      <c r="WV42" s="476"/>
      <c r="WW42" s="476"/>
      <c r="WX42" s="476"/>
      <c r="WY42" s="476"/>
      <c r="WZ42" s="476"/>
      <c r="XA42" s="476"/>
      <c r="XB42" s="476"/>
      <c r="XC42" s="476"/>
      <c r="XD42" s="476"/>
      <c r="XE42" s="476"/>
      <c r="XF42" s="476"/>
      <c r="XG42" s="476"/>
      <c r="XH42" s="476"/>
      <c r="XI42" s="476"/>
      <c r="XJ42" s="476"/>
      <c r="XK42" s="476"/>
      <c r="XL42" s="476"/>
      <c r="XM42" s="476"/>
      <c r="XN42" s="476"/>
      <c r="XO42" s="476"/>
      <c r="XP42" s="476"/>
      <c r="XQ42" s="476"/>
      <c r="XR42" s="476"/>
      <c r="XS42" s="476"/>
      <c r="XT42" s="476"/>
      <c r="XU42" s="476"/>
      <c r="XV42" s="476"/>
      <c r="XW42" s="476"/>
      <c r="XX42" s="476"/>
      <c r="XY42" s="476"/>
      <c r="XZ42" s="476"/>
      <c r="YA42" s="476"/>
      <c r="YB42" s="476"/>
      <c r="YC42" s="476"/>
      <c r="YD42" s="476"/>
      <c r="YE42" s="476"/>
      <c r="YF42" s="476"/>
      <c r="YG42" s="476"/>
      <c r="YH42" s="476"/>
      <c r="YI42" s="476"/>
      <c r="YJ42" s="476"/>
      <c r="YK42" s="476"/>
      <c r="YL42" s="476"/>
      <c r="YM42" s="476"/>
      <c r="YN42" s="476"/>
      <c r="YO42" s="476"/>
      <c r="YP42" s="476"/>
      <c r="YQ42" s="476"/>
      <c r="YR42" s="476"/>
      <c r="YS42" s="476"/>
      <c r="YT42" s="476"/>
      <c r="YU42" s="476"/>
      <c r="YV42" s="476"/>
      <c r="YW42" s="476"/>
      <c r="YX42" s="476"/>
      <c r="YY42" s="476"/>
      <c r="YZ42" s="476"/>
      <c r="ZA42" s="476"/>
      <c r="ZB42" s="476"/>
      <c r="ZC42" s="476"/>
      <c r="ZD42" s="476"/>
      <c r="ZE42" s="476"/>
      <c r="ZF42" s="476"/>
      <c r="ZG42" s="476"/>
      <c r="ZH42" s="476"/>
      <c r="ZI42" s="476"/>
      <c r="ZJ42" s="476"/>
      <c r="ZK42" s="476"/>
      <c r="ZL42" s="476"/>
      <c r="ZM42" s="476"/>
      <c r="ZN42" s="476"/>
      <c r="ZO42" s="476"/>
      <c r="ZP42" s="476"/>
      <c r="ZQ42" s="476"/>
      <c r="ZR42" s="476"/>
      <c r="ZS42" s="476"/>
      <c r="ZT42" s="476"/>
      <c r="ZU42" s="476"/>
      <c r="ZV42" s="476"/>
      <c r="ZW42" s="476"/>
      <c r="ZX42" s="476"/>
      <c r="ZY42" s="476"/>
      <c r="ZZ42" s="476"/>
      <c r="AAA42" s="476"/>
      <c r="AAB42" s="476"/>
      <c r="AAC42" s="476"/>
      <c r="AAD42" s="476"/>
      <c r="AAE42" s="476"/>
      <c r="AAF42" s="476"/>
      <c r="AAG42" s="476"/>
      <c r="AAH42" s="476"/>
      <c r="AAI42" s="476"/>
      <c r="AAJ42" s="476"/>
      <c r="AAK42" s="476"/>
      <c r="AAL42" s="476"/>
      <c r="AAM42" s="476"/>
      <c r="AAN42" s="476"/>
      <c r="AAO42" s="476"/>
      <c r="AAP42" s="476"/>
      <c r="AAQ42" s="476"/>
      <c r="AAR42" s="476"/>
      <c r="AAS42" s="476"/>
      <c r="AAT42" s="476"/>
      <c r="AAU42" s="476"/>
      <c r="AAV42" s="476"/>
      <c r="AAW42" s="476"/>
      <c r="AAX42" s="476"/>
      <c r="AAY42" s="476"/>
      <c r="AAZ42" s="476"/>
      <c r="ABA42" s="476"/>
      <c r="ABB42" s="476"/>
      <c r="ABC42" s="476"/>
      <c r="ABD42" s="476"/>
      <c r="ABE42" s="476"/>
      <c r="ABF42" s="476"/>
      <c r="ABG42" s="476"/>
      <c r="ABH42" s="476"/>
      <c r="ABI42" s="476"/>
      <c r="ABJ42" s="476"/>
      <c r="ABK42" s="476"/>
      <c r="ABL42" s="476"/>
      <c r="ABM42" s="476"/>
      <c r="ABN42" s="476"/>
      <c r="ABO42" s="476"/>
      <c r="ABP42" s="476"/>
      <c r="ABQ42" s="476"/>
      <c r="ABR42" s="476"/>
      <c r="ABS42" s="476"/>
      <c r="ABT42" s="476"/>
      <c r="ABU42" s="476"/>
      <c r="ABV42" s="476"/>
      <c r="ABW42" s="476"/>
      <c r="ABX42" s="476"/>
      <c r="ABY42" s="476"/>
      <c r="ABZ42" s="476"/>
      <c r="ACA42" s="476"/>
      <c r="ACB42" s="476"/>
      <c r="ACC42" s="476"/>
      <c r="ACD42" s="476"/>
      <c r="ACE42" s="476"/>
      <c r="ACF42" s="476"/>
      <c r="ACG42" s="476"/>
      <c r="ACH42" s="476"/>
      <c r="ACI42" s="476"/>
      <c r="ACJ42" s="476"/>
      <c r="ACK42" s="476"/>
      <c r="ACL42" s="476"/>
      <c r="ACM42" s="476"/>
      <c r="ACN42" s="476"/>
      <c r="ACO42" s="476"/>
      <c r="ACP42" s="476"/>
      <c r="ACQ42" s="476"/>
      <c r="ACR42" s="476"/>
      <c r="ACS42" s="476"/>
      <c r="ACT42" s="476"/>
      <c r="ACU42" s="476"/>
      <c r="ACV42" s="476"/>
      <c r="ACW42" s="476"/>
      <c r="ACX42" s="476"/>
      <c r="ACY42" s="476"/>
      <c r="ACZ42" s="476"/>
      <c r="ADA42" s="476"/>
      <c r="ADB42" s="476"/>
      <c r="ADC42" s="476"/>
      <c r="ADD42" s="476"/>
      <c r="ADE42" s="476"/>
      <c r="ADF42" s="476"/>
      <c r="ADG42" s="476"/>
      <c r="ADH42" s="476"/>
      <c r="ADI42" s="476"/>
      <c r="ADJ42" s="476"/>
      <c r="ADK42" s="476"/>
      <c r="ADL42" s="476"/>
      <c r="ADM42" s="476"/>
      <c r="ADN42" s="476"/>
      <c r="ADO42" s="476"/>
      <c r="ADP42" s="476"/>
      <c r="ADQ42" s="476"/>
      <c r="ADR42" s="476"/>
      <c r="ADS42" s="476"/>
      <c r="ADT42" s="476"/>
      <c r="ADU42" s="476"/>
      <c r="ADV42" s="476"/>
      <c r="ADW42" s="476"/>
      <c r="ADX42" s="476"/>
      <c r="ADY42" s="476"/>
      <c r="ADZ42" s="476"/>
      <c r="AEA42" s="476"/>
      <c r="AEB42" s="476"/>
      <c r="AEC42" s="476"/>
      <c r="AED42" s="476"/>
      <c r="AEE42" s="476"/>
      <c r="AEF42" s="476"/>
      <c r="AEG42" s="476"/>
      <c r="AEH42" s="476"/>
      <c r="AEI42" s="476"/>
      <c r="AEJ42" s="476"/>
      <c r="AEK42" s="476"/>
      <c r="AEL42" s="476"/>
      <c r="AEM42" s="476"/>
      <c r="AEN42" s="476"/>
      <c r="AEO42" s="476"/>
      <c r="AEP42" s="476"/>
      <c r="AEQ42" s="476"/>
      <c r="AER42" s="476"/>
      <c r="AES42" s="476"/>
      <c r="AET42" s="476"/>
      <c r="AEU42" s="476"/>
      <c r="AEV42" s="476"/>
      <c r="AEW42" s="476"/>
      <c r="AEX42" s="476"/>
      <c r="AEY42" s="476"/>
      <c r="AEZ42" s="476"/>
      <c r="AFA42" s="476"/>
      <c r="AFB42" s="476"/>
      <c r="AFC42" s="476"/>
      <c r="AFD42" s="476"/>
      <c r="AFE42" s="476"/>
      <c r="AFF42" s="476"/>
      <c r="AFG42" s="476"/>
      <c r="AFH42" s="476"/>
      <c r="AFI42" s="476"/>
      <c r="AFJ42" s="476"/>
      <c r="AFK42" s="476"/>
      <c r="AFL42" s="476"/>
      <c r="AFM42" s="476"/>
      <c r="AFN42" s="476"/>
      <c r="AFO42" s="476"/>
      <c r="AFP42" s="476"/>
      <c r="AFQ42" s="476"/>
      <c r="AFR42" s="476"/>
      <c r="AFS42" s="476"/>
      <c r="AFT42" s="476"/>
      <c r="AFU42" s="476"/>
      <c r="AFV42" s="476"/>
      <c r="AFW42" s="476"/>
      <c r="AFX42" s="476"/>
      <c r="AFY42" s="476"/>
      <c r="AFZ42" s="476"/>
      <c r="AGA42" s="476"/>
      <c r="AGB42" s="476"/>
      <c r="AGC42" s="476"/>
      <c r="AGD42" s="476"/>
      <c r="AGE42" s="476"/>
      <c r="AGF42" s="476"/>
      <c r="AGG42" s="476"/>
      <c r="AGH42" s="476"/>
      <c r="AGI42" s="476"/>
      <c r="AGJ42" s="476"/>
      <c r="AGK42" s="476"/>
      <c r="AGL42" s="476"/>
      <c r="AGM42" s="476"/>
      <c r="AGN42" s="476"/>
      <c r="AGO42" s="476"/>
      <c r="AGP42" s="476"/>
      <c r="AGQ42" s="476"/>
      <c r="AGR42" s="476"/>
      <c r="AGS42" s="476"/>
      <c r="AGT42" s="476"/>
      <c r="AGU42" s="476"/>
      <c r="AGV42" s="476"/>
      <c r="AGW42" s="476"/>
      <c r="AGX42" s="476"/>
      <c r="AGY42" s="476"/>
      <c r="AGZ42" s="476"/>
      <c r="AHA42" s="476"/>
      <c r="AHB42" s="476"/>
      <c r="AHC42" s="476"/>
      <c r="AHD42" s="476"/>
      <c r="AHE42" s="476"/>
      <c r="AHF42" s="476"/>
      <c r="AHG42" s="476"/>
      <c r="AHH42" s="476"/>
      <c r="AHI42" s="476"/>
      <c r="AHJ42" s="476"/>
      <c r="AHK42" s="476"/>
      <c r="AHL42" s="476"/>
      <c r="AHM42" s="476"/>
      <c r="AHN42" s="476"/>
      <c r="AHO42" s="476"/>
      <c r="AHP42" s="476"/>
      <c r="AHQ42" s="476"/>
      <c r="AHR42" s="476"/>
      <c r="AHS42" s="476"/>
      <c r="AHT42" s="476"/>
      <c r="AHU42" s="476"/>
      <c r="AHV42" s="476"/>
      <c r="AHW42" s="476"/>
      <c r="AHX42" s="476"/>
      <c r="AHY42" s="476"/>
      <c r="AHZ42" s="476"/>
      <c r="AIA42" s="476"/>
      <c r="AIB42" s="476"/>
      <c r="AIC42" s="476"/>
      <c r="AID42" s="476"/>
      <c r="AIE42" s="476"/>
      <c r="AIF42" s="476"/>
      <c r="AIG42" s="476"/>
      <c r="AIH42" s="476"/>
      <c r="AII42" s="476"/>
      <c r="AIJ42" s="476"/>
      <c r="AIK42" s="476"/>
      <c r="AIL42" s="476"/>
      <c r="AIM42" s="476"/>
      <c r="AIN42" s="476"/>
      <c r="AIO42" s="476"/>
      <c r="AIP42" s="476"/>
      <c r="AIQ42" s="476"/>
      <c r="AIR42" s="476"/>
      <c r="AIS42" s="476"/>
      <c r="AIT42" s="476"/>
      <c r="AIU42" s="476"/>
      <c r="AIV42" s="476"/>
      <c r="AIW42" s="476"/>
      <c r="AIX42" s="476"/>
      <c r="AIY42" s="476"/>
      <c r="AIZ42" s="476"/>
      <c r="AJA42" s="476"/>
      <c r="AJB42" s="476"/>
      <c r="AJC42" s="476"/>
      <c r="AJD42" s="476"/>
      <c r="AJE42" s="476"/>
      <c r="AJF42" s="476"/>
      <c r="AJG42" s="476"/>
      <c r="AJH42" s="476"/>
      <c r="AJI42" s="476"/>
      <c r="AJJ42" s="476"/>
      <c r="AJK42" s="476"/>
      <c r="AJL42" s="476"/>
      <c r="AJM42" s="476"/>
      <c r="AJN42" s="476"/>
      <c r="AJO42" s="476"/>
      <c r="AJP42" s="476"/>
      <c r="AJQ42" s="476"/>
      <c r="AJR42" s="476"/>
      <c r="AJS42" s="476"/>
      <c r="AJT42" s="476"/>
      <c r="AJU42" s="476"/>
      <c r="AJV42" s="476"/>
      <c r="AJW42" s="476"/>
      <c r="AJX42" s="476"/>
      <c r="AJY42" s="476"/>
      <c r="AJZ42" s="476"/>
      <c r="AKA42" s="476"/>
      <c r="AKB42" s="476"/>
      <c r="AKC42" s="476"/>
      <c r="AKD42" s="476"/>
      <c r="AKE42" s="476"/>
      <c r="AKF42" s="476"/>
      <c r="AKG42" s="476"/>
      <c r="AKH42" s="476"/>
      <c r="AKI42" s="476"/>
      <c r="AKJ42" s="476"/>
      <c r="AKK42" s="476"/>
      <c r="AKL42" s="476"/>
      <c r="AKM42" s="476"/>
      <c r="AKN42" s="476"/>
      <c r="AKO42" s="476"/>
      <c r="AKP42" s="476"/>
      <c r="AKQ42" s="476"/>
      <c r="AKR42" s="476"/>
      <c r="AKS42" s="476"/>
      <c r="AKT42" s="476"/>
      <c r="AKU42" s="476"/>
      <c r="AKV42" s="476"/>
      <c r="AKW42" s="476"/>
      <c r="AKX42" s="476"/>
      <c r="AKY42" s="476"/>
      <c r="AKZ42" s="476"/>
      <c r="ALA42" s="476"/>
      <c r="ALB42" s="476"/>
      <c r="ALC42" s="476"/>
      <c r="ALD42" s="476"/>
      <c r="ALE42" s="476"/>
      <c r="ALF42" s="476"/>
      <c r="ALG42" s="476"/>
      <c r="ALH42" s="476"/>
      <c r="ALI42" s="476"/>
      <c r="ALJ42" s="476"/>
      <c r="ALK42" s="476"/>
      <c r="ALL42" s="476"/>
      <c r="ALM42" s="476"/>
      <c r="ALN42" s="476"/>
      <c r="ALO42" s="476"/>
      <c r="ALP42" s="476"/>
      <c r="ALQ42" s="476"/>
      <c r="ALR42" s="476"/>
      <c r="ALS42" s="476"/>
      <c r="ALT42" s="476"/>
      <c r="ALU42" s="476"/>
      <c r="ALV42" s="476"/>
      <c r="ALW42" s="476"/>
      <c r="ALX42" s="476"/>
      <c r="ALY42" s="476"/>
      <c r="ALZ42" s="476"/>
      <c r="AMA42" s="476"/>
      <c r="AMB42" s="476"/>
      <c r="AMC42" s="476"/>
      <c r="AMD42" s="476"/>
      <c r="AME42" s="476"/>
      <c r="AMF42" s="476"/>
      <c r="AMG42" s="476"/>
      <c r="AMH42" s="476"/>
      <c r="AMI42" s="476"/>
      <c r="AMJ42" s="476"/>
      <c r="AMK42" s="476"/>
      <c r="AML42" s="476"/>
      <c r="AMM42" s="476"/>
      <c r="AMN42" s="476"/>
      <c r="AMO42" s="476"/>
      <c r="AMP42" s="476"/>
      <c r="AMQ42" s="476"/>
      <c r="AMR42" s="476"/>
      <c r="AMS42" s="476"/>
      <c r="AMT42" s="476"/>
      <c r="AMU42" s="476"/>
      <c r="AMV42" s="476"/>
      <c r="AMW42" s="476"/>
      <c r="AMX42" s="476"/>
      <c r="AMY42" s="476"/>
      <c r="AMZ42" s="476"/>
      <c r="ANA42" s="476"/>
      <c r="ANB42" s="476"/>
      <c r="ANC42" s="476"/>
      <c r="AND42" s="476"/>
      <c r="ANE42" s="476"/>
      <c r="ANF42" s="476"/>
      <c r="ANG42" s="476"/>
      <c r="ANH42" s="476"/>
      <c r="ANI42" s="476"/>
      <c r="ANJ42" s="476"/>
      <c r="ANK42" s="476"/>
      <c r="ANL42" s="476"/>
      <c r="ANM42" s="476"/>
      <c r="ANN42" s="476"/>
      <c r="ANO42" s="476"/>
      <c r="ANP42" s="476"/>
      <c r="ANQ42" s="476"/>
      <c r="ANR42" s="476"/>
      <c r="ANS42" s="476"/>
      <c r="ANT42" s="476"/>
      <c r="ANU42" s="476"/>
      <c r="ANV42" s="476"/>
      <c r="ANW42" s="476"/>
      <c r="ANX42" s="476"/>
      <c r="ANY42" s="476"/>
      <c r="ANZ42" s="476"/>
      <c r="AOA42" s="476"/>
      <c r="AOB42" s="476"/>
      <c r="AOC42" s="476"/>
      <c r="AOD42" s="476"/>
      <c r="AOE42" s="476"/>
      <c r="AOF42" s="476"/>
      <c r="AOG42" s="476"/>
      <c r="AOH42" s="476"/>
      <c r="AOI42" s="476"/>
      <c r="AOJ42" s="476"/>
      <c r="AOK42" s="476"/>
      <c r="AOL42" s="476"/>
      <c r="AOM42" s="476"/>
      <c r="AON42" s="476"/>
      <c r="AOO42" s="476"/>
      <c r="AOP42" s="476"/>
      <c r="AOQ42" s="476"/>
      <c r="AOR42" s="476"/>
      <c r="AOS42" s="476"/>
      <c r="AOT42" s="476"/>
      <c r="AOU42" s="476"/>
      <c r="AOV42" s="476"/>
      <c r="AOW42" s="476"/>
      <c r="AOX42" s="476"/>
      <c r="AOY42" s="476"/>
      <c r="AOZ42" s="476"/>
      <c r="APA42" s="476"/>
      <c r="APB42" s="476"/>
      <c r="APC42" s="476"/>
      <c r="APD42" s="476"/>
      <c r="APE42" s="476"/>
      <c r="APF42" s="476"/>
      <c r="APG42" s="476"/>
      <c r="APH42" s="476"/>
      <c r="API42" s="476"/>
      <c r="APJ42" s="476"/>
      <c r="APK42" s="476"/>
      <c r="APL42" s="476"/>
      <c r="APM42" s="476"/>
      <c r="APN42" s="476"/>
      <c r="APO42" s="476"/>
      <c r="APP42" s="476"/>
      <c r="APQ42" s="476"/>
      <c r="APR42" s="476"/>
      <c r="APS42" s="476"/>
      <c r="APT42" s="476"/>
      <c r="APU42" s="476"/>
      <c r="APV42" s="476"/>
      <c r="APW42" s="476"/>
      <c r="APX42" s="476"/>
      <c r="APY42" s="476"/>
      <c r="APZ42" s="476"/>
      <c r="AQA42" s="476"/>
      <c r="AQB42" s="476"/>
      <c r="AQC42" s="476"/>
      <c r="AQD42" s="476"/>
      <c r="AQE42" s="476"/>
      <c r="AQF42" s="476"/>
      <c r="AQG42" s="476"/>
      <c r="AQH42" s="476"/>
      <c r="AQI42" s="476"/>
      <c r="AQJ42" s="476"/>
      <c r="AQK42" s="476"/>
      <c r="AQL42" s="476"/>
      <c r="AQM42" s="476"/>
      <c r="AQN42" s="476"/>
      <c r="AQO42" s="476"/>
      <c r="AQP42" s="476"/>
      <c r="AQQ42" s="476"/>
      <c r="AQR42" s="476"/>
      <c r="AQS42" s="476"/>
      <c r="AQT42" s="476"/>
      <c r="AQU42" s="476"/>
      <c r="AQV42" s="476"/>
      <c r="AQW42" s="476"/>
      <c r="AQX42" s="476"/>
      <c r="AQY42" s="476"/>
      <c r="AQZ42" s="476"/>
      <c r="ARA42" s="476"/>
      <c r="ARB42" s="476"/>
      <c r="ARC42" s="476"/>
      <c r="ARD42" s="476"/>
      <c r="ARE42" s="476"/>
      <c r="ARF42" s="476"/>
      <c r="ARG42" s="476"/>
      <c r="ARH42" s="476"/>
      <c r="ARI42" s="476"/>
      <c r="ARJ42" s="476"/>
      <c r="ARK42" s="476"/>
      <c r="ARL42" s="476"/>
      <c r="ARM42" s="476"/>
      <c r="ARN42" s="476"/>
      <c r="ARO42" s="476"/>
      <c r="ARP42" s="476"/>
      <c r="ARQ42" s="476"/>
      <c r="ARR42" s="476"/>
      <c r="ARS42" s="476"/>
      <c r="ART42" s="476"/>
      <c r="ARU42" s="476"/>
      <c r="ARV42" s="476"/>
      <c r="ARW42" s="476"/>
      <c r="ARX42" s="476"/>
      <c r="ARY42" s="476"/>
      <c r="ARZ42" s="476"/>
      <c r="ASA42" s="476"/>
      <c r="ASB42" s="476"/>
      <c r="ASC42" s="476"/>
      <c r="ASD42" s="476"/>
      <c r="ASE42" s="476"/>
      <c r="ASF42" s="476"/>
      <c r="ASG42" s="476"/>
      <c r="ASH42" s="476"/>
      <c r="ASI42" s="476"/>
      <c r="ASJ42" s="476"/>
      <c r="ASK42" s="476"/>
      <c r="ASL42" s="476"/>
      <c r="ASM42" s="476"/>
      <c r="ASN42" s="476"/>
      <c r="ASO42" s="476"/>
      <c r="ASP42" s="476"/>
      <c r="ASQ42" s="476"/>
      <c r="ASR42" s="476"/>
      <c r="ASS42" s="476"/>
      <c r="AST42" s="476"/>
      <c r="ASU42" s="476"/>
      <c r="ASV42" s="476"/>
      <c r="ASW42" s="476"/>
      <c r="ASX42" s="476"/>
      <c r="ASY42" s="476"/>
      <c r="ASZ42" s="476"/>
      <c r="ATA42" s="476"/>
      <c r="ATB42" s="476"/>
      <c r="ATC42" s="476"/>
      <c r="ATD42" s="476"/>
      <c r="ATE42" s="476"/>
      <c r="ATF42" s="476"/>
      <c r="ATG42" s="476"/>
      <c r="ATH42" s="476"/>
      <c r="ATI42" s="476"/>
      <c r="ATJ42" s="476"/>
      <c r="ATK42" s="476"/>
      <c r="ATL42" s="476"/>
      <c r="ATM42" s="476"/>
      <c r="ATN42" s="476"/>
      <c r="ATO42" s="476"/>
      <c r="ATP42" s="476"/>
      <c r="ATQ42" s="476"/>
      <c r="ATR42" s="476"/>
      <c r="ATS42" s="476"/>
      <c r="ATT42" s="476"/>
      <c r="ATU42" s="476"/>
      <c r="ATV42" s="476"/>
      <c r="ATW42" s="476"/>
      <c r="ATX42" s="476"/>
      <c r="ATY42" s="476"/>
      <c r="ATZ42" s="476"/>
      <c r="AUA42" s="476"/>
      <c r="AUB42" s="476"/>
      <c r="AUC42" s="476"/>
      <c r="AUD42" s="476"/>
      <c r="AUE42" s="476"/>
      <c r="AUF42" s="476"/>
      <c r="AUG42" s="476"/>
      <c r="AUH42" s="476"/>
      <c r="AUI42" s="476"/>
      <c r="AUJ42" s="476"/>
      <c r="AUK42" s="476"/>
      <c r="AUL42" s="476"/>
      <c r="AUM42" s="476"/>
      <c r="AUN42" s="476"/>
      <c r="AUO42" s="476"/>
      <c r="AUP42" s="476"/>
      <c r="AUQ42" s="476"/>
      <c r="AUR42" s="476"/>
      <c r="AUS42" s="476"/>
      <c r="AUT42" s="476"/>
      <c r="AUU42" s="476"/>
      <c r="AUV42" s="476"/>
      <c r="AUW42" s="476"/>
      <c r="AUX42" s="476"/>
      <c r="AUY42" s="476"/>
      <c r="AUZ42" s="476"/>
      <c r="AVA42" s="476"/>
      <c r="AVB42" s="476"/>
      <c r="AVC42" s="476"/>
      <c r="AVD42" s="476"/>
      <c r="AVE42" s="476"/>
      <c r="AVF42" s="476"/>
      <c r="AVG42" s="476"/>
      <c r="AVH42" s="476"/>
      <c r="AVI42" s="476"/>
      <c r="AVJ42" s="476"/>
      <c r="AVK42" s="476"/>
      <c r="AVL42" s="476"/>
      <c r="AVM42" s="476"/>
      <c r="AVN42" s="476"/>
      <c r="AVO42" s="476"/>
      <c r="AVP42" s="476"/>
      <c r="AVQ42" s="476"/>
      <c r="AVR42" s="476"/>
      <c r="AVS42" s="476"/>
      <c r="AVT42" s="476"/>
      <c r="AVU42" s="476"/>
      <c r="AVV42" s="476"/>
      <c r="AVW42" s="476"/>
      <c r="AVX42" s="476"/>
      <c r="AVY42" s="476"/>
      <c r="AVZ42" s="476"/>
      <c r="AWA42" s="476"/>
      <c r="AWB42" s="476"/>
      <c r="AWC42" s="476"/>
      <c r="AWD42" s="476"/>
      <c r="AWE42" s="476"/>
      <c r="AWF42" s="476"/>
      <c r="AWG42" s="476"/>
      <c r="AWH42" s="476"/>
      <c r="AWI42" s="476"/>
      <c r="AWJ42" s="476"/>
      <c r="AWK42" s="476"/>
      <c r="AWL42" s="476"/>
      <c r="AWM42" s="476"/>
      <c r="AWN42" s="476"/>
      <c r="AWO42" s="476"/>
      <c r="AWP42" s="476"/>
      <c r="AWQ42" s="476"/>
      <c r="AWR42" s="476"/>
      <c r="AWS42" s="476"/>
      <c r="AWT42" s="476"/>
      <c r="AWU42" s="476"/>
      <c r="AWV42" s="476"/>
      <c r="AWW42" s="476"/>
      <c r="AWX42" s="476"/>
      <c r="AWY42" s="476"/>
      <c r="AWZ42" s="476"/>
      <c r="AXA42" s="476"/>
      <c r="AXB42" s="476"/>
      <c r="AXC42" s="476"/>
      <c r="AXD42" s="476"/>
      <c r="AXE42" s="476"/>
      <c r="AXF42" s="476"/>
      <c r="AXG42" s="476"/>
      <c r="AXH42" s="476"/>
      <c r="AXI42" s="476"/>
      <c r="AXJ42" s="476"/>
      <c r="AXK42" s="476"/>
      <c r="AXL42" s="476"/>
      <c r="AXM42" s="476"/>
      <c r="AXN42" s="476"/>
      <c r="AXO42" s="476"/>
      <c r="AXP42" s="476"/>
      <c r="AXQ42" s="476"/>
      <c r="AXR42" s="476"/>
      <c r="AXS42" s="476"/>
      <c r="AXT42" s="476"/>
      <c r="AXU42" s="476"/>
      <c r="AXV42" s="476"/>
      <c r="AXW42" s="476"/>
      <c r="AXX42" s="476"/>
      <c r="AXY42" s="476"/>
      <c r="AXZ42" s="476"/>
      <c r="AYA42" s="476"/>
      <c r="AYB42" s="476"/>
      <c r="AYC42" s="476"/>
      <c r="AYD42" s="476"/>
      <c r="AYE42" s="476"/>
      <c r="AYF42" s="476"/>
      <c r="AYG42" s="476"/>
      <c r="AYH42" s="476"/>
      <c r="AYI42" s="476"/>
      <c r="AYJ42" s="476"/>
      <c r="AYK42" s="476"/>
      <c r="AYL42" s="476"/>
      <c r="AYM42" s="476"/>
      <c r="AYN42" s="476"/>
      <c r="AYO42" s="476"/>
      <c r="AYP42" s="476"/>
      <c r="AYQ42" s="476"/>
      <c r="AYR42" s="476"/>
      <c r="AYS42" s="476"/>
      <c r="AYT42" s="476"/>
      <c r="AYU42" s="476"/>
      <c r="AYV42" s="476"/>
      <c r="AYW42" s="476"/>
      <c r="AYX42" s="476"/>
      <c r="AYY42" s="476"/>
      <c r="AYZ42" s="476"/>
      <c r="AZA42" s="476"/>
      <c r="AZB42" s="476"/>
      <c r="AZC42" s="476"/>
      <c r="AZD42" s="476"/>
      <c r="AZE42" s="476"/>
      <c r="AZF42" s="476"/>
      <c r="AZG42" s="476"/>
      <c r="AZH42" s="476"/>
      <c r="AZI42" s="476"/>
      <c r="AZJ42" s="476"/>
      <c r="AZK42" s="476"/>
      <c r="AZL42" s="476"/>
      <c r="AZM42" s="476"/>
      <c r="AZN42" s="476"/>
      <c r="AZO42" s="476"/>
      <c r="AZP42" s="476"/>
      <c r="AZQ42" s="476"/>
      <c r="AZR42" s="476"/>
      <c r="AZS42" s="476"/>
      <c r="AZT42" s="476"/>
      <c r="AZU42" s="476"/>
      <c r="AZV42" s="476"/>
      <c r="AZW42" s="476"/>
      <c r="AZX42" s="476"/>
      <c r="AZY42" s="476"/>
      <c r="AZZ42" s="476"/>
      <c r="BAA42" s="476"/>
      <c r="BAB42" s="476"/>
      <c r="BAC42" s="476"/>
      <c r="BAD42" s="476"/>
      <c r="BAE42" s="476"/>
      <c r="BAF42" s="476"/>
      <c r="BAG42" s="476"/>
      <c r="BAH42" s="476"/>
      <c r="BAI42" s="476"/>
      <c r="BAJ42" s="476"/>
      <c r="BAK42" s="476"/>
      <c r="BAL42" s="476"/>
      <c r="BAM42" s="476"/>
      <c r="BAN42" s="476"/>
      <c r="BAO42" s="476"/>
      <c r="BAP42" s="476"/>
      <c r="BAQ42" s="476"/>
      <c r="BAR42" s="476"/>
      <c r="BAS42" s="476"/>
      <c r="BAT42" s="476"/>
      <c r="BAU42" s="476"/>
      <c r="BAV42" s="476"/>
      <c r="BAW42" s="476"/>
      <c r="BAX42" s="476"/>
      <c r="BAY42" s="476"/>
      <c r="BAZ42" s="476"/>
      <c r="BBA42" s="476"/>
      <c r="BBB42" s="476"/>
      <c r="BBC42" s="476"/>
      <c r="BBD42" s="476"/>
      <c r="BBE42" s="476"/>
      <c r="BBF42" s="476"/>
      <c r="BBG42" s="476"/>
      <c r="BBH42" s="476"/>
      <c r="BBI42" s="476"/>
      <c r="BBJ42" s="476"/>
      <c r="BBK42" s="476"/>
      <c r="BBL42" s="476"/>
      <c r="BBM42" s="476"/>
      <c r="BBN42" s="476"/>
      <c r="BBO42" s="476"/>
      <c r="BBP42" s="476"/>
      <c r="BBQ42" s="476"/>
      <c r="BBR42" s="476"/>
      <c r="BBS42" s="476"/>
      <c r="BBT42" s="476"/>
      <c r="BBU42" s="476"/>
      <c r="BBV42" s="476"/>
      <c r="BBW42" s="476"/>
      <c r="BBX42" s="476"/>
      <c r="BBY42" s="476"/>
      <c r="BBZ42" s="476"/>
      <c r="BCA42" s="476"/>
      <c r="BCB42" s="476"/>
      <c r="BCC42" s="476"/>
      <c r="BCD42" s="476"/>
      <c r="BCE42" s="476"/>
      <c r="BCF42" s="476"/>
      <c r="BCG42" s="476"/>
      <c r="BCH42" s="476"/>
      <c r="BCI42" s="476"/>
      <c r="BCJ42" s="476"/>
      <c r="BCK42" s="476"/>
      <c r="BCL42" s="476"/>
      <c r="BCM42" s="476"/>
      <c r="BCN42" s="476"/>
      <c r="BCO42" s="476"/>
      <c r="BCP42" s="476"/>
      <c r="BCQ42" s="476"/>
      <c r="BCR42" s="476"/>
      <c r="BCS42" s="476"/>
      <c r="BCT42" s="476"/>
      <c r="BCU42" s="476"/>
      <c r="BCV42" s="476"/>
      <c r="BCW42" s="476"/>
      <c r="BCX42" s="476"/>
      <c r="BCY42" s="476"/>
      <c r="BCZ42" s="476"/>
      <c r="BDA42" s="476"/>
      <c r="BDB42" s="476"/>
      <c r="BDC42" s="476"/>
      <c r="BDD42" s="476"/>
      <c r="BDE42" s="476"/>
      <c r="BDF42" s="476"/>
      <c r="BDG42" s="476"/>
      <c r="BDH42" s="476"/>
      <c r="BDI42" s="476"/>
      <c r="BDJ42" s="476"/>
      <c r="BDK42" s="476"/>
      <c r="BDL42" s="476"/>
      <c r="BDM42" s="476"/>
      <c r="BDN42" s="476"/>
      <c r="BDO42" s="476"/>
      <c r="BDP42" s="476"/>
      <c r="BDQ42" s="476"/>
      <c r="BDR42" s="476"/>
      <c r="BDS42" s="476"/>
      <c r="BDT42" s="476"/>
      <c r="BDU42" s="476"/>
      <c r="BDV42" s="476"/>
      <c r="BDW42" s="476"/>
      <c r="BDX42" s="476"/>
      <c r="BDY42" s="476"/>
      <c r="BDZ42" s="476"/>
      <c r="BEA42" s="476"/>
      <c r="BEB42" s="476"/>
      <c r="BEC42" s="476"/>
      <c r="BED42" s="476"/>
      <c r="BEE42" s="476"/>
      <c r="BEF42" s="476"/>
      <c r="BEG42" s="476"/>
      <c r="BEH42" s="476"/>
      <c r="BEI42" s="476"/>
      <c r="BEJ42" s="476"/>
      <c r="BEK42" s="476"/>
      <c r="BEL42" s="476"/>
      <c r="BEM42" s="476"/>
      <c r="BEN42" s="476"/>
      <c r="BEO42" s="476"/>
      <c r="BEP42" s="476"/>
      <c r="BEQ42" s="476"/>
      <c r="BER42" s="476"/>
      <c r="BES42" s="476"/>
      <c r="BET42" s="476"/>
      <c r="BEU42" s="476"/>
      <c r="BEV42" s="476"/>
      <c r="BEW42" s="476"/>
      <c r="BEX42" s="476"/>
      <c r="BEY42" s="476"/>
      <c r="BEZ42" s="476"/>
      <c r="BFA42" s="476"/>
      <c r="BFB42" s="476"/>
      <c r="BFC42" s="476"/>
      <c r="BFD42" s="476"/>
      <c r="BFE42" s="476"/>
      <c r="BFF42" s="476"/>
      <c r="BFG42" s="476"/>
      <c r="BFH42" s="476"/>
      <c r="BFI42" s="476"/>
      <c r="BFJ42" s="476"/>
      <c r="BFK42" s="476"/>
      <c r="BFL42" s="476"/>
      <c r="BFM42" s="476"/>
      <c r="BFN42" s="476"/>
      <c r="BFO42" s="476"/>
      <c r="BFP42" s="476"/>
      <c r="BFQ42" s="476"/>
      <c r="BFR42" s="476"/>
      <c r="BFS42" s="476"/>
      <c r="BFT42" s="476"/>
      <c r="BFU42" s="476"/>
      <c r="BFV42" s="476"/>
      <c r="BFW42" s="476"/>
      <c r="BFX42" s="476"/>
      <c r="BFY42" s="476"/>
      <c r="BFZ42" s="476"/>
      <c r="BGA42" s="476"/>
      <c r="BGB42" s="476"/>
      <c r="BGC42" s="476"/>
      <c r="BGD42" s="476"/>
      <c r="BGE42" s="476"/>
      <c r="BGF42" s="476"/>
      <c r="BGG42" s="476"/>
      <c r="BGH42" s="476"/>
      <c r="BGI42" s="476"/>
      <c r="BGJ42" s="476"/>
      <c r="BGK42" s="476"/>
      <c r="BGL42" s="476"/>
      <c r="BGM42" s="476"/>
      <c r="BGN42" s="476"/>
      <c r="BGO42" s="476"/>
      <c r="BGP42" s="476"/>
      <c r="BGQ42" s="476"/>
      <c r="BGR42" s="476"/>
      <c r="BGS42" s="476"/>
      <c r="BGT42" s="476"/>
      <c r="BGU42" s="476"/>
      <c r="BGV42" s="476"/>
      <c r="BGW42" s="476"/>
      <c r="BGX42" s="476"/>
      <c r="BGY42" s="476"/>
      <c r="BGZ42" s="476"/>
      <c r="BHA42" s="476"/>
      <c r="BHB42" s="476"/>
      <c r="BHC42" s="476"/>
      <c r="BHD42" s="476"/>
      <c r="BHE42" s="476"/>
      <c r="BHF42" s="476"/>
      <c r="BHG42" s="476"/>
      <c r="BHH42" s="476"/>
      <c r="BHI42" s="476"/>
      <c r="BHJ42" s="476"/>
      <c r="BHK42" s="476"/>
      <c r="BHL42" s="476"/>
      <c r="BHM42" s="476"/>
      <c r="BHN42" s="476"/>
      <c r="BHO42" s="476"/>
      <c r="BHP42" s="476"/>
      <c r="BHQ42" s="476"/>
      <c r="BHR42" s="476"/>
      <c r="BHS42" s="476"/>
      <c r="BHT42" s="476"/>
      <c r="BHU42" s="476"/>
      <c r="BHV42" s="476"/>
      <c r="BHW42" s="476"/>
      <c r="BHX42" s="476"/>
      <c r="BHY42" s="476"/>
      <c r="BHZ42" s="476"/>
      <c r="BIA42" s="476"/>
      <c r="BIB42" s="476"/>
      <c r="BIC42" s="476"/>
      <c r="BID42" s="476"/>
      <c r="BIE42" s="476"/>
      <c r="BIF42" s="476"/>
      <c r="BIG42" s="476"/>
      <c r="BIH42" s="476"/>
      <c r="BII42" s="476"/>
      <c r="BIJ42" s="476"/>
      <c r="BIK42" s="476"/>
      <c r="BIL42" s="476"/>
      <c r="BIM42" s="476"/>
      <c r="BIN42" s="476"/>
      <c r="BIO42" s="476"/>
      <c r="BIP42" s="476"/>
      <c r="BIQ42" s="476"/>
      <c r="BIR42" s="476"/>
      <c r="BIS42" s="476"/>
      <c r="BIT42" s="476"/>
      <c r="BIU42" s="476"/>
      <c r="BIV42" s="476"/>
      <c r="BIW42" s="476"/>
      <c r="BIX42" s="476"/>
      <c r="BIY42" s="476"/>
      <c r="BIZ42" s="476"/>
      <c r="BJA42" s="476"/>
      <c r="BJB42" s="476"/>
      <c r="BJC42" s="476"/>
      <c r="BJD42" s="476"/>
      <c r="BJE42" s="476"/>
      <c r="BJF42" s="476"/>
      <c r="BJG42" s="476"/>
      <c r="BJH42" s="476"/>
      <c r="BJI42" s="476"/>
      <c r="BJJ42" s="476"/>
      <c r="BJK42" s="476"/>
      <c r="BJL42" s="476"/>
      <c r="BJM42" s="476"/>
      <c r="BJN42" s="476"/>
      <c r="BJO42" s="476"/>
      <c r="BJP42" s="476"/>
      <c r="BJQ42" s="476"/>
      <c r="BJR42" s="476"/>
      <c r="BJS42" s="476"/>
      <c r="BJT42" s="476"/>
      <c r="BJU42" s="476"/>
      <c r="BJV42" s="476"/>
      <c r="BJW42" s="476"/>
      <c r="BJX42" s="476"/>
      <c r="BJY42" s="476"/>
      <c r="BJZ42" s="476"/>
      <c r="BKA42" s="476"/>
      <c r="BKB42" s="476"/>
      <c r="BKC42" s="476"/>
      <c r="BKD42" s="476"/>
      <c r="BKE42" s="476"/>
      <c r="BKF42" s="476"/>
      <c r="BKG42" s="476"/>
      <c r="BKH42" s="476"/>
      <c r="BKI42" s="476"/>
      <c r="BKJ42" s="476"/>
      <c r="BKK42" s="476"/>
      <c r="BKL42" s="476"/>
      <c r="BKM42" s="476"/>
      <c r="BKN42" s="476"/>
      <c r="BKO42" s="476"/>
      <c r="BKP42" s="476"/>
      <c r="BKQ42" s="476"/>
      <c r="BKR42" s="476"/>
      <c r="BKS42" s="476"/>
      <c r="BKT42" s="476"/>
      <c r="BKU42" s="476"/>
      <c r="BKV42" s="476"/>
      <c r="BKW42" s="476"/>
      <c r="BKX42" s="476"/>
      <c r="BKY42" s="476"/>
      <c r="BKZ42" s="476"/>
      <c r="BLA42" s="476"/>
      <c r="BLB42" s="476"/>
      <c r="BLC42" s="476"/>
      <c r="BLD42" s="476"/>
      <c r="BLE42" s="476"/>
      <c r="BLF42" s="476"/>
      <c r="BLG42" s="476"/>
      <c r="BLH42" s="476"/>
      <c r="BLI42" s="476"/>
      <c r="BLJ42" s="476"/>
      <c r="BLK42" s="476"/>
      <c r="BLL42" s="476"/>
      <c r="BLM42" s="476"/>
      <c r="BLN42" s="476"/>
      <c r="BLO42" s="476"/>
      <c r="BLP42" s="476"/>
      <c r="BLQ42" s="476"/>
      <c r="BLR42" s="476"/>
      <c r="BLS42" s="476"/>
      <c r="BLT42" s="476"/>
      <c r="BLU42" s="476"/>
      <c r="BLV42" s="476"/>
      <c r="BLW42" s="476"/>
      <c r="BLX42" s="476"/>
      <c r="BLY42" s="476"/>
      <c r="BLZ42" s="476"/>
      <c r="BMA42" s="476"/>
      <c r="BMB42" s="476"/>
      <c r="BMC42" s="476"/>
      <c r="BMD42" s="476"/>
      <c r="BME42" s="476"/>
      <c r="BMF42" s="476"/>
      <c r="BMG42" s="476"/>
      <c r="BMH42" s="476"/>
      <c r="BMI42" s="476"/>
      <c r="BMJ42" s="476"/>
      <c r="BMK42" s="476"/>
      <c r="BML42" s="476"/>
      <c r="BMM42" s="476"/>
      <c r="BMN42" s="476"/>
      <c r="BMO42" s="476"/>
      <c r="BMP42" s="476"/>
      <c r="BMQ42" s="476"/>
      <c r="BMR42" s="476"/>
      <c r="BMS42" s="476"/>
      <c r="BMT42" s="476"/>
      <c r="BMU42" s="476"/>
      <c r="BMV42" s="476"/>
      <c r="BMW42" s="476"/>
      <c r="BMX42" s="476"/>
      <c r="BMY42" s="476"/>
      <c r="BMZ42" s="476"/>
      <c r="BNA42" s="476"/>
      <c r="BNB42" s="476"/>
      <c r="BNC42" s="476"/>
      <c r="BND42" s="476"/>
      <c r="BNE42" s="476"/>
      <c r="BNF42" s="476"/>
      <c r="BNG42" s="476"/>
      <c r="BNH42" s="476"/>
      <c r="BNI42" s="476"/>
      <c r="BNJ42" s="476"/>
      <c r="BNK42" s="476"/>
      <c r="BNL42" s="476"/>
      <c r="BNM42" s="476"/>
      <c r="BNN42" s="476"/>
      <c r="BNO42" s="476"/>
      <c r="BNP42" s="476"/>
      <c r="BNQ42" s="476"/>
      <c r="BNR42" s="476"/>
      <c r="BNS42" s="476"/>
      <c r="BNT42" s="476"/>
      <c r="BNU42" s="476"/>
      <c r="BNV42" s="476"/>
      <c r="BNW42" s="476"/>
      <c r="BNX42" s="476"/>
      <c r="BNY42" s="476"/>
      <c r="BNZ42" s="476"/>
      <c r="BOA42" s="476"/>
      <c r="BOB42" s="476"/>
      <c r="BOC42" s="476"/>
      <c r="BOD42" s="476"/>
      <c r="BOE42" s="476"/>
      <c r="BOF42" s="476"/>
      <c r="BOG42" s="476"/>
      <c r="BOH42" s="476"/>
      <c r="BOI42" s="476"/>
      <c r="BOJ42" s="476"/>
      <c r="BOK42" s="476"/>
      <c r="BOL42" s="476"/>
      <c r="BOM42" s="476"/>
      <c r="BON42" s="476"/>
      <c r="BOO42" s="476"/>
      <c r="BOP42" s="476"/>
      <c r="BOQ42" s="476"/>
      <c r="BOR42" s="476"/>
      <c r="BOS42" s="476"/>
      <c r="BOT42" s="476"/>
      <c r="BOU42" s="476"/>
      <c r="BOV42" s="476"/>
      <c r="BOW42" s="476"/>
      <c r="BOX42" s="476"/>
      <c r="BOY42" s="476"/>
      <c r="BOZ42" s="476"/>
      <c r="BPA42" s="476"/>
      <c r="BPB42" s="476"/>
      <c r="BPC42" s="476"/>
      <c r="BPD42" s="476"/>
      <c r="BPE42" s="476"/>
      <c r="BPF42" s="476"/>
      <c r="BPG42" s="476"/>
      <c r="BPH42" s="476"/>
      <c r="BPI42" s="476"/>
      <c r="BPJ42" s="476"/>
      <c r="BPK42" s="476"/>
      <c r="BPL42" s="476"/>
      <c r="BPM42" s="476"/>
      <c r="BPN42" s="476"/>
      <c r="BPO42" s="476"/>
      <c r="BPP42" s="476"/>
      <c r="BPQ42" s="476"/>
      <c r="BPR42" s="476"/>
      <c r="BPS42" s="476"/>
      <c r="BPT42" s="476"/>
      <c r="BPU42" s="476"/>
      <c r="BPV42" s="476"/>
      <c r="BPW42" s="476"/>
      <c r="BPX42" s="476"/>
      <c r="BPY42" s="476"/>
      <c r="BPZ42" s="476"/>
      <c r="BQA42" s="476"/>
      <c r="BQB42" s="476"/>
      <c r="BQC42" s="476"/>
      <c r="BQD42" s="476"/>
      <c r="BQE42" s="476"/>
      <c r="BQF42" s="476"/>
      <c r="BQG42" s="476"/>
      <c r="BQH42" s="476"/>
      <c r="BQI42" s="476"/>
      <c r="BQJ42" s="476"/>
      <c r="BQK42" s="476"/>
      <c r="BQL42" s="476"/>
      <c r="BQM42" s="476"/>
      <c r="BQN42" s="476"/>
      <c r="BQO42" s="476"/>
      <c r="BQP42" s="476"/>
      <c r="BQQ42" s="476"/>
      <c r="BQR42" s="476"/>
      <c r="BQS42" s="476"/>
      <c r="BQT42" s="476"/>
      <c r="BQU42" s="476"/>
      <c r="BQV42" s="476"/>
      <c r="BQW42" s="476"/>
      <c r="BQX42" s="476"/>
      <c r="BQY42" s="476"/>
      <c r="BQZ42" s="476"/>
      <c r="BRA42" s="476"/>
      <c r="BRB42" s="476"/>
      <c r="BRC42" s="476"/>
      <c r="BRD42" s="476"/>
      <c r="BRE42" s="476"/>
      <c r="BRF42" s="476"/>
      <c r="BRG42" s="476"/>
      <c r="BRH42" s="476"/>
      <c r="BRI42" s="476"/>
      <c r="BRJ42" s="476"/>
      <c r="BRK42" s="476"/>
      <c r="BRL42" s="476"/>
      <c r="BRM42" s="476"/>
      <c r="BRN42" s="476"/>
      <c r="BRO42" s="476"/>
      <c r="BRP42" s="476"/>
      <c r="BRQ42" s="476"/>
      <c r="BRR42" s="476"/>
      <c r="BRS42" s="476"/>
      <c r="BRT42" s="476"/>
      <c r="BRU42" s="476"/>
      <c r="BRV42" s="476"/>
      <c r="BRW42" s="476"/>
      <c r="BRX42" s="476"/>
      <c r="BRY42" s="476"/>
      <c r="BRZ42" s="476"/>
      <c r="BSA42" s="476"/>
      <c r="BSB42" s="476"/>
      <c r="BSC42" s="476"/>
      <c r="BSD42" s="476"/>
      <c r="BSE42" s="476"/>
      <c r="BSF42" s="476"/>
      <c r="BSG42" s="476"/>
      <c r="BSH42" s="476"/>
      <c r="BSI42" s="476"/>
      <c r="BSJ42" s="476"/>
      <c r="BSK42" s="476"/>
      <c r="BSL42" s="476"/>
      <c r="BSM42" s="476"/>
      <c r="BSN42" s="476"/>
      <c r="BSO42" s="476"/>
      <c r="BSP42" s="476"/>
      <c r="BSQ42" s="476"/>
      <c r="BSR42" s="476"/>
      <c r="BSS42" s="476"/>
      <c r="BST42" s="476"/>
      <c r="BSU42" s="476"/>
      <c r="BSV42" s="476"/>
      <c r="BSW42" s="476"/>
      <c r="BSX42" s="476"/>
      <c r="BSY42" s="476"/>
      <c r="BSZ42" s="476"/>
      <c r="BTA42" s="476"/>
      <c r="BTB42" s="476"/>
      <c r="BTC42" s="476"/>
      <c r="BTD42" s="476"/>
      <c r="BTE42" s="476"/>
      <c r="BTF42" s="476"/>
      <c r="BTG42" s="476"/>
      <c r="BTH42" s="476"/>
      <c r="BTI42" s="476"/>
      <c r="BTJ42" s="476"/>
      <c r="BTK42" s="476"/>
      <c r="BTL42" s="476"/>
      <c r="BTM42" s="476"/>
      <c r="BTN42" s="476"/>
      <c r="BTO42" s="476"/>
      <c r="BTP42" s="476"/>
      <c r="BTQ42" s="476"/>
      <c r="BTR42" s="476"/>
      <c r="BTS42" s="476"/>
      <c r="BTT42" s="476"/>
      <c r="BTU42" s="476"/>
      <c r="BTV42" s="476"/>
      <c r="BTW42" s="476"/>
      <c r="BTX42" s="476"/>
      <c r="BTY42" s="476"/>
      <c r="BTZ42" s="476"/>
      <c r="BUA42" s="476"/>
      <c r="BUB42" s="476"/>
      <c r="BUC42" s="476"/>
      <c r="BUD42" s="476"/>
      <c r="BUE42" s="476"/>
      <c r="BUF42" s="476"/>
      <c r="BUG42" s="476"/>
      <c r="BUH42" s="476"/>
      <c r="BUI42" s="476"/>
      <c r="BUJ42" s="476"/>
      <c r="BUK42" s="476"/>
      <c r="BUL42" s="476"/>
      <c r="BUM42" s="476"/>
      <c r="BUN42" s="476"/>
      <c r="BUO42" s="476"/>
      <c r="BUP42" s="476"/>
      <c r="BUQ42" s="476"/>
      <c r="BUR42" s="476"/>
      <c r="BUS42" s="476"/>
      <c r="BUT42" s="476"/>
      <c r="BUU42" s="476"/>
      <c r="BUV42" s="476"/>
      <c r="BUW42" s="476"/>
      <c r="BUX42" s="476"/>
      <c r="BUY42" s="476"/>
      <c r="BUZ42" s="476"/>
      <c r="BVA42" s="476"/>
      <c r="BVB42" s="476"/>
      <c r="BVC42" s="476"/>
      <c r="BVD42" s="476"/>
      <c r="BVE42" s="476"/>
      <c r="BVF42" s="476"/>
      <c r="BVG42" s="476"/>
      <c r="BVH42" s="476"/>
      <c r="BVI42" s="476"/>
      <c r="BVJ42" s="476"/>
      <c r="BVK42" s="476"/>
      <c r="BVL42" s="476"/>
      <c r="BVM42" s="476"/>
      <c r="BVN42" s="476"/>
      <c r="BVO42" s="476"/>
      <c r="BVP42" s="476"/>
      <c r="BVQ42" s="476"/>
      <c r="BVR42" s="476"/>
      <c r="BVS42" s="476"/>
      <c r="BVT42" s="476"/>
      <c r="BVU42" s="476"/>
      <c r="BVV42" s="476"/>
      <c r="BVW42" s="476"/>
      <c r="BVX42" s="476"/>
      <c r="BVY42" s="476"/>
      <c r="BVZ42" s="476"/>
      <c r="BWA42" s="476"/>
      <c r="BWB42" s="476"/>
      <c r="BWC42" s="476"/>
      <c r="BWD42" s="476"/>
      <c r="BWE42" s="476"/>
      <c r="BWF42" s="476"/>
      <c r="BWG42" s="476"/>
      <c r="BWH42" s="476"/>
      <c r="BWI42" s="476"/>
      <c r="BWJ42" s="476"/>
      <c r="BWK42" s="476"/>
      <c r="BWL42" s="476"/>
      <c r="BWM42" s="476"/>
      <c r="BWN42" s="476"/>
      <c r="BWO42" s="476"/>
      <c r="BWP42" s="476"/>
      <c r="BWQ42" s="476"/>
      <c r="BWR42" s="476"/>
      <c r="BWS42" s="476"/>
      <c r="BWT42" s="476"/>
      <c r="BWU42" s="476"/>
      <c r="BWV42" s="476"/>
      <c r="BWW42" s="476"/>
      <c r="BWX42" s="476"/>
      <c r="BWY42" s="476"/>
      <c r="BWZ42" s="476"/>
      <c r="BXA42" s="476"/>
      <c r="BXB42" s="476"/>
      <c r="BXC42" s="476"/>
      <c r="BXD42" s="476"/>
      <c r="BXE42" s="476"/>
      <c r="BXF42" s="476"/>
      <c r="BXG42" s="476"/>
      <c r="BXH42" s="476"/>
      <c r="BXI42" s="476"/>
      <c r="BXJ42" s="476"/>
      <c r="BXK42" s="476"/>
      <c r="BXL42" s="476"/>
      <c r="BXM42" s="476"/>
      <c r="BXN42" s="476"/>
      <c r="BXO42" s="476"/>
      <c r="BXP42" s="476"/>
      <c r="BXQ42" s="476"/>
      <c r="BXR42" s="476"/>
      <c r="BXS42" s="476"/>
      <c r="BXT42" s="476"/>
      <c r="BXU42" s="476"/>
      <c r="BXV42" s="476"/>
      <c r="BXW42" s="476"/>
      <c r="BXX42" s="476"/>
      <c r="BXY42" s="476"/>
      <c r="BXZ42" s="476"/>
      <c r="BYA42" s="476"/>
      <c r="BYB42" s="476"/>
      <c r="BYC42" s="476"/>
      <c r="BYD42" s="476"/>
      <c r="BYE42" s="476"/>
      <c r="BYF42" s="476"/>
      <c r="BYG42" s="476"/>
      <c r="BYH42" s="476"/>
      <c r="BYI42" s="476"/>
      <c r="BYJ42" s="476"/>
      <c r="BYK42" s="476"/>
      <c r="BYL42" s="476"/>
      <c r="BYM42" s="476"/>
      <c r="BYN42" s="476"/>
      <c r="BYO42" s="476"/>
      <c r="BYP42" s="476"/>
      <c r="BYQ42" s="476"/>
      <c r="BYR42" s="476"/>
      <c r="BYS42" s="476"/>
      <c r="BYT42" s="476"/>
      <c r="BYU42" s="476"/>
      <c r="BYV42" s="476"/>
      <c r="BYW42" s="476"/>
      <c r="BYX42" s="476"/>
      <c r="BYY42" s="476"/>
      <c r="BYZ42" s="476"/>
      <c r="BZA42" s="476"/>
      <c r="BZB42" s="476"/>
      <c r="BZC42" s="476"/>
      <c r="BZD42" s="476"/>
      <c r="BZE42" s="476"/>
      <c r="BZF42" s="476"/>
      <c r="BZG42" s="476"/>
      <c r="BZH42" s="476"/>
      <c r="BZI42" s="476"/>
      <c r="BZJ42" s="476"/>
      <c r="BZK42" s="476"/>
      <c r="BZL42" s="476"/>
      <c r="BZM42" s="476"/>
      <c r="BZN42" s="476"/>
      <c r="BZO42" s="476"/>
      <c r="BZP42" s="476"/>
      <c r="BZQ42" s="476"/>
      <c r="BZR42" s="476"/>
      <c r="BZS42" s="476"/>
      <c r="BZT42" s="476"/>
      <c r="BZU42" s="476"/>
      <c r="BZV42" s="476"/>
      <c r="BZW42" s="476"/>
      <c r="BZX42" s="476"/>
      <c r="BZY42" s="476"/>
      <c r="BZZ42" s="476"/>
      <c r="CAA42" s="476"/>
      <c r="CAB42" s="476"/>
      <c r="CAC42" s="476"/>
      <c r="CAD42" s="476"/>
      <c r="CAE42" s="476"/>
      <c r="CAF42" s="476"/>
      <c r="CAG42" s="476"/>
      <c r="CAH42" s="476"/>
      <c r="CAI42" s="476"/>
      <c r="CAJ42" s="476"/>
      <c r="CAK42" s="476"/>
      <c r="CAL42" s="476"/>
      <c r="CAM42" s="476"/>
      <c r="CAN42" s="476"/>
      <c r="CAO42" s="476"/>
      <c r="CAP42" s="476"/>
      <c r="CAQ42" s="476"/>
      <c r="CAR42" s="476"/>
      <c r="CAS42" s="476"/>
      <c r="CAT42" s="476"/>
      <c r="CAU42" s="476"/>
      <c r="CAV42" s="476"/>
      <c r="CAW42" s="476"/>
      <c r="CAX42" s="476"/>
      <c r="CAY42" s="476"/>
      <c r="CAZ42" s="476"/>
      <c r="CBA42" s="476"/>
      <c r="CBB42" s="476"/>
      <c r="CBC42" s="476"/>
      <c r="CBD42" s="476"/>
      <c r="CBE42" s="476"/>
      <c r="CBF42" s="476"/>
      <c r="CBG42" s="476"/>
      <c r="CBH42" s="476"/>
      <c r="CBI42" s="476"/>
      <c r="CBJ42" s="476"/>
      <c r="CBK42" s="476"/>
      <c r="CBL42" s="476"/>
      <c r="CBM42" s="476"/>
      <c r="CBN42" s="476"/>
      <c r="CBO42" s="476"/>
      <c r="CBP42" s="476"/>
      <c r="CBQ42" s="476"/>
      <c r="CBR42" s="476"/>
      <c r="CBS42" s="476"/>
      <c r="CBT42" s="476"/>
      <c r="CBU42" s="476"/>
      <c r="CBV42" s="476"/>
      <c r="CBW42" s="476"/>
      <c r="CBX42" s="476"/>
      <c r="CBY42" s="476"/>
      <c r="CBZ42" s="476"/>
      <c r="CCA42" s="476"/>
      <c r="CCB42" s="476"/>
      <c r="CCC42" s="476"/>
      <c r="CCD42" s="476"/>
      <c r="CCE42" s="476"/>
      <c r="CCF42" s="476"/>
      <c r="CCG42" s="476"/>
      <c r="CCH42" s="476"/>
      <c r="CCI42" s="476"/>
      <c r="CCJ42" s="476"/>
      <c r="CCK42" s="476"/>
      <c r="CCL42" s="476"/>
      <c r="CCM42" s="476"/>
      <c r="CCN42" s="476"/>
      <c r="CCO42" s="476"/>
      <c r="CCP42" s="476"/>
      <c r="CCQ42" s="476"/>
      <c r="CCR42" s="476"/>
      <c r="CCS42" s="476"/>
      <c r="CCT42" s="476"/>
      <c r="CCU42" s="476"/>
      <c r="CCV42" s="476"/>
      <c r="CCW42" s="476"/>
      <c r="CCX42" s="476"/>
      <c r="CCY42" s="476"/>
      <c r="CCZ42" s="476"/>
      <c r="CDA42" s="476"/>
      <c r="CDB42" s="476"/>
      <c r="CDC42" s="476"/>
      <c r="CDD42" s="476"/>
      <c r="CDE42" s="476"/>
      <c r="CDF42" s="476"/>
      <c r="CDG42" s="476"/>
      <c r="CDH42" s="476"/>
      <c r="CDI42" s="476"/>
      <c r="CDJ42" s="476"/>
      <c r="CDK42" s="476"/>
      <c r="CDL42" s="476"/>
      <c r="CDM42" s="476"/>
      <c r="CDN42" s="476"/>
      <c r="CDO42" s="476"/>
      <c r="CDP42" s="476"/>
      <c r="CDQ42" s="476"/>
      <c r="CDR42" s="476"/>
      <c r="CDS42" s="476"/>
      <c r="CDT42" s="476"/>
      <c r="CDU42" s="476"/>
      <c r="CDV42" s="476"/>
      <c r="CDW42" s="476"/>
      <c r="CDX42" s="476"/>
      <c r="CDY42" s="476"/>
      <c r="CDZ42" s="476"/>
      <c r="CEA42" s="476"/>
      <c r="CEB42" s="476"/>
      <c r="CEC42" s="476"/>
      <c r="CED42" s="476"/>
      <c r="CEE42" s="476"/>
      <c r="CEF42" s="476"/>
      <c r="CEG42" s="476"/>
      <c r="CEH42" s="476"/>
      <c r="CEI42" s="476"/>
      <c r="CEJ42" s="476"/>
      <c r="CEK42" s="476"/>
      <c r="CEL42" s="476"/>
      <c r="CEM42" s="476"/>
      <c r="CEN42" s="476"/>
      <c r="CEO42" s="476"/>
      <c r="CEP42" s="476"/>
      <c r="CEQ42" s="476"/>
      <c r="CER42" s="476"/>
      <c r="CES42" s="476"/>
      <c r="CET42" s="476"/>
      <c r="CEU42" s="476"/>
      <c r="CEV42" s="476"/>
      <c r="CEW42" s="476"/>
      <c r="CEX42" s="476"/>
      <c r="CEY42" s="476"/>
      <c r="CEZ42" s="476"/>
      <c r="CFA42" s="476"/>
      <c r="CFB42" s="476"/>
      <c r="CFC42" s="476"/>
      <c r="CFD42" s="476"/>
      <c r="CFE42" s="476"/>
      <c r="CFF42" s="476"/>
      <c r="CFG42" s="476"/>
      <c r="CFH42" s="476"/>
      <c r="CFI42" s="476"/>
      <c r="CFJ42" s="476"/>
      <c r="CFK42" s="476"/>
      <c r="CFL42" s="476"/>
      <c r="CFM42" s="476"/>
      <c r="CFN42" s="476"/>
      <c r="CFO42" s="476"/>
      <c r="CFP42" s="476"/>
      <c r="CFQ42" s="476"/>
      <c r="CFR42" s="476"/>
      <c r="CFS42" s="476"/>
      <c r="CFT42" s="476"/>
      <c r="CFU42" s="476"/>
      <c r="CFV42" s="476"/>
      <c r="CFW42" s="476"/>
      <c r="CFX42" s="476"/>
      <c r="CFY42" s="476"/>
      <c r="CFZ42" s="476"/>
      <c r="CGA42" s="476"/>
      <c r="CGB42" s="476"/>
      <c r="CGC42" s="476"/>
      <c r="CGD42" s="476"/>
      <c r="CGE42" s="476"/>
      <c r="CGF42" s="476"/>
      <c r="CGG42" s="476"/>
      <c r="CGH42" s="476"/>
      <c r="CGI42" s="476"/>
      <c r="CGJ42" s="476"/>
      <c r="CGK42" s="476"/>
      <c r="CGL42" s="476"/>
      <c r="CGM42" s="476"/>
      <c r="CGN42" s="476"/>
      <c r="CGO42" s="476"/>
      <c r="CGP42" s="476"/>
      <c r="CGQ42" s="476"/>
      <c r="CGR42" s="476"/>
      <c r="CGS42" s="476"/>
      <c r="CGT42" s="476"/>
      <c r="CGU42" s="476"/>
      <c r="CGV42" s="476"/>
      <c r="CGW42" s="476"/>
      <c r="CGX42" s="476"/>
      <c r="CGY42" s="476"/>
      <c r="CGZ42" s="476"/>
      <c r="CHA42" s="476"/>
      <c r="CHB42" s="476"/>
      <c r="CHC42" s="476"/>
      <c r="CHD42" s="476"/>
      <c r="CHE42" s="476"/>
      <c r="CHF42" s="476"/>
      <c r="CHG42" s="476"/>
      <c r="CHH42" s="476"/>
      <c r="CHI42" s="476"/>
      <c r="CHJ42" s="476"/>
      <c r="CHK42" s="476"/>
      <c r="CHL42" s="476"/>
      <c r="CHM42" s="476"/>
      <c r="CHN42" s="476"/>
      <c r="CHO42" s="476"/>
      <c r="CHP42" s="476"/>
      <c r="CHQ42" s="476"/>
      <c r="CHR42" s="476"/>
      <c r="CHS42" s="476"/>
      <c r="CHT42" s="476"/>
      <c r="CHU42" s="476"/>
      <c r="CHV42" s="476"/>
      <c r="CHW42" s="476"/>
      <c r="CHX42" s="476"/>
      <c r="CHY42" s="476"/>
      <c r="CHZ42" s="476"/>
      <c r="CIA42" s="476"/>
      <c r="CIB42" s="476"/>
      <c r="CIC42" s="476"/>
      <c r="CID42" s="476"/>
      <c r="CIE42" s="476"/>
      <c r="CIF42" s="476"/>
      <c r="CIG42" s="476"/>
      <c r="CIH42" s="476"/>
      <c r="CII42" s="476"/>
      <c r="CIJ42" s="476"/>
      <c r="CIK42" s="476"/>
      <c r="CIL42" s="476"/>
      <c r="CIM42" s="476"/>
      <c r="CIN42" s="476"/>
      <c r="CIO42" s="476"/>
      <c r="CIP42" s="476"/>
      <c r="CIQ42" s="476"/>
      <c r="CIR42" s="476"/>
      <c r="CIS42" s="476"/>
      <c r="CIT42" s="476"/>
      <c r="CIU42" s="476"/>
      <c r="CIV42" s="476"/>
      <c r="CIW42" s="476"/>
      <c r="CIX42" s="476"/>
      <c r="CIY42" s="476"/>
      <c r="CIZ42" s="476"/>
      <c r="CJA42" s="476"/>
      <c r="CJB42" s="476"/>
      <c r="CJC42" s="476"/>
      <c r="CJD42" s="476"/>
      <c r="CJE42" s="476"/>
      <c r="CJF42" s="476"/>
      <c r="CJG42" s="476"/>
      <c r="CJH42" s="476"/>
      <c r="CJI42" s="476"/>
      <c r="CJJ42" s="476"/>
      <c r="CJK42" s="476"/>
      <c r="CJL42" s="476"/>
      <c r="CJM42" s="476"/>
      <c r="CJN42" s="476"/>
      <c r="CJO42" s="476"/>
      <c r="CJP42" s="476"/>
      <c r="CJQ42" s="476"/>
      <c r="CJR42" s="476"/>
      <c r="CJS42" s="476"/>
      <c r="CJT42" s="476"/>
      <c r="CJU42" s="476"/>
      <c r="CJV42" s="476"/>
      <c r="CJW42" s="476"/>
      <c r="CJX42" s="476"/>
      <c r="CJY42" s="476"/>
      <c r="CJZ42" s="476"/>
      <c r="CKA42" s="476"/>
      <c r="CKB42" s="476"/>
      <c r="CKC42" s="476"/>
      <c r="CKD42" s="476"/>
      <c r="CKE42" s="476"/>
      <c r="CKF42" s="476"/>
      <c r="CKG42" s="476"/>
      <c r="CKH42" s="476"/>
      <c r="CKI42" s="476"/>
      <c r="CKJ42" s="476"/>
      <c r="CKK42" s="476"/>
      <c r="CKL42" s="476"/>
      <c r="CKM42" s="476"/>
      <c r="CKN42" s="476"/>
      <c r="CKO42" s="476"/>
      <c r="CKP42" s="476"/>
      <c r="CKQ42" s="476"/>
      <c r="CKR42" s="476"/>
      <c r="CKS42" s="476"/>
      <c r="CKT42" s="476"/>
      <c r="CKU42" s="476"/>
      <c r="CKV42" s="476"/>
      <c r="CKW42" s="476"/>
      <c r="CKX42" s="476"/>
      <c r="CKY42" s="476"/>
      <c r="CKZ42" s="476"/>
      <c r="CLA42" s="476"/>
      <c r="CLB42" s="476"/>
      <c r="CLC42" s="476"/>
      <c r="CLD42" s="476"/>
      <c r="CLE42" s="476"/>
      <c r="CLF42" s="476"/>
      <c r="CLG42" s="476"/>
      <c r="CLH42" s="476"/>
      <c r="CLI42" s="476"/>
      <c r="CLJ42" s="476"/>
      <c r="CLK42" s="476"/>
      <c r="CLL42" s="476"/>
      <c r="CLM42" s="476"/>
      <c r="CLN42" s="476"/>
      <c r="CLO42" s="476"/>
      <c r="CLP42" s="476"/>
      <c r="CLQ42" s="476"/>
      <c r="CLR42" s="476"/>
      <c r="CLS42" s="476"/>
      <c r="CLT42" s="476"/>
      <c r="CLU42" s="476"/>
      <c r="CLV42" s="476"/>
      <c r="CLW42" s="476"/>
      <c r="CLX42" s="476"/>
      <c r="CLY42" s="476"/>
      <c r="CLZ42" s="476"/>
      <c r="CMA42" s="476"/>
      <c r="CMB42" s="476"/>
      <c r="CMC42" s="476"/>
      <c r="CMD42" s="476"/>
      <c r="CME42" s="476"/>
      <c r="CMF42" s="476"/>
      <c r="CMG42" s="476"/>
      <c r="CMH42" s="476"/>
      <c r="CMI42" s="476"/>
      <c r="CMJ42" s="476"/>
      <c r="CMK42" s="476"/>
      <c r="CML42" s="476"/>
      <c r="CMM42" s="476"/>
      <c r="CMN42" s="476"/>
      <c r="CMO42" s="476"/>
      <c r="CMP42" s="476"/>
      <c r="CMQ42" s="476"/>
      <c r="CMR42" s="476"/>
      <c r="CMS42" s="476"/>
      <c r="CMT42" s="476"/>
      <c r="CMU42" s="476"/>
      <c r="CMV42" s="476"/>
      <c r="CMW42" s="476"/>
      <c r="CMX42" s="476"/>
      <c r="CMY42" s="476"/>
      <c r="CMZ42" s="476"/>
      <c r="CNA42" s="476"/>
      <c r="CNB42" s="476"/>
      <c r="CNC42" s="476"/>
      <c r="CND42" s="476"/>
      <c r="CNE42" s="476"/>
      <c r="CNF42" s="476"/>
      <c r="CNG42" s="476"/>
      <c r="CNH42" s="476"/>
      <c r="CNI42" s="476"/>
      <c r="CNJ42" s="476"/>
      <c r="CNK42" s="476"/>
      <c r="CNL42" s="476"/>
      <c r="CNM42" s="476"/>
      <c r="CNN42" s="476"/>
      <c r="CNO42" s="476"/>
      <c r="CNP42" s="476"/>
      <c r="CNQ42" s="476"/>
      <c r="CNR42" s="476"/>
      <c r="CNS42" s="476"/>
      <c r="CNT42" s="476"/>
      <c r="CNU42" s="476"/>
      <c r="CNV42" s="476"/>
      <c r="CNW42" s="476"/>
      <c r="CNX42" s="476"/>
      <c r="CNY42" s="476"/>
      <c r="CNZ42" s="476"/>
      <c r="COA42" s="476"/>
      <c r="COB42" s="476"/>
      <c r="COC42" s="476"/>
      <c r="COD42" s="476"/>
      <c r="COE42" s="476"/>
      <c r="COF42" s="476"/>
      <c r="COG42" s="476"/>
      <c r="COH42" s="476"/>
      <c r="COI42" s="476"/>
      <c r="COJ42" s="476"/>
      <c r="COK42" s="476"/>
      <c r="COL42" s="476"/>
      <c r="COM42" s="476"/>
      <c r="CON42" s="476"/>
      <c r="COO42" s="476"/>
      <c r="COP42" s="476"/>
      <c r="COQ42" s="476"/>
      <c r="COR42" s="476"/>
      <c r="COS42" s="476"/>
      <c r="COT42" s="476"/>
      <c r="COU42" s="476"/>
      <c r="COV42" s="476"/>
      <c r="COW42" s="476"/>
      <c r="COX42" s="476"/>
      <c r="COY42" s="476"/>
      <c r="COZ42" s="476"/>
      <c r="CPA42" s="476"/>
      <c r="CPB42" s="476"/>
      <c r="CPC42" s="476"/>
      <c r="CPD42" s="476"/>
      <c r="CPE42" s="476"/>
      <c r="CPF42" s="476"/>
      <c r="CPG42" s="476"/>
      <c r="CPH42" s="476"/>
      <c r="CPI42" s="476"/>
      <c r="CPJ42" s="476"/>
      <c r="CPK42" s="476"/>
      <c r="CPL42" s="476"/>
      <c r="CPM42" s="476"/>
      <c r="CPN42" s="476"/>
      <c r="CPO42" s="476"/>
      <c r="CPP42" s="476"/>
      <c r="CPQ42" s="476"/>
      <c r="CPR42" s="476"/>
      <c r="CPS42" s="476"/>
      <c r="CPT42" s="476"/>
      <c r="CPU42" s="476"/>
      <c r="CPV42" s="476"/>
      <c r="CPW42" s="476"/>
      <c r="CPX42" s="476"/>
      <c r="CPY42" s="476"/>
      <c r="CPZ42" s="476"/>
      <c r="CQA42" s="476"/>
      <c r="CQB42" s="476"/>
      <c r="CQC42" s="476"/>
      <c r="CQD42" s="476"/>
      <c r="CQE42" s="476"/>
      <c r="CQF42" s="476"/>
      <c r="CQG42" s="476"/>
      <c r="CQH42" s="476"/>
      <c r="CQI42" s="476"/>
      <c r="CQJ42" s="476"/>
      <c r="CQK42" s="476"/>
      <c r="CQL42" s="476"/>
      <c r="CQM42" s="476"/>
      <c r="CQN42" s="476"/>
      <c r="CQO42" s="476"/>
      <c r="CQP42" s="476"/>
      <c r="CQQ42" s="476"/>
      <c r="CQR42" s="476"/>
      <c r="CQS42" s="476"/>
      <c r="CQT42" s="476"/>
      <c r="CQU42" s="476"/>
      <c r="CQV42" s="476"/>
      <c r="CQW42" s="476"/>
      <c r="CQX42" s="476"/>
      <c r="CQY42" s="476"/>
      <c r="CQZ42" s="476"/>
      <c r="CRA42" s="476"/>
      <c r="CRB42" s="476"/>
      <c r="CRC42" s="476"/>
      <c r="CRD42" s="476"/>
      <c r="CRE42" s="476"/>
      <c r="CRF42" s="476"/>
      <c r="CRG42" s="476"/>
      <c r="CRH42" s="476"/>
      <c r="CRI42" s="476"/>
      <c r="CRJ42" s="476"/>
      <c r="CRK42" s="476"/>
      <c r="CRL42" s="476"/>
      <c r="CRM42" s="476"/>
      <c r="CRN42" s="476"/>
      <c r="CRO42" s="476"/>
      <c r="CRP42" s="476"/>
      <c r="CRQ42" s="476"/>
      <c r="CRR42" s="476"/>
      <c r="CRS42" s="476"/>
      <c r="CRT42" s="476"/>
      <c r="CRU42" s="476"/>
      <c r="CRV42" s="476"/>
      <c r="CRW42" s="476"/>
      <c r="CRX42" s="476"/>
      <c r="CRY42" s="476"/>
      <c r="CRZ42" s="476"/>
      <c r="CSA42" s="476"/>
      <c r="CSB42" s="476"/>
      <c r="CSC42" s="476"/>
      <c r="CSD42" s="476"/>
      <c r="CSE42" s="476"/>
      <c r="CSF42" s="476"/>
      <c r="CSG42" s="476"/>
      <c r="CSH42" s="476"/>
      <c r="CSI42" s="476"/>
      <c r="CSJ42" s="476"/>
      <c r="CSK42" s="476"/>
      <c r="CSL42" s="476"/>
      <c r="CSM42" s="476"/>
      <c r="CSN42" s="476"/>
      <c r="CSO42" s="476"/>
      <c r="CSP42" s="476"/>
      <c r="CSQ42" s="476"/>
      <c r="CSR42" s="476"/>
      <c r="CSS42" s="476"/>
      <c r="CST42" s="476"/>
      <c r="CSU42" s="476"/>
      <c r="CSV42" s="476"/>
      <c r="CSW42" s="476"/>
      <c r="CSX42" s="476"/>
      <c r="CSY42" s="476"/>
      <c r="CSZ42" s="476"/>
      <c r="CTA42" s="476"/>
      <c r="CTB42" s="476"/>
      <c r="CTC42" s="476"/>
      <c r="CTD42" s="476"/>
      <c r="CTE42" s="476"/>
      <c r="CTF42" s="476"/>
      <c r="CTG42" s="476"/>
      <c r="CTH42" s="476"/>
      <c r="CTI42" s="476"/>
      <c r="CTJ42" s="476"/>
      <c r="CTK42" s="476"/>
      <c r="CTL42" s="476"/>
      <c r="CTM42" s="476"/>
      <c r="CTN42" s="476"/>
      <c r="CTO42" s="476"/>
      <c r="CTP42" s="476"/>
      <c r="CTQ42" s="476"/>
      <c r="CTR42" s="476"/>
      <c r="CTS42" s="476"/>
      <c r="CTT42" s="476"/>
      <c r="CTU42" s="476"/>
      <c r="CTV42" s="476"/>
      <c r="CTW42" s="476"/>
      <c r="CTX42" s="476"/>
      <c r="CTY42" s="476"/>
      <c r="CTZ42" s="476"/>
      <c r="CUA42" s="476"/>
      <c r="CUB42" s="476"/>
      <c r="CUC42" s="476"/>
      <c r="CUD42" s="476"/>
      <c r="CUE42" s="476"/>
      <c r="CUF42" s="476"/>
      <c r="CUG42" s="476"/>
      <c r="CUH42" s="476"/>
      <c r="CUI42" s="476"/>
      <c r="CUJ42" s="476"/>
      <c r="CUK42" s="476"/>
      <c r="CUL42" s="476"/>
      <c r="CUM42" s="476"/>
      <c r="CUN42" s="476"/>
      <c r="CUO42" s="476"/>
      <c r="CUP42" s="476"/>
      <c r="CUQ42" s="476"/>
      <c r="CUR42" s="476"/>
      <c r="CUS42" s="476"/>
      <c r="CUT42" s="476"/>
      <c r="CUU42" s="476"/>
      <c r="CUV42" s="476"/>
      <c r="CUW42" s="476"/>
      <c r="CUX42" s="476"/>
      <c r="CUY42" s="476"/>
      <c r="CUZ42" s="476"/>
      <c r="CVA42" s="476"/>
      <c r="CVB42" s="476"/>
      <c r="CVC42" s="476"/>
      <c r="CVD42" s="476"/>
      <c r="CVE42" s="476"/>
      <c r="CVF42" s="476"/>
      <c r="CVG42" s="476"/>
      <c r="CVH42" s="476"/>
      <c r="CVI42" s="476"/>
      <c r="CVJ42" s="476"/>
      <c r="CVK42" s="476"/>
      <c r="CVL42" s="476"/>
      <c r="CVM42" s="476"/>
      <c r="CVN42" s="476"/>
      <c r="CVO42" s="476"/>
      <c r="CVP42" s="476"/>
      <c r="CVQ42" s="476"/>
      <c r="CVR42" s="476"/>
      <c r="CVS42" s="476"/>
      <c r="CVT42" s="476"/>
      <c r="CVU42" s="476"/>
      <c r="CVV42" s="476"/>
      <c r="CVW42" s="476"/>
      <c r="CVX42" s="476"/>
      <c r="CVY42" s="476"/>
      <c r="CVZ42" s="476"/>
      <c r="CWA42" s="476"/>
      <c r="CWB42" s="476"/>
      <c r="CWC42" s="476"/>
      <c r="CWD42" s="476"/>
      <c r="CWE42" s="476"/>
      <c r="CWF42" s="476"/>
      <c r="CWG42" s="476"/>
      <c r="CWH42" s="476"/>
      <c r="CWI42" s="476"/>
      <c r="CWJ42" s="476"/>
      <c r="CWK42" s="476"/>
      <c r="CWL42" s="476"/>
      <c r="CWM42" s="476"/>
      <c r="CWN42" s="476"/>
      <c r="CWO42" s="476"/>
      <c r="CWP42" s="476"/>
      <c r="CWQ42" s="476"/>
      <c r="CWR42" s="476"/>
      <c r="CWS42" s="476"/>
      <c r="CWT42" s="476"/>
      <c r="CWU42" s="476"/>
      <c r="CWV42" s="476"/>
      <c r="CWW42" s="476"/>
      <c r="CWX42" s="476"/>
      <c r="CWY42" s="476"/>
      <c r="CWZ42" s="476"/>
      <c r="CXA42" s="476"/>
      <c r="CXB42" s="476"/>
      <c r="CXC42" s="476"/>
      <c r="CXD42" s="476"/>
      <c r="CXE42" s="476"/>
      <c r="CXF42" s="476"/>
      <c r="CXG42" s="476"/>
      <c r="CXH42" s="476"/>
      <c r="CXI42" s="476"/>
      <c r="CXJ42" s="476"/>
      <c r="CXK42" s="476"/>
      <c r="CXL42" s="476"/>
      <c r="CXM42" s="476"/>
      <c r="CXN42" s="476"/>
      <c r="CXO42" s="476"/>
      <c r="CXP42" s="476"/>
      <c r="CXQ42" s="476"/>
      <c r="CXR42" s="476"/>
      <c r="CXS42" s="476"/>
      <c r="CXT42" s="476"/>
      <c r="CXU42" s="476"/>
      <c r="CXV42" s="476"/>
      <c r="CXW42" s="476"/>
      <c r="CXX42" s="476"/>
      <c r="CXY42" s="476"/>
      <c r="CXZ42" s="476"/>
      <c r="CYA42" s="476"/>
      <c r="CYB42" s="476"/>
      <c r="CYC42" s="476"/>
      <c r="CYD42" s="476"/>
      <c r="CYE42" s="476"/>
      <c r="CYF42" s="476"/>
      <c r="CYG42" s="476"/>
      <c r="CYH42" s="476"/>
      <c r="CYI42" s="476"/>
      <c r="CYJ42" s="476"/>
      <c r="CYK42" s="476"/>
      <c r="CYL42" s="476"/>
      <c r="CYM42" s="476"/>
      <c r="CYN42" s="476"/>
      <c r="CYO42" s="476"/>
      <c r="CYP42" s="476"/>
      <c r="CYQ42" s="476"/>
      <c r="CYR42" s="476"/>
      <c r="CYS42" s="476"/>
      <c r="CYT42" s="476"/>
      <c r="CYU42" s="476"/>
      <c r="CYV42" s="476"/>
      <c r="CYW42" s="476"/>
      <c r="CYX42" s="476"/>
      <c r="CYY42" s="476"/>
      <c r="CYZ42" s="476"/>
      <c r="CZA42" s="476"/>
      <c r="CZB42" s="476"/>
      <c r="CZC42" s="476"/>
      <c r="CZD42" s="476"/>
      <c r="CZE42" s="476"/>
      <c r="CZF42" s="476"/>
      <c r="CZG42" s="476"/>
      <c r="CZH42" s="476"/>
      <c r="CZI42" s="476"/>
      <c r="CZJ42" s="476"/>
      <c r="CZK42" s="476"/>
      <c r="CZL42" s="476"/>
      <c r="CZM42" s="476"/>
      <c r="CZN42" s="476"/>
      <c r="CZO42" s="476"/>
      <c r="CZP42" s="476"/>
      <c r="CZQ42" s="476"/>
      <c r="CZR42" s="476"/>
      <c r="CZS42" s="476"/>
      <c r="CZT42" s="476"/>
      <c r="CZU42" s="476"/>
      <c r="CZV42" s="476"/>
      <c r="CZW42" s="476"/>
      <c r="CZX42" s="476"/>
      <c r="CZY42" s="476"/>
      <c r="CZZ42" s="476"/>
      <c r="DAA42" s="476"/>
      <c r="DAB42" s="476"/>
      <c r="DAC42" s="476"/>
      <c r="DAD42" s="476"/>
      <c r="DAE42" s="476"/>
      <c r="DAF42" s="476"/>
      <c r="DAG42" s="476"/>
      <c r="DAH42" s="476"/>
      <c r="DAI42" s="476"/>
      <c r="DAJ42" s="476"/>
      <c r="DAK42" s="476"/>
      <c r="DAL42" s="476"/>
      <c r="DAM42" s="476"/>
      <c r="DAN42" s="476"/>
      <c r="DAO42" s="476"/>
      <c r="DAP42" s="476"/>
      <c r="DAQ42" s="476"/>
      <c r="DAR42" s="476"/>
      <c r="DAS42" s="476"/>
      <c r="DAT42" s="476"/>
      <c r="DAU42" s="476"/>
      <c r="DAV42" s="476"/>
      <c r="DAW42" s="476"/>
      <c r="DAX42" s="476"/>
      <c r="DAY42" s="476"/>
      <c r="DAZ42" s="476"/>
      <c r="DBA42" s="476"/>
      <c r="DBB42" s="476"/>
      <c r="DBC42" s="476"/>
      <c r="DBD42" s="476"/>
      <c r="DBE42" s="476"/>
      <c r="DBF42" s="476"/>
      <c r="DBG42" s="476"/>
      <c r="DBH42" s="476"/>
      <c r="DBI42" s="476"/>
      <c r="DBJ42" s="476"/>
      <c r="DBK42" s="476"/>
      <c r="DBL42" s="476"/>
      <c r="DBM42" s="476"/>
      <c r="DBN42" s="476"/>
      <c r="DBO42" s="476"/>
      <c r="DBP42" s="476"/>
      <c r="DBQ42" s="476"/>
      <c r="DBR42" s="476"/>
      <c r="DBS42" s="476"/>
      <c r="DBT42" s="476"/>
      <c r="DBU42" s="476"/>
      <c r="DBV42" s="476"/>
      <c r="DBW42" s="476"/>
      <c r="DBX42" s="476"/>
      <c r="DBY42" s="476"/>
      <c r="DBZ42" s="476"/>
      <c r="DCA42" s="476"/>
      <c r="DCB42" s="476"/>
      <c r="DCC42" s="476"/>
      <c r="DCD42" s="476"/>
      <c r="DCE42" s="476"/>
      <c r="DCF42" s="476"/>
      <c r="DCG42" s="476"/>
      <c r="DCH42" s="476"/>
      <c r="DCI42" s="476"/>
      <c r="DCJ42" s="476"/>
      <c r="DCK42" s="476"/>
      <c r="DCL42" s="476"/>
      <c r="DCM42" s="476"/>
      <c r="DCN42" s="476"/>
      <c r="DCO42" s="476"/>
      <c r="DCP42" s="476"/>
      <c r="DCQ42" s="476"/>
      <c r="DCR42" s="476"/>
      <c r="DCS42" s="476"/>
      <c r="DCT42" s="476"/>
      <c r="DCU42" s="476"/>
      <c r="DCV42" s="476"/>
      <c r="DCW42" s="476"/>
      <c r="DCX42" s="476"/>
      <c r="DCY42" s="476"/>
      <c r="DCZ42" s="476"/>
      <c r="DDA42" s="476"/>
      <c r="DDB42" s="476"/>
      <c r="DDC42" s="476"/>
      <c r="DDD42" s="476"/>
      <c r="DDE42" s="476"/>
      <c r="DDF42" s="476"/>
      <c r="DDG42" s="476"/>
      <c r="DDH42" s="476"/>
      <c r="DDI42" s="476"/>
      <c r="DDJ42" s="476"/>
      <c r="DDK42" s="476"/>
      <c r="DDL42" s="476"/>
      <c r="DDM42" s="476"/>
      <c r="DDN42" s="476"/>
      <c r="DDO42" s="476"/>
      <c r="DDP42" s="476"/>
      <c r="DDQ42" s="476"/>
      <c r="DDR42" s="476"/>
      <c r="DDS42" s="476"/>
      <c r="DDT42" s="476"/>
      <c r="DDU42" s="476"/>
      <c r="DDV42" s="476"/>
      <c r="DDW42" s="476"/>
      <c r="DDX42" s="476"/>
      <c r="DDY42" s="476"/>
      <c r="DDZ42" s="476"/>
      <c r="DEA42" s="476"/>
      <c r="DEB42" s="476"/>
      <c r="DEC42" s="476"/>
      <c r="DED42" s="476"/>
      <c r="DEE42" s="476"/>
      <c r="DEF42" s="476"/>
      <c r="DEG42" s="476"/>
      <c r="DEH42" s="476"/>
      <c r="DEI42" s="476"/>
      <c r="DEJ42" s="476"/>
      <c r="DEK42" s="476"/>
      <c r="DEL42" s="476"/>
      <c r="DEM42" s="476"/>
      <c r="DEN42" s="476"/>
      <c r="DEO42" s="476"/>
      <c r="DEP42" s="476"/>
      <c r="DEQ42" s="476"/>
      <c r="DER42" s="476"/>
      <c r="DES42" s="476"/>
      <c r="DET42" s="476"/>
      <c r="DEU42" s="476"/>
      <c r="DEV42" s="476"/>
      <c r="DEW42" s="476"/>
      <c r="DEX42" s="476"/>
      <c r="DEY42" s="476"/>
      <c r="DEZ42" s="476"/>
      <c r="DFA42" s="476"/>
      <c r="DFB42" s="476"/>
      <c r="DFC42" s="476"/>
      <c r="DFD42" s="476"/>
      <c r="DFE42" s="476"/>
      <c r="DFF42" s="476"/>
      <c r="DFG42" s="476"/>
      <c r="DFH42" s="476"/>
      <c r="DFI42" s="476"/>
      <c r="DFJ42" s="476"/>
      <c r="DFK42" s="476"/>
      <c r="DFL42" s="476"/>
      <c r="DFM42" s="476"/>
      <c r="DFN42" s="476"/>
      <c r="DFO42" s="476"/>
      <c r="DFP42" s="476"/>
      <c r="DFQ42" s="476"/>
      <c r="DFR42" s="476"/>
      <c r="DFS42" s="476"/>
      <c r="DFT42" s="476"/>
      <c r="DFU42" s="476"/>
      <c r="DFV42" s="476"/>
      <c r="DFW42" s="476"/>
      <c r="DFX42" s="476"/>
      <c r="DFY42" s="476"/>
      <c r="DFZ42" s="476"/>
      <c r="DGA42" s="476"/>
      <c r="DGB42" s="476"/>
      <c r="DGC42" s="476"/>
      <c r="DGD42" s="476"/>
      <c r="DGE42" s="476"/>
      <c r="DGF42" s="476"/>
      <c r="DGG42" s="476"/>
      <c r="DGH42" s="476"/>
      <c r="DGI42" s="476"/>
      <c r="DGJ42" s="476"/>
      <c r="DGK42" s="476"/>
      <c r="DGL42" s="476"/>
      <c r="DGM42" s="476"/>
      <c r="DGN42" s="476"/>
      <c r="DGO42" s="476"/>
      <c r="DGP42" s="476"/>
      <c r="DGQ42" s="476"/>
      <c r="DGR42" s="476"/>
      <c r="DGS42" s="476"/>
      <c r="DGT42" s="476"/>
      <c r="DGU42" s="476"/>
      <c r="DGV42" s="476"/>
      <c r="DGW42" s="476"/>
      <c r="DGX42" s="476"/>
      <c r="DGY42" s="476"/>
      <c r="DGZ42" s="476"/>
      <c r="DHA42" s="476"/>
      <c r="DHB42" s="476"/>
      <c r="DHC42" s="476"/>
      <c r="DHD42" s="476"/>
      <c r="DHE42" s="476"/>
      <c r="DHF42" s="476"/>
      <c r="DHG42" s="476"/>
      <c r="DHH42" s="476"/>
      <c r="DHI42" s="476"/>
      <c r="DHJ42" s="476"/>
      <c r="DHK42" s="476"/>
      <c r="DHL42" s="476"/>
      <c r="DHM42" s="476"/>
      <c r="DHN42" s="476"/>
      <c r="DHO42" s="476"/>
      <c r="DHP42" s="476"/>
      <c r="DHQ42" s="476"/>
      <c r="DHR42" s="476"/>
      <c r="DHS42" s="476"/>
      <c r="DHT42" s="476"/>
      <c r="DHU42" s="476"/>
      <c r="DHV42" s="476"/>
      <c r="DHW42" s="476"/>
      <c r="DHX42" s="476"/>
      <c r="DHY42" s="476"/>
      <c r="DHZ42" s="476"/>
      <c r="DIA42" s="476"/>
      <c r="DIB42" s="476"/>
      <c r="DIC42" s="476"/>
      <c r="DID42" s="476"/>
      <c r="DIE42" s="476"/>
      <c r="DIF42" s="476"/>
      <c r="DIG42" s="476"/>
      <c r="DIH42" s="476"/>
      <c r="DII42" s="476"/>
      <c r="DIJ42" s="476"/>
      <c r="DIK42" s="476"/>
      <c r="DIL42" s="476"/>
      <c r="DIM42" s="476"/>
      <c r="DIN42" s="476"/>
      <c r="DIO42" s="476"/>
      <c r="DIP42" s="476"/>
      <c r="DIQ42" s="476"/>
      <c r="DIR42" s="476"/>
      <c r="DIS42" s="476"/>
      <c r="DIT42" s="476"/>
      <c r="DIU42" s="476"/>
      <c r="DIV42" s="476"/>
      <c r="DIW42" s="476"/>
      <c r="DIX42" s="476"/>
      <c r="DIY42" s="476"/>
      <c r="DIZ42" s="476"/>
      <c r="DJA42" s="476"/>
      <c r="DJB42" s="476"/>
      <c r="DJC42" s="476"/>
      <c r="DJD42" s="476"/>
      <c r="DJE42" s="476"/>
      <c r="DJF42" s="476"/>
      <c r="DJG42" s="476"/>
      <c r="DJH42" s="476"/>
      <c r="DJI42" s="476"/>
      <c r="DJJ42" s="476"/>
      <c r="DJK42" s="476"/>
      <c r="DJL42" s="476"/>
      <c r="DJM42" s="476"/>
      <c r="DJN42" s="476"/>
      <c r="DJO42" s="476"/>
      <c r="DJP42" s="476"/>
      <c r="DJQ42" s="476"/>
      <c r="DJR42" s="476"/>
      <c r="DJS42" s="476"/>
      <c r="DJT42" s="476"/>
      <c r="DJU42" s="476"/>
      <c r="DJV42" s="476"/>
      <c r="DJW42" s="476"/>
      <c r="DJX42" s="476"/>
      <c r="DJY42" s="476"/>
      <c r="DJZ42" s="476"/>
      <c r="DKA42" s="476"/>
      <c r="DKB42" s="476"/>
      <c r="DKC42" s="476"/>
      <c r="DKD42" s="476"/>
      <c r="DKE42" s="476"/>
      <c r="DKF42" s="476"/>
      <c r="DKG42" s="476"/>
      <c r="DKH42" s="476"/>
      <c r="DKI42" s="476"/>
      <c r="DKJ42" s="476"/>
      <c r="DKK42" s="476"/>
      <c r="DKL42" s="476"/>
      <c r="DKM42" s="476"/>
      <c r="DKN42" s="476"/>
      <c r="DKO42" s="476"/>
      <c r="DKP42" s="476"/>
      <c r="DKQ42" s="476"/>
      <c r="DKR42" s="476"/>
      <c r="DKS42" s="476"/>
      <c r="DKT42" s="476"/>
      <c r="DKU42" s="476"/>
      <c r="DKV42" s="476"/>
      <c r="DKW42" s="476"/>
      <c r="DKX42" s="476"/>
      <c r="DKY42" s="476"/>
      <c r="DKZ42" s="476"/>
      <c r="DLA42" s="476"/>
      <c r="DLB42" s="476"/>
      <c r="DLC42" s="476"/>
      <c r="DLD42" s="476"/>
      <c r="DLE42" s="476"/>
      <c r="DLF42" s="476"/>
      <c r="DLG42" s="476"/>
      <c r="DLH42" s="476"/>
      <c r="DLI42" s="476"/>
      <c r="DLJ42" s="476"/>
      <c r="DLK42" s="476"/>
      <c r="DLL42" s="476"/>
      <c r="DLM42" s="476"/>
      <c r="DLN42" s="476"/>
      <c r="DLO42" s="476"/>
      <c r="DLP42" s="476"/>
      <c r="DLQ42" s="476"/>
      <c r="DLR42" s="476"/>
      <c r="DLS42" s="476"/>
      <c r="DLT42" s="476"/>
      <c r="DLU42" s="476"/>
      <c r="DLV42" s="476"/>
      <c r="DLW42" s="476"/>
      <c r="DLX42" s="476"/>
      <c r="DLY42" s="476"/>
      <c r="DLZ42" s="476"/>
      <c r="DMA42" s="476"/>
      <c r="DMB42" s="476"/>
      <c r="DMC42" s="476"/>
      <c r="DMD42" s="476"/>
      <c r="DME42" s="476"/>
      <c r="DMF42" s="476"/>
      <c r="DMG42" s="476"/>
      <c r="DMH42" s="476"/>
      <c r="DMI42" s="476"/>
      <c r="DMJ42" s="476"/>
      <c r="DMK42" s="476"/>
      <c r="DML42" s="476"/>
      <c r="DMM42" s="476"/>
      <c r="DMN42" s="476"/>
      <c r="DMO42" s="476"/>
      <c r="DMP42" s="476"/>
      <c r="DMQ42" s="476"/>
      <c r="DMR42" s="476"/>
      <c r="DMS42" s="476"/>
      <c r="DMT42" s="476"/>
      <c r="DMU42" s="476"/>
      <c r="DMV42" s="476"/>
      <c r="DMW42" s="476"/>
      <c r="DMX42" s="476"/>
      <c r="DMY42" s="476"/>
      <c r="DMZ42" s="476"/>
      <c r="DNA42" s="476"/>
      <c r="DNB42" s="476"/>
      <c r="DNC42" s="476"/>
      <c r="DND42" s="476"/>
      <c r="DNE42" s="476"/>
      <c r="DNF42" s="476"/>
      <c r="DNG42" s="476"/>
      <c r="DNH42" s="476"/>
      <c r="DNI42" s="476"/>
      <c r="DNJ42" s="476"/>
      <c r="DNK42" s="476"/>
      <c r="DNL42" s="476"/>
      <c r="DNM42" s="476"/>
      <c r="DNN42" s="476"/>
      <c r="DNO42" s="476"/>
      <c r="DNP42" s="476"/>
      <c r="DNQ42" s="476"/>
      <c r="DNR42" s="476"/>
      <c r="DNS42" s="476"/>
      <c r="DNT42" s="476"/>
      <c r="DNU42" s="476"/>
      <c r="DNV42" s="476"/>
      <c r="DNW42" s="476"/>
      <c r="DNX42" s="476"/>
      <c r="DNY42" s="476"/>
      <c r="DNZ42" s="476"/>
      <c r="DOA42" s="476"/>
      <c r="DOB42" s="476"/>
      <c r="DOC42" s="476"/>
      <c r="DOD42" s="476"/>
      <c r="DOE42" s="476"/>
      <c r="DOF42" s="476"/>
      <c r="DOG42" s="476"/>
      <c r="DOH42" s="476"/>
      <c r="DOI42" s="476"/>
      <c r="DOJ42" s="476"/>
      <c r="DOK42" s="476"/>
      <c r="DOL42" s="476"/>
      <c r="DOM42" s="476"/>
      <c r="DON42" s="476"/>
      <c r="DOO42" s="476"/>
      <c r="DOP42" s="476"/>
      <c r="DOQ42" s="476"/>
      <c r="DOR42" s="476"/>
      <c r="DOS42" s="476"/>
      <c r="DOT42" s="476"/>
      <c r="DOU42" s="476"/>
      <c r="DOV42" s="476"/>
      <c r="DOW42" s="476"/>
      <c r="DOX42" s="476"/>
      <c r="DOY42" s="476"/>
      <c r="DOZ42" s="476"/>
      <c r="DPA42" s="476"/>
      <c r="DPB42" s="476"/>
      <c r="DPC42" s="476"/>
      <c r="DPD42" s="476"/>
      <c r="DPE42" s="476"/>
      <c r="DPF42" s="476"/>
      <c r="DPG42" s="476"/>
      <c r="DPH42" s="476"/>
      <c r="DPI42" s="476"/>
      <c r="DPJ42" s="476"/>
      <c r="DPK42" s="476"/>
      <c r="DPL42" s="476"/>
      <c r="DPM42" s="476"/>
      <c r="DPN42" s="476"/>
      <c r="DPO42" s="476"/>
      <c r="DPP42" s="476"/>
      <c r="DPQ42" s="476"/>
      <c r="DPR42" s="476"/>
      <c r="DPS42" s="476"/>
      <c r="DPT42" s="476"/>
      <c r="DPU42" s="476"/>
      <c r="DPV42" s="476"/>
      <c r="DPW42" s="476"/>
      <c r="DPX42" s="476"/>
      <c r="DPY42" s="476"/>
      <c r="DPZ42" s="476"/>
      <c r="DQA42" s="476"/>
      <c r="DQB42" s="476"/>
      <c r="DQC42" s="476"/>
      <c r="DQD42" s="476"/>
      <c r="DQE42" s="476"/>
      <c r="DQF42" s="476"/>
      <c r="DQG42" s="476"/>
      <c r="DQH42" s="476"/>
      <c r="DQI42" s="476"/>
      <c r="DQJ42" s="476"/>
      <c r="DQK42" s="476"/>
      <c r="DQL42" s="476"/>
      <c r="DQM42" s="476"/>
      <c r="DQN42" s="476"/>
      <c r="DQO42" s="476"/>
      <c r="DQP42" s="476"/>
      <c r="DQQ42" s="476"/>
      <c r="DQR42" s="476"/>
      <c r="DQS42" s="476"/>
      <c r="DQT42" s="476"/>
      <c r="DQU42" s="476"/>
      <c r="DQV42" s="476"/>
      <c r="DQW42" s="476"/>
      <c r="DQX42" s="476"/>
      <c r="DQY42" s="476"/>
      <c r="DQZ42" s="476"/>
      <c r="DRA42" s="476"/>
      <c r="DRB42" s="476"/>
      <c r="DRC42" s="476"/>
      <c r="DRD42" s="476"/>
      <c r="DRE42" s="476"/>
      <c r="DRF42" s="476"/>
      <c r="DRG42" s="476"/>
      <c r="DRH42" s="476"/>
      <c r="DRI42" s="476"/>
      <c r="DRJ42" s="476"/>
      <c r="DRK42" s="476"/>
      <c r="DRL42" s="476"/>
      <c r="DRM42" s="476"/>
      <c r="DRN42" s="476"/>
      <c r="DRO42" s="476"/>
      <c r="DRP42" s="476"/>
      <c r="DRQ42" s="476"/>
      <c r="DRR42" s="476"/>
      <c r="DRS42" s="476"/>
      <c r="DRT42" s="476"/>
      <c r="DRU42" s="476"/>
      <c r="DRV42" s="476"/>
      <c r="DRW42" s="476"/>
      <c r="DRX42" s="476"/>
      <c r="DRY42" s="476"/>
      <c r="DRZ42" s="476"/>
      <c r="DSA42" s="476"/>
      <c r="DSB42" s="476"/>
      <c r="DSC42" s="476"/>
      <c r="DSD42" s="476"/>
      <c r="DSE42" s="476"/>
      <c r="DSF42" s="476"/>
      <c r="DSG42" s="476"/>
      <c r="DSH42" s="476"/>
      <c r="DSI42" s="476"/>
      <c r="DSJ42" s="476"/>
      <c r="DSK42" s="476"/>
      <c r="DSL42" s="476"/>
      <c r="DSM42" s="476"/>
      <c r="DSN42" s="476"/>
      <c r="DSO42" s="476"/>
      <c r="DSP42" s="476"/>
      <c r="DSQ42" s="476"/>
      <c r="DSR42" s="476"/>
      <c r="DSS42" s="476"/>
      <c r="DST42" s="476"/>
      <c r="DSU42" s="476"/>
      <c r="DSV42" s="476"/>
      <c r="DSW42" s="476"/>
      <c r="DSX42" s="476"/>
      <c r="DSY42" s="476"/>
      <c r="DSZ42" s="476"/>
      <c r="DTA42" s="476"/>
      <c r="DTB42" s="476"/>
      <c r="DTC42" s="476"/>
      <c r="DTD42" s="476"/>
      <c r="DTE42" s="476"/>
      <c r="DTF42" s="476"/>
      <c r="DTG42" s="476"/>
      <c r="DTH42" s="476"/>
      <c r="DTI42" s="476"/>
      <c r="DTJ42" s="476"/>
      <c r="DTK42" s="476"/>
      <c r="DTL42" s="476"/>
      <c r="DTM42" s="476"/>
      <c r="DTN42" s="476"/>
      <c r="DTO42" s="476"/>
      <c r="DTP42" s="476"/>
      <c r="DTQ42" s="476"/>
      <c r="DTR42" s="476"/>
      <c r="DTS42" s="476"/>
      <c r="DTT42" s="476"/>
      <c r="DTU42" s="476"/>
      <c r="DTV42" s="476"/>
      <c r="DTW42" s="476"/>
      <c r="DTX42" s="476"/>
      <c r="DTY42" s="476"/>
      <c r="DTZ42" s="476"/>
      <c r="DUA42" s="476"/>
      <c r="DUB42" s="476"/>
      <c r="DUC42" s="476"/>
      <c r="DUD42" s="476"/>
      <c r="DUE42" s="476"/>
      <c r="DUF42" s="476"/>
      <c r="DUG42" s="476"/>
      <c r="DUH42" s="476"/>
      <c r="DUI42" s="476"/>
      <c r="DUJ42" s="476"/>
      <c r="DUK42" s="476"/>
      <c r="DUL42" s="476"/>
      <c r="DUM42" s="476"/>
      <c r="DUN42" s="476"/>
      <c r="DUO42" s="476"/>
      <c r="DUP42" s="476"/>
      <c r="DUQ42" s="476"/>
      <c r="DUR42" s="476"/>
      <c r="DUS42" s="476"/>
      <c r="DUT42" s="476"/>
      <c r="DUU42" s="476"/>
      <c r="DUV42" s="476"/>
      <c r="DUW42" s="476"/>
      <c r="DUX42" s="476"/>
      <c r="DUY42" s="476"/>
      <c r="DUZ42" s="476"/>
      <c r="DVA42" s="476"/>
      <c r="DVB42" s="476"/>
      <c r="DVC42" s="476"/>
      <c r="DVD42" s="476"/>
      <c r="DVE42" s="476"/>
      <c r="DVF42" s="476"/>
      <c r="DVG42" s="476"/>
      <c r="DVH42" s="476"/>
      <c r="DVI42" s="476"/>
      <c r="DVJ42" s="476"/>
      <c r="DVK42" s="476"/>
      <c r="DVL42" s="476"/>
      <c r="DVM42" s="476"/>
      <c r="DVN42" s="476"/>
      <c r="DVO42" s="476"/>
      <c r="DVP42" s="476"/>
      <c r="DVQ42" s="476"/>
      <c r="DVR42" s="476"/>
      <c r="DVS42" s="476"/>
      <c r="DVT42" s="476"/>
      <c r="DVU42" s="476"/>
      <c r="DVV42" s="476"/>
      <c r="DVW42" s="476"/>
      <c r="DVX42" s="476"/>
      <c r="DVY42" s="476"/>
      <c r="DVZ42" s="476"/>
      <c r="DWA42" s="476"/>
      <c r="DWB42" s="476"/>
      <c r="DWC42" s="476"/>
      <c r="DWD42" s="476"/>
      <c r="DWE42" s="476"/>
      <c r="DWF42" s="476"/>
      <c r="DWG42" s="476"/>
      <c r="DWH42" s="476"/>
      <c r="DWI42" s="476"/>
      <c r="DWJ42" s="476"/>
      <c r="DWK42" s="476"/>
      <c r="DWL42" s="476"/>
      <c r="DWM42" s="476"/>
      <c r="DWN42" s="476"/>
      <c r="DWO42" s="476"/>
      <c r="DWP42" s="476"/>
      <c r="DWQ42" s="476"/>
      <c r="DWR42" s="476"/>
      <c r="DWS42" s="476"/>
      <c r="DWT42" s="476"/>
      <c r="DWU42" s="476"/>
      <c r="DWV42" s="476"/>
      <c r="DWW42" s="476"/>
      <c r="DWX42" s="476"/>
      <c r="DWY42" s="476"/>
      <c r="DWZ42" s="476"/>
      <c r="DXA42" s="476"/>
      <c r="DXB42" s="476"/>
      <c r="DXC42" s="476"/>
      <c r="DXD42" s="476"/>
      <c r="DXE42" s="476"/>
      <c r="DXF42" s="476"/>
      <c r="DXG42" s="476"/>
      <c r="DXH42" s="476"/>
      <c r="DXI42" s="476"/>
      <c r="DXJ42" s="476"/>
      <c r="DXK42" s="476"/>
      <c r="DXL42" s="476"/>
      <c r="DXM42" s="476"/>
      <c r="DXN42" s="476"/>
      <c r="DXO42" s="476"/>
      <c r="DXP42" s="476"/>
      <c r="DXQ42" s="476"/>
      <c r="DXR42" s="476"/>
      <c r="DXS42" s="476"/>
      <c r="DXT42" s="476"/>
      <c r="DXU42" s="476"/>
      <c r="DXV42" s="476"/>
      <c r="DXW42" s="476"/>
      <c r="DXX42" s="476"/>
      <c r="DXY42" s="476"/>
      <c r="DXZ42" s="476"/>
      <c r="DYA42" s="476"/>
      <c r="DYB42" s="476"/>
      <c r="DYC42" s="476"/>
      <c r="DYD42" s="476"/>
      <c r="DYE42" s="476"/>
      <c r="DYF42" s="476"/>
      <c r="DYG42" s="476"/>
      <c r="DYH42" s="476"/>
      <c r="DYI42" s="476"/>
      <c r="DYJ42" s="476"/>
      <c r="DYK42" s="476"/>
      <c r="DYL42" s="476"/>
      <c r="DYM42" s="476"/>
      <c r="DYN42" s="476"/>
      <c r="DYO42" s="476"/>
      <c r="DYP42" s="476"/>
      <c r="DYQ42" s="476"/>
      <c r="DYR42" s="476"/>
      <c r="DYS42" s="476"/>
      <c r="DYT42" s="476"/>
      <c r="DYU42" s="476"/>
      <c r="DYV42" s="476"/>
      <c r="DYW42" s="476"/>
      <c r="DYX42" s="476"/>
      <c r="DYY42" s="476"/>
      <c r="DYZ42" s="476"/>
      <c r="DZA42" s="476"/>
      <c r="DZB42" s="476"/>
      <c r="DZC42" s="476"/>
      <c r="DZD42" s="476"/>
      <c r="DZE42" s="476"/>
      <c r="DZF42" s="476"/>
      <c r="DZG42" s="476"/>
      <c r="DZH42" s="476"/>
      <c r="DZI42" s="476"/>
      <c r="DZJ42" s="476"/>
      <c r="DZK42" s="476"/>
      <c r="DZL42" s="476"/>
      <c r="DZM42" s="476"/>
      <c r="DZN42" s="476"/>
      <c r="DZO42" s="476"/>
      <c r="DZP42" s="476"/>
      <c r="DZQ42" s="476"/>
      <c r="DZR42" s="476"/>
      <c r="DZS42" s="476"/>
      <c r="DZT42" s="476"/>
      <c r="DZU42" s="476"/>
      <c r="DZV42" s="476"/>
      <c r="DZW42" s="476"/>
      <c r="DZX42" s="476"/>
      <c r="DZY42" s="476"/>
      <c r="DZZ42" s="476"/>
      <c r="EAA42" s="476"/>
      <c r="EAB42" s="476"/>
      <c r="EAC42" s="476"/>
      <c r="EAD42" s="476"/>
      <c r="EAE42" s="476"/>
      <c r="EAF42" s="476"/>
      <c r="EAG42" s="476"/>
      <c r="EAH42" s="476"/>
      <c r="EAI42" s="476"/>
      <c r="EAJ42" s="476"/>
      <c r="EAK42" s="476"/>
      <c r="EAL42" s="476"/>
      <c r="EAM42" s="476"/>
      <c r="EAN42" s="476"/>
      <c r="EAO42" s="476"/>
      <c r="EAP42" s="476"/>
      <c r="EAQ42" s="476"/>
      <c r="EAR42" s="476"/>
      <c r="EAS42" s="476"/>
      <c r="EAT42" s="476"/>
      <c r="EAU42" s="476"/>
      <c r="EAV42" s="476"/>
      <c r="EAW42" s="476"/>
      <c r="EAX42" s="476"/>
      <c r="EAY42" s="476"/>
      <c r="EAZ42" s="476"/>
      <c r="EBA42" s="476"/>
      <c r="EBB42" s="476"/>
      <c r="EBC42" s="476"/>
      <c r="EBD42" s="476"/>
      <c r="EBE42" s="476"/>
      <c r="EBF42" s="476"/>
      <c r="EBG42" s="476"/>
      <c r="EBH42" s="476"/>
      <c r="EBI42" s="476"/>
      <c r="EBJ42" s="476"/>
      <c r="EBK42" s="476"/>
      <c r="EBL42" s="476"/>
      <c r="EBM42" s="476"/>
      <c r="EBN42" s="476"/>
      <c r="EBO42" s="476"/>
      <c r="EBP42" s="476"/>
      <c r="EBQ42" s="476"/>
      <c r="EBR42" s="476"/>
      <c r="EBS42" s="476"/>
      <c r="EBT42" s="476"/>
      <c r="EBU42" s="476"/>
      <c r="EBV42" s="476"/>
      <c r="EBW42" s="476"/>
      <c r="EBX42" s="476"/>
      <c r="EBY42" s="476"/>
      <c r="EBZ42" s="476"/>
      <c r="ECA42" s="476"/>
      <c r="ECB42" s="476"/>
      <c r="ECC42" s="476"/>
      <c r="ECD42" s="476"/>
      <c r="ECE42" s="476"/>
      <c r="ECF42" s="476"/>
      <c r="ECG42" s="476"/>
      <c r="ECH42" s="476"/>
      <c r="ECI42" s="476"/>
      <c r="ECJ42" s="476"/>
      <c r="ECK42" s="476"/>
      <c r="ECL42" s="476"/>
      <c r="ECM42" s="476"/>
      <c r="ECN42" s="476"/>
      <c r="ECO42" s="476"/>
      <c r="ECP42" s="476"/>
      <c r="ECQ42" s="476"/>
      <c r="ECR42" s="476"/>
      <c r="ECS42" s="476"/>
      <c r="ECT42" s="476"/>
      <c r="ECU42" s="476"/>
      <c r="ECV42" s="476"/>
      <c r="ECW42" s="476"/>
      <c r="ECX42" s="476"/>
      <c r="ECY42" s="476"/>
      <c r="ECZ42" s="476"/>
      <c r="EDA42" s="476"/>
      <c r="EDB42" s="476"/>
      <c r="EDC42" s="476"/>
      <c r="EDD42" s="476"/>
      <c r="EDE42" s="476"/>
      <c r="EDF42" s="476"/>
      <c r="EDG42" s="476"/>
      <c r="EDH42" s="476"/>
      <c r="EDI42" s="476"/>
      <c r="EDJ42" s="476"/>
      <c r="EDK42" s="476"/>
      <c r="EDL42" s="476"/>
      <c r="EDM42" s="476"/>
      <c r="EDN42" s="476"/>
      <c r="EDO42" s="476"/>
      <c r="EDP42" s="476"/>
      <c r="EDQ42" s="476"/>
      <c r="EDR42" s="476"/>
      <c r="EDS42" s="476"/>
      <c r="EDT42" s="476"/>
      <c r="EDU42" s="476"/>
      <c r="EDV42" s="476"/>
      <c r="EDW42" s="476"/>
      <c r="EDX42" s="476"/>
      <c r="EDY42" s="476"/>
      <c r="EDZ42" s="476"/>
      <c r="EEA42" s="476"/>
      <c r="EEB42" s="476"/>
      <c r="EEC42" s="476"/>
      <c r="EED42" s="476"/>
      <c r="EEE42" s="476"/>
      <c r="EEF42" s="476"/>
      <c r="EEG42" s="476"/>
      <c r="EEH42" s="476"/>
      <c r="EEI42" s="476"/>
      <c r="EEJ42" s="476"/>
      <c r="EEK42" s="476"/>
      <c r="EEL42" s="476"/>
      <c r="EEM42" s="476"/>
      <c r="EEN42" s="476"/>
      <c r="EEO42" s="476"/>
      <c r="EEP42" s="476"/>
      <c r="EEQ42" s="476"/>
      <c r="EER42" s="476"/>
      <c r="EES42" s="476"/>
      <c r="EET42" s="476"/>
      <c r="EEU42" s="476"/>
      <c r="EEV42" s="476"/>
      <c r="EEW42" s="476"/>
      <c r="EEX42" s="476"/>
      <c r="EEY42" s="476"/>
      <c r="EEZ42" s="476"/>
      <c r="EFA42" s="476"/>
      <c r="EFB42" s="476"/>
      <c r="EFC42" s="476"/>
      <c r="EFD42" s="476"/>
      <c r="EFE42" s="476"/>
      <c r="EFF42" s="476"/>
      <c r="EFG42" s="476"/>
      <c r="EFH42" s="476"/>
      <c r="EFI42" s="476"/>
      <c r="EFJ42" s="476"/>
      <c r="EFK42" s="476"/>
      <c r="EFL42" s="476"/>
      <c r="EFM42" s="476"/>
      <c r="EFN42" s="476"/>
      <c r="EFO42" s="476"/>
      <c r="EFP42" s="476"/>
      <c r="EFQ42" s="476"/>
      <c r="EFR42" s="476"/>
      <c r="EFS42" s="476"/>
      <c r="EFT42" s="476"/>
      <c r="EFU42" s="476"/>
      <c r="EFV42" s="476"/>
      <c r="EFW42" s="476"/>
      <c r="EFX42" s="476"/>
      <c r="EFY42" s="476"/>
      <c r="EFZ42" s="476"/>
      <c r="EGA42" s="476"/>
      <c r="EGB42" s="476"/>
      <c r="EGC42" s="476"/>
      <c r="EGD42" s="476"/>
      <c r="EGE42" s="476"/>
      <c r="EGF42" s="476"/>
      <c r="EGG42" s="476"/>
      <c r="EGH42" s="476"/>
      <c r="EGI42" s="476"/>
      <c r="EGJ42" s="476"/>
      <c r="EGK42" s="476"/>
      <c r="EGL42" s="476"/>
      <c r="EGM42" s="476"/>
      <c r="EGN42" s="476"/>
      <c r="EGO42" s="476"/>
      <c r="EGP42" s="476"/>
      <c r="EGQ42" s="476"/>
      <c r="EGR42" s="476"/>
      <c r="EGS42" s="476"/>
      <c r="EGT42" s="476"/>
      <c r="EGU42" s="476"/>
      <c r="EGV42" s="476"/>
      <c r="EGW42" s="476"/>
      <c r="EGX42" s="476"/>
      <c r="EGY42" s="476"/>
      <c r="EGZ42" s="476"/>
      <c r="EHA42" s="476"/>
      <c r="EHB42" s="476"/>
      <c r="EHC42" s="476"/>
      <c r="EHD42" s="476"/>
      <c r="EHE42" s="476"/>
      <c r="EHF42" s="476"/>
      <c r="EHG42" s="476"/>
      <c r="EHH42" s="476"/>
      <c r="EHI42" s="476"/>
      <c r="EHJ42" s="476"/>
      <c r="EHK42" s="476"/>
      <c r="EHL42" s="476"/>
      <c r="EHM42" s="476"/>
      <c r="EHN42" s="476"/>
      <c r="EHO42" s="476"/>
      <c r="EHP42" s="476"/>
      <c r="EHQ42" s="476"/>
      <c r="EHR42" s="476"/>
      <c r="EHS42" s="476"/>
      <c r="EHT42" s="476"/>
      <c r="EHU42" s="476"/>
      <c r="EHV42" s="476"/>
      <c r="EHW42" s="476"/>
      <c r="EHX42" s="476"/>
      <c r="EHY42" s="476"/>
      <c r="EHZ42" s="476"/>
      <c r="EIA42" s="476"/>
      <c r="EIB42" s="476"/>
      <c r="EIC42" s="476"/>
      <c r="EID42" s="476"/>
      <c r="EIE42" s="476"/>
      <c r="EIF42" s="476"/>
      <c r="EIG42" s="476"/>
      <c r="EIH42" s="476"/>
      <c r="EII42" s="476"/>
      <c r="EIJ42" s="476"/>
      <c r="EIK42" s="476"/>
      <c r="EIL42" s="476"/>
      <c r="EIM42" s="476"/>
      <c r="EIN42" s="476"/>
      <c r="EIO42" s="476"/>
      <c r="EIP42" s="476"/>
      <c r="EIQ42" s="476"/>
      <c r="EIR42" s="476"/>
      <c r="EIS42" s="476"/>
      <c r="EIT42" s="476"/>
      <c r="EIU42" s="476"/>
      <c r="EIV42" s="476"/>
      <c r="EIW42" s="476"/>
      <c r="EIX42" s="476"/>
      <c r="EIY42" s="476"/>
      <c r="EIZ42" s="476"/>
      <c r="EJA42" s="476"/>
      <c r="EJB42" s="476"/>
      <c r="EJC42" s="476"/>
      <c r="EJD42" s="476"/>
      <c r="EJE42" s="476"/>
      <c r="EJF42" s="476"/>
      <c r="EJG42" s="476"/>
      <c r="EJH42" s="476"/>
      <c r="EJI42" s="476"/>
      <c r="EJJ42" s="476"/>
      <c r="EJK42" s="476"/>
      <c r="EJL42" s="476"/>
      <c r="EJM42" s="476"/>
      <c r="EJN42" s="476"/>
      <c r="EJO42" s="476"/>
      <c r="EJP42" s="476"/>
      <c r="EJQ42" s="476"/>
      <c r="EJR42" s="476"/>
      <c r="EJS42" s="476"/>
      <c r="EJT42" s="476"/>
      <c r="EJU42" s="476"/>
      <c r="EJV42" s="476"/>
      <c r="EJW42" s="476"/>
      <c r="EJX42" s="476"/>
      <c r="EJY42" s="476"/>
      <c r="EJZ42" s="476"/>
      <c r="EKA42" s="476"/>
      <c r="EKB42" s="476"/>
      <c r="EKC42" s="476"/>
      <c r="EKD42" s="476"/>
      <c r="EKE42" s="476"/>
      <c r="EKF42" s="476"/>
      <c r="EKG42" s="476"/>
      <c r="EKH42" s="476"/>
      <c r="EKI42" s="476"/>
      <c r="EKJ42" s="476"/>
      <c r="EKK42" s="476"/>
      <c r="EKL42" s="476"/>
      <c r="EKM42" s="476"/>
      <c r="EKN42" s="476"/>
      <c r="EKO42" s="476"/>
      <c r="EKP42" s="476"/>
      <c r="EKQ42" s="476"/>
      <c r="EKR42" s="476"/>
      <c r="EKS42" s="476"/>
      <c r="EKT42" s="476"/>
      <c r="EKU42" s="476"/>
      <c r="EKV42" s="476"/>
      <c r="EKW42" s="476"/>
      <c r="EKX42" s="476"/>
      <c r="EKY42" s="476"/>
      <c r="EKZ42" s="476"/>
      <c r="ELA42" s="476"/>
      <c r="ELB42" s="476"/>
      <c r="ELC42" s="476"/>
      <c r="ELD42" s="476"/>
      <c r="ELE42" s="476"/>
      <c r="ELF42" s="476"/>
      <c r="ELG42" s="476"/>
      <c r="ELH42" s="476"/>
      <c r="ELI42" s="476"/>
      <c r="ELJ42" s="476"/>
      <c r="ELK42" s="476"/>
      <c r="ELL42" s="476"/>
      <c r="ELM42" s="476"/>
      <c r="ELN42" s="476"/>
      <c r="ELO42" s="476"/>
      <c r="ELP42" s="476"/>
      <c r="ELQ42" s="476"/>
      <c r="ELR42" s="476"/>
      <c r="ELS42" s="476"/>
      <c r="ELT42" s="476"/>
      <c r="ELU42" s="476"/>
      <c r="ELV42" s="476"/>
      <c r="ELW42" s="476"/>
      <c r="ELX42" s="476"/>
      <c r="ELY42" s="476"/>
      <c r="ELZ42" s="476"/>
      <c r="EMA42" s="476"/>
      <c r="EMB42" s="476"/>
      <c r="EMC42" s="476"/>
      <c r="EMD42" s="476"/>
      <c r="EME42" s="476"/>
      <c r="EMF42" s="476"/>
      <c r="EMG42" s="476"/>
      <c r="EMH42" s="476"/>
      <c r="EMI42" s="476"/>
      <c r="EMJ42" s="476"/>
      <c r="EMK42" s="476"/>
      <c r="EML42" s="476"/>
      <c r="EMM42" s="476"/>
      <c r="EMN42" s="476"/>
      <c r="EMO42" s="476"/>
      <c r="EMP42" s="476"/>
      <c r="EMQ42" s="476"/>
      <c r="EMR42" s="476"/>
      <c r="EMS42" s="476"/>
      <c r="EMT42" s="476"/>
      <c r="EMU42" s="476"/>
      <c r="EMV42" s="476"/>
      <c r="EMW42" s="476"/>
      <c r="EMX42" s="476"/>
      <c r="EMY42" s="476"/>
      <c r="EMZ42" s="476"/>
      <c r="ENA42" s="476"/>
      <c r="ENB42" s="476"/>
      <c r="ENC42" s="476"/>
      <c r="END42" s="476"/>
      <c r="ENE42" s="476"/>
      <c r="ENF42" s="476"/>
      <c r="ENG42" s="476"/>
      <c r="ENH42" s="476"/>
      <c r="ENI42" s="476"/>
      <c r="ENJ42" s="476"/>
      <c r="ENK42" s="476"/>
      <c r="ENL42" s="476"/>
      <c r="ENM42" s="476"/>
      <c r="ENN42" s="476"/>
      <c r="ENO42" s="476"/>
      <c r="ENP42" s="476"/>
      <c r="ENQ42" s="476"/>
      <c r="ENR42" s="476"/>
      <c r="ENS42" s="476"/>
      <c r="ENT42" s="476"/>
      <c r="ENU42" s="476"/>
      <c r="ENV42" s="476"/>
      <c r="ENW42" s="476"/>
      <c r="ENX42" s="476"/>
      <c r="ENY42" s="476"/>
      <c r="ENZ42" s="476"/>
      <c r="EOA42" s="476"/>
      <c r="EOB42" s="476"/>
      <c r="EOC42" s="476"/>
      <c r="EOD42" s="476"/>
      <c r="EOE42" s="476"/>
      <c r="EOF42" s="476"/>
      <c r="EOG42" s="476"/>
      <c r="EOH42" s="476"/>
      <c r="EOI42" s="476"/>
      <c r="EOJ42" s="476"/>
      <c r="EOK42" s="476"/>
      <c r="EOL42" s="476"/>
      <c r="EOM42" s="476"/>
      <c r="EON42" s="476"/>
      <c r="EOO42" s="476"/>
      <c r="EOP42" s="476"/>
      <c r="EOQ42" s="476"/>
      <c r="EOR42" s="476"/>
      <c r="EOS42" s="476"/>
      <c r="EOT42" s="476"/>
      <c r="EOU42" s="476"/>
      <c r="EOV42" s="476"/>
      <c r="EOW42" s="476"/>
      <c r="EOX42" s="476"/>
      <c r="EOY42" s="476"/>
      <c r="EOZ42" s="476"/>
      <c r="EPA42" s="476"/>
      <c r="EPB42" s="476"/>
      <c r="EPC42" s="476"/>
      <c r="EPD42" s="476"/>
      <c r="EPE42" s="476"/>
      <c r="EPF42" s="476"/>
      <c r="EPG42" s="476"/>
      <c r="EPH42" s="476"/>
      <c r="EPI42" s="476"/>
      <c r="EPJ42" s="476"/>
      <c r="EPK42" s="476"/>
      <c r="EPL42" s="476"/>
      <c r="EPM42" s="476"/>
      <c r="EPN42" s="476"/>
      <c r="EPO42" s="476"/>
      <c r="EPP42" s="476"/>
      <c r="EPQ42" s="476"/>
      <c r="EPR42" s="476"/>
      <c r="EPS42" s="476"/>
      <c r="EPT42" s="476"/>
      <c r="EPU42" s="476"/>
      <c r="EPV42" s="476"/>
      <c r="EPW42" s="476"/>
      <c r="EPX42" s="476"/>
      <c r="EPY42" s="476"/>
      <c r="EPZ42" s="476"/>
      <c r="EQA42" s="476"/>
      <c r="EQB42" s="476"/>
      <c r="EQC42" s="476"/>
      <c r="EQD42" s="476"/>
      <c r="EQE42" s="476"/>
      <c r="EQF42" s="476"/>
      <c r="EQG42" s="476"/>
      <c r="EQH42" s="476"/>
      <c r="EQI42" s="476"/>
      <c r="EQJ42" s="476"/>
      <c r="EQK42" s="476"/>
      <c r="EQL42" s="476"/>
      <c r="EQM42" s="476"/>
      <c r="EQN42" s="476"/>
      <c r="EQO42" s="476"/>
      <c r="EQP42" s="476"/>
      <c r="EQQ42" s="476"/>
      <c r="EQR42" s="476"/>
      <c r="EQS42" s="476"/>
      <c r="EQT42" s="476"/>
      <c r="EQU42" s="476"/>
      <c r="EQV42" s="476"/>
      <c r="EQW42" s="476"/>
      <c r="EQX42" s="476"/>
      <c r="EQY42" s="476"/>
      <c r="EQZ42" s="476"/>
      <c r="ERA42" s="476"/>
      <c r="ERB42" s="476"/>
      <c r="ERC42" s="476"/>
      <c r="ERD42" s="476"/>
      <c r="ERE42" s="476"/>
      <c r="ERF42" s="476"/>
      <c r="ERG42" s="476"/>
      <c r="ERH42" s="476"/>
      <c r="ERI42" s="476"/>
      <c r="ERJ42" s="476"/>
      <c r="ERK42" s="476"/>
      <c r="ERL42" s="476"/>
      <c r="ERM42" s="476"/>
      <c r="ERN42" s="476"/>
      <c r="ERO42" s="476"/>
      <c r="ERP42" s="476"/>
      <c r="ERQ42" s="476"/>
      <c r="ERR42" s="476"/>
      <c r="ERS42" s="476"/>
      <c r="ERT42" s="476"/>
      <c r="ERU42" s="476"/>
      <c r="ERV42" s="476"/>
      <c r="ERW42" s="476"/>
      <c r="ERX42" s="476"/>
      <c r="ERY42" s="476"/>
      <c r="ERZ42" s="476"/>
      <c r="ESA42" s="476"/>
      <c r="ESB42" s="476"/>
      <c r="ESC42" s="476"/>
      <c r="ESD42" s="476"/>
      <c r="ESE42" s="476"/>
      <c r="ESF42" s="476"/>
      <c r="ESG42" s="476"/>
      <c r="ESH42" s="476"/>
      <c r="ESI42" s="476"/>
      <c r="ESJ42" s="476"/>
      <c r="ESK42" s="476"/>
      <c r="ESL42" s="476"/>
      <c r="ESM42" s="476"/>
      <c r="ESN42" s="476"/>
      <c r="ESO42" s="476"/>
      <c r="ESP42" s="476"/>
      <c r="ESQ42" s="476"/>
      <c r="ESR42" s="476"/>
      <c r="ESS42" s="476"/>
      <c r="EST42" s="476"/>
      <c r="ESU42" s="476"/>
      <c r="ESV42" s="476"/>
      <c r="ESW42" s="476"/>
      <c r="ESX42" s="476"/>
      <c r="ESY42" s="476"/>
      <c r="ESZ42" s="476"/>
      <c r="ETA42" s="476"/>
      <c r="ETB42" s="476"/>
      <c r="ETC42" s="476"/>
      <c r="ETD42" s="476"/>
      <c r="ETE42" s="476"/>
      <c r="ETF42" s="476"/>
      <c r="ETG42" s="476"/>
      <c r="ETH42" s="476"/>
      <c r="ETI42" s="476"/>
      <c r="ETJ42" s="476"/>
      <c r="ETK42" s="476"/>
      <c r="ETL42" s="476"/>
      <c r="ETM42" s="476"/>
      <c r="ETN42" s="476"/>
      <c r="ETO42" s="476"/>
      <c r="ETP42" s="476"/>
      <c r="ETQ42" s="476"/>
      <c r="ETR42" s="476"/>
      <c r="ETS42" s="476"/>
      <c r="ETT42" s="476"/>
      <c r="ETU42" s="476"/>
      <c r="ETV42" s="476"/>
      <c r="ETW42" s="476"/>
      <c r="ETX42" s="476"/>
      <c r="ETY42" s="476"/>
      <c r="ETZ42" s="476"/>
      <c r="EUA42" s="476"/>
      <c r="EUB42" s="476"/>
      <c r="EUC42" s="476"/>
      <c r="EUD42" s="476"/>
      <c r="EUE42" s="476"/>
      <c r="EUF42" s="476"/>
      <c r="EUG42" s="476"/>
      <c r="EUH42" s="476"/>
      <c r="EUI42" s="476"/>
      <c r="EUJ42" s="476"/>
      <c r="EUK42" s="476"/>
      <c r="EUL42" s="476"/>
      <c r="EUM42" s="476"/>
      <c r="EUN42" s="476"/>
      <c r="EUO42" s="476"/>
      <c r="EUP42" s="476"/>
      <c r="EUQ42" s="476"/>
      <c r="EUR42" s="476"/>
      <c r="EUS42" s="476"/>
      <c r="EUT42" s="476"/>
      <c r="EUU42" s="476"/>
      <c r="EUV42" s="476"/>
      <c r="EUW42" s="476"/>
      <c r="EUX42" s="476"/>
      <c r="EUY42" s="476"/>
      <c r="EUZ42" s="476"/>
      <c r="EVA42" s="476"/>
      <c r="EVB42" s="476"/>
      <c r="EVC42" s="476"/>
      <c r="EVD42" s="476"/>
      <c r="EVE42" s="476"/>
      <c r="EVF42" s="476"/>
      <c r="EVG42" s="476"/>
      <c r="EVH42" s="476"/>
      <c r="EVI42" s="476"/>
      <c r="EVJ42" s="476"/>
      <c r="EVK42" s="476"/>
      <c r="EVL42" s="476"/>
      <c r="EVM42" s="476"/>
      <c r="EVN42" s="476"/>
      <c r="EVO42" s="476"/>
      <c r="EVP42" s="476"/>
      <c r="EVQ42" s="476"/>
      <c r="EVR42" s="476"/>
      <c r="EVS42" s="476"/>
      <c r="EVT42" s="476"/>
      <c r="EVU42" s="476"/>
      <c r="EVV42" s="476"/>
      <c r="EVW42" s="476"/>
      <c r="EVX42" s="476"/>
      <c r="EVY42" s="476"/>
      <c r="EVZ42" s="476"/>
      <c r="EWA42" s="476"/>
      <c r="EWB42" s="476"/>
      <c r="EWC42" s="476"/>
      <c r="EWD42" s="476"/>
      <c r="EWE42" s="476"/>
      <c r="EWF42" s="476"/>
      <c r="EWG42" s="476"/>
      <c r="EWH42" s="476"/>
      <c r="EWI42" s="476"/>
      <c r="EWJ42" s="476"/>
      <c r="EWK42" s="476"/>
      <c r="EWL42" s="476"/>
      <c r="EWM42" s="476"/>
      <c r="EWN42" s="476"/>
      <c r="EWO42" s="476"/>
      <c r="EWP42" s="476"/>
      <c r="EWQ42" s="476"/>
      <c r="EWR42" s="476"/>
      <c r="EWS42" s="476"/>
      <c r="EWT42" s="476"/>
      <c r="EWU42" s="476"/>
      <c r="EWV42" s="476"/>
      <c r="EWW42" s="476"/>
      <c r="EWX42" s="476"/>
      <c r="EWY42" s="476"/>
      <c r="EWZ42" s="476"/>
      <c r="EXA42" s="476"/>
      <c r="EXB42" s="476"/>
      <c r="EXC42" s="476"/>
      <c r="EXD42" s="476"/>
      <c r="EXE42" s="476"/>
      <c r="EXF42" s="476"/>
      <c r="EXG42" s="476"/>
      <c r="EXH42" s="476"/>
      <c r="EXI42" s="476"/>
      <c r="EXJ42" s="476"/>
      <c r="EXK42" s="476"/>
      <c r="EXL42" s="476"/>
      <c r="EXM42" s="476"/>
      <c r="EXN42" s="476"/>
      <c r="EXO42" s="476"/>
      <c r="EXP42" s="476"/>
      <c r="EXQ42" s="476"/>
      <c r="EXR42" s="476"/>
      <c r="EXS42" s="476"/>
      <c r="EXT42" s="476"/>
      <c r="EXU42" s="476"/>
      <c r="EXV42" s="476"/>
      <c r="EXW42" s="476"/>
      <c r="EXX42" s="476"/>
      <c r="EXY42" s="476"/>
      <c r="EXZ42" s="476"/>
      <c r="EYA42" s="476"/>
      <c r="EYB42" s="476"/>
      <c r="EYC42" s="476"/>
      <c r="EYD42" s="476"/>
      <c r="EYE42" s="476"/>
      <c r="EYF42" s="476"/>
      <c r="EYG42" s="476"/>
      <c r="EYH42" s="476"/>
      <c r="EYI42" s="476"/>
      <c r="EYJ42" s="476"/>
      <c r="EYK42" s="476"/>
      <c r="EYL42" s="476"/>
      <c r="EYM42" s="476"/>
      <c r="EYN42" s="476"/>
      <c r="EYO42" s="476"/>
      <c r="EYP42" s="476"/>
      <c r="EYQ42" s="476"/>
      <c r="EYR42" s="476"/>
      <c r="EYS42" s="476"/>
      <c r="EYT42" s="476"/>
      <c r="EYU42" s="476"/>
      <c r="EYV42" s="476"/>
      <c r="EYW42" s="476"/>
      <c r="EYX42" s="476"/>
      <c r="EYY42" s="476"/>
      <c r="EYZ42" s="476"/>
      <c r="EZA42" s="476"/>
      <c r="EZB42" s="476"/>
      <c r="EZC42" s="476"/>
      <c r="EZD42" s="476"/>
      <c r="EZE42" s="476"/>
      <c r="EZF42" s="476"/>
      <c r="EZG42" s="476"/>
      <c r="EZH42" s="476"/>
      <c r="EZI42" s="476"/>
      <c r="EZJ42" s="476"/>
      <c r="EZK42" s="476"/>
      <c r="EZL42" s="476"/>
      <c r="EZM42" s="476"/>
      <c r="EZN42" s="476"/>
      <c r="EZO42" s="476"/>
      <c r="EZP42" s="476"/>
      <c r="EZQ42" s="476"/>
      <c r="EZR42" s="476"/>
      <c r="EZS42" s="476"/>
      <c r="EZT42" s="476"/>
      <c r="EZU42" s="476"/>
      <c r="EZV42" s="476"/>
      <c r="EZW42" s="476"/>
      <c r="EZX42" s="476"/>
      <c r="EZY42" s="476"/>
      <c r="EZZ42" s="476"/>
      <c r="FAA42" s="476"/>
      <c r="FAB42" s="476"/>
      <c r="FAC42" s="476"/>
      <c r="FAD42" s="476"/>
      <c r="FAE42" s="476"/>
      <c r="FAF42" s="476"/>
      <c r="FAG42" s="476"/>
      <c r="FAH42" s="476"/>
      <c r="FAI42" s="476"/>
      <c r="FAJ42" s="476"/>
      <c r="FAK42" s="476"/>
      <c r="FAL42" s="476"/>
      <c r="FAM42" s="476"/>
      <c r="FAN42" s="476"/>
      <c r="FAO42" s="476"/>
      <c r="FAP42" s="476"/>
      <c r="FAQ42" s="476"/>
      <c r="FAR42" s="476"/>
      <c r="FAS42" s="476"/>
      <c r="FAT42" s="476"/>
      <c r="FAU42" s="476"/>
      <c r="FAV42" s="476"/>
      <c r="FAW42" s="476"/>
      <c r="FAX42" s="476"/>
      <c r="FAY42" s="476"/>
      <c r="FAZ42" s="476"/>
      <c r="FBA42" s="476"/>
      <c r="FBB42" s="476"/>
      <c r="FBC42" s="476"/>
      <c r="FBD42" s="476"/>
      <c r="FBE42" s="476"/>
      <c r="FBF42" s="476"/>
      <c r="FBG42" s="476"/>
      <c r="FBH42" s="476"/>
      <c r="FBI42" s="476"/>
      <c r="FBJ42" s="476"/>
      <c r="FBK42" s="476"/>
      <c r="FBL42" s="476"/>
      <c r="FBM42" s="476"/>
      <c r="FBN42" s="476"/>
      <c r="FBO42" s="476"/>
      <c r="FBP42" s="476"/>
      <c r="FBQ42" s="476"/>
      <c r="FBR42" s="476"/>
      <c r="FBS42" s="476"/>
      <c r="FBT42" s="476"/>
      <c r="FBU42" s="476"/>
      <c r="FBV42" s="476"/>
      <c r="FBW42" s="476"/>
      <c r="FBX42" s="476"/>
      <c r="FBY42" s="476"/>
      <c r="FBZ42" s="476"/>
      <c r="FCA42" s="476"/>
      <c r="FCB42" s="476"/>
      <c r="FCC42" s="476"/>
      <c r="FCD42" s="476"/>
      <c r="FCE42" s="476"/>
      <c r="FCF42" s="476"/>
      <c r="FCG42" s="476"/>
      <c r="FCH42" s="476"/>
      <c r="FCI42" s="476"/>
      <c r="FCJ42" s="476"/>
      <c r="FCK42" s="476"/>
      <c r="FCL42" s="476"/>
      <c r="FCM42" s="476"/>
      <c r="FCN42" s="476"/>
      <c r="FCO42" s="476"/>
      <c r="FCP42" s="476"/>
      <c r="FCQ42" s="476"/>
      <c r="FCR42" s="476"/>
      <c r="FCS42" s="476"/>
      <c r="FCT42" s="476"/>
      <c r="FCU42" s="476"/>
      <c r="FCV42" s="476"/>
      <c r="FCW42" s="476"/>
      <c r="FCX42" s="476"/>
      <c r="FCY42" s="476"/>
      <c r="FCZ42" s="476"/>
      <c r="FDA42" s="476"/>
      <c r="FDB42" s="476"/>
      <c r="FDC42" s="476"/>
      <c r="FDD42" s="476"/>
      <c r="FDE42" s="476"/>
      <c r="FDF42" s="476"/>
      <c r="FDG42" s="476"/>
      <c r="FDH42" s="476"/>
      <c r="FDI42" s="476"/>
      <c r="FDJ42" s="476"/>
      <c r="FDK42" s="476"/>
      <c r="FDL42" s="476"/>
      <c r="FDM42" s="476"/>
      <c r="FDN42" s="476"/>
      <c r="FDO42" s="476"/>
      <c r="FDP42" s="476"/>
      <c r="FDQ42" s="476"/>
      <c r="FDR42" s="476"/>
      <c r="FDS42" s="476"/>
      <c r="FDT42" s="476"/>
      <c r="FDU42" s="476"/>
      <c r="FDV42" s="476"/>
      <c r="FDW42" s="476"/>
      <c r="FDX42" s="476"/>
      <c r="FDY42" s="476"/>
      <c r="FDZ42" s="476"/>
      <c r="FEA42" s="476"/>
      <c r="FEB42" s="476"/>
      <c r="FEC42" s="476"/>
      <c r="FED42" s="476"/>
      <c r="FEE42" s="476"/>
      <c r="FEF42" s="476"/>
      <c r="FEG42" s="476"/>
      <c r="FEH42" s="476"/>
      <c r="FEI42" s="476"/>
      <c r="FEJ42" s="476"/>
      <c r="FEK42" s="476"/>
      <c r="FEL42" s="476"/>
      <c r="FEM42" s="476"/>
      <c r="FEN42" s="476"/>
      <c r="FEO42" s="476"/>
      <c r="FEP42" s="476"/>
      <c r="FEQ42" s="476"/>
      <c r="FER42" s="476"/>
      <c r="FES42" s="476"/>
      <c r="FET42" s="476"/>
      <c r="FEU42" s="476"/>
      <c r="FEV42" s="476"/>
      <c r="FEW42" s="476"/>
      <c r="FEX42" s="476"/>
      <c r="FEY42" s="476"/>
      <c r="FEZ42" s="476"/>
      <c r="FFA42" s="476"/>
      <c r="FFB42" s="476"/>
      <c r="FFC42" s="476"/>
      <c r="FFD42" s="476"/>
      <c r="FFE42" s="476"/>
      <c r="FFF42" s="476"/>
      <c r="FFG42" s="476"/>
      <c r="FFH42" s="476"/>
      <c r="FFI42" s="476"/>
      <c r="FFJ42" s="476"/>
      <c r="FFK42" s="476"/>
      <c r="FFL42" s="476"/>
      <c r="FFM42" s="476"/>
      <c r="FFN42" s="476"/>
      <c r="FFO42" s="476"/>
      <c r="FFP42" s="476"/>
      <c r="FFQ42" s="476"/>
      <c r="FFR42" s="476"/>
      <c r="FFS42" s="476"/>
      <c r="FFT42" s="476"/>
      <c r="FFU42" s="476"/>
      <c r="FFV42" s="476"/>
      <c r="FFW42" s="476"/>
      <c r="FFX42" s="476"/>
      <c r="FFY42" s="476"/>
      <c r="FFZ42" s="476"/>
      <c r="FGA42" s="476"/>
      <c r="FGB42" s="476"/>
      <c r="FGC42" s="476"/>
      <c r="FGD42" s="476"/>
      <c r="FGE42" s="476"/>
      <c r="FGF42" s="476"/>
      <c r="FGG42" s="476"/>
      <c r="FGH42" s="476"/>
      <c r="FGI42" s="476"/>
      <c r="FGJ42" s="476"/>
      <c r="FGK42" s="476"/>
      <c r="FGL42" s="476"/>
      <c r="FGM42" s="476"/>
      <c r="FGN42" s="476"/>
      <c r="FGO42" s="476"/>
      <c r="FGP42" s="476"/>
      <c r="FGQ42" s="476"/>
      <c r="FGR42" s="476"/>
      <c r="FGS42" s="476"/>
      <c r="FGT42" s="476"/>
      <c r="FGU42" s="476"/>
      <c r="FGV42" s="476"/>
      <c r="FGW42" s="476"/>
      <c r="FGX42" s="476"/>
      <c r="FGY42" s="476"/>
      <c r="FGZ42" s="476"/>
      <c r="FHA42" s="476"/>
      <c r="FHB42" s="476"/>
      <c r="FHC42" s="476"/>
      <c r="FHD42" s="476"/>
      <c r="FHE42" s="476"/>
      <c r="FHF42" s="476"/>
      <c r="FHG42" s="476"/>
      <c r="FHH42" s="476"/>
      <c r="FHI42" s="476"/>
      <c r="FHJ42" s="476"/>
      <c r="FHK42" s="476"/>
      <c r="FHL42" s="476"/>
      <c r="FHM42" s="476"/>
      <c r="FHN42" s="476"/>
      <c r="FHO42" s="476"/>
      <c r="FHP42" s="476"/>
      <c r="FHQ42" s="476"/>
      <c r="FHR42" s="476"/>
      <c r="FHS42" s="476"/>
      <c r="FHT42" s="476"/>
      <c r="FHU42" s="476"/>
      <c r="FHV42" s="476"/>
      <c r="FHW42" s="476"/>
      <c r="FHX42" s="476"/>
      <c r="FHY42" s="476"/>
      <c r="FHZ42" s="476"/>
      <c r="FIA42" s="476"/>
      <c r="FIB42" s="476"/>
      <c r="FIC42" s="476"/>
      <c r="FID42" s="476"/>
      <c r="FIE42" s="476"/>
      <c r="FIF42" s="476"/>
      <c r="FIG42" s="476"/>
      <c r="FIH42" s="476"/>
      <c r="FII42" s="476"/>
      <c r="FIJ42" s="476"/>
      <c r="FIK42" s="476"/>
      <c r="FIL42" s="476"/>
      <c r="FIM42" s="476"/>
      <c r="FIN42" s="476"/>
      <c r="FIO42" s="476"/>
      <c r="FIP42" s="476"/>
      <c r="FIQ42" s="476"/>
      <c r="FIR42" s="476"/>
      <c r="FIS42" s="476"/>
      <c r="FIT42" s="476"/>
      <c r="FIU42" s="476"/>
      <c r="FIV42" s="476"/>
      <c r="FIW42" s="476"/>
      <c r="FIX42" s="476"/>
      <c r="FIY42" s="476"/>
      <c r="FIZ42" s="476"/>
      <c r="FJA42" s="476"/>
      <c r="FJB42" s="476"/>
      <c r="FJC42" s="476"/>
      <c r="FJD42" s="476"/>
      <c r="FJE42" s="476"/>
      <c r="FJF42" s="476"/>
      <c r="FJG42" s="476"/>
      <c r="FJH42" s="476"/>
      <c r="FJI42" s="476"/>
      <c r="FJJ42" s="476"/>
      <c r="FJK42" s="476"/>
      <c r="FJL42" s="476"/>
      <c r="FJM42" s="476"/>
      <c r="FJN42" s="476"/>
      <c r="FJO42" s="476"/>
      <c r="FJP42" s="476"/>
      <c r="FJQ42" s="476"/>
      <c r="FJR42" s="476"/>
      <c r="FJS42" s="476"/>
      <c r="FJT42" s="476"/>
      <c r="FJU42" s="476"/>
      <c r="FJV42" s="476"/>
      <c r="FJW42" s="476"/>
      <c r="FJX42" s="476"/>
      <c r="FJY42" s="476"/>
      <c r="FJZ42" s="476"/>
      <c r="FKA42" s="476"/>
      <c r="FKB42" s="476"/>
      <c r="FKC42" s="476"/>
      <c r="FKD42" s="476"/>
      <c r="FKE42" s="476"/>
      <c r="FKF42" s="476"/>
      <c r="FKG42" s="476"/>
      <c r="FKH42" s="476"/>
      <c r="FKI42" s="476"/>
      <c r="FKJ42" s="476"/>
      <c r="FKK42" s="476"/>
      <c r="FKL42" s="476"/>
      <c r="FKM42" s="476"/>
      <c r="FKN42" s="476"/>
      <c r="FKO42" s="476"/>
      <c r="FKP42" s="476"/>
      <c r="FKQ42" s="476"/>
      <c r="FKR42" s="476"/>
      <c r="FKS42" s="476"/>
      <c r="FKT42" s="476"/>
      <c r="FKU42" s="476"/>
      <c r="FKV42" s="476"/>
      <c r="FKW42" s="476"/>
      <c r="FKX42" s="476"/>
      <c r="FKY42" s="476"/>
      <c r="FKZ42" s="476"/>
      <c r="FLA42" s="476"/>
      <c r="FLB42" s="476"/>
      <c r="FLC42" s="476"/>
      <c r="FLD42" s="476"/>
      <c r="FLE42" s="476"/>
      <c r="FLF42" s="476"/>
      <c r="FLG42" s="476"/>
      <c r="FLH42" s="476"/>
      <c r="FLI42" s="476"/>
      <c r="FLJ42" s="476"/>
      <c r="FLK42" s="476"/>
      <c r="FLL42" s="476"/>
      <c r="FLM42" s="476"/>
      <c r="FLN42" s="476"/>
      <c r="FLO42" s="476"/>
      <c r="FLP42" s="476"/>
      <c r="FLQ42" s="476"/>
      <c r="FLR42" s="476"/>
      <c r="FLS42" s="476"/>
      <c r="FLT42" s="476"/>
      <c r="FLU42" s="476"/>
      <c r="FLV42" s="476"/>
      <c r="FLW42" s="476"/>
      <c r="FLX42" s="476"/>
      <c r="FLY42" s="476"/>
      <c r="FLZ42" s="476"/>
      <c r="FMA42" s="476"/>
      <c r="FMB42" s="476"/>
      <c r="FMC42" s="476"/>
      <c r="FMD42" s="476"/>
      <c r="FME42" s="476"/>
      <c r="FMF42" s="476"/>
      <c r="FMG42" s="476"/>
      <c r="FMH42" s="476"/>
      <c r="FMI42" s="476"/>
      <c r="FMJ42" s="476"/>
      <c r="FMK42" s="476"/>
      <c r="FML42" s="476"/>
      <c r="FMM42" s="476"/>
      <c r="FMN42" s="476"/>
      <c r="FMO42" s="476"/>
      <c r="FMP42" s="476"/>
      <c r="FMQ42" s="476"/>
      <c r="FMR42" s="476"/>
      <c r="FMS42" s="476"/>
      <c r="FMT42" s="476"/>
      <c r="FMU42" s="476"/>
      <c r="FMV42" s="476"/>
      <c r="FMW42" s="476"/>
      <c r="FMX42" s="476"/>
      <c r="FMY42" s="476"/>
      <c r="FMZ42" s="476"/>
      <c r="FNA42" s="476"/>
      <c r="FNB42" s="476"/>
      <c r="FNC42" s="476"/>
      <c r="FND42" s="476"/>
      <c r="FNE42" s="476"/>
      <c r="FNF42" s="476"/>
      <c r="FNG42" s="476"/>
      <c r="FNH42" s="476"/>
      <c r="FNI42" s="476"/>
      <c r="FNJ42" s="476"/>
      <c r="FNK42" s="476"/>
      <c r="FNL42" s="476"/>
      <c r="FNM42" s="476"/>
      <c r="FNN42" s="476"/>
      <c r="FNO42" s="476"/>
      <c r="FNP42" s="476"/>
      <c r="FNQ42" s="476"/>
      <c r="FNR42" s="476"/>
      <c r="FNS42" s="476"/>
      <c r="FNT42" s="476"/>
      <c r="FNU42" s="476"/>
      <c r="FNV42" s="476"/>
      <c r="FNW42" s="476"/>
      <c r="FNX42" s="476"/>
      <c r="FNY42" s="476"/>
      <c r="FNZ42" s="476"/>
      <c r="FOA42" s="476"/>
      <c r="FOB42" s="476"/>
      <c r="FOC42" s="476"/>
      <c r="FOD42" s="476"/>
      <c r="FOE42" s="476"/>
      <c r="FOF42" s="476"/>
      <c r="FOG42" s="476"/>
      <c r="FOH42" s="476"/>
      <c r="FOI42" s="476"/>
      <c r="FOJ42" s="476"/>
      <c r="FOK42" s="476"/>
      <c r="FOL42" s="476"/>
      <c r="FOM42" s="476"/>
      <c r="FON42" s="476"/>
      <c r="FOO42" s="476"/>
      <c r="FOP42" s="476"/>
      <c r="FOQ42" s="476"/>
      <c r="FOR42" s="476"/>
      <c r="FOS42" s="476"/>
      <c r="FOT42" s="476"/>
      <c r="FOU42" s="476"/>
      <c r="FOV42" s="476"/>
      <c r="FOW42" s="476"/>
      <c r="FOX42" s="476"/>
      <c r="FOY42" s="476"/>
      <c r="FOZ42" s="476"/>
      <c r="FPA42" s="476"/>
      <c r="FPB42" s="476"/>
      <c r="FPC42" s="476"/>
      <c r="FPD42" s="476"/>
      <c r="FPE42" s="476"/>
      <c r="FPF42" s="476"/>
      <c r="FPG42" s="476"/>
      <c r="FPH42" s="476"/>
      <c r="FPI42" s="476"/>
      <c r="FPJ42" s="476"/>
      <c r="FPK42" s="476"/>
      <c r="FPL42" s="476"/>
      <c r="FPM42" s="476"/>
      <c r="FPN42" s="476"/>
      <c r="FPO42" s="476"/>
      <c r="FPP42" s="476"/>
      <c r="FPQ42" s="476"/>
      <c r="FPR42" s="476"/>
      <c r="FPS42" s="476"/>
      <c r="FPT42" s="476"/>
      <c r="FPU42" s="476"/>
      <c r="FPV42" s="476"/>
      <c r="FPW42" s="476"/>
      <c r="FPX42" s="476"/>
      <c r="FPY42" s="476"/>
      <c r="FPZ42" s="476"/>
      <c r="FQA42" s="476"/>
      <c r="FQB42" s="476"/>
      <c r="FQC42" s="476"/>
      <c r="FQD42" s="476"/>
      <c r="FQE42" s="476"/>
      <c r="FQF42" s="476"/>
      <c r="FQG42" s="476"/>
      <c r="FQH42" s="476"/>
      <c r="FQI42" s="476"/>
      <c r="FQJ42" s="476"/>
      <c r="FQK42" s="476"/>
      <c r="FQL42" s="476"/>
      <c r="FQM42" s="476"/>
      <c r="FQN42" s="476"/>
      <c r="FQO42" s="476"/>
      <c r="FQP42" s="476"/>
      <c r="FQQ42" s="476"/>
      <c r="FQR42" s="476"/>
      <c r="FQS42" s="476"/>
      <c r="FQT42" s="476"/>
      <c r="FQU42" s="476"/>
      <c r="FQV42" s="476"/>
      <c r="FQW42" s="476"/>
      <c r="FQX42" s="476"/>
      <c r="FQY42" s="476"/>
      <c r="FQZ42" s="476"/>
      <c r="FRA42" s="476"/>
      <c r="FRB42" s="476"/>
      <c r="FRC42" s="476"/>
      <c r="FRD42" s="476"/>
      <c r="FRE42" s="476"/>
      <c r="FRF42" s="476"/>
      <c r="FRG42" s="476"/>
      <c r="FRH42" s="476"/>
      <c r="FRI42" s="476"/>
      <c r="FRJ42" s="476"/>
      <c r="FRK42" s="476"/>
      <c r="FRL42" s="476"/>
      <c r="FRM42" s="476"/>
      <c r="FRN42" s="476"/>
      <c r="FRO42" s="476"/>
      <c r="FRP42" s="476"/>
      <c r="FRQ42" s="476"/>
      <c r="FRR42" s="476"/>
      <c r="FRS42" s="476"/>
      <c r="FRT42" s="476"/>
      <c r="FRU42" s="476"/>
      <c r="FRV42" s="476"/>
      <c r="FRW42" s="476"/>
      <c r="FRX42" s="476"/>
      <c r="FRY42" s="476"/>
      <c r="FRZ42" s="476"/>
      <c r="FSA42" s="476"/>
      <c r="FSB42" s="476"/>
      <c r="FSC42" s="476"/>
      <c r="FSD42" s="476"/>
      <c r="FSE42" s="476"/>
      <c r="FSF42" s="476"/>
      <c r="FSG42" s="476"/>
      <c r="FSH42" s="476"/>
      <c r="FSI42" s="476"/>
      <c r="FSJ42" s="476"/>
      <c r="FSK42" s="476"/>
      <c r="FSL42" s="476"/>
      <c r="FSM42" s="476"/>
      <c r="FSN42" s="476"/>
      <c r="FSO42" s="476"/>
      <c r="FSP42" s="476"/>
      <c r="FSQ42" s="476"/>
      <c r="FSR42" s="476"/>
      <c r="FSS42" s="476"/>
      <c r="FST42" s="476"/>
      <c r="FSU42" s="476"/>
      <c r="FSV42" s="476"/>
      <c r="FSW42" s="476"/>
      <c r="FSX42" s="476"/>
      <c r="FSY42" s="476"/>
      <c r="FSZ42" s="476"/>
      <c r="FTA42" s="476"/>
      <c r="FTB42" s="476"/>
      <c r="FTC42" s="476"/>
      <c r="FTD42" s="476"/>
      <c r="FTE42" s="476"/>
      <c r="FTF42" s="476"/>
      <c r="FTG42" s="476"/>
      <c r="FTH42" s="476"/>
      <c r="FTI42" s="476"/>
      <c r="FTJ42" s="476"/>
      <c r="FTK42" s="476"/>
      <c r="FTL42" s="476"/>
      <c r="FTM42" s="476"/>
      <c r="FTN42" s="476"/>
      <c r="FTO42" s="476"/>
      <c r="FTP42" s="476"/>
      <c r="FTQ42" s="476"/>
      <c r="FTR42" s="476"/>
      <c r="FTS42" s="476"/>
      <c r="FTT42" s="476"/>
      <c r="FTU42" s="476"/>
      <c r="FTV42" s="476"/>
      <c r="FTW42" s="476"/>
      <c r="FTX42" s="476"/>
      <c r="FTY42" s="476"/>
      <c r="FTZ42" s="476"/>
      <c r="FUA42" s="476"/>
      <c r="FUB42" s="476"/>
      <c r="FUC42" s="476"/>
      <c r="FUD42" s="476"/>
      <c r="FUE42" s="476"/>
      <c r="FUF42" s="476"/>
      <c r="FUG42" s="476"/>
      <c r="FUH42" s="476"/>
      <c r="FUI42" s="476"/>
      <c r="FUJ42" s="476"/>
      <c r="FUK42" s="476"/>
      <c r="FUL42" s="476"/>
      <c r="FUM42" s="476"/>
      <c r="FUN42" s="476"/>
      <c r="FUO42" s="476"/>
      <c r="FUP42" s="476"/>
      <c r="FUQ42" s="476"/>
      <c r="FUR42" s="476"/>
      <c r="FUS42" s="476"/>
      <c r="FUT42" s="476"/>
      <c r="FUU42" s="476"/>
      <c r="FUV42" s="476"/>
      <c r="FUW42" s="476"/>
      <c r="FUX42" s="476"/>
      <c r="FUY42" s="476"/>
      <c r="FUZ42" s="476"/>
      <c r="FVA42" s="476"/>
      <c r="FVB42" s="476"/>
      <c r="FVC42" s="476"/>
      <c r="FVD42" s="476"/>
      <c r="FVE42" s="476"/>
      <c r="FVF42" s="476"/>
      <c r="FVG42" s="476"/>
      <c r="FVH42" s="476"/>
      <c r="FVI42" s="476"/>
      <c r="FVJ42" s="476"/>
      <c r="FVK42" s="476"/>
      <c r="FVL42" s="476"/>
      <c r="FVM42" s="476"/>
      <c r="FVN42" s="476"/>
      <c r="FVO42" s="476"/>
      <c r="FVP42" s="476"/>
      <c r="FVQ42" s="476"/>
      <c r="FVR42" s="476"/>
      <c r="FVS42" s="476"/>
      <c r="FVT42" s="476"/>
      <c r="FVU42" s="476"/>
      <c r="FVV42" s="476"/>
      <c r="FVW42" s="476"/>
      <c r="FVX42" s="476"/>
      <c r="FVY42" s="476"/>
      <c r="FVZ42" s="476"/>
      <c r="FWA42" s="476"/>
      <c r="FWB42" s="476"/>
      <c r="FWC42" s="476"/>
      <c r="FWD42" s="476"/>
      <c r="FWE42" s="476"/>
      <c r="FWF42" s="476"/>
      <c r="FWG42" s="476"/>
      <c r="FWH42" s="476"/>
      <c r="FWI42" s="476"/>
      <c r="FWJ42" s="476"/>
      <c r="FWK42" s="476"/>
      <c r="FWL42" s="476"/>
      <c r="FWM42" s="476"/>
      <c r="FWN42" s="476"/>
      <c r="FWO42" s="476"/>
      <c r="FWP42" s="476"/>
      <c r="FWQ42" s="476"/>
      <c r="FWR42" s="476"/>
      <c r="FWS42" s="476"/>
      <c r="FWT42" s="476"/>
      <c r="FWU42" s="476"/>
      <c r="FWV42" s="476"/>
      <c r="FWW42" s="476"/>
      <c r="FWX42" s="476"/>
      <c r="FWY42" s="476"/>
      <c r="FWZ42" s="476"/>
      <c r="FXA42" s="476"/>
      <c r="FXB42" s="476"/>
      <c r="FXC42" s="476"/>
      <c r="FXD42" s="476"/>
      <c r="FXE42" s="476"/>
      <c r="FXF42" s="476"/>
      <c r="FXG42" s="476"/>
      <c r="FXH42" s="476"/>
      <c r="FXI42" s="476"/>
      <c r="FXJ42" s="476"/>
      <c r="FXK42" s="476"/>
      <c r="FXL42" s="476"/>
      <c r="FXM42" s="476"/>
      <c r="FXN42" s="476"/>
      <c r="FXO42" s="476"/>
      <c r="FXP42" s="476"/>
      <c r="FXQ42" s="476"/>
      <c r="FXR42" s="476"/>
      <c r="FXS42" s="476"/>
      <c r="FXT42" s="476"/>
      <c r="FXU42" s="476"/>
      <c r="FXV42" s="476"/>
      <c r="FXW42" s="476"/>
      <c r="FXX42" s="476"/>
      <c r="FXY42" s="476"/>
      <c r="FXZ42" s="476"/>
      <c r="FYA42" s="476"/>
      <c r="FYB42" s="476"/>
      <c r="FYC42" s="476"/>
      <c r="FYD42" s="476"/>
      <c r="FYE42" s="476"/>
      <c r="FYF42" s="476"/>
      <c r="FYG42" s="476"/>
      <c r="FYH42" s="476"/>
      <c r="FYI42" s="476"/>
      <c r="FYJ42" s="476"/>
      <c r="FYK42" s="476"/>
      <c r="FYL42" s="476"/>
      <c r="FYM42" s="476"/>
      <c r="FYN42" s="476"/>
      <c r="FYO42" s="476"/>
      <c r="FYP42" s="476"/>
      <c r="FYQ42" s="476"/>
      <c r="FYR42" s="476"/>
      <c r="FYS42" s="476"/>
      <c r="FYT42" s="476"/>
      <c r="FYU42" s="476"/>
      <c r="FYV42" s="476"/>
      <c r="FYW42" s="476"/>
      <c r="FYX42" s="476"/>
      <c r="FYY42" s="476"/>
      <c r="FYZ42" s="476"/>
      <c r="FZA42" s="476"/>
      <c r="FZB42" s="476"/>
      <c r="FZC42" s="476"/>
      <c r="FZD42" s="476"/>
      <c r="FZE42" s="476"/>
      <c r="FZF42" s="476"/>
      <c r="FZG42" s="476"/>
      <c r="FZH42" s="476"/>
      <c r="FZI42" s="476"/>
      <c r="FZJ42" s="476"/>
      <c r="FZK42" s="476"/>
      <c r="FZL42" s="476"/>
      <c r="FZM42" s="476"/>
      <c r="FZN42" s="476"/>
      <c r="FZO42" s="476"/>
      <c r="FZP42" s="476"/>
      <c r="FZQ42" s="476"/>
      <c r="FZR42" s="476"/>
      <c r="FZS42" s="476"/>
      <c r="FZT42" s="476"/>
      <c r="FZU42" s="476"/>
      <c r="FZV42" s="476"/>
      <c r="FZW42" s="476"/>
      <c r="FZX42" s="476"/>
      <c r="FZY42" s="476"/>
      <c r="FZZ42" s="476"/>
      <c r="GAA42" s="476"/>
      <c r="GAB42" s="476"/>
      <c r="GAC42" s="476"/>
      <c r="GAD42" s="476"/>
      <c r="GAE42" s="476"/>
      <c r="GAF42" s="476"/>
      <c r="GAG42" s="476"/>
      <c r="GAH42" s="476"/>
      <c r="GAI42" s="476"/>
      <c r="GAJ42" s="476"/>
      <c r="GAK42" s="476"/>
      <c r="GAL42" s="476"/>
      <c r="GAM42" s="476"/>
      <c r="GAN42" s="476"/>
      <c r="GAO42" s="476"/>
      <c r="GAP42" s="476"/>
      <c r="GAQ42" s="476"/>
      <c r="GAR42" s="476"/>
      <c r="GAS42" s="476"/>
      <c r="GAT42" s="476"/>
      <c r="GAU42" s="476"/>
      <c r="GAV42" s="476"/>
      <c r="GAW42" s="476"/>
      <c r="GAX42" s="476"/>
      <c r="GAY42" s="476"/>
      <c r="GAZ42" s="476"/>
      <c r="GBA42" s="476"/>
      <c r="GBB42" s="476"/>
      <c r="GBC42" s="476"/>
      <c r="GBD42" s="476"/>
      <c r="GBE42" s="476"/>
      <c r="GBF42" s="476"/>
      <c r="GBG42" s="476"/>
      <c r="GBH42" s="476"/>
      <c r="GBI42" s="476"/>
      <c r="GBJ42" s="476"/>
      <c r="GBK42" s="476"/>
      <c r="GBL42" s="476"/>
      <c r="GBM42" s="476"/>
      <c r="GBN42" s="476"/>
      <c r="GBO42" s="476"/>
      <c r="GBP42" s="476"/>
      <c r="GBQ42" s="476"/>
      <c r="GBR42" s="476"/>
      <c r="GBS42" s="476"/>
      <c r="GBT42" s="476"/>
      <c r="GBU42" s="476"/>
      <c r="GBV42" s="476"/>
      <c r="GBW42" s="476"/>
      <c r="GBX42" s="476"/>
      <c r="GBY42" s="476"/>
      <c r="GBZ42" s="476"/>
      <c r="GCA42" s="476"/>
      <c r="GCB42" s="476"/>
      <c r="GCC42" s="476"/>
      <c r="GCD42" s="476"/>
      <c r="GCE42" s="476"/>
      <c r="GCF42" s="476"/>
      <c r="GCG42" s="476"/>
      <c r="GCH42" s="476"/>
      <c r="GCI42" s="476"/>
      <c r="GCJ42" s="476"/>
      <c r="GCK42" s="476"/>
      <c r="GCL42" s="476"/>
      <c r="GCM42" s="476"/>
      <c r="GCN42" s="476"/>
      <c r="GCO42" s="476"/>
      <c r="GCP42" s="476"/>
      <c r="GCQ42" s="476"/>
      <c r="GCR42" s="476"/>
      <c r="GCS42" s="476"/>
      <c r="GCT42" s="476"/>
      <c r="GCU42" s="476"/>
      <c r="GCV42" s="476"/>
      <c r="GCW42" s="476"/>
      <c r="GCX42" s="476"/>
      <c r="GCY42" s="476"/>
      <c r="GCZ42" s="476"/>
      <c r="GDA42" s="476"/>
      <c r="GDB42" s="476"/>
      <c r="GDC42" s="476"/>
      <c r="GDD42" s="476"/>
      <c r="GDE42" s="476"/>
      <c r="GDF42" s="476"/>
      <c r="GDG42" s="476"/>
      <c r="GDH42" s="476"/>
      <c r="GDI42" s="476"/>
      <c r="GDJ42" s="476"/>
      <c r="GDK42" s="476"/>
      <c r="GDL42" s="476"/>
      <c r="GDM42" s="476"/>
      <c r="GDN42" s="476"/>
      <c r="GDO42" s="476"/>
      <c r="GDP42" s="476"/>
      <c r="GDQ42" s="476"/>
      <c r="GDR42" s="476"/>
      <c r="GDS42" s="476"/>
      <c r="GDT42" s="476"/>
      <c r="GDU42" s="476"/>
      <c r="GDV42" s="476"/>
      <c r="GDW42" s="476"/>
      <c r="GDX42" s="476"/>
      <c r="GDY42" s="476"/>
      <c r="GDZ42" s="476"/>
      <c r="GEA42" s="476"/>
      <c r="GEB42" s="476"/>
      <c r="GEC42" s="476"/>
      <c r="GED42" s="476"/>
      <c r="GEE42" s="476"/>
      <c r="GEF42" s="476"/>
      <c r="GEG42" s="476"/>
      <c r="GEH42" s="476"/>
      <c r="GEI42" s="476"/>
      <c r="GEJ42" s="476"/>
      <c r="GEK42" s="476"/>
      <c r="GEL42" s="476"/>
      <c r="GEM42" s="476"/>
      <c r="GEN42" s="476"/>
      <c r="GEO42" s="476"/>
      <c r="GEP42" s="476"/>
      <c r="GEQ42" s="476"/>
      <c r="GER42" s="476"/>
      <c r="GES42" s="476"/>
      <c r="GET42" s="476"/>
      <c r="GEU42" s="476"/>
      <c r="GEV42" s="476"/>
      <c r="GEW42" s="476"/>
      <c r="GEX42" s="476"/>
      <c r="GEY42" s="476"/>
      <c r="GEZ42" s="476"/>
      <c r="GFA42" s="476"/>
      <c r="GFB42" s="476"/>
      <c r="GFC42" s="476"/>
      <c r="GFD42" s="476"/>
      <c r="GFE42" s="476"/>
      <c r="GFF42" s="476"/>
      <c r="GFG42" s="476"/>
      <c r="GFH42" s="476"/>
      <c r="GFI42" s="476"/>
      <c r="GFJ42" s="476"/>
      <c r="GFK42" s="476"/>
      <c r="GFL42" s="476"/>
      <c r="GFM42" s="476"/>
      <c r="GFN42" s="476"/>
      <c r="GFO42" s="476"/>
      <c r="GFP42" s="476"/>
      <c r="GFQ42" s="476"/>
      <c r="GFR42" s="476"/>
      <c r="GFS42" s="476"/>
      <c r="GFT42" s="476"/>
      <c r="GFU42" s="476"/>
      <c r="GFV42" s="476"/>
      <c r="GFW42" s="476"/>
      <c r="GFX42" s="476"/>
      <c r="GFY42" s="476"/>
      <c r="GFZ42" s="476"/>
      <c r="GGA42" s="476"/>
      <c r="GGB42" s="476"/>
      <c r="GGC42" s="476"/>
      <c r="GGD42" s="476"/>
      <c r="GGE42" s="476"/>
      <c r="GGF42" s="476"/>
      <c r="GGG42" s="476"/>
      <c r="GGH42" s="476"/>
      <c r="GGI42" s="476"/>
      <c r="GGJ42" s="476"/>
      <c r="GGK42" s="476"/>
      <c r="GGL42" s="476"/>
      <c r="GGM42" s="476"/>
      <c r="GGN42" s="476"/>
      <c r="GGO42" s="476"/>
      <c r="GGP42" s="476"/>
      <c r="GGQ42" s="476"/>
      <c r="GGR42" s="476"/>
      <c r="GGS42" s="476"/>
      <c r="GGT42" s="476"/>
      <c r="GGU42" s="476"/>
      <c r="GGV42" s="476"/>
      <c r="GGW42" s="476"/>
      <c r="GGX42" s="476"/>
      <c r="GGY42" s="476"/>
      <c r="GGZ42" s="476"/>
      <c r="GHA42" s="476"/>
      <c r="GHB42" s="476"/>
      <c r="GHC42" s="476"/>
      <c r="GHD42" s="476"/>
      <c r="GHE42" s="476"/>
      <c r="GHF42" s="476"/>
      <c r="GHG42" s="476"/>
      <c r="GHH42" s="476"/>
      <c r="GHI42" s="476"/>
      <c r="GHJ42" s="476"/>
      <c r="GHK42" s="476"/>
      <c r="GHL42" s="476"/>
      <c r="GHM42" s="476"/>
      <c r="GHN42" s="476"/>
      <c r="GHO42" s="476"/>
      <c r="GHP42" s="476"/>
      <c r="GHQ42" s="476"/>
      <c r="GHR42" s="476"/>
      <c r="GHS42" s="476"/>
      <c r="GHT42" s="476"/>
      <c r="GHU42" s="476"/>
      <c r="GHV42" s="476"/>
      <c r="GHW42" s="476"/>
      <c r="GHX42" s="476"/>
      <c r="GHY42" s="476"/>
      <c r="GHZ42" s="476"/>
      <c r="GIA42" s="476"/>
      <c r="GIB42" s="476"/>
      <c r="GIC42" s="476"/>
      <c r="GID42" s="476"/>
      <c r="GIE42" s="476"/>
      <c r="GIF42" s="476"/>
      <c r="GIG42" s="476"/>
      <c r="GIH42" s="476"/>
      <c r="GII42" s="476"/>
      <c r="GIJ42" s="476"/>
      <c r="GIK42" s="476"/>
      <c r="GIL42" s="476"/>
      <c r="GIM42" s="476"/>
      <c r="GIN42" s="476"/>
      <c r="GIO42" s="476"/>
      <c r="GIP42" s="476"/>
      <c r="GIQ42" s="476"/>
      <c r="GIR42" s="476"/>
      <c r="GIS42" s="476"/>
      <c r="GIT42" s="476"/>
      <c r="GIU42" s="476"/>
      <c r="GIV42" s="476"/>
      <c r="GIW42" s="476"/>
      <c r="GIX42" s="476"/>
      <c r="GIY42" s="476"/>
      <c r="GIZ42" s="476"/>
      <c r="GJA42" s="476"/>
      <c r="GJB42" s="476"/>
      <c r="GJC42" s="476"/>
      <c r="GJD42" s="476"/>
      <c r="GJE42" s="476"/>
      <c r="GJF42" s="476"/>
      <c r="GJG42" s="476"/>
      <c r="GJH42" s="476"/>
      <c r="GJI42" s="476"/>
      <c r="GJJ42" s="476"/>
      <c r="GJK42" s="476"/>
      <c r="GJL42" s="476"/>
      <c r="GJM42" s="476"/>
      <c r="GJN42" s="476"/>
      <c r="GJO42" s="476"/>
      <c r="GJP42" s="476"/>
      <c r="GJQ42" s="476"/>
      <c r="GJR42" s="476"/>
      <c r="GJS42" s="476"/>
      <c r="GJT42" s="476"/>
      <c r="GJU42" s="476"/>
      <c r="GJV42" s="476"/>
      <c r="GJW42" s="476"/>
      <c r="GJX42" s="476"/>
      <c r="GJY42" s="476"/>
      <c r="GJZ42" s="476"/>
      <c r="GKA42" s="476"/>
      <c r="GKB42" s="476"/>
      <c r="GKC42" s="476"/>
      <c r="GKD42" s="476"/>
      <c r="GKE42" s="476"/>
      <c r="GKF42" s="476"/>
      <c r="GKG42" s="476"/>
      <c r="GKH42" s="476"/>
      <c r="GKI42" s="476"/>
      <c r="GKJ42" s="476"/>
      <c r="GKK42" s="476"/>
      <c r="GKL42" s="476"/>
      <c r="GKM42" s="476"/>
      <c r="GKN42" s="476"/>
      <c r="GKO42" s="476"/>
      <c r="GKP42" s="476"/>
      <c r="GKQ42" s="476"/>
      <c r="GKR42" s="476"/>
      <c r="GKS42" s="476"/>
      <c r="GKT42" s="476"/>
      <c r="GKU42" s="476"/>
      <c r="GKV42" s="476"/>
      <c r="GKW42" s="476"/>
      <c r="GKX42" s="476"/>
      <c r="GKY42" s="476"/>
      <c r="GKZ42" s="476"/>
      <c r="GLA42" s="476"/>
      <c r="GLB42" s="476"/>
      <c r="GLC42" s="476"/>
      <c r="GLD42" s="476"/>
      <c r="GLE42" s="476"/>
      <c r="GLF42" s="476"/>
      <c r="GLG42" s="476"/>
      <c r="GLH42" s="476"/>
      <c r="GLI42" s="476"/>
      <c r="GLJ42" s="476"/>
      <c r="GLK42" s="476"/>
      <c r="GLL42" s="476"/>
      <c r="GLM42" s="476"/>
      <c r="GLN42" s="476"/>
      <c r="GLO42" s="476"/>
      <c r="GLP42" s="476"/>
      <c r="GLQ42" s="476"/>
      <c r="GLR42" s="476"/>
      <c r="GLS42" s="476"/>
      <c r="GLT42" s="476"/>
      <c r="GLU42" s="476"/>
      <c r="GLV42" s="476"/>
      <c r="GLW42" s="476"/>
      <c r="GLX42" s="476"/>
      <c r="GLY42" s="476"/>
      <c r="GLZ42" s="476"/>
      <c r="GMA42" s="476"/>
      <c r="GMB42" s="476"/>
      <c r="GMC42" s="476"/>
      <c r="GMD42" s="476"/>
      <c r="GME42" s="476"/>
      <c r="GMF42" s="476"/>
      <c r="GMG42" s="476"/>
      <c r="GMH42" s="476"/>
      <c r="GMI42" s="476"/>
      <c r="GMJ42" s="476"/>
      <c r="GMK42" s="476"/>
      <c r="GML42" s="476"/>
      <c r="GMM42" s="476"/>
      <c r="GMN42" s="476"/>
      <c r="GMO42" s="476"/>
      <c r="GMP42" s="476"/>
      <c r="GMQ42" s="476"/>
      <c r="GMR42" s="476"/>
      <c r="GMS42" s="476"/>
      <c r="GMT42" s="476"/>
      <c r="GMU42" s="476"/>
      <c r="GMV42" s="476"/>
      <c r="GMW42" s="476"/>
      <c r="GMX42" s="476"/>
      <c r="GMY42" s="476"/>
      <c r="GMZ42" s="476"/>
      <c r="GNA42" s="476"/>
      <c r="GNB42" s="476"/>
      <c r="GNC42" s="476"/>
      <c r="GND42" s="476"/>
      <c r="GNE42" s="476"/>
      <c r="GNF42" s="476"/>
      <c r="GNG42" s="476"/>
      <c r="GNH42" s="476"/>
      <c r="GNI42" s="476"/>
      <c r="GNJ42" s="476"/>
      <c r="GNK42" s="476"/>
      <c r="GNL42" s="476"/>
      <c r="GNM42" s="476"/>
      <c r="GNN42" s="476"/>
      <c r="GNO42" s="476"/>
      <c r="GNP42" s="476"/>
      <c r="GNQ42" s="476"/>
      <c r="GNR42" s="476"/>
      <c r="GNS42" s="476"/>
      <c r="GNT42" s="476"/>
      <c r="GNU42" s="476"/>
      <c r="GNV42" s="476"/>
      <c r="GNW42" s="476"/>
      <c r="GNX42" s="476"/>
      <c r="GNY42" s="476"/>
      <c r="GNZ42" s="476"/>
      <c r="GOA42" s="476"/>
      <c r="GOB42" s="476"/>
      <c r="GOC42" s="476"/>
      <c r="GOD42" s="476"/>
      <c r="GOE42" s="476"/>
      <c r="GOF42" s="476"/>
      <c r="GOG42" s="476"/>
      <c r="GOH42" s="476"/>
      <c r="GOI42" s="476"/>
      <c r="GOJ42" s="476"/>
      <c r="GOK42" s="476"/>
      <c r="GOL42" s="476"/>
      <c r="GOM42" s="476"/>
      <c r="GON42" s="476"/>
      <c r="GOO42" s="476"/>
      <c r="GOP42" s="476"/>
      <c r="GOQ42" s="476"/>
      <c r="GOR42" s="476"/>
      <c r="GOS42" s="476"/>
      <c r="GOT42" s="476"/>
      <c r="GOU42" s="476"/>
      <c r="GOV42" s="476"/>
      <c r="GOW42" s="476"/>
      <c r="GOX42" s="476"/>
      <c r="GOY42" s="476"/>
      <c r="GOZ42" s="476"/>
      <c r="GPA42" s="476"/>
      <c r="GPB42" s="476"/>
      <c r="GPC42" s="476"/>
      <c r="GPD42" s="476"/>
      <c r="GPE42" s="476"/>
      <c r="GPF42" s="476"/>
      <c r="GPG42" s="476"/>
      <c r="GPH42" s="476"/>
      <c r="GPI42" s="476"/>
      <c r="GPJ42" s="476"/>
      <c r="GPK42" s="476"/>
      <c r="GPL42" s="476"/>
      <c r="GPM42" s="476"/>
      <c r="GPN42" s="476"/>
      <c r="GPO42" s="476"/>
      <c r="GPP42" s="476"/>
      <c r="GPQ42" s="476"/>
      <c r="GPR42" s="476"/>
      <c r="GPS42" s="476"/>
      <c r="GPT42" s="476"/>
      <c r="GPU42" s="476"/>
      <c r="GPV42" s="476"/>
      <c r="GPW42" s="476"/>
      <c r="GPX42" s="476"/>
      <c r="GPY42" s="476"/>
      <c r="GPZ42" s="476"/>
      <c r="GQA42" s="476"/>
      <c r="GQB42" s="476"/>
      <c r="GQC42" s="476"/>
      <c r="GQD42" s="476"/>
      <c r="GQE42" s="476"/>
      <c r="GQF42" s="476"/>
      <c r="GQG42" s="476"/>
      <c r="GQH42" s="476"/>
      <c r="GQI42" s="476"/>
      <c r="GQJ42" s="476"/>
      <c r="GQK42" s="476"/>
      <c r="GQL42" s="476"/>
      <c r="GQM42" s="476"/>
      <c r="GQN42" s="476"/>
      <c r="GQO42" s="476"/>
      <c r="GQP42" s="476"/>
      <c r="GQQ42" s="476"/>
      <c r="GQR42" s="476"/>
      <c r="GQS42" s="476"/>
      <c r="GQT42" s="476"/>
      <c r="GQU42" s="476"/>
      <c r="GQV42" s="476"/>
      <c r="GQW42" s="476"/>
      <c r="GQX42" s="476"/>
      <c r="GQY42" s="476"/>
      <c r="GQZ42" s="476"/>
      <c r="GRA42" s="476"/>
      <c r="GRB42" s="476"/>
      <c r="GRC42" s="476"/>
      <c r="GRD42" s="476"/>
      <c r="GRE42" s="476"/>
      <c r="GRF42" s="476"/>
      <c r="GRG42" s="476"/>
      <c r="GRH42" s="476"/>
      <c r="GRI42" s="476"/>
      <c r="GRJ42" s="476"/>
      <c r="GRK42" s="476"/>
      <c r="GRL42" s="476"/>
      <c r="GRM42" s="476"/>
      <c r="GRN42" s="476"/>
      <c r="GRO42" s="476"/>
      <c r="GRP42" s="476"/>
      <c r="GRQ42" s="476"/>
      <c r="GRR42" s="476"/>
      <c r="GRS42" s="476"/>
      <c r="GRT42" s="476"/>
      <c r="GRU42" s="476"/>
      <c r="GRV42" s="476"/>
      <c r="GRW42" s="476"/>
      <c r="GRX42" s="476"/>
      <c r="GRY42" s="476"/>
      <c r="GRZ42" s="476"/>
      <c r="GSA42" s="476"/>
      <c r="GSB42" s="476"/>
      <c r="GSC42" s="476"/>
      <c r="GSD42" s="476"/>
      <c r="GSE42" s="476"/>
      <c r="GSF42" s="476"/>
      <c r="GSG42" s="476"/>
      <c r="GSH42" s="476"/>
      <c r="GSI42" s="476"/>
      <c r="GSJ42" s="476"/>
      <c r="GSK42" s="476"/>
      <c r="GSL42" s="476"/>
      <c r="GSM42" s="476"/>
      <c r="GSN42" s="476"/>
      <c r="GSO42" s="476"/>
      <c r="GSP42" s="476"/>
      <c r="GSQ42" s="476"/>
      <c r="GSR42" s="476"/>
      <c r="GSS42" s="476"/>
      <c r="GST42" s="476"/>
      <c r="GSU42" s="476"/>
      <c r="GSV42" s="476"/>
      <c r="GSW42" s="476"/>
      <c r="GSX42" s="476"/>
      <c r="GSY42" s="476"/>
      <c r="GSZ42" s="476"/>
      <c r="GTA42" s="476"/>
      <c r="GTB42" s="476"/>
      <c r="GTC42" s="476"/>
      <c r="GTD42" s="476"/>
      <c r="GTE42" s="476"/>
      <c r="GTF42" s="476"/>
      <c r="GTG42" s="476"/>
      <c r="GTH42" s="476"/>
      <c r="GTI42" s="476"/>
      <c r="GTJ42" s="476"/>
      <c r="GTK42" s="476"/>
      <c r="GTL42" s="476"/>
      <c r="GTM42" s="476"/>
      <c r="GTN42" s="476"/>
      <c r="GTO42" s="476"/>
      <c r="GTP42" s="476"/>
      <c r="GTQ42" s="476"/>
      <c r="GTR42" s="476"/>
      <c r="GTS42" s="476"/>
      <c r="GTT42" s="476"/>
      <c r="GTU42" s="476"/>
      <c r="GTV42" s="476"/>
      <c r="GTW42" s="476"/>
      <c r="GTX42" s="476"/>
      <c r="GTY42" s="476"/>
      <c r="GTZ42" s="476"/>
      <c r="GUA42" s="476"/>
      <c r="GUB42" s="476"/>
      <c r="GUC42" s="476"/>
      <c r="GUD42" s="476"/>
      <c r="GUE42" s="476"/>
      <c r="GUF42" s="476"/>
      <c r="GUG42" s="476"/>
      <c r="GUH42" s="476"/>
      <c r="GUI42" s="476"/>
      <c r="GUJ42" s="476"/>
      <c r="GUK42" s="476"/>
      <c r="GUL42" s="476"/>
      <c r="GUM42" s="476"/>
      <c r="GUN42" s="476"/>
      <c r="GUO42" s="476"/>
      <c r="GUP42" s="476"/>
      <c r="GUQ42" s="476"/>
      <c r="GUR42" s="476"/>
      <c r="GUS42" s="476"/>
      <c r="GUT42" s="476"/>
      <c r="GUU42" s="476"/>
      <c r="GUV42" s="476"/>
      <c r="GUW42" s="476"/>
      <c r="GUX42" s="476"/>
      <c r="GUY42" s="476"/>
      <c r="GUZ42" s="476"/>
      <c r="GVA42" s="476"/>
      <c r="GVB42" s="476"/>
      <c r="GVC42" s="476"/>
      <c r="GVD42" s="476"/>
      <c r="GVE42" s="476"/>
      <c r="GVF42" s="476"/>
      <c r="GVG42" s="476"/>
      <c r="GVH42" s="476"/>
      <c r="GVI42" s="476"/>
      <c r="GVJ42" s="476"/>
      <c r="GVK42" s="476"/>
      <c r="GVL42" s="476"/>
      <c r="GVM42" s="476"/>
      <c r="GVN42" s="476"/>
      <c r="GVO42" s="476"/>
      <c r="GVP42" s="476"/>
      <c r="GVQ42" s="476"/>
      <c r="GVR42" s="476"/>
      <c r="GVS42" s="476"/>
      <c r="GVT42" s="476"/>
      <c r="GVU42" s="476"/>
      <c r="GVV42" s="476"/>
      <c r="GVW42" s="476"/>
      <c r="GVX42" s="476"/>
      <c r="GVY42" s="476"/>
      <c r="GVZ42" s="476"/>
      <c r="GWA42" s="476"/>
      <c r="GWB42" s="476"/>
      <c r="GWC42" s="476"/>
      <c r="GWD42" s="476"/>
      <c r="GWE42" s="476"/>
      <c r="GWF42" s="476"/>
      <c r="GWG42" s="476"/>
      <c r="GWH42" s="476"/>
      <c r="GWI42" s="476"/>
      <c r="GWJ42" s="476"/>
      <c r="GWK42" s="476"/>
      <c r="GWL42" s="476"/>
      <c r="GWM42" s="476"/>
      <c r="GWN42" s="476"/>
      <c r="GWO42" s="476"/>
      <c r="GWP42" s="476"/>
      <c r="GWQ42" s="476"/>
      <c r="GWR42" s="476"/>
      <c r="GWS42" s="476"/>
      <c r="GWT42" s="476"/>
      <c r="GWU42" s="476"/>
      <c r="GWV42" s="476"/>
      <c r="GWW42" s="476"/>
      <c r="GWX42" s="476"/>
      <c r="GWY42" s="476"/>
      <c r="GWZ42" s="476"/>
      <c r="GXA42" s="476"/>
      <c r="GXB42" s="476"/>
      <c r="GXC42" s="476"/>
      <c r="GXD42" s="476"/>
      <c r="GXE42" s="476"/>
      <c r="GXF42" s="476"/>
      <c r="GXG42" s="476"/>
      <c r="GXH42" s="476"/>
      <c r="GXI42" s="476"/>
      <c r="GXJ42" s="476"/>
      <c r="GXK42" s="476"/>
      <c r="GXL42" s="476"/>
      <c r="GXM42" s="476"/>
      <c r="GXN42" s="476"/>
      <c r="GXO42" s="476"/>
      <c r="GXP42" s="476"/>
      <c r="GXQ42" s="476"/>
      <c r="GXR42" s="476"/>
      <c r="GXS42" s="476"/>
      <c r="GXT42" s="476"/>
      <c r="GXU42" s="476"/>
      <c r="GXV42" s="476"/>
      <c r="GXW42" s="476"/>
      <c r="GXX42" s="476"/>
      <c r="GXY42" s="476"/>
      <c r="GXZ42" s="476"/>
      <c r="GYA42" s="476"/>
      <c r="GYB42" s="476"/>
      <c r="GYC42" s="476"/>
      <c r="GYD42" s="476"/>
      <c r="GYE42" s="476"/>
      <c r="GYF42" s="476"/>
      <c r="GYG42" s="476"/>
      <c r="GYH42" s="476"/>
      <c r="GYI42" s="476"/>
      <c r="GYJ42" s="476"/>
      <c r="GYK42" s="476"/>
      <c r="GYL42" s="476"/>
      <c r="GYM42" s="476"/>
      <c r="GYN42" s="476"/>
      <c r="GYO42" s="476"/>
      <c r="GYP42" s="476"/>
      <c r="GYQ42" s="476"/>
      <c r="GYR42" s="476"/>
      <c r="GYS42" s="476"/>
      <c r="GYT42" s="476"/>
      <c r="GYU42" s="476"/>
      <c r="GYV42" s="476"/>
      <c r="GYW42" s="476"/>
      <c r="GYX42" s="476"/>
      <c r="GYY42" s="476"/>
      <c r="GYZ42" s="476"/>
      <c r="GZA42" s="476"/>
      <c r="GZB42" s="476"/>
      <c r="GZC42" s="476"/>
      <c r="GZD42" s="476"/>
      <c r="GZE42" s="476"/>
      <c r="GZF42" s="476"/>
      <c r="GZG42" s="476"/>
      <c r="GZH42" s="476"/>
      <c r="GZI42" s="476"/>
      <c r="GZJ42" s="476"/>
      <c r="GZK42" s="476"/>
      <c r="GZL42" s="476"/>
      <c r="GZM42" s="476"/>
      <c r="GZN42" s="476"/>
      <c r="GZO42" s="476"/>
      <c r="GZP42" s="476"/>
      <c r="GZQ42" s="476"/>
      <c r="GZR42" s="476"/>
      <c r="GZS42" s="476"/>
      <c r="GZT42" s="476"/>
      <c r="GZU42" s="476"/>
      <c r="GZV42" s="476"/>
      <c r="GZW42" s="476"/>
      <c r="GZX42" s="476"/>
      <c r="GZY42" s="476"/>
      <c r="GZZ42" s="476"/>
      <c r="HAA42" s="476"/>
      <c r="HAB42" s="476"/>
      <c r="HAC42" s="476"/>
      <c r="HAD42" s="476"/>
      <c r="HAE42" s="476"/>
      <c r="HAF42" s="476"/>
      <c r="HAG42" s="476"/>
      <c r="HAH42" s="476"/>
      <c r="HAI42" s="476"/>
      <c r="HAJ42" s="476"/>
      <c r="HAK42" s="476"/>
      <c r="HAL42" s="476"/>
      <c r="HAM42" s="476"/>
      <c r="HAN42" s="476"/>
      <c r="HAO42" s="476"/>
      <c r="HAP42" s="476"/>
      <c r="HAQ42" s="476"/>
      <c r="HAR42" s="476"/>
      <c r="HAS42" s="476"/>
      <c r="HAT42" s="476"/>
      <c r="HAU42" s="476"/>
      <c r="HAV42" s="476"/>
      <c r="HAW42" s="476"/>
      <c r="HAX42" s="476"/>
      <c r="HAY42" s="476"/>
      <c r="HAZ42" s="476"/>
      <c r="HBA42" s="476"/>
      <c r="HBB42" s="476"/>
      <c r="HBC42" s="476"/>
      <c r="HBD42" s="476"/>
      <c r="HBE42" s="476"/>
      <c r="HBF42" s="476"/>
      <c r="HBG42" s="476"/>
      <c r="HBH42" s="476"/>
      <c r="HBI42" s="476"/>
      <c r="HBJ42" s="476"/>
      <c r="HBK42" s="476"/>
      <c r="HBL42" s="476"/>
      <c r="HBM42" s="476"/>
      <c r="HBN42" s="476"/>
      <c r="HBO42" s="476"/>
      <c r="HBP42" s="476"/>
      <c r="HBQ42" s="476"/>
      <c r="HBR42" s="476"/>
      <c r="HBS42" s="476"/>
      <c r="HBT42" s="476"/>
      <c r="HBU42" s="476"/>
      <c r="HBV42" s="476"/>
      <c r="HBW42" s="476"/>
      <c r="HBX42" s="476"/>
      <c r="HBY42" s="476"/>
      <c r="HBZ42" s="476"/>
      <c r="HCA42" s="476"/>
      <c r="HCB42" s="476"/>
      <c r="HCC42" s="476"/>
      <c r="HCD42" s="476"/>
      <c r="HCE42" s="476"/>
      <c r="HCF42" s="476"/>
      <c r="HCG42" s="476"/>
      <c r="HCH42" s="476"/>
      <c r="HCI42" s="476"/>
      <c r="HCJ42" s="476"/>
      <c r="HCK42" s="476"/>
      <c r="HCL42" s="476"/>
      <c r="HCM42" s="476"/>
      <c r="HCN42" s="476"/>
      <c r="HCO42" s="476"/>
      <c r="HCP42" s="476"/>
      <c r="HCQ42" s="476"/>
      <c r="HCR42" s="476"/>
      <c r="HCS42" s="476"/>
      <c r="HCT42" s="476"/>
      <c r="HCU42" s="476"/>
      <c r="HCV42" s="476"/>
      <c r="HCW42" s="476"/>
      <c r="HCX42" s="476"/>
      <c r="HCY42" s="476"/>
      <c r="HCZ42" s="476"/>
      <c r="HDA42" s="476"/>
      <c r="HDB42" s="476"/>
      <c r="HDC42" s="476"/>
      <c r="HDD42" s="476"/>
      <c r="HDE42" s="476"/>
      <c r="HDF42" s="476"/>
      <c r="HDG42" s="476"/>
      <c r="HDH42" s="476"/>
      <c r="HDI42" s="476"/>
      <c r="HDJ42" s="476"/>
      <c r="HDK42" s="476"/>
      <c r="HDL42" s="476"/>
      <c r="HDM42" s="476"/>
      <c r="HDN42" s="476"/>
      <c r="HDO42" s="476"/>
      <c r="HDP42" s="476"/>
      <c r="HDQ42" s="476"/>
      <c r="HDR42" s="476"/>
      <c r="HDS42" s="476"/>
      <c r="HDT42" s="476"/>
      <c r="HDU42" s="476"/>
      <c r="HDV42" s="476"/>
      <c r="HDW42" s="476"/>
      <c r="HDX42" s="476"/>
      <c r="HDY42" s="476"/>
      <c r="HDZ42" s="476"/>
      <c r="HEA42" s="476"/>
      <c r="HEB42" s="476"/>
      <c r="HEC42" s="476"/>
      <c r="HED42" s="476"/>
      <c r="HEE42" s="476"/>
      <c r="HEF42" s="476"/>
      <c r="HEG42" s="476"/>
      <c r="HEH42" s="476"/>
      <c r="HEI42" s="476"/>
      <c r="HEJ42" s="476"/>
      <c r="HEK42" s="476"/>
      <c r="HEL42" s="476"/>
      <c r="HEM42" s="476"/>
      <c r="HEN42" s="476"/>
      <c r="HEO42" s="476"/>
      <c r="HEP42" s="476"/>
      <c r="HEQ42" s="476"/>
      <c r="HER42" s="476"/>
      <c r="HES42" s="476"/>
      <c r="HET42" s="476"/>
      <c r="HEU42" s="476"/>
      <c r="HEV42" s="476"/>
      <c r="HEW42" s="476"/>
      <c r="HEX42" s="476"/>
      <c r="HEY42" s="476"/>
      <c r="HEZ42" s="476"/>
      <c r="HFA42" s="476"/>
      <c r="HFB42" s="476"/>
      <c r="HFC42" s="476"/>
      <c r="HFD42" s="476"/>
      <c r="HFE42" s="476"/>
      <c r="HFF42" s="476"/>
      <c r="HFG42" s="476"/>
      <c r="HFH42" s="476"/>
      <c r="HFI42" s="476"/>
      <c r="HFJ42" s="476"/>
      <c r="HFK42" s="476"/>
      <c r="HFL42" s="476"/>
      <c r="HFM42" s="476"/>
      <c r="HFN42" s="476"/>
      <c r="HFO42" s="476"/>
      <c r="HFP42" s="476"/>
      <c r="HFQ42" s="476"/>
      <c r="HFR42" s="476"/>
      <c r="HFS42" s="476"/>
      <c r="HFT42" s="476"/>
      <c r="HFU42" s="476"/>
      <c r="HFV42" s="476"/>
      <c r="HFW42" s="476"/>
      <c r="HFX42" s="476"/>
      <c r="HFY42" s="476"/>
      <c r="HFZ42" s="476"/>
      <c r="HGA42" s="476"/>
      <c r="HGB42" s="476"/>
      <c r="HGC42" s="476"/>
      <c r="HGD42" s="476"/>
      <c r="HGE42" s="476"/>
      <c r="HGF42" s="476"/>
      <c r="HGG42" s="476"/>
      <c r="HGH42" s="476"/>
      <c r="HGI42" s="476"/>
      <c r="HGJ42" s="476"/>
      <c r="HGK42" s="476"/>
      <c r="HGL42" s="476"/>
      <c r="HGM42" s="476"/>
      <c r="HGN42" s="476"/>
      <c r="HGO42" s="476"/>
      <c r="HGP42" s="476"/>
      <c r="HGQ42" s="476"/>
      <c r="HGR42" s="476"/>
      <c r="HGS42" s="476"/>
      <c r="HGT42" s="476"/>
      <c r="HGU42" s="476"/>
      <c r="HGV42" s="476"/>
      <c r="HGW42" s="476"/>
      <c r="HGX42" s="476"/>
      <c r="HGY42" s="476"/>
      <c r="HGZ42" s="476"/>
      <c r="HHA42" s="476"/>
      <c r="HHB42" s="476"/>
      <c r="HHC42" s="476"/>
      <c r="HHD42" s="476"/>
      <c r="HHE42" s="476"/>
      <c r="HHF42" s="476"/>
      <c r="HHG42" s="476"/>
      <c r="HHH42" s="476"/>
      <c r="HHI42" s="476"/>
      <c r="HHJ42" s="476"/>
      <c r="HHK42" s="476"/>
      <c r="HHL42" s="476"/>
      <c r="HHM42" s="476"/>
      <c r="HHN42" s="476"/>
      <c r="HHO42" s="476"/>
      <c r="HHP42" s="476"/>
      <c r="HHQ42" s="476"/>
      <c r="HHR42" s="476"/>
      <c r="HHS42" s="476"/>
      <c r="HHT42" s="476"/>
      <c r="HHU42" s="476"/>
      <c r="HHV42" s="476"/>
      <c r="HHW42" s="476"/>
      <c r="HHX42" s="476"/>
      <c r="HHY42" s="476"/>
      <c r="HHZ42" s="476"/>
      <c r="HIA42" s="476"/>
      <c r="HIB42" s="476"/>
      <c r="HIC42" s="476"/>
      <c r="HID42" s="476"/>
      <c r="HIE42" s="476"/>
      <c r="HIF42" s="476"/>
      <c r="HIG42" s="476"/>
      <c r="HIH42" s="476"/>
      <c r="HII42" s="476"/>
      <c r="HIJ42" s="476"/>
      <c r="HIK42" s="476"/>
      <c r="HIL42" s="476"/>
      <c r="HIM42" s="476"/>
      <c r="HIN42" s="476"/>
      <c r="HIO42" s="476"/>
      <c r="HIP42" s="476"/>
      <c r="HIQ42" s="476"/>
      <c r="HIR42" s="476"/>
      <c r="HIS42" s="476"/>
      <c r="HIT42" s="476"/>
      <c r="HIU42" s="476"/>
      <c r="HIV42" s="476"/>
      <c r="HIW42" s="476"/>
      <c r="HIX42" s="476"/>
      <c r="HIY42" s="476"/>
      <c r="HIZ42" s="476"/>
      <c r="HJA42" s="476"/>
      <c r="HJB42" s="476"/>
      <c r="HJC42" s="476"/>
      <c r="HJD42" s="476"/>
      <c r="HJE42" s="476"/>
      <c r="HJF42" s="476"/>
      <c r="HJG42" s="476"/>
      <c r="HJH42" s="476"/>
      <c r="HJI42" s="476"/>
      <c r="HJJ42" s="476"/>
      <c r="HJK42" s="476"/>
      <c r="HJL42" s="476"/>
      <c r="HJM42" s="476"/>
      <c r="HJN42" s="476"/>
      <c r="HJO42" s="476"/>
      <c r="HJP42" s="476"/>
      <c r="HJQ42" s="476"/>
      <c r="HJR42" s="476"/>
      <c r="HJS42" s="476"/>
      <c r="HJT42" s="476"/>
      <c r="HJU42" s="476"/>
      <c r="HJV42" s="476"/>
      <c r="HJW42" s="476"/>
      <c r="HJX42" s="476"/>
      <c r="HJY42" s="476"/>
      <c r="HJZ42" s="476"/>
      <c r="HKA42" s="476"/>
      <c r="HKB42" s="476"/>
      <c r="HKC42" s="476"/>
      <c r="HKD42" s="476"/>
      <c r="HKE42" s="476"/>
      <c r="HKF42" s="476"/>
      <c r="HKG42" s="476"/>
      <c r="HKH42" s="476"/>
      <c r="HKI42" s="476"/>
      <c r="HKJ42" s="476"/>
      <c r="HKK42" s="476"/>
      <c r="HKL42" s="476"/>
      <c r="HKM42" s="476"/>
      <c r="HKN42" s="476"/>
      <c r="HKO42" s="476"/>
      <c r="HKP42" s="476"/>
      <c r="HKQ42" s="476"/>
      <c r="HKR42" s="476"/>
      <c r="HKS42" s="476"/>
      <c r="HKT42" s="476"/>
      <c r="HKU42" s="476"/>
      <c r="HKV42" s="476"/>
      <c r="HKW42" s="476"/>
      <c r="HKX42" s="476"/>
      <c r="HKY42" s="476"/>
      <c r="HKZ42" s="476"/>
      <c r="HLA42" s="476"/>
      <c r="HLB42" s="476"/>
      <c r="HLC42" s="476"/>
      <c r="HLD42" s="476"/>
      <c r="HLE42" s="476"/>
      <c r="HLF42" s="476"/>
      <c r="HLG42" s="476"/>
      <c r="HLH42" s="476"/>
      <c r="HLI42" s="476"/>
      <c r="HLJ42" s="476"/>
      <c r="HLK42" s="476"/>
      <c r="HLL42" s="476"/>
      <c r="HLM42" s="476"/>
      <c r="HLN42" s="476"/>
      <c r="HLO42" s="476"/>
      <c r="HLP42" s="476"/>
      <c r="HLQ42" s="476"/>
      <c r="HLR42" s="476"/>
      <c r="HLS42" s="476"/>
      <c r="HLT42" s="476"/>
      <c r="HLU42" s="476"/>
      <c r="HLV42" s="476"/>
      <c r="HLW42" s="476"/>
      <c r="HLX42" s="476"/>
      <c r="HLY42" s="476"/>
      <c r="HLZ42" s="476"/>
      <c r="HMA42" s="476"/>
      <c r="HMB42" s="476"/>
      <c r="HMC42" s="476"/>
      <c r="HMD42" s="476"/>
      <c r="HME42" s="476"/>
      <c r="HMF42" s="476"/>
      <c r="HMG42" s="476"/>
      <c r="HMH42" s="476"/>
      <c r="HMI42" s="476"/>
      <c r="HMJ42" s="476"/>
      <c r="HMK42" s="476"/>
      <c r="HML42" s="476"/>
      <c r="HMM42" s="476"/>
      <c r="HMN42" s="476"/>
      <c r="HMO42" s="476"/>
      <c r="HMP42" s="476"/>
      <c r="HMQ42" s="476"/>
      <c r="HMR42" s="476"/>
      <c r="HMS42" s="476"/>
      <c r="HMT42" s="476"/>
      <c r="HMU42" s="476"/>
      <c r="HMV42" s="476"/>
      <c r="HMW42" s="476"/>
      <c r="HMX42" s="476"/>
      <c r="HMY42" s="476"/>
      <c r="HMZ42" s="476"/>
      <c r="HNA42" s="476"/>
      <c r="HNB42" s="476"/>
      <c r="HNC42" s="476"/>
      <c r="HND42" s="476"/>
      <c r="HNE42" s="476"/>
      <c r="HNF42" s="476"/>
      <c r="HNG42" s="476"/>
      <c r="HNH42" s="476"/>
      <c r="HNI42" s="476"/>
      <c r="HNJ42" s="476"/>
      <c r="HNK42" s="476"/>
      <c r="HNL42" s="476"/>
      <c r="HNM42" s="476"/>
      <c r="HNN42" s="476"/>
      <c r="HNO42" s="476"/>
      <c r="HNP42" s="476"/>
      <c r="HNQ42" s="476"/>
      <c r="HNR42" s="476"/>
      <c r="HNS42" s="476"/>
      <c r="HNT42" s="476"/>
      <c r="HNU42" s="476"/>
      <c r="HNV42" s="476"/>
      <c r="HNW42" s="476"/>
      <c r="HNX42" s="476"/>
      <c r="HNY42" s="476"/>
      <c r="HNZ42" s="476"/>
      <c r="HOA42" s="476"/>
      <c r="HOB42" s="476"/>
      <c r="HOC42" s="476"/>
      <c r="HOD42" s="476"/>
      <c r="HOE42" s="476"/>
      <c r="HOF42" s="476"/>
      <c r="HOG42" s="476"/>
      <c r="HOH42" s="476"/>
      <c r="HOI42" s="476"/>
      <c r="HOJ42" s="476"/>
      <c r="HOK42" s="476"/>
      <c r="HOL42" s="476"/>
      <c r="HOM42" s="476"/>
      <c r="HON42" s="476"/>
      <c r="HOO42" s="476"/>
      <c r="HOP42" s="476"/>
      <c r="HOQ42" s="476"/>
      <c r="HOR42" s="476"/>
      <c r="HOS42" s="476"/>
      <c r="HOT42" s="476"/>
      <c r="HOU42" s="476"/>
      <c r="HOV42" s="476"/>
      <c r="HOW42" s="476"/>
      <c r="HOX42" s="476"/>
      <c r="HOY42" s="476"/>
      <c r="HOZ42" s="476"/>
      <c r="HPA42" s="476"/>
      <c r="HPB42" s="476"/>
      <c r="HPC42" s="476"/>
      <c r="HPD42" s="476"/>
      <c r="HPE42" s="476"/>
      <c r="HPF42" s="476"/>
      <c r="HPG42" s="476"/>
      <c r="HPH42" s="476"/>
      <c r="HPI42" s="476"/>
      <c r="HPJ42" s="476"/>
      <c r="HPK42" s="476"/>
      <c r="HPL42" s="476"/>
      <c r="HPM42" s="476"/>
      <c r="HPN42" s="476"/>
      <c r="HPO42" s="476"/>
      <c r="HPP42" s="476"/>
      <c r="HPQ42" s="476"/>
      <c r="HPR42" s="476"/>
      <c r="HPS42" s="476"/>
      <c r="HPT42" s="476"/>
      <c r="HPU42" s="476"/>
      <c r="HPV42" s="476"/>
      <c r="HPW42" s="476"/>
      <c r="HPX42" s="476"/>
      <c r="HPY42" s="476"/>
      <c r="HPZ42" s="476"/>
      <c r="HQA42" s="476"/>
      <c r="HQB42" s="476"/>
      <c r="HQC42" s="476"/>
      <c r="HQD42" s="476"/>
      <c r="HQE42" s="476"/>
      <c r="HQF42" s="476"/>
      <c r="HQG42" s="476"/>
      <c r="HQH42" s="476"/>
      <c r="HQI42" s="476"/>
      <c r="HQJ42" s="476"/>
      <c r="HQK42" s="476"/>
      <c r="HQL42" s="476"/>
      <c r="HQM42" s="476"/>
      <c r="HQN42" s="476"/>
      <c r="HQO42" s="476"/>
      <c r="HQP42" s="476"/>
      <c r="HQQ42" s="476"/>
      <c r="HQR42" s="476"/>
      <c r="HQS42" s="476"/>
      <c r="HQT42" s="476"/>
      <c r="HQU42" s="476"/>
      <c r="HQV42" s="476"/>
      <c r="HQW42" s="476"/>
      <c r="HQX42" s="476"/>
      <c r="HQY42" s="476"/>
      <c r="HQZ42" s="476"/>
      <c r="HRA42" s="476"/>
      <c r="HRB42" s="476"/>
      <c r="HRC42" s="476"/>
      <c r="HRD42" s="476"/>
      <c r="HRE42" s="476"/>
      <c r="HRF42" s="476"/>
      <c r="HRG42" s="476"/>
      <c r="HRH42" s="476"/>
      <c r="HRI42" s="476"/>
      <c r="HRJ42" s="476"/>
      <c r="HRK42" s="476"/>
      <c r="HRL42" s="476"/>
      <c r="HRM42" s="476"/>
      <c r="HRN42" s="476"/>
      <c r="HRO42" s="476"/>
      <c r="HRP42" s="476"/>
      <c r="HRQ42" s="476"/>
      <c r="HRR42" s="476"/>
      <c r="HRS42" s="476"/>
      <c r="HRT42" s="476"/>
      <c r="HRU42" s="476"/>
      <c r="HRV42" s="476"/>
      <c r="HRW42" s="476"/>
      <c r="HRX42" s="476"/>
      <c r="HRY42" s="476"/>
      <c r="HRZ42" s="476"/>
      <c r="HSA42" s="476"/>
      <c r="HSB42" s="476"/>
      <c r="HSC42" s="476"/>
      <c r="HSD42" s="476"/>
      <c r="HSE42" s="476"/>
      <c r="HSF42" s="476"/>
      <c r="HSG42" s="476"/>
      <c r="HSH42" s="476"/>
      <c r="HSI42" s="476"/>
      <c r="HSJ42" s="476"/>
      <c r="HSK42" s="476"/>
      <c r="HSL42" s="476"/>
      <c r="HSM42" s="476"/>
      <c r="HSN42" s="476"/>
      <c r="HSO42" s="476"/>
      <c r="HSP42" s="476"/>
      <c r="HSQ42" s="476"/>
      <c r="HSR42" s="476"/>
      <c r="HSS42" s="476"/>
      <c r="HST42" s="476"/>
      <c r="HSU42" s="476"/>
      <c r="HSV42" s="476"/>
      <c r="HSW42" s="476"/>
      <c r="HSX42" s="476"/>
      <c r="HSY42" s="476"/>
      <c r="HSZ42" s="476"/>
      <c r="HTA42" s="476"/>
      <c r="HTB42" s="476"/>
      <c r="HTC42" s="476"/>
      <c r="HTD42" s="476"/>
      <c r="HTE42" s="476"/>
      <c r="HTF42" s="476"/>
      <c r="HTG42" s="476"/>
      <c r="HTH42" s="476"/>
      <c r="HTI42" s="476"/>
      <c r="HTJ42" s="476"/>
      <c r="HTK42" s="476"/>
      <c r="HTL42" s="476"/>
      <c r="HTM42" s="476"/>
      <c r="HTN42" s="476"/>
      <c r="HTO42" s="476"/>
      <c r="HTP42" s="476"/>
      <c r="HTQ42" s="476"/>
      <c r="HTR42" s="476"/>
      <c r="HTS42" s="476"/>
      <c r="HTT42" s="476"/>
      <c r="HTU42" s="476"/>
      <c r="HTV42" s="476"/>
      <c r="HTW42" s="476"/>
      <c r="HTX42" s="476"/>
      <c r="HTY42" s="476"/>
      <c r="HTZ42" s="476"/>
      <c r="HUA42" s="476"/>
      <c r="HUB42" s="476"/>
      <c r="HUC42" s="476"/>
      <c r="HUD42" s="476"/>
      <c r="HUE42" s="476"/>
      <c r="HUF42" s="476"/>
      <c r="HUG42" s="476"/>
      <c r="HUH42" s="476"/>
      <c r="HUI42" s="476"/>
      <c r="HUJ42" s="476"/>
      <c r="HUK42" s="476"/>
      <c r="HUL42" s="476"/>
      <c r="HUM42" s="476"/>
      <c r="HUN42" s="476"/>
      <c r="HUO42" s="476"/>
      <c r="HUP42" s="476"/>
      <c r="HUQ42" s="476"/>
      <c r="HUR42" s="476"/>
      <c r="HUS42" s="476"/>
      <c r="HUT42" s="476"/>
      <c r="HUU42" s="476"/>
      <c r="HUV42" s="476"/>
      <c r="HUW42" s="476"/>
      <c r="HUX42" s="476"/>
      <c r="HUY42" s="476"/>
      <c r="HUZ42" s="476"/>
      <c r="HVA42" s="476"/>
      <c r="HVB42" s="476"/>
      <c r="HVC42" s="476"/>
      <c r="HVD42" s="476"/>
      <c r="HVE42" s="476"/>
      <c r="HVF42" s="476"/>
      <c r="HVG42" s="476"/>
      <c r="HVH42" s="476"/>
      <c r="HVI42" s="476"/>
      <c r="HVJ42" s="476"/>
      <c r="HVK42" s="476"/>
      <c r="HVL42" s="476"/>
      <c r="HVM42" s="476"/>
      <c r="HVN42" s="476"/>
      <c r="HVO42" s="476"/>
      <c r="HVP42" s="476"/>
      <c r="HVQ42" s="476"/>
      <c r="HVR42" s="476"/>
      <c r="HVS42" s="476"/>
      <c r="HVT42" s="476"/>
      <c r="HVU42" s="476"/>
      <c r="HVV42" s="476"/>
      <c r="HVW42" s="476"/>
      <c r="HVX42" s="476"/>
      <c r="HVY42" s="476"/>
      <c r="HVZ42" s="476"/>
      <c r="HWA42" s="476"/>
      <c r="HWB42" s="476"/>
      <c r="HWC42" s="476"/>
      <c r="HWD42" s="476"/>
      <c r="HWE42" s="476"/>
      <c r="HWF42" s="476"/>
      <c r="HWG42" s="476"/>
      <c r="HWH42" s="476"/>
      <c r="HWI42" s="476"/>
      <c r="HWJ42" s="476"/>
      <c r="HWK42" s="476"/>
      <c r="HWL42" s="476"/>
      <c r="HWM42" s="476"/>
      <c r="HWN42" s="476"/>
      <c r="HWO42" s="476"/>
      <c r="HWP42" s="476"/>
      <c r="HWQ42" s="476"/>
      <c r="HWR42" s="476"/>
      <c r="HWS42" s="476"/>
      <c r="HWT42" s="476"/>
      <c r="HWU42" s="476"/>
      <c r="HWV42" s="476"/>
      <c r="HWW42" s="476"/>
      <c r="HWX42" s="476"/>
      <c r="HWY42" s="476"/>
      <c r="HWZ42" s="476"/>
      <c r="HXA42" s="476"/>
      <c r="HXB42" s="476"/>
      <c r="HXC42" s="476"/>
      <c r="HXD42" s="476"/>
      <c r="HXE42" s="476"/>
      <c r="HXF42" s="476"/>
      <c r="HXG42" s="476"/>
      <c r="HXH42" s="476"/>
      <c r="HXI42" s="476"/>
      <c r="HXJ42" s="476"/>
      <c r="HXK42" s="476"/>
      <c r="HXL42" s="476"/>
      <c r="HXM42" s="476"/>
      <c r="HXN42" s="476"/>
      <c r="HXO42" s="476"/>
      <c r="HXP42" s="476"/>
      <c r="HXQ42" s="476"/>
      <c r="HXR42" s="476"/>
      <c r="HXS42" s="476"/>
      <c r="HXT42" s="476"/>
      <c r="HXU42" s="476"/>
      <c r="HXV42" s="476"/>
      <c r="HXW42" s="476"/>
      <c r="HXX42" s="476"/>
      <c r="HXY42" s="476"/>
      <c r="HXZ42" s="476"/>
      <c r="HYA42" s="476"/>
      <c r="HYB42" s="476"/>
      <c r="HYC42" s="476"/>
      <c r="HYD42" s="476"/>
      <c r="HYE42" s="476"/>
      <c r="HYF42" s="476"/>
      <c r="HYG42" s="476"/>
      <c r="HYH42" s="476"/>
      <c r="HYI42" s="476"/>
      <c r="HYJ42" s="476"/>
      <c r="HYK42" s="476"/>
      <c r="HYL42" s="476"/>
      <c r="HYM42" s="476"/>
      <c r="HYN42" s="476"/>
      <c r="HYO42" s="476"/>
      <c r="HYP42" s="476"/>
      <c r="HYQ42" s="476"/>
      <c r="HYR42" s="476"/>
      <c r="HYS42" s="476"/>
      <c r="HYT42" s="476"/>
      <c r="HYU42" s="476"/>
      <c r="HYV42" s="476"/>
      <c r="HYW42" s="476"/>
      <c r="HYX42" s="476"/>
      <c r="HYY42" s="476"/>
      <c r="HYZ42" s="476"/>
      <c r="HZA42" s="476"/>
      <c r="HZB42" s="476"/>
      <c r="HZC42" s="476"/>
      <c r="HZD42" s="476"/>
      <c r="HZE42" s="476"/>
      <c r="HZF42" s="476"/>
      <c r="HZG42" s="476"/>
      <c r="HZH42" s="476"/>
      <c r="HZI42" s="476"/>
      <c r="HZJ42" s="476"/>
      <c r="HZK42" s="476"/>
      <c r="HZL42" s="476"/>
      <c r="HZM42" s="476"/>
      <c r="HZN42" s="476"/>
      <c r="HZO42" s="476"/>
      <c r="HZP42" s="476"/>
      <c r="HZQ42" s="476"/>
      <c r="HZR42" s="476"/>
      <c r="HZS42" s="476"/>
      <c r="HZT42" s="476"/>
      <c r="HZU42" s="476"/>
      <c r="HZV42" s="476"/>
      <c r="HZW42" s="476"/>
      <c r="HZX42" s="476"/>
      <c r="HZY42" s="476"/>
      <c r="HZZ42" s="476"/>
      <c r="IAA42" s="476"/>
      <c r="IAB42" s="476"/>
      <c r="IAC42" s="476"/>
      <c r="IAD42" s="476"/>
      <c r="IAE42" s="476"/>
      <c r="IAF42" s="476"/>
      <c r="IAG42" s="476"/>
      <c r="IAH42" s="476"/>
      <c r="IAI42" s="476"/>
      <c r="IAJ42" s="476"/>
      <c r="IAK42" s="476"/>
      <c r="IAL42" s="476"/>
      <c r="IAM42" s="476"/>
      <c r="IAN42" s="476"/>
      <c r="IAO42" s="476"/>
      <c r="IAP42" s="476"/>
      <c r="IAQ42" s="476"/>
      <c r="IAR42" s="476"/>
      <c r="IAS42" s="476"/>
      <c r="IAT42" s="476"/>
      <c r="IAU42" s="476"/>
      <c r="IAV42" s="476"/>
      <c r="IAW42" s="476"/>
      <c r="IAX42" s="476"/>
      <c r="IAY42" s="476"/>
      <c r="IAZ42" s="476"/>
      <c r="IBA42" s="476"/>
      <c r="IBB42" s="476"/>
      <c r="IBC42" s="476"/>
      <c r="IBD42" s="476"/>
      <c r="IBE42" s="476"/>
      <c r="IBF42" s="476"/>
      <c r="IBG42" s="476"/>
      <c r="IBH42" s="476"/>
      <c r="IBI42" s="476"/>
      <c r="IBJ42" s="476"/>
      <c r="IBK42" s="476"/>
      <c r="IBL42" s="476"/>
      <c r="IBM42" s="476"/>
      <c r="IBN42" s="476"/>
      <c r="IBO42" s="476"/>
      <c r="IBP42" s="476"/>
      <c r="IBQ42" s="476"/>
      <c r="IBR42" s="476"/>
      <c r="IBS42" s="476"/>
      <c r="IBT42" s="476"/>
      <c r="IBU42" s="476"/>
      <c r="IBV42" s="476"/>
      <c r="IBW42" s="476"/>
      <c r="IBX42" s="476"/>
      <c r="IBY42" s="476"/>
      <c r="IBZ42" s="476"/>
      <c r="ICA42" s="476"/>
      <c r="ICB42" s="476"/>
      <c r="ICC42" s="476"/>
      <c r="ICD42" s="476"/>
      <c r="ICE42" s="476"/>
      <c r="ICF42" s="476"/>
      <c r="ICG42" s="476"/>
      <c r="ICH42" s="476"/>
      <c r="ICI42" s="476"/>
      <c r="ICJ42" s="476"/>
      <c r="ICK42" s="476"/>
      <c r="ICL42" s="476"/>
      <c r="ICM42" s="476"/>
      <c r="ICN42" s="476"/>
      <c r="ICO42" s="476"/>
      <c r="ICP42" s="476"/>
      <c r="ICQ42" s="476"/>
      <c r="ICR42" s="476"/>
      <c r="ICS42" s="476"/>
      <c r="ICT42" s="476"/>
      <c r="ICU42" s="476"/>
      <c r="ICV42" s="476"/>
      <c r="ICW42" s="476"/>
      <c r="ICX42" s="476"/>
      <c r="ICY42" s="476"/>
      <c r="ICZ42" s="476"/>
      <c r="IDA42" s="476"/>
      <c r="IDB42" s="476"/>
      <c r="IDC42" s="476"/>
      <c r="IDD42" s="476"/>
      <c r="IDE42" s="476"/>
      <c r="IDF42" s="476"/>
      <c r="IDG42" s="476"/>
      <c r="IDH42" s="476"/>
      <c r="IDI42" s="476"/>
      <c r="IDJ42" s="476"/>
      <c r="IDK42" s="476"/>
      <c r="IDL42" s="476"/>
      <c r="IDM42" s="476"/>
      <c r="IDN42" s="476"/>
      <c r="IDO42" s="476"/>
      <c r="IDP42" s="476"/>
      <c r="IDQ42" s="476"/>
      <c r="IDR42" s="476"/>
      <c r="IDS42" s="476"/>
      <c r="IDT42" s="476"/>
      <c r="IDU42" s="476"/>
      <c r="IDV42" s="476"/>
      <c r="IDW42" s="476"/>
      <c r="IDX42" s="476"/>
      <c r="IDY42" s="476"/>
      <c r="IDZ42" s="476"/>
      <c r="IEA42" s="476"/>
      <c r="IEB42" s="476"/>
      <c r="IEC42" s="476"/>
      <c r="IED42" s="476"/>
      <c r="IEE42" s="476"/>
      <c r="IEF42" s="476"/>
      <c r="IEG42" s="476"/>
      <c r="IEH42" s="476"/>
      <c r="IEI42" s="476"/>
      <c r="IEJ42" s="476"/>
      <c r="IEK42" s="476"/>
      <c r="IEL42" s="476"/>
      <c r="IEM42" s="476"/>
      <c r="IEN42" s="476"/>
      <c r="IEO42" s="476"/>
      <c r="IEP42" s="476"/>
      <c r="IEQ42" s="476"/>
      <c r="IER42" s="476"/>
      <c r="IES42" s="476"/>
      <c r="IET42" s="476"/>
      <c r="IEU42" s="476"/>
      <c r="IEV42" s="476"/>
      <c r="IEW42" s="476"/>
      <c r="IEX42" s="476"/>
      <c r="IEY42" s="476"/>
      <c r="IEZ42" s="476"/>
      <c r="IFA42" s="476"/>
      <c r="IFB42" s="476"/>
      <c r="IFC42" s="476"/>
      <c r="IFD42" s="476"/>
      <c r="IFE42" s="476"/>
      <c r="IFF42" s="476"/>
      <c r="IFG42" s="476"/>
      <c r="IFH42" s="476"/>
      <c r="IFI42" s="476"/>
      <c r="IFJ42" s="476"/>
      <c r="IFK42" s="476"/>
      <c r="IFL42" s="476"/>
      <c r="IFM42" s="476"/>
      <c r="IFN42" s="476"/>
      <c r="IFO42" s="476"/>
      <c r="IFP42" s="476"/>
      <c r="IFQ42" s="476"/>
      <c r="IFR42" s="476"/>
      <c r="IFS42" s="476"/>
      <c r="IFT42" s="476"/>
      <c r="IFU42" s="476"/>
      <c r="IFV42" s="476"/>
      <c r="IFW42" s="476"/>
      <c r="IFX42" s="476"/>
      <c r="IFY42" s="476"/>
      <c r="IFZ42" s="476"/>
      <c r="IGA42" s="476"/>
      <c r="IGB42" s="476"/>
      <c r="IGC42" s="476"/>
      <c r="IGD42" s="476"/>
      <c r="IGE42" s="476"/>
      <c r="IGF42" s="476"/>
      <c r="IGG42" s="476"/>
      <c r="IGH42" s="476"/>
      <c r="IGI42" s="476"/>
      <c r="IGJ42" s="476"/>
      <c r="IGK42" s="476"/>
      <c r="IGL42" s="476"/>
      <c r="IGM42" s="476"/>
      <c r="IGN42" s="476"/>
      <c r="IGO42" s="476"/>
      <c r="IGP42" s="476"/>
      <c r="IGQ42" s="476"/>
      <c r="IGR42" s="476"/>
      <c r="IGS42" s="476"/>
      <c r="IGT42" s="476"/>
      <c r="IGU42" s="476"/>
      <c r="IGV42" s="476"/>
      <c r="IGW42" s="476"/>
      <c r="IGX42" s="476"/>
      <c r="IGY42" s="476"/>
      <c r="IGZ42" s="476"/>
      <c r="IHA42" s="476"/>
      <c r="IHB42" s="476"/>
      <c r="IHC42" s="476"/>
      <c r="IHD42" s="476"/>
      <c r="IHE42" s="476"/>
      <c r="IHF42" s="476"/>
      <c r="IHG42" s="476"/>
      <c r="IHH42" s="476"/>
      <c r="IHI42" s="476"/>
      <c r="IHJ42" s="476"/>
      <c r="IHK42" s="476"/>
      <c r="IHL42" s="476"/>
      <c r="IHM42" s="476"/>
      <c r="IHN42" s="476"/>
      <c r="IHO42" s="476"/>
      <c r="IHP42" s="476"/>
      <c r="IHQ42" s="476"/>
      <c r="IHR42" s="476"/>
      <c r="IHS42" s="476"/>
      <c r="IHT42" s="476"/>
      <c r="IHU42" s="476"/>
      <c r="IHV42" s="476"/>
      <c r="IHW42" s="476"/>
      <c r="IHX42" s="476"/>
      <c r="IHY42" s="476"/>
      <c r="IHZ42" s="476"/>
      <c r="IIA42" s="476"/>
      <c r="IIB42" s="476"/>
      <c r="IIC42" s="476"/>
      <c r="IID42" s="476"/>
      <c r="IIE42" s="476"/>
      <c r="IIF42" s="476"/>
      <c r="IIG42" s="476"/>
      <c r="IIH42" s="476"/>
      <c r="III42" s="476"/>
      <c r="IIJ42" s="476"/>
      <c r="IIK42" s="476"/>
      <c r="IIL42" s="476"/>
      <c r="IIM42" s="476"/>
      <c r="IIN42" s="476"/>
      <c r="IIO42" s="476"/>
      <c r="IIP42" s="476"/>
      <c r="IIQ42" s="476"/>
      <c r="IIR42" s="476"/>
      <c r="IIS42" s="476"/>
      <c r="IIT42" s="476"/>
      <c r="IIU42" s="476"/>
      <c r="IIV42" s="476"/>
      <c r="IIW42" s="476"/>
      <c r="IIX42" s="476"/>
      <c r="IIY42" s="476"/>
      <c r="IIZ42" s="476"/>
      <c r="IJA42" s="476"/>
      <c r="IJB42" s="476"/>
      <c r="IJC42" s="476"/>
      <c r="IJD42" s="476"/>
      <c r="IJE42" s="476"/>
      <c r="IJF42" s="476"/>
      <c r="IJG42" s="476"/>
      <c r="IJH42" s="476"/>
      <c r="IJI42" s="476"/>
      <c r="IJJ42" s="476"/>
      <c r="IJK42" s="476"/>
      <c r="IJL42" s="476"/>
      <c r="IJM42" s="476"/>
      <c r="IJN42" s="476"/>
      <c r="IJO42" s="476"/>
      <c r="IJP42" s="476"/>
      <c r="IJQ42" s="476"/>
      <c r="IJR42" s="476"/>
      <c r="IJS42" s="476"/>
      <c r="IJT42" s="476"/>
      <c r="IJU42" s="476"/>
      <c r="IJV42" s="476"/>
      <c r="IJW42" s="476"/>
      <c r="IJX42" s="476"/>
      <c r="IJY42" s="476"/>
      <c r="IJZ42" s="476"/>
      <c r="IKA42" s="476"/>
      <c r="IKB42" s="476"/>
      <c r="IKC42" s="476"/>
      <c r="IKD42" s="476"/>
      <c r="IKE42" s="476"/>
      <c r="IKF42" s="476"/>
      <c r="IKG42" s="476"/>
      <c r="IKH42" s="476"/>
      <c r="IKI42" s="476"/>
      <c r="IKJ42" s="476"/>
      <c r="IKK42" s="476"/>
      <c r="IKL42" s="476"/>
      <c r="IKM42" s="476"/>
      <c r="IKN42" s="476"/>
      <c r="IKO42" s="476"/>
      <c r="IKP42" s="476"/>
      <c r="IKQ42" s="476"/>
      <c r="IKR42" s="476"/>
      <c r="IKS42" s="476"/>
      <c r="IKT42" s="476"/>
      <c r="IKU42" s="476"/>
      <c r="IKV42" s="476"/>
      <c r="IKW42" s="476"/>
      <c r="IKX42" s="476"/>
      <c r="IKY42" s="476"/>
      <c r="IKZ42" s="476"/>
      <c r="ILA42" s="476"/>
      <c r="ILB42" s="476"/>
      <c r="ILC42" s="476"/>
      <c r="ILD42" s="476"/>
      <c r="ILE42" s="476"/>
      <c r="ILF42" s="476"/>
      <c r="ILG42" s="476"/>
      <c r="ILH42" s="476"/>
      <c r="ILI42" s="476"/>
      <c r="ILJ42" s="476"/>
      <c r="ILK42" s="476"/>
      <c r="ILL42" s="476"/>
      <c r="ILM42" s="476"/>
      <c r="ILN42" s="476"/>
      <c r="ILO42" s="476"/>
      <c r="ILP42" s="476"/>
      <c r="ILQ42" s="476"/>
      <c r="ILR42" s="476"/>
      <c r="ILS42" s="476"/>
      <c r="ILT42" s="476"/>
      <c r="ILU42" s="476"/>
      <c r="ILV42" s="476"/>
      <c r="ILW42" s="476"/>
      <c r="ILX42" s="476"/>
      <c r="ILY42" s="476"/>
      <c r="ILZ42" s="476"/>
      <c r="IMA42" s="476"/>
      <c r="IMB42" s="476"/>
      <c r="IMC42" s="476"/>
      <c r="IMD42" s="476"/>
      <c r="IME42" s="476"/>
      <c r="IMF42" s="476"/>
      <c r="IMG42" s="476"/>
      <c r="IMH42" s="476"/>
      <c r="IMI42" s="476"/>
      <c r="IMJ42" s="476"/>
      <c r="IMK42" s="476"/>
      <c r="IML42" s="476"/>
      <c r="IMM42" s="476"/>
      <c r="IMN42" s="476"/>
      <c r="IMO42" s="476"/>
      <c r="IMP42" s="476"/>
      <c r="IMQ42" s="476"/>
      <c r="IMR42" s="476"/>
      <c r="IMS42" s="476"/>
      <c r="IMT42" s="476"/>
      <c r="IMU42" s="476"/>
      <c r="IMV42" s="476"/>
      <c r="IMW42" s="476"/>
      <c r="IMX42" s="476"/>
      <c r="IMY42" s="476"/>
      <c r="IMZ42" s="476"/>
      <c r="INA42" s="476"/>
      <c r="INB42" s="476"/>
      <c r="INC42" s="476"/>
      <c r="IND42" s="476"/>
      <c r="INE42" s="476"/>
      <c r="INF42" s="476"/>
      <c r="ING42" s="476"/>
      <c r="INH42" s="476"/>
      <c r="INI42" s="476"/>
      <c r="INJ42" s="476"/>
      <c r="INK42" s="476"/>
      <c r="INL42" s="476"/>
      <c r="INM42" s="476"/>
      <c r="INN42" s="476"/>
      <c r="INO42" s="476"/>
      <c r="INP42" s="476"/>
      <c r="INQ42" s="476"/>
      <c r="INR42" s="476"/>
      <c r="INS42" s="476"/>
      <c r="INT42" s="476"/>
      <c r="INU42" s="476"/>
      <c r="INV42" s="476"/>
      <c r="INW42" s="476"/>
      <c r="INX42" s="476"/>
      <c r="INY42" s="476"/>
      <c r="INZ42" s="476"/>
      <c r="IOA42" s="476"/>
      <c r="IOB42" s="476"/>
      <c r="IOC42" s="476"/>
      <c r="IOD42" s="476"/>
      <c r="IOE42" s="476"/>
      <c r="IOF42" s="476"/>
      <c r="IOG42" s="476"/>
      <c r="IOH42" s="476"/>
      <c r="IOI42" s="476"/>
      <c r="IOJ42" s="476"/>
      <c r="IOK42" s="476"/>
      <c r="IOL42" s="476"/>
      <c r="IOM42" s="476"/>
      <c r="ION42" s="476"/>
      <c r="IOO42" s="476"/>
      <c r="IOP42" s="476"/>
      <c r="IOQ42" s="476"/>
      <c r="IOR42" s="476"/>
      <c r="IOS42" s="476"/>
      <c r="IOT42" s="476"/>
      <c r="IOU42" s="476"/>
      <c r="IOV42" s="476"/>
      <c r="IOW42" s="476"/>
      <c r="IOX42" s="476"/>
      <c r="IOY42" s="476"/>
      <c r="IOZ42" s="476"/>
      <c r="IPA42" s="476"/>
      <c r="IPB42" s="476"/>
      <c r="IPC42" s="476"/>
      <c r="IPD42" s="476"/>
      <c r="IPE42" s="476"/>
      <c r="IPF42" s="476"/>
      <c r="IPG42" s="476"/>
      <c r="IPH42" s="476"/>
      <c r="IPI42" s="476"/>
      <c r="IPJ42" s="476"/>
      <c r="IPK42" s="476"/>
      <c r="IPL42" s="476"/>
      <c r="IPM42" s="476"/>
      <c r="IPN42" s="476"/>
      <c r="IPO42" s="476"/>
      <c r="IPP42" s="476"/>
      <c r="IPQ42" s="476"/>
      <c r="IPR42" s="476"/>
      <c r="IPS42" s="476"/>
      <c r="IPT42" s="476"/>
      <c r="IPU42" s="476"/>
      <c r="IPV42" s="476"/>
      <c r="IPW42" s="476"/>
      <c r="IPX42" s="476"/>
      <c r="IPY42" s="476"/>
      <c r="IPZ42" s="476"/>
      <c r="IQA42" s="476"/>
      <c r="IQB42" s="476"/>
      <c r="IQC42" s="476"/>
      <c r="IQD42" s="476"/>
      <c r="IQE42" s="476"/>
      <c r="IQF42" s="476"/>
      <c r="IQG42" s="476"/>
      <c r="IQH42" s="476"/>
      <c r="IQI42" s="476"/>
      <c r="IQJ42" s="476"/>
      <c r="IQK42" s="476"/>
      <c r="IQL42" s="476"/>
      <c r="IQM42" s="476"/>
      <c r="IQN42" s="476"/>
      <c r="IQO42" s="476"/>
      <c r="IQP42" s="476"/>
      <c r="IQQ42" s="476"/>
      <c r="IQR42" s="476"/>
      <c r="IQS42" s="476"/>
      <c r="IQT42" s="476"/>
      <c r="IQU42" s="476"/>
      <c r="IQV42" s="476"/>
      <c r="IQW42" s="476"/>
      <c r="IQX42" s="476"/>
      <c r="IQY42" s="476"/>
      <c r="IQZ42" s="476"/>
      <c r="IRA42" s="476"/>
      <c r="IRB42" s="476"/>
      <c r="IRC42" s="476"/>
      <c r="IRD42" s="476"/>
      <c r="IRE42" s="476"/>
      <c r="IRF42" s="476"/>
      <c r="IRG42" s="476"/>
      <c r="IRH42" s="476"/>
      <c r="IRI42" s="476"/>
      <c r="IRJ42" s="476"/>
      <c r="IRK42" s="476"/>
      <c r="IRL42" s="476"/>
      <c r="IRM42" s="476"/>
      <c r="IRN42" s="476"/>
      <c r="IRO42" s="476"/>
      <c r="IRP42" s="476"/>
      <c r="IRQ42" s="476"/>
      <c r="IRR42" s="476"/>
      <c r="IRS42" s="476"/>
      <c r="IRT42" s="476"/>
      <c r="IRU42" s="476"/>
      <c r="IRV42" s="476"/>
      <c r="IRW42" s="476"/>
      <c r="IRX42" s="476"/>
      <c r="IRY42" s="476"/>
      <c r="IRZ42" s="476"/>
      <c r="ISA42" s="476"/>
      <c r="ISB42" s="476"/>
      <c r="ISC42" s="476"/>
      <c r="ISD42" s="476"/>
      <c r="ISE42" s="476"/>
      <c r="ISF42" s="476"/>
      <c r="ISG42" s="476"/>
      <c r="ISH42" s="476"/>
      <c r="ISI42" s="476"/>
      <c r="ISJ42" s="476"/>
      <c r="ISK42" s="476"/>
      <c r="ISL42" s="476"/>
      <c r="ISM42" s="476"/>
      <c r="ISN42" s="476"/>
      <c r="ISO42" s="476"/>
      <c r="ISP42" s="476"/>
      <c r="ISQ42" s="476"/>
      <c r="ISR42" s="476"/>
      <c r="ISS42" s="476"/>
      <c r="IST42" s="476"/>
      <c r="ISU42" s="476"/>
      <c r="ISV42" s="476"/>
      <c r="ISW42" s="476"/>
      <c r="ISX42" s="476"/>
      <c r="ISY42" s="476"/>
      <c r="ISZ42" s="476"/>
      <c r="ITA42" s="476"/>
      <c r="ITB42" s="476"/>
      <c r="ITC42" s="476"/>
      <c r="ITD42" s="476"/>
      <c r="ITE42" s="476"/>
      <c r="ITF42" s="476"/>
      <c r="ITG42" s="476"/>
      <c r="ITH42" s="476"/>
      <c r="ITI42" s="476"/>
      <c r="ITJ42" s="476"/>
      <c r="ITK42" s="476"/>
      <c r="ITL42" s="476"/>
      <c r="ITM42" s="476"/>
      <c r="ITN42" s="476"/>
      <c r="ITO42" s="476"/>
      <c r="ITP42" s="476"/>
      <c r="ITQ42" s="476"/>
      <c r="ITR42" s="476"/>
      <c r="ITS42" s="476"/>
      <c r="ITT42" s="476"/>
      <c r="ITU42" s="476"/>
      <c r="ITV42" s="476"/>
      <c r="ITW42" s="476"/>
      <c r="ITX42" s="476"/>
      <c r="ITY42" s="476"/>
      <c r="ITZ42" s="476"/>
      <c r="IUA42" s="476"/>
      <c r="IUB42" s="476"/>
      <c r="IUC42" s="476"/>
      <c r="IUD42" s="476"/>
      <c r="IUE42" s="476"/>
      <c r="IUF42" s="476"/>
      <c r="IUG42" s="476"/>
      <c r="IUH42" s="476"/>
      <c r="IUI42" s="476"/>
      <c r="IUJ42" s="476"/>
      <c r="IUK42" s="476"/>
      <c r="IUL42" s="476"/>
      <c r="IUM42" s="476"/>
      <c r="IUN42" s="476"/>
      <c r="IUO42" s="476"/>
      <c r="IUP42" s="476"/>
      <c r="IUQ42" s="476"/>
      <c r="IUR42" s="476"/>
      <c r="IUS42" s="476"/>
      <c r="IUT42" s="476"/>
      <c r="IUU42" s="476"/>
      <c r="IUV42" s="476"/>
      <c r="IUW42" s="476"/>
      <c r="IUX42" s="476"/>
      <c r="IUY42" s="476"/>
      <c r="IUZ42" s="476"/>
      <c r="IVA42" s="476"/>
      <c r="IVB42" s="476"/>
      <c r="IVC42" s="476"/>
      <c r="IVD42" s="476"/>
      <c r="IVE42" s="476"/>
      <c r="IVF42" s="476"/>
      <c r="IVG42" s="476"/>
      <c r="IVH42" s="476"/>
      <c r="IVI42" s="476"/>
      <c r="IVJ42" s="476"/>
      <c r="IVK42" s="476"/>
      <c r="IVL42" s="476"/>
      <c r="IVM42" s="476"/>
      <c r="IVN42" s="476"/>
      <c r="IVO42" s="476"/>
      <c r="IVP42" s="476"/>
      <c r="IVQ42" s="476"/>
      <c r="IVR42" s="476"/>
      <c r="IVS42" s="476"/>
      <c r="IVT42" s="476"/>
      <c r="IVU42" s="476"/>
      <c r="IVV42" s="476"/>
      <c r="IVW42" s="476"/>
      <c r="IVX42" s="476"/>
      <c r="IVY42" s="476"/>
      <c r="IVZ42" s="476"/>
      <c r="IWA42" s="476"/>
      <c r="IWB42" s="476"/>
      <c r="IWC42" s="476"/>
      <c r="IWD42" s="476"/>
      <c r="IWE42" s="476"/>
      <c r="IWF42" s="476"/>
      <c r="IWG42" s="476"/>
      <c r="IWH42" s="476"/>
      <c r="IWI42" s="476"/>
      <c r="IWJ42" s="476"/>
      <c r="IWK42" s="476"/>
      <c r="IWL42" s="476"/>
      <c r="IWM42" s="476"/>
      <c r="IWN42" s="476"/>
      <c r="IWO42" s="476"/>
      <c r="IWP42" s="476"/>
      <c r="IWQ42" s="476"/>
      <c r="IWR42" s="476"/>
      <c r="IWS42" s="476"/>
      <c r="IWT42" s="476"/>
      <c r="IWU42" s="476"/>
      <c r="IWV42" s="476"/>
      <c r="IWW42" s="476"/>
      <c r="IWX42" s="476"/>
      <c r="IWY42" s="476"/>
      <c r="IWZ42" s="476"/>
      <c r="IXA42" s="476"/>
      <c r="IXB42" s="476"/>
      <c r="IXC42" s="476"/>
      <c r="IXD42" s="476"/>
      <c r="IXE42" s="476"/>
      <c r="IXF42" s="476"/>
      <c r="IXG42" s="476"/>
      <c r="IXH42" s="476"/>
      <c r="IXI42" s="476"/>
      <c r="IXJ42" s="476"/>
      <c r="IXK42" s="476"/>
      <c r="IXL42" s="476"/>
      <c r="IXM42" s="476"/>
      <c r="IXN42" s="476"/>
      <c r="IXO42" s="476"/>
      <c r="IXP42" s="476"/>
      <c r="IXQ42" s="476"/>
      <c r="IXR42" s="476"/>
      <c r="IXS42" s="476"/>
      <c r="IXT42" s="476"/>
      <c r="IXU42" s="476"/>
      <c r="IXV42" s="476"/>
      <c r="IXW42" s="476"/>
      <c r="IXX42" s="476"/>
      <c r="IXY42" s="476"/>
      <c r="IXZ42" s="476"/>
      <c r="IYA42" s="476"/>
      <c r="IYB42" s="476"/>
      <c r="IYC42" s="476"/>
      <c r="IYD42" s="476"/>
      <c r="IYE42" s="476"/>
      <c r="IYF42" s="476"/>
      <c r="IYG42" s="476"/>
      <c r="IYH42" s="476"/>
      <c r="IYI42" s="476"/>
      <c r="IYJ42" s="476"/>
      <c r="IYK42" s="476"/>
      <c r="IYL42" s="476"/>
      <c r="IYM42" s="476"/>
      <c r="IYN42" s="476"/>
      <c r="IYO42" s="476"/>
      <c r="IYP42" s="476"/>
      <c r="IYQ42" s="476"/>
      <c r="IYR42" s="476"/>
      <c r="IYS42" s="476"/>
      <c r="IYT42" s="476"/>
      <c r="IYU42" s="476"/>
      <c r="IYV42" s="476"/>
      <c r="IYW42" s="476"/>
      <c r="IYX42" s="476"/>
      <c r="IYY42" s="476"/>
      <c r="IYZ42" s="476"/>
      <c r="IZA42" s="476"/>
      <c r="IZB42" s="476"/>
      <c r="IZC42" s="476"/>
      <c r="IZD42" s="476"/>
      <c r="IZE42" s="476"/>
      <c r="IZF42" s="476"/>
      <c r="IZG42" s="476"/>
      <c r="IZH42" s="476"/>
      <c r="IZI42" s="476"/>
      <c r="IZJ42" s="476"/>
      <c r="IZK42" s="476"/>
      <c r="IZL42" s="476"/>
      <c r="IZM42" s="476"/>
      <c r="IZN42" s="476"/>
      <c r="IZO42" s="476"/>
      <c r="IZP42" s="476"/>
      <c r="IZQ42" s="476"/>
      <c r="IZR42" s="476"/>
      <c r="IZS42" s="476"/>
      <c r="IZT42" s="476"/>
      <c r="IZU42" s="476"/>
      <c r="IZV42" s="476"/>
      <c r="IZW42" s="476"/>
      <c r="IZX42" s="476"/>
      <c r="IZY42" s="476"/>
      <c r="IZZ42" s="476"/>
      <c r="JAA42" s="476"/>
      <c r="JAB42" s="476"/>
      <c r="JAC42" s="476"/>
      <c r="JAD42" s="476"/>
      <c r="JAE42" s="476"/>
      <c r="JAF42" s="476"/>
      <c r="JAG42" s="476"/>
      <c r="JAH42" s="476"/>
      <c r="JAI42" s="476"/>
      <c r="JAJ42" s="476"/>
      <c r="JAK42" s="476"/>
      <c r="JAL42" s="476"/>
      <c r="JAM42" s="476"/>
      <c r="JAN42" s="476"/>
      <c r="JAO42" s="476"/>
      <c r="JAP42" s="476"/>
      <c r="JAQ42" s="476"/>
      <c r="JAR42" s="476"/>
      <c r="JAS42" s="476"/>
      <c r="JAT42" s="476"/>
      <c r="JAU42" s="476"/>
      <c r="JAV42" s="476"/>
      <c r="JAW42" s="476"/>
      <c r="JAX42" s="476"/>
      <c r="JAY42" s="476"/>
      <c r="JAZ42" s="476"/>
      <c r="JBA42" s="476"/>
      <c r="JBB42" s="476"/>
      <c r="JBC42" s="476"/>
      <c r="JBD42" s="476"/>
      <c r="JBE42" s="476"/>
      <c r="JBF42" s="476"/>
      <c r="JBG42" s="476"/>
      <c r="JBH42" s="476"/>
      <c r="JBI42" s="476"/>
      <c r="JBJ42" s="476"/>
      <c r="JBK42" s="476"/>
      <c r="JBL42" s="476"/>
      <c r="JBM42" s="476"/>
      <c r="JBN42" s="476"/>
      <c r="JBO42" s="476"/>
      <c r="JBP42" s="476"/>
      <c r="JBQ42" s="476"/>
      <c r="JBR42" s="476"/>
      <c r="JBS42" s="476"/>
      <c r="JBT42" s="476"/>
      <c r="JBU42" s="476"/>
      <c r="JBV42" s="476"/>
      <c r="JBW42" s="476"/>
      <c r="JBX42" s="476"/>
      <c r="JBY42" s="476"/>
      <c r="JBZ42" s="476"/>
      <c r="JCA42" s="476"/>
      <c r="JCB42" s="476"/>
      <c r="JCC42" s="476"/>
      <c r="JCD42" s="476"/>
      <c r="JCE42" s="476"/>
      <c r="JCF42" s="476"/>
      <c r="JCG42" s="476"/>
      <c r="JCH42" s="476"/>
      <c r="JCI42" s="476"/>
      <c r="JCJ42" s="476"/>
      <c r="JCK42" s="476"/>
      <c r="JCL42" s="476"/>
      <c r="JCM42" s="476"/>
      <c r="JCN42" s="476"/>
      <c r="JCO42" s="476"/>
      <c r="JCP42" s="476"/>
      <c r="JCQ42" s="476"/>
      <c r="JCR42" s="476"/>
      <c r="JCS42" s="476"/>
      <c r="JCT42" s="476"/>
      <c r="JCU42" s="476"/>
      <c r="JCV42" s="476"/>
      <c r="JCW42" s="476"/>
      <c r="JCX42" s="476"/>
      <c r="JCY42" s="476"/>
      <c r="JCZ42" s="476"/>
      <c r="JDA42" s="476"/>
      <c r="JDB42" s="476"/>
      <c r="JDC42" s="476"/>
      <c r="JDD42" s="476"/>
      <c r="JDE42" s="476"/>
      <c r="JDF42" s="476"/>
      <c r="JDG42" s="476"/>
      <c r="JDH42" s="476"/>
      <c r="JDI42" s="476"/>
      <c r="JDJ42" s="476"/>
      <c r="JDK42" s="476"/>
      <c r="JDL42" s="476"/>
      <c r="JDM42" s="476"/>
      <c r="JDN42" s="476"/>
      <c r="JDO42" s="476"/>
      <c r="JDP42" s="476"/>
      <c r="JDQ42" s="476"/>
      <c r="JDR42" s="476"/>
      <c r="JDS42" s="476"/>
      <c r="JDT42" s="476"/>
      <c r="JDU42" s="476"/>
      <c r="JDV42" s="476"/>
      <c r="JDW42" s="476"/>
      <c r="JDX42" s="476"/>
      <c r="JDY42" s="476"/>
      <c r="JDZ42" s="476"/>
      <c r="JEA42" s="476"/>
      <c r="JEB42" s="476"/>
      <c r="JEC42" s="476"/>
      <c r="JED42" s="476"/>
      <c r="JEE42" s="476"/>
      <c r="JEF42" s="476"/>
      <c r="JEG42" s="476"/>
      <c r="JEH42" s="476"/>
      <c r="JEI42" s="476"/>
      <c r="JEJ42" s="476"/>
      <c r="JEK42" s="476"/>
      <c r="JEL42" s="476"/>
      <c r="JEM42" s="476"/>
      <c r="JEN42" s="476"/>
      <c r="JEO42" s="476"/>
      <c r="JEP42" s="476"/>
      <c r="JEQ42" s="476"/>
      <c r="JER42" s="476"/>
      <c r="JES42" s="476"/>
      <c r="JET42" s="476"/>
      <c r="JEU42" s="476"/>
      <c r="JEV42" s="476"/>
      <c r="JEW42" s="476"/>
      <c r="JEX42" s="476"/>
      <c r="JEY42" s="476"/>
      <c r="JEZ42" s="476"/>
      <c r="JFA42" s="476"/>
      <c r="JFB42" s="476"/>
      <c r="JFC42" s="476"/>
      <c r="JFD42" s="476"/>
      <c r="JFE42" s="476"/>
      <c r="JFF42" s="476"/>
      <c r="JFG42" s="476"/>
      <c r="JFH42" s="476"/>
      <c r="JFI42" s="476"/>
      <c r="JFJ42" s="476"/>
      <c r="JFK42" s="476"/>
      <c r="JFL42" s="476"/>
      <c r="JFM42" s="476"/>
      <c r="JFN42" s="476"/>
      <c r="JFO42" s="476"/>
      <c r="JFP42" s="476"/>
      <c r="JFQ42" s="476"/>
      <c r="JFR42" s="476"/>
      <c r="JFS42" s="476"/>
      <c r="JFT42" s="476"/>
      <c r="JFU42" s="476"/>
      <c r="JFV42" s="476"/>
      <c r="JFW42" s="476"/>
      <c r="JFX42" s="476"/>
      <c r="JFY42" s="476"/>
      <c r="JFZ42" s="476"/>
      <c r="JGA42" s="476"/>
      <c r="JGB42" s="476"/>
      <c r="JGC42" s="476"/>
      <c r="JGD42" s="476"/>
      <c r="JGE42" s="476"/>
      <c r="JGF42" s="476"/>
      <c r="JGG42" s="476"/>
      <c r="JGH42" s="476"/>
      <c r="JGI42" s="476"/>
      <c r="JGJ42" s="476"/>
      <c r="JGK42" s="476"/>
      <c r="JGL42" s="476"/>
      <c r="JGM42" s="476"/>
      <c r="JGN42" s="476"/>
      <c r="JGO42" s="476"/>
      <c r="JGP42" s="476"/>
      <c r="JGQ42" s="476"/>
      <c r="JGR42" s="476"/>
      <c r="JGS42" s="476"/>
      <c r="JGT42" s="476"/>
      <c r="JGU42" s="476"/>
      <c r="JGV42" s="476"/>
      <c r="JGW42" s="476"/>
      <c r="JGX42" s="476"/>
      <c r="JGY42" s="476"/>
      <c r="JGZ42" s="476"/>
      <c r="JHA42" s="476"/>
      <c r="JHB42" s="476"/>
      <c r="JHC42" s="476"/>
      <c r="JHD42" s="476"/>
      <c r="JHE42" s="476"/>
      <c r="JHF42" s="476"/>
      <c r="JHG42" s="476"/>
      <c r="JHH42" s="476"/>
      <c r="JHI42" s="476"/>
      <c r="JHJ42" s="476"/>
      <c r="JHK42" s="476"/>
      <c r="JHL42" s="476"/>
      <c r="JHM42" s="476"/>
      <c r="JHN42" s="476"/>
      <c r="JHO42" s="476"/>
      <c r="JHP42" s="476"/>
      <c r="JHQ42" s="476"/>
      <c r="JHR42" s="476"/>
      <c r="JHS42" s="476"/>
      <c r="JHT42" s="476"/>
      <c r="JHU42" s="476"/>
      <c r="JHV42" s="476"/>
      <c r="JHW42" s="476"/>
      <c r="JHX42" s="476"/>
      <c r="JHY42" s="476"/>
      <c r="JHZ42" s="476"/>
      <c r="JIA42" s="476"/>
      <c r="JIB42" s="476"/>
      <c r="JIC42" s="476"/>
      <c r="JID42" s="476"/>
      <c r="JIE42" s="476"/>
      <c r="JIF42" s="476"/>
      <c r="JIG42" s="476"/>
      <c r="JIH42" s="476"/>
      <c r="JII42" s="476"/>
      <c r="JIJ42" s="476"/>
      <c r="JIK42" s="476"/>
      <c r="JIL42" s="476"/>
      <c r="JIM42" s="476"/>
      <c r="JIN42" s="476"/>
      <c r="JIO42" s="476"/>
      <c r="JIP42" s="476"/>
      <c r="JIQ42" s="476"/>
      <c r="JIR42" s="476"/>
      <c r="JIS42" s="476"/>
      <c r="JIT42" s="476"/>
      <c r="JIU42" s="476"/>
      <c r="JIV42" s="476"/>
      <c r="JIW42" s="476"/>
      <c r="JIX42" s="476"/>
      <c r="JIY42" s="476"/>
      <c r="JIZ42" s="476"/>
      <c r="JJA42" s="476"/>
      <c r="JJB42" s="476"/>
      <c r="JJC42" s="476"/>
      <c r="JJD42" s="476"/>
      <c r="JJE42" s="476"/>
      <c r="JJF42" s="476"/>
      <c r="JJG42" s="476"/>
      <c r="JJH42" s="476"/>
      <c r="JJI42" s="476"/>
      <c r="JJJ42" s="476"/>
      <c r="JJK42" s="476"/>
      <c r="JJL42" s="476"/>
      <c r="JJM42" s="476"/>
      <c r="JJN42" s="476"/>
      <c r="JJO42" s="476"/>
      <c r="JJP42" s="476"/>
      <c r="JJQ42" s="476"/>
      <c r="JJR42" s="476"/>
      <c r="JJS42" s="476"/>
      <c r="JJT42" s="476"/>
      <c r="JJU42" s="476"/>
      <c r="JJV42" s="476"/>
      <c r="JJW42" s="476"/>
      <c r="JJX42" s="476"/>
      <c r="JJY42" s="476"/>
      <c r="JJZ42" s="476"/>
      <c r="JKA42" s="476"/>
      <c r="JKB42" s="476"/>
      <c r="JKC42" s="476"/>
      <c r="JKD42" s="476"/>
      <c r="JKE42" s="476"/>
      <c r="JKF42" s="476"/>
      <c r="JKG42" s="476"/>
      <c r="JKH42" s="476"/>
      <c r="JKI42" s="476"/>
      <c r="JKJ42" s="476"/>
      <c r="JKK42" s="476"/>
      <c r="JKL42" s="476"/>
      <c r="JKM42" s="476"/>
      <c r="JKN42" s="476"/>
      <c r="JKO42" s="476"/>
      <c r="JKP42" s="476"/>
      <c r="JKQ42" s="476"/>
      <c r="JKR42" s="476"/>
      <c r="JKS42" s="476"/>
      <c r="JKT42" s="476"/>
      <c r="JKU42" s="476"/>
      <c r="JKV42" s="476"/>
      <c r="JKW42" s="476"/>
      <c r="JKX42" s="476"/>
      <c r="JKY42" s="476"/>
      <c r="JKZ42" s="476"/>
      <c r="JLA42" s="476"/>
      <c r="JLB42" s="476"/>
      <c r="JLC42" s="476"/>
      <c r="JLD42" s="476"/>
      <c r="JLE42" s="476"/>
      <c r="JLF42" s="476"/>
      <c r="JLG42" s="476"/>
      <c r="JLH42" s="476"/>
      <c r="JLI42" s="476"/>
      <c r="JLJ42" s="476"/>
      <c r="JLK42" s="476"/>
      <c r="JLL42" s="476"/>
      <c r="JLM42" s="476"/>
      <c r="JLN42" s="476"/>
      <c r="JLO42" s="476"/>
      <c r="JLP42" s="476"/>
      <c r="JLQ42" s="476"/>
      <c r="JLR42" s="476"/>
      <c r="JLS42" s="476"/>
      <c r="JLT42" s="476"/>
      <c r="JLU42" s="476"/>
      <c r="JLV42" s="476"/>
      <c r="JLW42" s="476"/>
      <c r="JLX42" s="476"/>
      <c r="JLY42" s="476"/>
      <c r="JLZ42" s="476"/>
      <c r="JMA42" s="476"/>
      <c r="JMB42" s="476"/>
      <c r="JMC42" s="476"/>
      <c r="JMD42" s="476"/>
      <c r="JME42" s="476"/>
      <c r="JMF42" s="476"/>
      <c r="JMG42" s="476"/>
      <c r="JMH42" s="476"/>
      <c r="JMI42" s="476"/>
      <c r="JMJ42" s="476"/>
      <c r="JMK42" s="476"/>
      <c r="JML42" s="476"/>
      <c r="JMM42" s="476"/>
      <c r="JMN42" s="476"/>
      <c r="JMO42" s="476"/>
      <c r="JMP42" s="476"/>
      <c r="JMQ42" s="476"/>
      <c r="JMR42" s="476"/>
      <c r="JMS42" s="476"/>
      <c r="JMT42" s="476"/>
      <c r="JMU42" s="476"/>
      <c r="JMV42" s="476"/>
      <c r="JMW42" s="476"/>
      <c r="JMX42" s="476"/>
      <c r="JMY42" s="476"/>
      <c r="JMZ42" s="476"/>
      <c r="JNA42" s="476"/>
      <c r="JNB42" s="476"/>
      <c r="JNC42" s="476"/>
      <c r="JND42" s="476"/>
      <c r="JNE42" s="476"/>
      <c r="JNF42" s="476"/>
      <c r="JNG42" s="476"/>
      <c r="JNH42" s="476"/>
      <c r="JNI42" s="476"/>
      <c r="JNJ42" s="476"/>
      <c r="JNK42" s="476"/>
      <c r="JNL42" s="476"/>
      <c r="JNM42" s="476"/>
      <c r="JNN42" s="476"/>
      <c r="JNO42" s="476"/>
      <c r="JNP42" s="476"/>
      <c r="JNQ42" s="476"/>
      <c r="JNR42" s="476"/>
      <c r="JNS42" s="476"/>
      <c r="JNT42" s="476"/>
      <c r="JNU42" s="476"/>
      <c r="JNV42" s="476"/>
      <c r="JNW42" s="476"/>
      <c r="JNX42" s="476"/>
      <c r="JNY42" s="476"/>
      <c r="JNZ42" s="476"/>
      <c r="JOA42" s="476"/>
      <c r="JOB42" s="476"/>
      <c r="JOC42" s="476"/>
      <c r="JOD42" s="476"/>
      <c r="JOE42" s="476"/>
      <c r="JOF42" s="476"/>
      <c r="JOG42" s="476"/>
      <c r="JOH42" s="476"/>
      <c r="JOI42" s="476"/>
      <c r="JOJ42" s="476"/>
      <c r="JOK42" s="476"/>
      <c r="JOL42" s="476"/>
      <c r="JOM42" s="476"/>
      <c r="JON42" s="476"/>
      <c r="JOO42" s="476"/>
      <c r="JOP42" s="476"/>
      <c r="JOQ42" s="476"/>
      <c r="JOR42" s="476"/>
      <c r="JOS42" s="476"/>
      <c r="JOT42" s="476"/>
      <c r="JOU42" s="476"/>
      <c r="JOV42" s="476"/>
      <c r="JOW42" s="476"/>
      <c r="JOX42" s="476"/>
      <c r="JOY42" s="476"/>
      <c r="JOZ42" s="476"/>
      <c r="JPA42" s="476"/>
      <c r="JPB42" s="476"/>
      <c r="JPC42" s="476"/>
      <c r="JPD42" s="476"/>
      <c r="JPE42" s="476"/>
      <c r="JPF42" s="476"/>
      <c r="JPG42" s="476"/>
      <c r="JPH42" s="476"/>
      <c r="JPI42" s="476"/>
      <c r="JPJ42" s="476"/>
      <c r="JPK42" s="476"/>
      <c r="JPL42" s="476"/>
      <c r="JPM42" s="476"/>
      <c r="JPN42" s="476"/>
      <c r="JPO42" s="476"/>
      <c r="JPP42" s="476"/>
      <c r="JPQ42" s="476"/>
      <c r="JPR42" s="476"/>
      <c r="JPS42" s="476"/>
      <c r="JPT42" s="476"/>
      <c r="JPU42" s="476"/>
      <c r="JPV42" s="476"/>
      <c r="JPW42" s="476"/>
      <c r="JPX42" s="476"/>
      <c r="JPY42" s="476"/>
      <c r="JPZ42" s="476"/>
      <c r="JQA42" s="476"/>
      <c r="JQB42" s="476"/>
      <c r="JQC42" s="476"/>
      <c r="JQD42" s="476"/>
      <c r="JQE42" s="476"/>
      <c r="JQF42" s="476"/>
      <c r="JQG42" s="476"/>
      <c r="JQH42" s="476"/>
      <c r="JQI42" s="476"/>
      <c r="JQJ42" s="476"/>
      <c r="JQK42" s="476"/>
      <c r="JQL42" s="476"/>
      <c r="JQM42" s="476"/>
      <c r="JQN42" s="476"/>
      <c r="JQO42" s="476"/>
      <c r="JQP42" s="476"/>
      <c r="JQQ42" s="476"/>
      <c r="JQR42" s="476"/>
      <c r="JQS42" s="476"/>
      <c r="JQT42" s="476"/>
      <c r="JQU42" s="476"/>
      <c r="JQV42" s="476"/>
      <c r="JQW42" s="476"/>
      <c r="JQX42" s="476"/>
      <c r="JQY42" s="476"/>
      <c r="JQZ42" s="476"/>
      <c r="JRA42" s="476"/>
      <c r="JRB42" s="476"/>
      <c r="JRC42" s="476"/>
      <c r="JRD42" s="476"/>
      <c r="JRE42" s="476"/>
      <c r="JRF42" s="476"/>
      <c r="JRG42" s="476"/>
      <c r="JRH42" s="476"/>
      <c r="JRI42" s="476"/>
      <c r="JRJ42" s="476"/>
      <c r="JRK42" s="476"/>
      <c r="JRL42" s="476"/>
      <c r="JRM42" s="476"/>
      <c r="JRN42" s="476"/>
      <c r="JRO42" s="476"/>
      <c r="JRP42" s="476"/>
      <c r="JRQ42" s="476"/>
      <c r="JRR42" s="476"/>
      <c r="JRS42" s="476"/>
      <c r="JRT42" s="476"/>
      <c r="JRU42" s="476"/>
      <c r="JRV42" s="476"/>
      <c r="JRW42" s="476"/>
      <c r="JRX42" s="476"/>
      <c r="JRY42" s="476"/>
      <c r="JRZ42" s="476"/>
      <c r="JSA42" s="476"/>
      <c r="JSB42" s="476"/>
      <c r="JSC42" s="476"/>
      <c r="JSD42" s="476"/>
      <c r="JSE42" s="476"/>
      <c r="JSF42" s="476"/>
      <c r="JSG42" s="476"/>
      <c r="JSH42" s="476"/>
      <c r="JSI42" s="476"/>
      <c r="JSJ42" s="476"/>
      <c r="JSK42" s="476"/>
      <c r="JSL42" s="476"/>
      <c r="JSM42" s="476"/>
      <c r="JSN42" s="476"/>
      <c r="JSO42" s="476"/>
      <c r="JSP42" s="476"/>
      <c r="JSQ42" s="476"/>
      <c r="JSR42" s="476"/>
      <c r="JSS42" s="476"/>
      <c r="JST42" s="476"/>
      <c r="JSU42" s="476"/>
      <c r="JSV42" s="476"/>
      <c r="JSW42" s="476"/>
      <c r="JSX42" s="476"/>
      <c r="JSY42" s="476"/>
      <c r="JSZ42" s="476"/>
      <c r="JTA42" s="476"/>
      <c r="JTB42" s="476"/>
      <c r="JTC42" s="476"/>
      <c r="JTD42" s="476"/>
      <c r="JTE42" s="476"/>
      <c r="JTF42" s="476"/>
      <c r="JTG42" s="476"/>
      <c r="JTH42" s="476"/>
      <c r="JTI42" s="476"/>
      <c r="JTJ42" s="476"/>
      <c r="JTK42" s="476"/>
      <c r="JTL42" s="476"/>
      <c r="JTM42" s="476"/>
      <c r="JTN42" s="476"/>
      <c r="JTO42" s="476"/>
      <c r="JTP42" s="476"/>
      <c r="JTQ42" s="476"/>
      <c r="JTR42" s="476"/>
      <c r="JTS42" s="476"/>
      <c r="JTT42" s="476"/>
      <c r="JTU42" s="476"/>
      <c r="JTV42" s="476"/>
      <c r="JTW42" s="476"/>
      <c r="JTX42" s="476"/>
      <c r="JTY42" s="476"/>
      <c r="JTZ42" s="476"/>
      <c r="JUA42" s="476"/>
      <c r="JUB42" s="476"/>
      <c r="JUC42" s="476"/>
      <c r="JUD42" s="476"/>
      <c r="JUE42" s="476"/>
      <c r="JUF42" s="476"/>
      <c r="JUG42" s="476"/>
      <c r="JUH42" s="476"/>
      <c r="JUI42" s="476"/>
      <c r="JUJ42" s="476"/>
      <c r="JUK42" s="476"/>
      <c r="JUL42" s="476"/>
      <c r="JUM42" s="476"/>
      <c r="JUN42" s="476"/>
      <c r="JUO42" s="476"/>
      <c r="JUP42" s="476"/>
      <c r="JUQ42" s="476"/>
      <c r="JUR42" s="476"/>
      <c r="JUS42" s="476"/>
      <c r="JUT42" s="476"/>
      <c r="JUU42" s="476"/>
      <c r="JUV42" s="476"/>
      <c r="JUW42" s="476"/>
      <c r="JUX42" s="476"/>
      <c r="JUY42" s="476"/>
      <c r="JUZ42" s="476"/>
      <c r="JVA42" s="476"/>
      <c r="JVB42" s="476"/>
      <c r="JVC42" s="476"/>
      <c r="JVD42" s="476"/>
      <c r="JVE42" s="476"/>
      <c r="JVF42" s="476"/>
      <c r="JVG42" s="476"/>
      <c r="JVH42" s="476"/>
      <c r="JVI42" s="476"/>
      <c r="JVJ42" s="476"/>
      <c r="JVK42" s="476"/>
      <c r="JVL42" s="476"/>
      <c r="JVM42" s="476"/>
      <c r="JVN42" s="476"/>
      <c r="JVO42" s="476"/>
      <c r="JVP42" s="476"/>
      <c r="JVQ42" s="476"/>
      <c r="JVR42" s="476"/>
      <c r="JVS42" s="476"/>
      <c r="JVT42" s="476"/>
      <c r="JVU42" s="476"/>
      <c r="JVV42" s="476"/>
      <c r="JVW42" s="476"/>
      <c r="JVX42" s="476"/>
      <c r="JVY42" s="476"/>
      <c r="JVZ42" s="476"/>
      <c r="JWA42" s="476"/>
      <c r="JWB42" s="476"/>
      <c r="JWC42" s="476"/>
      <c r="JWD42" s="476"/>
      <c r="JWE42" s="476"/>
      <c r="JWF42" s="476"/>
      <c r="JWG42" s="476"/>
      <c r="JWH42" s="476"/>
      <c r="JWI42" s="476"/>
      <c r="JWJ42" s="476"/>
      <c r="JWK42" s="476"/>
      <c r="JWL42" s="476"/>
      <c r="JWM42" s="476"/>
      <c r="JWN42" s="476"/>
      <c r="JWO42" s="476"/>
      <c r="JWP42" s="476"/>
      <c r="JWQ42" s="476"/>
      <c r="JWR42" s="476"/>
      <c r="JWS42" s="476"/>
      <c r="JWT42" s="476"/>
      <c r="JWU42" s="476"/>
      <c r="JWV42" s="476"/>
      <c r="JWW42" s="476"/>
      <c r="JWX42" s="476"/>
      <c r="JWY42" s="476"/>
      <c r="JWZ42" s="476"/>
      <c r="JXA42" s="476"/>
      <c r="JXB42" s="476"/>
      <c r="JXC42" s="476"/>
      <c r="JXD42" s="476"/>
      <c r="JXE42" s="476"/>
      <c r="JXF42" s="476"/>
      <c r="JXG42" s="476"/>
      <c r="JXH42" s="476"/>
      <c r="JXI42" s="476"/>
      <c r="JXJ42" s="476"/>
      <c r="JXK42" s="476"/>
      <c r="JXL42" s="476"/>
      <c r="JXM42" s="476"/>
      <c r="JXN42" s="476"/>
      <c r="JXO42" s="476"/>
      <c r="JXP42" s="476"/>
      <c r="JXQ42" s="476"/>
      <c r="JXR42" s="476"/>
      <c r="JXS42" s="476"/>
      <c r="JXT42" s="476"/>
      <c r="JXU42" s="476"/>
      <c r="JXV42" s="476"/>
      <c r="JXW42" s="476"/>
      <c r="JXX42" s="476"/>
      <c r="JXY42" s="476"/>
      <c r="JXZ42" s="476"/>
      <c r="JYA42" s="476"/>
      <c r="JYB42" s="476"/>
      <c r="JYC42" s="476"/>
      <c r="JYD42" s="476"/>
      <c r="JYE42" s="476"/>
      <c r="JYF42" s="476"/>
      <c r="JYG42" s="476"/>
      <c r="JYH42" s="476"/>
      <c r="JYI42" s="476"/>
      <c r="JYJ42" s="476"/>
      <c r="JYK42" s="476"/>
      <c r="JYL42" s="476"/>
      <c r="JYM42" s="476"/>
      <c r="JYN42" s="476"/>
      <c r="JYO42" s="476"/>
      <c r="JYP42" s="476"/>
      <c r="JYQ42" s="476"/>
      <c r="JYR42" s="476"/>
      <c r="JYS42" s="476"/>
      <c r="JYT42" s="476"/>
      <c r="JYU42" s="476"/>
      <c r="JYV42" s="476"/>
      <c r="JYW42" s="476"/>
      <c r="JYX42" s="476"/>
      <c r="JYY42" s="476"/>
      <c r="JYZ42" s="476"/>
      <c r="JZA42" s="476"/>
      <c r="JZB42" s="476"/>
      <c r="JZC42" s="476"/>
      <c r="JZD42" s="476"/>
      <c r="JZE42" s="476"/>
      <c r="JZF42" s="476"/>
      <c r="JZG42" s="476"/>
      <c r="JZH42" s="476"/>
      <c r="JZI42" s="476"/>
      <c r="JZJ42" s="476"/>
      <c r="JZK42" s="476"/>
      <c r="JZL42" s="476"/>
      <c r="JZM42" s="476"/>
      <c r="JZN42" s="476"/>
      <c r="JZO42" s="476"/>
      <c r="JZP42" s="476"/>
      <c r="JZQ42" s="476"/>
      <c r="JZR42" s="476"/>
      <c r="JZS42" s="476"/>
      <c r="JZT42" s="476"/>
      <c r="JZU42" s="476"/>
      <c r="JZV42" s="476"/>
      <c r="JZW42" s="476"/>
      <c r="JZX42" s="476"/>
      <c r="JZY42" s="476"/>
      <c r="JZZ42" s="476"/>
      <c r="KAA42" s="476"/>
      <c r="KAB42" s="476"/>
      <c r="KAC42" s="476"/>
      <c r="KAD42" s="476"/>
      <c r="KAE42" s="476"/>
      <c r="KAF42" s="476"/>
      <c r="KAG42" s="476"/>
      <c r="KAH42" s="476"/>
      <c r="KAI42" s="476"/>
      <c r="KAJ42" s="476"/>
      <c r="KAK42" s="476"/>
      <c r="KAL42" s="476"/>
      <c r="KAM42" s="476"/>
      <c r="KAN42" s="476"/>
      <c r="KAO42" s="476"/>
      <c r="KAP42" s="476"/>
      <c r="KAQ42" s="476"/>
      <c r="KAR42" s="476"/>
      <c r="KAS42" s="476"/>
      <c r="KAT42" s="476"/>
      <c r="KAU42" s="476"/>
      <c r="KAV42" s="476"/>
      <c r="KAW42" s="476"/>
      <c r="KAX42" s="476"/>
      <c r="KAY42" s="476"/>
      <c r="KAZ42" s="476"/>
      <c r="KBA42" s="476"/>
      <c r="KBB42" s="476"/>
      <c r="KBC42" s="476"/>
      <c r="KBD42" s="476"/>
      <c r="KBE42" s="476"/>
      <c r="KBF42" s="476"/>
      <c r="KBG42" s="476"/>
      <c r="KBH42" s="476"/>
      <c r="KBI42" s="476"/>
      <c r="KBJ42" s="476"/>
      <c r="KBK42" s="476"/>
      <c r="KBL42" s="476"/>
      <c r="KBM42" s="476"/>
      <c r="KBN42" s="476"/>
      <c r="KBO42" s="476"/>
      <c r="KBP42" s="476"/>
      <c r="KBQ42" s="476"/>
      <c r="KBR42" s="476"/>
      <c r="KBS42" s="476"/>
      <c r="KBT42" s="476"/>
      <c r="KBU42" s="476"/>
      <c r="KBV42" s="476"/>
      <c r="KBW42" s="476"/>
      <c r="KBX42" s="476"/>
      <c r="KBY42" s="476"/>
      <c r="KBZ42" s="476"/>
      <c r="KCA42" s="476"/>
      <c r="KCB42" s="476"/>
      <c r="KCC42" s="476"/>
      <c r="KCD42" s="476"/>
      <c r="KCE42" s="476"/>
      <c r="KCF42" s="476"/>
      <c r="KCG42" s="476"/>
      <c r="KCH42" s="476"/>
      <c r="KCI42" s="476"/>
      <c r="KCJ42" s="476"/>
      <c r="KCK42" s="476"/>
      <c r="KCL42" s="476"/>
      <c r="KCM42" s="476"/>
      <c r="KCN42" s="476"/>
      <c r="KCO42" s="476"/>
      <c r="KCP42" s="476"/>
      <c r="KCQ42" s="476"/>
      <c r="KCR42" s="476"/>
      <c r="KCS42" s="476"/>
      <c r="KCT42" s="476"/>
      <c r="KCU42" s="476"/>
      <c r="KCV42" s="476"/>
      <c r="KCW42" s="476"/>
      <c r="KCX42" s="476"/>
      <c r="KCY42" s="476"/>
      <c r="KCZ42" s="476"/>
      <c r="KDA42" s="476"/>
      <c r="KDB42" s="476"/>
      <c r="KDC42" s="476"/>
      <c r="KDD42" s="476"/>
      <c r="KDE42" s="476"/>
      <c r="KDF42" s="476"/>
      <c r="KDG42" s="476"/>
      <c r="KDH42" s="476"/>
      <c r="KDI42" s="476"/>
      <c r="KDJ42" s="476"/>
      <c r="KDK42" s="476"/>
      <c r="KDL42" s="476"/>
      <c r="KDM42" s="476"/>
      <c r="KDN42" s="476"/>
      <c r="KDO42" s="476"/>
      <c r="KDP42" s="476"/>
      <c r="KDQ42" s="476"/>
      <c r="KDR42" s="476"/>
      <c r="KDS42" s="476"/>
      <c r="KDT42" s="476"/>
      <c r="KDU42" s="476"/>
      <c r="KDV42" s="476"/>
      <c r="KDW42" s="476"/>
      <c r="KDX42" s="476"/>
      <c r="KDY42" s="476"/>
      <c r="KDZ42" s="476"/>
      <c r="KEA42" s="476"/>
      <c r="KEB42" s="476"/>
      <c r="KEC42" s="476"/>
      <c r="KED42" s="476"/>
      <c r="KEE42" s="476"/>
      <c r="KEF42" s="476"/>
      <c r="KEG42" s="476"/>
      <c r="KEH42" s="476"/>
      <c r="KEI42" s="476"/>
      <c r="KEJ42" s="476"/>
      <c r="KEK42" s="476"/>
      <c r="KEL42" s="476"/>
      <c r="KEM42" s="476"/>
      <c r="KEN42" s="476"/>
      <c r="KEO42" s="476"/>
      <c r="KEP42" s="476"/>
      <c r="KEQ42" s="476"/>
      <c r="KER42" s="476"/>
      <c r="KES42" s="476"/>
      <c r="KET42" s="476"/>
      <c r="KEU42" s="476"/>
      <c r="KEV42" s="476"/>
      <c r="KEW42" s="476"/>
      <c r="KEX42" s="476"/>
      <c r="KEY42" s="476"/>
      <c r="KEZ42" s="476"/>
      <c r="KFA42" s="476"/>
      <c r="KFB42" s="476"/>
      <c r="KFC42" s="476"/>
      <c r="KFD42" s="476"/>
      <c r="KFE42" s="476"/>
      <c r="KFF42" s="476"/>
      <c r="KFG42" s="476"/>
      <c r="KFH42" s="476"/>
      <c r="KFI42" s="476"/>
      <c r="KFJ42" s="476"/>
      <c r="KFK42" s="476"/>
      <c r="KFL42" s="476"/>
      <c r="KFM42" s="476"/>
      <c r="KFN42" s="476"/>
      <c r="KFO42" s="476"/>
      <c r="KFP42" s="476"/>
      <c r="KFQ42" s="476"/>
      <c r="KFR42" s="476"/>
      <c r="KFS42" s="476"/>
      <c r="KFT42" s="476"/>
      <c r="KFU42" s="476"/>
      <c r="KFV42" s="476"/>
      <c r="KFW42" s="476"/>
      <c r="KFX42" s="476"/>
      <c r="KFY42" s="476"/>
      <c r="KFZ42" s="476"/>
      <c r="KGA42" s="476"/>
      <c r="KGB42" s="476"/>
      <c r="KGC42" s="476"/>
      <c r="KGD42" s="476"/>
      <c r="KGE42" s="476"/>
      <c r="KGF42" s="476"/>
      <c r="KGG42" s="476"/>
      <c r="KGH42" s="476"/>
      <c r="KGI42" s="476"/>
      <c r="KGJ42" s="476"/>
      <c r="KGK42" s="476"/>
      <c r="KGL42" s="476"/>
      <c r="KGM42" s="476"/>
      <c r="KGN42" s="476"/>
      <c r="KGO42" s="476"/>
      <c r="KGP42" s="476"/>
      <c r="KGQ42" s="476"/>
      <c r="KGR42" s="476"/>
      <c r="KGS42" s="476"/>
      <c r="KGT42" s="476"/>
      <c r="KGU42" s="476"/>
      <c r="KGV42" s="476"/>
      <c r="KGW42" s="476"/>
      <c r="KGX42" s="476"/>
      <c r="KGY42" s="476"/>
      <c r="KGZ42" s="476"/>
      <c r="KHA42" s="476"/>
      <c r="KHB42" s="476"/>
      <c r="KHC42" s="476"/>
      <c r="KHD42" s="476"/>
      <c r="KHE42" s="476"/>
      <c r="KHF42" s="476"/>
      <c r="KHG42" s="476"/>
      <c r="KHH42" s="476"/>
      <c r="KHI42" s="476"/>
      <c r="KHJ42" s="476"/>
      <c r="KHK42" s="476"/>
      <c r="KHL42" s="476"/>
      <c r="KHM42" s="476"/>
      <c r="KHN42" s="476"/>
      <c r="KHO42" s="476"/>
      <c r="KHP42" s="476"/>
      <c r="KHQ42" s="476"/>
      <c r="KHR42" s="476"/>
      <c r="KHS42" s="476"/>
      <c r="KHT42" s="476"/>
      <c r="KHU42" s="476"/>
      <c r="KHV42" s="476"/>
      <c r="KHW42" s="476"/>
      <c r="KHX42" s="476"/>
      <c r="KHY42" s="476"/>
      <c r="KHZ42" s="476"/>
      <c r="KIA42" s="476"/>
      <c r="KIB42" s="476"/>
      <c r="KIC42" s="476"/>
      <c r="KID42" s="476"/>
      <c r="KIE42" s="476"/>
      <c r="KIF42" s="476"/>
      <c r="KIG42" s="476"/>
      <c r="KIH42" s="476"/>
      <c r="KII42" s="476"/>
      <c r="KIJ42" s="476"/>
      <c r="KIK42" s="476"/>
      <c r="KIL42" s="476"/>
      <c r="KIM42" s="476"/>
      <c r="KIN42" s="476"/>
      <c r="KIO42" s="476"/>
      <c r="KIP42" s="476"/>
      <c r="KIQ42" s="476"/>
      <c r="KIR42" s="476"/>
      <c r="KIS42" s="476"/>
      <c r="KIT42" s="476"/>
      <c r="KIU42" s="476"/>
      <c r="KIV42" s="476"/>
      <c r="KIW42" s="476"/>
      <c r="KIX42" s="476"/>
      <c r="KIY42" s="476"/>
      <c r="KIZ42" s="476"/>
      <c r="KJA42" s="476"/>
      <c r="KJB42" s="476"/>
      <c r="KJC42" s="476"/>
      <c r="KJD42" s="476"/>
      <c r="KJE42" s="476"/>
      <c r="KJF42" s="476"/>
      <c r="KJG42" s="476"/>
      <c r="KJH42" s="476"/>
      <c r="KJI42" s="476"/>
      <c r="KJJ42" s="476"/>
      <c r="KJK42" s="476"/>
      <c r="KJL42" s="476"/>
      <c r="KJM42" s="476"/>
      <c r="KJN42" s="476"/>
      <c r="KJO42" s="476"/>
      <c r="KJP42" s="476"/>
      <c r="KJQ42" s="476"/>
      <c r="KJR42" s="476"/>
      <c r="KJS42" s="476"/>
      <c r="KJT42" s="476"/>
      <c r="KJU42" s="476"/>
      <c r="KJV42" s="476"/>
      <c r="KJW42" s="476"/>
      <c r="KJX42" s="476"/>
      <c r="KJY42" s="476"/>
      <c r="KJZ42" s="476"/>
      <c r="KKA42" s="476"/>
      <c r="KKB42" s="476"/>
      <c r="KKC42" s="476"/>
      <c r="KKD42" s="476"/>
      <c r="KKE42" s="476"/>
      <c r="KKF42" s="476"/>
      <c r="KKG42" s="476"/>
      <c r="KKH42" s="476"/>
      <c r="KKI42" s="476"/>
      <c r="KKJ42" s="476"/>
      <c r="KKK42" s="476"/>
      <c r="KKL42" s="476"/>
      <c r="KKM42" s="476"/>
      <c r="KKN42" s="476"/>
      <c r="KKO42" s="476"/>
      <c r="KKP42" s="476"/>
      <c r="KKQ42" s="476"/>
      <c r="KKR42" s="476"/>
      <c r="KKS42" s="476"/>
      <c r="KKT42" s="476"/>
      <c r="KKU42" s="476"/>
      <c r="KKV42" s="476"/>
      <c r="KKW42" s="476"/>
      <c r="KKX42" s="476"/>
      <c r="KKY42" s="476"/>
      <c r="KKZ42" s="476"/>
      <c r="KLA42" s="476"/>
      <c r="KLB42" s="476"/>
      <c r="KLC42" s="476"/>
      <c r="KLD42" s="476"/>
      <c r="KLE42" s="476"/>
      <c r="KLF42" s="476"/>
      <c r="KLG42" s="476"/>
      <c r="KLH42" s="476"/>
      <c r="KLI42" s="476"/>
      <c r="KLJ42" s="476"/>
      <c r="KLK42" s="476"/>
      <c r="KLL42" s="476"/>
      <c r="KLM42" s="476"/>
      <c r="KLN42" s="476"/>
      <c r="KLO42" s="476"/>
      <c r="KLP42" s="476"/>
      <c r="KLQ42" s="476"/>
      <c r="KLR42" s="476"/>
      <c r="KLS42" s="476"/>
      <c r="KLT42" s="476"/>
      <c r="KLU42" s="476"/>
      <c r="KLV42" s="476"/>
      <c r="KLW42" s="476"/>
      <c r="KLX42" s="476"/>
      <c r="KLY42" s="476"/>
      <c r="KLZ42" s="476"/>
      <c r="KMA42" s="476"/>
      <c r="KMB42" s="476"/>
      <c r="KMC42" s="476"/>
      <c r="KMD42" s="476"/>
      <c r="KME42" s="476"/>
      <c r="KMF42" s="476"/>
      <c r="KMG42" s="476"/>
      <c r="KMH42" s="476"/>
      <c r="KMI42" s="476"/>
      <c r="KMJ42" s="476"/>
      <c r="KMK42" s="476"/>
      <c r="KML42" s="476"/>
      <c r="KMM42" s="476"/>
      <c r="KMN42" s="476"/>
      <c r="KMO42" s="476"/>
      <c r="KMP42" s="476"/>
      <c r="KMQ42" s="476"/>
      <c r="KMR42" s="476"/>
      <c r="KMS42" s="476"/>
      <c r="KMT42" s="476"/>
      <c r="KMU42" s="476"/>
      <c r="KMV42" s="476"/>
      <c r="KMW42" s="476"/>
      <c r="KMX42" s="476"/>
      <c r="KMY42" s="476"/>
      <c r="KMZ42" s="476"/>
      <c r="KNA42" s="476"/>
      <c r="KNB42" s="476"/>
      <c r="KNC42" s="476"/>
      <c r="KND42" s="476"/>
      <c r="KNE42" s="476"/>
      <c r="KNF42" s="476"/>
      <c r="KNG42" s="476"/>
      <c r="KNH42" s="476"/>
      <c r="KNI42" s="476"/>
      <c r="KNJ42" s="476"/>
      <c r="KNK42" s="476"/>
      <c r="KNL42" s="476"/>
      <c r="KNM42" s="476"/>
      <c r="KNN42" s="476"/>
      <c r="KNO42" s="476"/>
      <c r="KNP42" s="476"/>
      <c r="KNQ42" s="476"/>
      <c r="KNR42" s="476"/>
      <c r="KNS42" s="476"/>
      <c r="KNT42" s="476"/>
      <c r="KNU42" s="476"/>
      <c r="KNV42" s="476"/>
      <c r="KNW42" s="476"/>
      <c r="KNX42" s="476"/>
      <c r="KNY42" s="476"/>
      <c r="KNZ42" s="476"/>
      <c r="KOA42" s="476"/>
      <c r="KOB42" s="476"/>
      <c r="KOC42" s="476"/>
      <c r="KOD42" s="476"/>
      <c r="KOE42" s="476"/>
      <c r="KOF42" s="476"/>
      <c r="KOG42" s="476"/>
      <c r="KOH42" s="476"/>
      <c r="KOI42" s="476"/>
      <c r="KOJ42" s="476"/>
      <c r="KOK42" s="476"/>
      <c r="KOL42" s="476"/>
      <c r="KOM42" s="476"/>
      <c r="KON42" s="476"/>
      <c r="KOO42" s="476"/>
      <c r="KOP42" s="476"/>
      <c r="KOQ42" s="476"/>
      <c r="KOR42" s="476"/>
      <c r="KOS42" s="476"/>
      <c r="KOT42" s="476"/>
      <c r="KOU42" s="476"/>
      <c r="KOV42" s="476"/>
      <c r="KOW42" s="476"/>
      <c r="KOX42" s="476"/>
      <c r="KOY42" s="476"/>
      <c r="KOZ42" s="476"/>
      <c r="KPA42" s="476"/>
      <c r="KPB42" s="476"/>
      <c r="KPC42" s="476"/>
      <c r="KPD42" s="476"/>
      <c r="KPE42" s="476"/>
      <c r="KPF42" s="476"/>
      <c r="KPG42" s="476"/>
      <c r="KPH42" s="476"/>
      <c r="KPI42" s="476"/>
      <c r="KPJ42" s="476"/>
      <c r="KPK42" s="476"/>
      <c r="KPL42" s="476"/>
      <c r="KPM42" s="476"/>
      <c r="KPN42" s="476"/>
      <c r="KPO42" s="476"/>
      <c r="KPP42" s="476"/>
      <c r="KPQ42" s="476"/>
      <c r="KPR42" s="476"/>
      <c r="KPS42" s="476"/>
      <c r="KPT42" s="476"/>
      <c r="KPU42" s="476"/>
      <c r="KPV42" s="476"/>
      <c r="KPW42" s="476"/>
      <c r="KPX42" s="476"/>
      <c r="KPY42" s="476"/>
      <c r="KPZ42" s="476"/>
      <c r="KQA42" s="476"/>
      <c r="KQB42" s="476"/>
      <c r="KQC42" s="476"/>
      <c r="KQD42" s="476"/>
      <c r="KQE42" s="476"/>
      <c r="KQF42" s="476"/>
      <c r="KQG42" s="476"/>
      <c r="KQH42" s="476"/>
      <c r="KQI42" s="476"/>
      <c r="KQJ42" s="476"/>
      <c r="KQK42" s="476"/>
      <c r="KQL42" s="476"/>
      <c r="KQM42" s="476"/>
      <c r="KQN42" s="476"/>
      <c r="KQO42" s="476"/>
      <c r="KQP42" s="476"/>
      <c r="KQQ42" s="476"/>
      <c r="KQR42" s="476"/>
      <c r="KQS42" s="476"/>
      <c r="KQT42" s="476"/>
      <c r="KQU42" s="476"/>
      <c r="KQV42" s="476"/>
      <c r="KQW42" s="476"/>
      <c r="KQX42" s="476"/>
      <c r="KQY42" s="476"/>
      <c r="KQZ42" s="476"/>
      <c r="KRA42" s="476"/>
      <c r="KRB42" s="476"/>
      <c r="KRC42" s="476"/>
      <c r="KRD42" s="476"/>
      <c r="KRE42" s="476"/>
      <c r="KRF42" s="476"/>
      <c r="KRG42" s="476"/>
      <c r="KRH42" s="476"/>
      <c r="KRI42" s="476"/>
      <c r="KRJ42" s="476"/>
      <c r="KRK42" s="476"/>
      <c r="KRL42" s="476"/>
      <c r="KRM42" s="476"/>
      <c r="KRN42" s="476"/>
      <c r="KRO42" s="476"/>
      <c r="KRP42" s="476"/>
      <c r="KRQ42" s="476"/>
      <c r="KRR42" s="476"/>
      <c r="KRS42" s="476"/>
      <c r="KRT42" s="476"/>
      <c r="KRU42" s="476"/>
      <c r="KRV42" s="476"/>
      <c r="KRW42" s="476"/>
      <c r="KRX42" s="476"/>
      <c r="KRY42" s="476"/>
      <c r="KRZ42" s="476"/>
      <c r="KSA42" s="476"/>
      <c r="KSB42" s="476"/>
      <c r="KSC42" s="476"/>
      <c r="KSD42" s="476"/>
      <c r="KSE42" s="476"/>
      <c r="KSF42" s="476"/>
      <c r="KSG42" s="476"/>
      <c r="KSH42" s="476"/>
      <c r="KSI42" s="476"/>
      <c r="KSJ42" s="476"/>
      <c r="KSK42" s="476"/>
      <c r="KSL42" s="476"/>
      <c r="KSM42" s="476"/>
      <c r="KSN42" s="476"/>
      <c r="KSO42" s="476"/>
      <c r="KSP42" s="476"/>
      <c r="KSQ42" s="476"/>
      <c r="KSR42" s="476"/>
      <c r="KSS42" s="476"/>
      <c r="KST42" s="476"/>
      <c r="KSU42" s="476"/>
      <c r="KSV42" s="476"/>
      <c r="KSW42" s="476"/>
      <c r="KSX42" s="476"/>
      <c r="KSY42" s="476"/>
      <c r="KSZ42" s="476"/>
      <c r="KTA42" s="476"/>
      <c r="KTB42" s="476"/>
      <c r="KTC42" s="476"/>
      <c r="KTD42" s="476"/>
      <c r="KTE42" s="476"/>
      <c r="KTF42" s="476"/>
      <c r="KTG42" s="476"/>
      <c r="KTH42" s="476"/>
      <c r="KTI42" s="476"/>
      <c r="KTJ42" s="476"/>
      <c r="KTK42" s="476"/>
      <c r="KTL42" s="476"/>
      <c r="KTM42" s="476"/>
      <c r="KTN42" s="476"/>
      <c r="KTO42" s="476"/>
      <c r="KTP42" s="476"/>
      <c r="KTQ42" s="476"/>
      <c r="KTR42" s="476"/>
      <c r="KTS42" s="476"/>
      <c r="KTT42" s="476"/>
      <c r="KTU42" s="476"/>
      <c r="KTV42" s="476"/>
      <c r="KTW42" s="476"/>
      <c r="KTX42" s="476"/>
      <c r="KTY42" s="476"/>
      <c r="KTZ42" s="476"/>
      <c r="KUA42" s="476"/>
      <c r="KUB42" s="476"/>
      <c r="KUC42" s="476"/>
      <c r="KUD42" s="476"/>
      <c r="KUE42" s="476"/>
      <c r="KUF42" s="476"/>
      <c r="KUG42" s="476"/>
      <c r="KUH42" s="476"/>
      <c r="KUI42" s="476"/>
      <c r="KUJ42" s="476"/>
      <c r="KUK42" s="476"/>
      <c r="KUL42" s="476"/>
      <c r="KUM42" s="476"/>
      <c r="KUN42" s="476"/>
      <c r="KUO42" s="476"/>
      <c r="KUP42" s="476"/>
      <c r="KUQ42" s="476"/>
      <c r="KUR42" s="476"/>
      <c r="KUS42" s="476"/>
      <c r="KUT42" s="476"/>
      <c r="KUU42" s="476"/>
      <c r="KUV42" s="476"/>
      <c r="KUW42" s="476"/>
      <c r="KUX42" s="476"/>
      <c r="KUY42" s="476"/>
      <c r="KUZ42" s="476"/>
      <c r="KVA42" s="476"/>
      <c r="KVB42" s="476"/>
      <c r="KVC42" s="476"/>
      <c r="KVD42" s="476"/>
      <c r="KVE42" s="476"/>
      <c r="KVF42" s="476"/>
      <c r="KVG42" s="476"/>
      <c r="KVH42" s="476"/>
      <c r="KVI42" s="476"/>
      <c r="KVJ42" s="476"/>
      <c r="KVK42" s="476"/>
      <c r="KVL42" s="476"/>
      <c r="KVM42" s="476"/>
      <c r="KVN42" s="476"/>
      <c r="KVO42" s="476"/>
      <c r="KVP42" s="476"/>
      <c r="KVQ42" s="476"/>
      <c r="KVR42" s="476"/>
      <c r="KVS42" s="476"/>
      <c r="KVT42" s="476"/>
      <c r="KVU42" s="476"/>
      <c r="KVV42" s="476"/>
      <c r="KVW42" s="476"/>
      <c r="KVX42" s="476"/>
      <c r="KVY42" s="476"/>
      <c r="KVZ42" s="476"/>
      <c r="KWA42" s="476"/>
      <c r="KWB42" s="476"/>
      <c r="KWC42" s="476"/>
      <c r="KWD42" s="476"/>
      <c r="KWE42" s="476"/>
      <c r="KWF42" s="476"/>
      <c r="KWG42" s="476"/>
      <c r="KWH42" s="476"/>
      <c r="KWI42" s="476"/>
      <c r="KWJ42" s="476"/>
      <c r="KWK42" s="476"/>
      <c r="KWL42" s="476"/>
      <c r="KWM42" s="476"/>
      <c r="KWN42" s="476"/>
      <c r="KWO42" s="476"/>
      <c r="KWP42" s="476"/>
      <c r="KWQ42" s="476"/>
      <c r="KWR42" s="476"/>
      <c r="KWS42" s="476"/>
      <c r="KWT42" s="476"/>
      <c r="KWU42" s="476"/>
      <c r="KWV42" s="476"/>
      <c r="KWW42" s="476"/>
      <c r="KWX42" s="476"/>
      <c r="KWY42" s="476"/>
      <c r="KWZ42" s="476"/>
      <c r="KXA42" s="476"/>
      <c r="KXB42" s="476"/>
      <c r="KXC42" s="476"/>
      <c r="KXD42" s="476"/>
      <c r="KXE42" s="476"/>
      <c r="KXF42" s="476"/>
      <c r="KXG42" s="476"/>
      <c r="KXH42" s="476"/>
      <c r="KXI42" s="476"/>
      <c r="KXJ42" s="476"/>
      <c r="KXK42" s="476"/>
      <c r="KXL42" s="476"/>
      <c r="KXM42" s="476"/>
      <c r="KXN42" s="476"/>
      <c r="KXO42" s="476"/>
      <c r="KXP42" s="476"/>
      <c r="KXQ42" s="476"/>
      <c r="KXR42" s="476"/>
      <c r="KXS42" s="476"/>
      <c r="KXT42" s="476"/>
      <c r="KXU42" s="476"/>
      <c r="KXV42" s="476"/>
      <c r="KXW42" s="476"/>
      <c r="KXX42" s="476"/>
      <c r="KXY42" s="476"/>
      <c r="KXZ42" s="476"/>
      <c r="KYA42" s="476"/>
      <c r="KYB42" s="476"/>
      <c r="KYC42" s="476"/>
      <c r="KYD42" s="476"/>
      <c r="KYE42" s="476"/>
      <c r="KYF42" s="476"/>
      <c r="KYG42" s="476"/>
      <c r="KYH42" s="476"/>
      <c r="KYI42" s="476"/>
      <c r="KYJ42" s="476"/>
      <c r="KYK42" s="476"/>
      <c r="KYL42" s="476"/>
      <c r="KYM42" s="476"/>
      <c r="KYN42" s="476"/>
      <c r="KYO42" s="476"/>
      <c r="KYP42" s="476"/>
      <c r="KYQ42" s="476"/>
      <c r="KYR42" s="476"/>
      <c r="KYS42" s="476"/>
      <c r="KYT42" s="476"/>
      <c r="KYU42" s="476"/>
      <c r="KYV42" s="476"/>
      <c r="KYW42" s="476"/>
      <c r="KYX42" s="476"/>
      <c r="KYY42" s="476"/>
      <c r="KYZ42" s="476"/>
      <c r="KZA42" s="476"/>
      <c r="KZB42" s="476"/>
      <c r="KZC42" s="476"/>
      <c r="KZD42" s="476"/>
      <c r="KZE42" s="476"/>
      <c r="KZF42" s="476"/>
      <c r="KZG42" s="476"/>
      <c r="KZH42" s="476"/>
      <c r="KZI42" s="476"/>
      <c r="KZJ42" s="476"/>
      <c r="KZK42" s="476"/>
      <c r="KZL42" s="476"/>
      <c r="KZM42" s="476"/>
      <c r="KZN42" s="476"/>
      <c r="KZO42" s="476"/>
      <c r="KZP42" s="476"/>
      <c r="KZQ42" s="476"/>
      <c r="KZR42" s="476"/>
      <c r="KZS42" s="476"/>
      <c r="KZT42" s="476"/>
      <c r="KZU42" s="476"/>
      <c r="KZV42" s="476"/>
      <c r="KZW42" s="476"/>
      <c r="KZX42" s="476"/>
      <c r="KZY42" s="476"/>
      <c r="KZZ42" s="476"/>
      <c r="LAA42" s="476"/>
      <c r="LAB42" s="476"/>
      <c r="LAC42" s="476"/>
      <c r="LAD42" s="476"/>
      <c r="LAE42" s="476"/>
      <c r="LAF42" s="476"/>
      <c r="LAG42" s="476"/>
      <c r="LAH42" s="476"/>
      <c r="LAI42" s="476"/>
      <c r="LAJ42" s="476"/>
      <c r="LAK42" s="476"/>
      <c r="LAL42" s="476"/>
      <c r="LAM42" s="476"/>
      <c r="LAN42" s="476"/>
      <c r="LAO42" s="476"/>
      <c r="LAP42" s="476"/>
      <c r="LAQ42" s="476"/>
      <c r="LAR42" s="476"/>
      <c r="LAS42" s="476"/>
      <c r="LAT42" s="476"/>
      <c r="LAU42" s="476"/>
      <c r="LAV42" s="476"/>
      <c r="LAW42" s="476"/>
      <c r="LAX42" s="476"/>
      <c r="LAY42" s="476"/>
      <c r="LAZ42" s="476"/>
      <c r="LBA42" s="476"/>
      <c r="LBB42" s="476"/>
      <c r="LBC42" s="476"/>
      <c r="LBD42" s="476"/>
      <c r="LBE42" s="476"/>
      <c r="LBF42" s="476"/>
      <c r="LBG42" s="476"/>
      <c r="LBH42" s="476"/>
      <c r="LBI42" s="476"/>
      <c r="LBJ42" s="476"/>
      <c r="LBK42" s="476"/>
      <c r="LBL42" s="476"/>
      <c r="LBM42" s="476"/>
      <c r="LBN42" s="476"/>
      <c r="LBO42" s="476"/>
      <c r="LBP42" s="476"/>
      <c r="LBQ42" s="476"/>
      <c r="LBR42" s="476"/>
      <c r="LBS42" s="476"/>
      <c r="LBT42" s="476"/>
      <c r="LBU42" s="476"/>
      <c r="LBV42" s="476"/>
      <c r="LBW42" s="476"/>
      <c r="LBX42" s="476"/>
      <c r="LBY42" s="476"/>
      <c r="LBZ42" s="476"/>
      <c r="LCA42" s="476"/>
      <c r="LCB42" s="476"/>
      <c r="LCC42" s="476"/>
      <c r="LCD42" s="476"/>
      <c r="LCE42" s="476"/>
      <c r="LCF42" s="476"/>
      <c r="LCG42" s="476"/>
      <c r="LCH42" s="476"/>
      <c r="LCI42" s="476"/>
      <c r="LCJ42" s="476"/>
      <c r="LCK42" s="476"/>
      <c r="LCL42" s="476"/>
      <c r="LCM42" s="476"/>
      <c r="LCN42" s="476"/>
      <c r="LCO42" s="476"/>
      <c r="LCP42" s="476"/>
      <c r="LCQ42" s="476"/>
      <c r="LCR42" s="476"/>
      <c r="LCS42" s="476"/>
      <c r="LCT42" s="476"/>
      <c r="LCU42" s="476"/>
      <c r="LCV42" s="476"/>
      <c r="LCW42" s="476"/>
      <c r="LCX42" s="476"/>
      <c r="LCY42" s="476"/>
      <c r="LCZ42" s="476"/>
      <c r="LDA42" s="476"/>
      <c r="LDB42" s="476"/>
      <c r="LDC42" s="476"/>
      <c r="LDD42" s="476"/>
      <c r="LDE42" s="476"/>
      <c r="LDF42" s="476"/>
      <c r="LDG42" s="476"/>
      <c r="LDH42" s="476"/>
      <c r="LDI42" s="476"/>
      <c r="LDJ42" s="476"/>
      <c r="LDK42" s="476"/>
      <c r="LDL42" s="476"/>
      <c r="LDM42" s="476"/>
      <c r="LDN42" s="476"/>
      <c r="LDO42" s="476"/>
      <c r="LDP42" s="476"/>
      <c r="LDQ42" s="476"/>
      <c r="LDR42" s="476"/>
      <c r="LDS42" s="476"/>
      <c r="LDT42" s="476"/>
      <c r="LDU42" s="476"/>
      <c r="LDV42" s="476"/>
      <c r="LDW42" s="476"/>
      <c r="LDX42" s="476"/>
      <c r="LDY42" s="476"/>
      <c r="LDZ42" s="476"/>
      <c r="LEA42" s="476"/>
      <c r="LEB42" s="476"/>
      <c r="LEC42" s="476"/>
      <c r="LED42" s="476"/>
      <c r="LEE42" s="476"/>
      <c r="LEF42" s="476"/>
      <c r="LEG42" s="476"/>
      <c r="LEH42" s="476"/>
      <c r="LEI42" s="476"/>
      <c r="LEJ42" s="476"/>
      <c r="LEK42" s="476"/>
      <c r="LEL42" s="476"/>
      <c r="LEM42" s="476"/>
      <c r="LEN42" s="476"/>
      <c r="LEO42" s="476"/>
      <c r="LEP42" s="476"/>
      <c r="LEQ42" s="476"/>
      <c r="LER42" s="476"/>
      <c r="LES42" s="476"/>
      <c r="LET42" s="476"/>
      <c r="LEU42" s="476"/>
      <c r="LEV42" s="476"/>
      <c r="LEW42" s="476"/>
      <c r="LEX42" s="476"/>
      <c r="LEY42" s="476"/>
      <c r="LEZ42" s="476"/>
      <c r="LFA42" s="476"/>
      <c r="LFB42" s="476"/>
      <c r="LFC42" s="476"/>
      <c r="LFD42" s="476"/>
      <c r="LFE42" s="476"/>
      <c r="LFF42" s="476"/>
      <c r="LFG42" s="476"/>
      <c r="LFH42" s="476"/>
      <c r="LFI42" s="476"/>
      <c r="LFJ42" s="476"/>
      <c r="LFK42" s="476"/>
      <c r="LFL42" s="476"/>
      <c r="LFM42" s="476"/>
      <c r="LFN42" s="476"/>
      <c r="LFO42" s="476"/>
      <c r="LFP42" s="476"/>
      <c r="LFQ42" s="476"/>
      <c r="LFR42" s="476"/>
      <c r="LFS42" s="476"/>
      <c r="LFT42" s="476"/>
      <c r="LFU42" s="476"/>
      <c r="LFV42" s="476"/>
      <c r="LFW42" s="476"/>
      <c r="LFX42" s="476"/>
      <c r="LFY42" s="476"/>
      <c r="LFZ42" s="476"/>
      <c r="LGA42" s="476"/>
      <c r="LGB42" s="476"/>
      <c r="LGC42" s="476"/>
      <c r="LGD42" s="476"/>
      <c r="LGE42" s="476"/>
      <c r="LGF42" s="476"/>
      <c r="LGG42" s="476"/>
      <c r="LGH42" s="476"/>
      <c r="LGI42" s="476"/>
      <c r="LGJ42" s="476"/>
      <c r="LGK42" s="476"/>
      <c r="LGL42" s="476"/>
      <c r="LGM42" s="476"/>
      <c r="LGN42" s="476"/>
      <c r="LGO42" s="476"/>
      <c r="LGP42" s="476"/>
      <c r="LGQ42" s="476"/>
      <c r="LGR42" s="476"/>
      <c r="LGS42" s="476"/>
      <c r="LGT42" s="476"/>
      <c r="LGU42" s="476"/>
      <c r="LGV42" s="476"/>
      <c r="LGW42" s="476"/>
      <c r="LGX42" s="476"/>
      <c r="LGY42" s="476"/>
      <c r="LGZ42" s="476"/>
      <c r="LHA42" s="476"/>
      <c r="LHB42" s="476"/>
      <c r="LHC42" s="476"/>
      <c r="LHD42" s="476"/>
      <c r="LHE42" s="476"/>
      <c r="LHF42" s="476"/>
      <c r="LHG42" s="476"/>
      <c r="LHH42" s="476"/>
      <c r="LHI42" s="476"/>
      <c r="LHJ42" s="476"/>
      <c r="LHK42" s="476"/>
      <c r="LHL42" s="476"/>
      <c r="LHM42" s="476"/>
      <c r="LHN42" s="476"/>
      <c r="LHO42" s="476"/>
      <c r="LHP42" s="476"/>
      <c r="LHQ42" s="476"/>
      <c r="LHR42" s="476"/>
      <c r="LHS42" s="476"/>
      <c r="LHT42" s="476"/>
      <c r="LHU42" s="476"/>
      <c r="LHV42" s="476"/>
      <c r="LHW42" s="476"/>
      <c r="LHX42" s="476"/>
      <c r="LHY42" s="476"/>
      <c r="LHZ42" s="476"/>
      <c r="LIA42" s="476"/>
      <c r="LIB42" s="476"/>
      <c r="LIC42" s="476"/>
      <c r="LID42" s="476"/>
      <c r="LIE42" s="476"/>
      <c r="LIF42" s="476"/>
      <c r="LIG42" s="476"/>
      <c r="LIH42" s="476"/>
      <c r="LII42" s="476"/>
      <c r="LIJ42" s="476"/>
      <c r="LIK42" s="476"/>
      <c r="LIL42" s="476"/>
      <c r="LIM42" s="476"/>
      <c r="LIN42" s="476"/>
      <c r="LIO42" s="476"/>
      <c r="LIP42" s="476"/>
      <c r="LIQ42" s="476"/>
      <c r="LIR42" s="476"/>
      <c r="LIS42" s="476"/>
      <c r="LIT42" s="476"/>
      <c r="LIU42" s="476"/>
      <c r="LIV42" s="476"/>
      <c r="LIW42" s="476"/>
      <c r="LIX42" s="476"/>
      <c r="LIY42" s="476"/>
      <c r="LIZ42" s="476"/>
      <c r="LJA42" s="476"/>
      <c r="LJB42" s="476"/>
      <c r="LJC42" s="476"/>
      <c r="LJD42" s="476"/>
      <c r="LJE42" s="476"/>
      <c r="LJF42" s="476"/>
      <c r="LJG42" s="476"/>
      <c r="LJH42" s="476"/>
      <c r="LJI42" s="476"/>
      <c r="LJJ42" s="476"/>
      <c r="LJK42" s="476"/>
      <c r="LJL42" s="476"/>
      <c r="LJM42" s="476"/>
      <c r="LJN42" s="476"/>
      <c r="LJO42" s="476"/>
      <c r="LJP42" s="476"/>
      <c r="LJQ42" s="476"/>
      <c r="LJR42" s="476"/>
      <c r="LJS42" s="476"/>
      <c r="LJT42" s="476"/>
      <c r="LJU42" s="476"/>
      <c r="LJV42" s="476"/>
      <c r="LJW42" s="476"/>
      <c r="LJX42" s="476"/>
      <c r="LJY42" s="476"/>
      <c r="LJZ42" s="476"/>
      <c r="LKA42" s="476"/>
      <c r="LKB42" s="476"/>
      <c r="LKC42" s="476"/>
      <c r="LKD42" s="476"/>
      <c r="LKE42" s="476"/>
      <c r="LKF42" s="476"/>
      <c r="LKG42" s="476"/>
      <c r="LKH42" s="476"/>
      <c r="LKI42" s="476"/>
      <c r="LKJ42" s="476"/>
      <c r="LKK42" s="476"/>
      <c r="LKL42" s="476"/>
      <c r="LKM42" s="476"/>
      <c r="LKN42" s="476"/>
      <c r="LKO42" s="476"/>
      <c r="LKP42" s="476"/>
      <c r="LKQ42" s="476"/>
      <c r="LKR42" s="476"/>
      <c r="LKS42" s="476"/>
      <c r="LKT42" s="476"/>
      <c r="LKU42" s="476"/>
      <c r="LKV42" s="476"/>
      <c r="LKW42" s="476"/>
      <c r="LKX42" s="476"/>
      <c r="LKY42" s="476"/>
      <c r="LKZ42" s="476"/>
      <c r="LLA42" s="476"/>
      <c r="LLB42" s="476"/>
      <c r="LLC42" s="476"/>
      <c r="LLD42" s="476"/>
      <c r="LLE42" s="476"/>
      <c r="LLF42" s="476"/>
      <c r="LLG42" s="476"/>
      <c r="LLH42" s="476"/>
      <c r="LLI42" s="476"/>
      <c r="LLJ42" s="476"/>
      <c r="LLK42" s="476"/>
      <c r="LLL42" s="476"/>
      <c r="LLM42" s="476"/>
      <c r="LLN42" s="476"/>
      <c r="LLO42" s="476"/>
      <c r="LLP42" s="476"/>
      <c r="LLQ42" s="476"/>
      <c r="LLR42" s="476"/>
      <c r="LLS42" s="476"/>
      <c r="LLT42" s="476"/>
      <c r="LLU42" s="476"/>
      <c r="LLV42" s="476"/>
      <c r="LLW42" s="476"/>
      <c r="LLX42" s="476"/>
      <c r="LLY42" s="476"/>
      <c r="LLZ42" s="476"/>
      <c r="LMA42" s="476"/>
      <c r="LMB42" s="476"/>
      <c r="LMC42" s="476"/>
      <c r="LMD42" s="476"/>
      <c r="LME42" s="476"/>
      <c r="LMF42" s="476"/>
      <c r="LMG42" s="476"/>
      <c r="LMH42" s="476"/>
      <c r="LMI42" s="476"/>
      <c r="LMJ42" s="476"/>
      <c r="LMK42" s="476"/>
      <c r="LML42" s="476"/>
      <c r="LMM42" s="476"/>
      <c r="LMN42" s="476"/>
      <c r="LMO42" s="476"/>
      <c r="LMP42" s="476"/>
      <c r="LMQ42" s="476"/>
      <c r="LMR42" s="476"/>
      <c r="LMS42" s="476"/>
      <c r="LMT42" s="476"/>
      <c r="LMU42" s="476"/>
      <c r="LMV42" s="476"/>
      <c r="LMW42" s="476"/>
      <c r="LMX42" s="476"/>
      <c r="LMY42" s="476"/>
      <c r="LMZ42" s="476"/>
      <c r="LNA42" s="476"/>
      <c r="LNB42" s="476"/>
      <c r="LNC42" s="476"/>
      <c r="LND42" s="476"/>
      <c r="LNE42" s="476"/>
      <c r="LNF42" s="476"/>
      <c r="LNG42" s="476"/>
      <c r="LNH42" s="476"/>
      <c r="LNI42" s="476"/>
      <c r="LNJ42" s="476"/>
      <c r="LNK42" s="476"/>
      <c r="LNL42" s="476"/>
      <c r="LNM42" s="476"/>
      <c r="LNN42" s="476"/>
      <c r="LNO42" s="476"/>
      <c r="LNP42" s="476"/>
      <c r="LNQ42" s="476"/>
      <c r="LNR42" s="476"/>
      <c r="LNS42" s="476"/>
      <c r="LNT42" s="476"/>
      <c r="LNU42" s="476"/>
      <c r="LNV42" s="476"/>
      <c r="LNW42" s="476"/>
      <c r="LNX42" s="476"/>
      <c r="LNY42" s="476"/>
      <c r="LNZ42" s="476"/>
      <c r="LOA42" s="476"/>
      <c r="LOB42" s="476"/>
      <c r="LOC42" s="476"/>
      <c r="LOD42" s="476"/>
      <c r="LOE42" s="476"/>
      <c r="LOF42" s="476"/>
      <c r="LOG42" s="476"/>
      <c r="LOH42" s="476"/>
      <c r="LOI42" s="476"/>
      <c r="LOJ42" s="476"/>
      <c r="LOK42" s="476"/>
      <c r="LOL42" s="476"/>
      <c r="LOM42" s="476"/>
      <c r="LON42" s="476"/>
      <c r="LOO42" s="476"/>
      <c r="LOP42" s="476"/>
      <c r="LOQ42" s="476"/>
      <c r="LOR42" s="476"/>
      <c r="LOS42" s="476"/>
      <c r="LOT42" s="476"/>
      <c r="LOU42" s="476"/>
      <c r="LOV42" s="476"/>
      <c r="LOW42" s="476"/>
      <c r="LOX42" s="476"/>
      <c r="LOY42" s="476"/>
      <c r="LOZ42" s="476"/>
      <c r="LPA42" s="476"/>
      <c r="LPB42" s="476"/>
      <c r="LPC42" s="476"/>
      <c r="LPD42" s="476"/>
      <c r="LPE42" s="476"/>
      <c r="LPF42" s="476"/>
      <c r="LPG42" s="476"/>
      <c r="LPH42" s="476"/>
      <c r="LPI42" s="476"/>
      <c r="LPJ42" s="476"/>
      <c r="LPK42" s="476"/>
      <c r="LPL42" s="476"/>
      <c r="LPM42" s="476"/>
      <c r="LPN42" s="476"/>
      <c r="LPO42" s="476"/>
      <c r="LPP42" s="476"/>
      <c r="LPQ42" s="476"/>
      <c r="LPR42" s="476"/>
      <c r="LPS42" s="476"/>
      <c r="LPT42" s="476"/>
      <c r="LPU42" s="476"/>
      <c r="LPV42" s="476"/>
      <c r="LPW42" s="476"/>
      <c r="LPX42" s="476"/>
      <c r="LPY42" s="476"/>
      <c r="LPZ42" s="476"/>
      <c r="LQA42" s="476"/>
      <c r="LQB42" s="476"/>
      <c r="LQC42" s="476"/>
      <c r="LQD42" s="476"/>
      <c r="LQE42" s="476"/>
      <c r="LQF42" s="476"/>
      <c r="LQG42" s="476"/>
      <c r="LQH42" s="476"/>
      <c r="LQI42" s="476"/>
      <c r="LQJ42" s="476"/>
      <c r="LQK42" s="476"/>
      <c r="LQL42" s="476"/>
      <c r="LQM42" s="476"/>
      <c r="LQN42" s="476"/>
      <c r="LQO42" s="476"/>
      <c r="LQP42" s="476"/>
      <c r="LQQ42" s="476"/>
      <c r="LQR42" s="476"/>
      <c r="LQS42" s="476"/>
      <c r="LQT42" s="476"/>
      <c r="LQU42" s="476"/>
      <c r="LQV42" s="476"/>
      <c r="LQW42" s="476"/>
      <c r="LQX42" s="476"/>
      <c r="LQY42" s="476"/>
      <c r="LQZ42" s="476"/>
      <c r="LRA42" s="476"/>
      <c r="LRB42" s="476"/>
      <c r="LRC42" s="476"/>
      <c r="LRD42" s="476"/>
      <c r="LRE42" s="476"/>
      <c r="LRF42" s="476"/>
      <c r="LRG42" s="476"/>
      <c r="LRH42" s="476"/>
      <c r="LRI42" s="476"/>
      <c r="LRJ42" s="476"/>
      <c r="LRK42" s="476"/>
      <c r="LRL42" s="476"/>
      <c r="LRM42" s="476"/>
      <c r="LRN42" s="476"/>
      <c r="LRO42" s="476"/>
      <c r="LRP42" s="476"/>
      <c r="LRQ42" s="476"/>
      <c r="LRR42" s="476"/>
      <c r="LRS42" s="476"/>
      <c r="LRT42" s="476"/>
      <c r="LRU42" s="476"/>
      <c r="LRV42" s="476"/>
      <c r="LRW42" s="476"/>
      <c r="LRX42" s="476"/>
      <c r="LRY42" s="476"/>
      <c r="LRZ42" s="476"/>
      <c r="LSA42" s="476"/>
      <c r="LSB42" s="476"/>
      <c r="LSC42" s="476"/>
      <c r="LSD42" s="476"/>
      <c r="LSE42" s="476"/>
      <c r="LSF42" s="476"/>
      <c r="LSG42" s="476"/>
      <c r="LSH42" s="476"/>
      <c r="LSI42" s="476"/>
      <c r="LSJ42" s="476"/>
      <c r="LSK42" s="476"/>
      <c r="LSL42" s="476"/>
      <c r="LSM42" s="476"/>
      <c r="LSN42" s="476"/>
      <c r="LSO42" s="476"/>
      <c r="LSP42" s="476"/>
      <c r="LSQ42" s="476"/>
      <c r="LSR42" s="476"/>
      <c r="LSS42" s="476"/>
      <c r="LST42" s="476"/>
      <c r="LSU42" s="476"/>
      <c r="LSV42" s="476"/>
      <c r="LSW42" s="476"/>
      <c r="LSX42" s="476"/>
      <c r="LSY42" s="476"/>
      <c r="LSZ42" s="476"/>
      <c r="LTA42" s="476"/>
      <c r="LTB42" s="476"/>
      <c r="LTC42" s="476"/>
      <c r="LTD42" s="476"/>
      <c r="LTE42" s="476"/>
      <c r="LTF42" s="476"/>
      <c r="LTG42" s="476"/>
      <c r="LTH42" s="476"/>
      <c r="LTI42" s="476"/>
      <c r="LTJ42" s="476"/>
      <c r="LTK42" s="476"/>
      <c r="LTL42" s="476"/>
      <c r="LTM42" s="476"/>
      <c r="LTN42" s="476"/>
      <c r="LTO42" s="476"/>
      <c r="LTP42" s="476"/>
      <c r="LTQ42" s="476"/>
      <c r="LTR42" s="476"/>
      <c r="LTS42" s="476"/>
      <c r="LTT42" s="476"/>
      <c r="LTU42" s="476"/>
      <c r="LTV42" s="476"/>
      <c r="LTW42" s="476"/>
      <c r="LTX42" s="476"/>
      <c r="LTY42" s="476"/>
      <c r="LTZ42" s="476"/>
      <c r="LUA42" s="476"/>
      <c r="LUB42" s="476"/>
      <c r="LUC42" s="476"/>
      <c r="LUD42" s="476"/>
      <c r="LUE42" s="476"/>
      <c r="LUF42" s="476"/>
      <c r="LUG42" s="476"/>
      <c r="LUH42" s="476"/>
      <c r="LUI42" s="476"/>
      <c r="LUJ42" s="476"/>
      <c r="LUK42" s="476"/>
      <c r="LUL42" s="476"/>
      <c r="LUM42" s="476"/>
      <c r="LUN42" s="476"/>
      <c r="LUO42" s="476"/>
      <c r="LUP42" s="476"/>
      <c r="LUQ42" s="476"/>
      <c r="LUR42" s="476"/>
      <c r="LUS42" s="476"/>
      <c r="LUT42" s="476"/>
      <c r="LUU42" s="476"/>
      <c r="LUV42" s="476"/>
      <c r="LUW42" s="476"/>
      <c r="LUX42" s="476"/>
      <c r="LUY42" s="476"/>
      <c r="LUZ42" s="476"/>
      <c r="LVA42" s="476"/>
      <c r="LVB42" s="476"/>
      <c r="LVC42" s="476"/>
      <c r="LVD42" s="476"/>
      <c r="LVE42" s="476"/>
      <c r="LVF42" s="476"/>
      <c r="LVG42" s="476"/>
      <c r="LVH42" s="476"/>
      <c r="LVI42" s="476"/>
      <c r="LVJ42" s="476"/>
      <c r="LVK42" s="476"/>
      <c r="LVL42" s="476"/>
      <c r="LVM42" s="476"/>
      <c r="LVN42" s="476"/>
      <c r="LVO42" s="476"/>
      <c r="LVP42" s="476"/>
      <c r="LVQ42" s="476"/>
      <c r="LVR42" s="476"/>
      <c r="LVS42" s="476"/>
      <c r="LVT42" s="476"/>
      <c r="LVU42" s="476"/>
      <c r="LVV42" s="476"/>
      <c r="LVW42" s="476"/>
      <c r="LVX42" s="476"/>
      <c r="LVY42" s="476"/>
      <c r="LVZ42" s="476"/>
      <c r="LWA42" s="476"/>
      <c r="LWB42" s="476"/>
      <c r="LWC42" s="476"/>
      <c r="LWD42" s="476"/>
      <c r="LWE42" s="476"/>
      <c r="LWF42" s="476"/>
      <c r="LWG42" s="476"/>
      <c r="LWH42" s="476"/>
      <c r="LWI42" s="476"/>
      <c r="LWJ42" s="476"/>
      <c r="LWK42" s="476"/>
      <c r="LWL42" s="476"/>
      <c r="LWM42" s="476"/>
      <c r="LWN42" s="476"/>
      <c r="LWO42" s="476"/>
      <c r="LWP42" s="476"/>
      <c r="LWQ42" s="476"/>
      <c r="LWR42" s="476"/>
      <c r="LWS42" s="476"/>
      <c r="LWT42" s="476"/>
      <c r="LWU42" s="476"/>
      <c r="LWV42" s="476"/>
      <c r="LWW42" s="476"/>
      <c r="LWX42" s="476"/>
      <c r="LWY42" s="476"/>
      <c r="LWZ42" s="476"/>
      <c r="LXA42" s="476"/>
      <c r="LXB42" s="476"/>
      <c r="LXC42" s="476"/>
      <c r="LXD42" s="476"/>
      <c r="LXE42" s="476"/>
      <c r="LXF42" s="476"/>
      <c r="LXG42" s="476"/>
      <c r="LXH42" s="476"/>
      <c r="LXI42" s="476"/>
      <c r="LXJ42" s="476"/>
      <c r="LXK42" s="476"/>
      <c r="LXL42" s="476"/>
      <c r="LXM42" s="476"/>
      <c r="LXN42" s="476"/>
      <c r="LXO42" s="476"/>
      <c r="LXP42" s="476"/>
      <c r="LXQ42" s="476"/>
      <c r="LXR42" s="476"/>
      <c r="LXS42" s="476"/>
      <c r="LXT42" s="476"/>
      <c r="LXU42" s="476"/>
      <c r="LXV42" s="476"/>
      <c r="LXW42" s="476"/>
      <c r="LXX42" s="476"/>
      <c r="LXY42" s="476"/>
      <c r="LXZ42" s="476"/>
      <c r="LYA42" s="476"/>
      <c r="LYB42" s="476"/>
      <c r="LYC42" s="476"/>
      <c r="LYD42" s="476"/>
      <c r="LYE42" s="476"/>
      <c r="LYF42" s="476"/>
      <c r="LYG42" s="476"/>
      <c r="LYH42" s="476"/>
      <c r="LYI42" s="476"/>
      <c r="LYJ42" s="476"/>
      <c r="LYK42" s="476"/>
      <c r="LYL42" s="476"/>
      <c r="LYM42" s="476"/>
      <c r="LYN42" s="476"/>
      <c r="LYO42" s="476"/>
      <c r="LYP42" s="476"/>
      <c r="LYQ42" s="476"/>
      <c r="LYR42" s="476"/>
      <c r="LYS42" s="476"/>
      <c r="LYT42" s="476"/>
      <c r="LYU42" s="476"/>
      <c r="LYV42" s="476"/>
      <c r="LYW42" s="476"/>
      <c r="LYX42" s="476"/>
      <c r="LYY42" s="476"/>
      <c r="LYZ42" s="476"/>
      <c r="LZA42" s="476"/>
      <c r="LZB42" s="476"/>
      <c r="LZC42" s="476"/>
      <c r="LZD42" s="476"/>
      <c r="LZE42" s="476"/>
      <c r="LZF42" s="476"/>
      <c r="LZG42" s="476"/>
      <c r="LZH42" s="476"/>
      <c r="LZI42" s="476"/>
      <c r="LZJ42" s="476"/>
      <c r="LZK42" s="476"/>
      <c r="LZL42" s="476"/>
      <c r="LZM42" s="476"/>
      <c r="LZN42" s="476"/>
      <c r="LZO42" s="476"/>
      <c r="LZP42" s="476"/>
      <c r="LZQ42" s="476"/>
      <c r="LZR42" s="476"/>
      <c r="LZS42" s="476"/>
      <c r="LZT42" s="476"/>
      <c r="LZU42" s="476"/>
      <c r="LZV42" s="476"/>
      <c r="LZW42" s="476"/>
      <c r="LZX42" s="476"/>
      <c r="LZY42" s="476"/>
      <c r="LZZ42" s="476"/>
      <c r="MAA42" s="476"/>
      <c r="MAB42" s="476"/>
      <c r="MAC42" s="476"/>
      <c r="MAD42" s="476"/>
      <c r="MAE42" s="476"/>
      <c r="MAF42" s="476"/>
      <c r="MAG42" s="476"/>
      <c r="MAH42" s="476"/>
      <c r="MAI42" s="476"/>
      <c r="MAJ42" s="476"/>
      <c r="MAK42" s="476"/>
      <c r="MAL42" s="476"/>
      <c r="MAM42" s="476"/>
      <c r="MAN42" s="476"/>
      <c r="MAO42" s="476"/>
      <c r="MAP42" s="476"/>
      <c r="MAQ42" s="476"/>
      <c r="MAR42" s="476"/>
      <c r="MAS42" s="476"/>
      <c r="MAT42" s="476"/>
      <c r="MAU42" s="476"/>
      <c r="MAV42" s="476"/>
      <c r="MAW42" s="476"/>
      <c r="MAX42" s="476"/>
      <c r="MAY42" s="476"/>
      <c r="MAZ42" s="476"/>
      <c r="MBA42" s="476"/>
      <c r="MBB42" s="476"/>
      <c r="MBC42" s="476"/>
      <c r="MBD42" s="476"/>
      <c r="MBE42" s="476"/>
      <c r="MBF42" s="476"/>
      <c r="MBG42" s="476"/>
      <c r="MBH42" s="476"/>
      <c r="MBI42" s="476"/>
      <c r="MBJ42" s="476"/>
      <c r="MBK42" s="476"/>
      <c r="MBL42" s="476"/>
      <c r="MBM42" s="476"/>
      <c r="MBN42" s="476"/>
      <c r="MBO42" s="476"/>
      <c r="MBP42" s="476"/>
      <c r="MBQ42" s="476"/>
      <c r="MBR42" s="476"/>
      <c r="MBS42" s="476"/>
      <c r="MBT42" s="476"/>
      <c r="MBU42" s="476"/>
      <c r="MBV42" s="476"/>
      <c r="MBW42" s="476"/>
      <c r="MBX42" s="476"/>
      <c r="MBY42" s="476"/>
      <c r="MBZ42" s="476"/>
      <c r="MCA42" s="476"/>
      <c r="MCB42" s="476"/>
      <c r="MCC42" s="476"/>
      <c r="MCD42" s="476"/>
      <c r="MCE42" s="476"/>
      <c r="MCF42" s="476"/>
      <c r="MCG42" s="476"/>
      <c r="MCH42" s="476"/>
      <c r="MCI42" s="476"/>
      <c r="MCJ42" s="476"/>
      <c r="MCK42" s="476"/>
      <c r="MCL42" s="476"/>
      <c r="MCM42" s="476"/>
      <c r="MCN42" s="476"/>
      <c r="MCO42" s="476"/>
      <c r="MCP42" s="476"/>
      <c r="MCQ42" s="476"/>
      <c r="MCR42" s="476"/>
      <c r="MCS42" s="476"/>
      <c r="MCT42" s="476"/>
      <c r="MCU42" s="476"/>
      <c r="MCV42" s="476"/>
      <c r="MCW42" s="476"/>
      <c r="MCX42" s="476"/>
      <c r="MCY42" s="476"/>
      <c r="MCZ42" s="476"/>
      <c r="MDA42" s="476"/>
      <c r="MDB42" s="476"/>
      <c r="MDC42" s="476"/>
      <c r="MDD42" s="476"/>
      <c r="MDE42" s="476"/>
      <c r="MDF42" s="476"/>
      <c r="MDG42" s="476"/>
      <c r="MDH42" s="476"/>
      <c r="MDI42" s="476"/>
      <c r="MDJ42" s="476"/>
      <c r="MDK42" s="476"/>
      <c r="MDL42" s="476"/>
      <c r="MDM42" s="476"/>
      <c r="MDN42" s="476"/>
      <c r="MDO42" s="476"/>
      <c r="MDP42" s="476"/>
      <c r="MDQ42" s="476"/>
      <c r="MDR42" s="476"/>
      <c r="MDS42" s="476"/>
      <c r="MDT42" s="476"/>
      <c r="MDU42" s="476"/>
      <c r="MDV42" s="476"/>
      <c r="MDW42" s="476"/>
      <c r="MDX42" s="476"/>
      <c r="MDY42" s="476"/>
      <c r="MDZ42" s="476"/>
      <c r="MEA42" s="476"/>
      <c r="MEB42" s="476"/>
      <c r="MEC42" s="476"/>
      <c r="MED42" s="476"/>
      <c r="MEE42" s="476"/>
      <c r="MEF42" s="476"/>
      <c r="MEG42" s="476"/>
      <c r="MEH42" s="476"/>
      <c r="MEI42" s="476"/>
      <c r="MEJ42" s="476"/>
      <c r="MEK42" s="476"/>
      <c r="MEL42" s="476"/>
      <c r="MEM42" s="476"/>
      <c r="MEN42" s="476"/>
      <c r="MEO42" s="476"/>
      <c r="MEP42" s="476"/>
      <c r="MEQ42" s="476"/>
      <c r="MER42" s="476"/>
      <c r="MES42" s="476"/>
      <c r="MET42" s="476"/>
      <c r="MEU42" s="476"/>
      <c r="MEV42" s="476"/>
      <c r="MEW42" s="476"/>
      <c r="MEX42" s="476"/>
      <c r="MEY42" s="476"/>
      <c r="MEZ42" s="476"/>
      <c r="MFA42" s="476"/>
      <c r="MFB42" s="476"/>
      <c r="MFC42" s="476"/>
      <c r="MFD42" s="476"/>
      <c r="MFE42" s="476"/>
      <c r="MFF42" s="476"/>
      <c r="MFG42" s="476"/>
      <c r="MFH42" s="476"/>
      <c r="MFI42" s="476"/>
      <c r="MFJ42" s="476"/>
      <c r="MFK42" s="476"/>
      <c r="MFL42" s="476"/>
      <c r="MFM42" s="476"/>
      <c r="MFN42" s="476"/>
      <c r="MFO42" s="476"/>
      <c r="MFP42" s="476"/>
      <c r="MFQ42" s="476"/>
      <c r="MFR42" s="476"/>
      <c r="MFS42" s="476"/>
      <c r="MFT42" s="476"/>
      <c r="MFU42" s="476"/>
      <c r="MFV42" s="476"/>
      <c r="MFW42" s="476"/>
      <c r="MFX42" s="476"/>
      <c r="MFY42" s="476"/>
      <c r="MFZ42" s="476"/>
      <c r="MGA42" s="476"/>
      <c r="MGB42" s="476"/>
      <c r="MGC42" s="476"/>
      <c r="MGD42" s="476"/>
      <c r="MGE42" s="476"/>
      <c r="MGF42" s="476"/>
      <c r="MGG42" s="476"/>
      <c r="MGH42" s="476"/>
      <c r="MGI42" s="476"/>
      <c r="MGJ42" s="476"/>
      <c r="MGK42" s="476"/>
      <c r="MGL42" s="476"/>
      <c r="MGM42" s="476"/>
      <c r="MGN42" s="476"/>
      <c r="MGO42" s="476"/>
      <c r="MGP42" s="476"/>
      <c r="MGQ42" s="476"/>
      <c r="MGR42" s="476"/>
      <c r="MGS42" s="476"/>
      <c r="MGT42" s="476"/>
      <c r="MGU42" s="476"/>
      <c r="MGV42" s="476"/>
      <c r="MGW42" s="476"/>
      <c r="MGX42" s="476"/>
      <c r="MGY42" s="476"/>
      <c r="MGZ42" s="476"/>
      <c r="MHA42" s="476"/>
      <c r="MHB42" s="476"/>
      <c r="MHC42" s="476"/>
      <c r="MHD42" s="476"/>
      <c r="MHE42" s="476"/>
      <c r="MHF42" s="476"/>
      <c r="MHG42" s="476"/>
      <c r="MHH42" s="476"/>
      <c r="MHI42" s="476"/>
      <c r="MHJ42" s="476"/>
      <c r="MHK42" s="476"/>
      <c r="MHL42" s="476"/>
      <c r="MHM42" s="476"/>
      <c r="MHN42" s="476"/>
      <c r="MHO42" s="476"/>
      <c r="MHP42" s="476"/>
      <c r="MHQ42" s="476"/>
      <c r="MHR42" s="476"/>
      <c r="MHS42" s="476"/>
      <c r="MHT42" s="476"/>
      <c r="MHU42" s="476"/>
      <c r="MHV42" s="476"/>
      <c r="MHW42" s="476"/>
      <c r="MHX42" s="476"/>
      <c r="MHY42" s="476"/>
      <c r="MHZ42" s="476"/>
      <c r="MIA42" s="476"/>
      <c r="MIB42" s="476"/>
      <c r="MIC42" s="476"/>
      <c r="MID42" s="476"/>
      <c r="MIE42" s="476"/>
      <c r="MIF42" s="476"/>
      <c r="MIG42" s="476"/>
      <c r="MIH42" s="476"/>
      <c r="MII42" s="476"/>
      <c r="MIJ42" s="476"/>
      <c r="MIK42" s="476"/>
      <c r="MIL42" s="476"/>
      <c r="MIM42" s="476"/>
      <c r="MIN42" s="476"/>
      <c r="MIO42" s="476"/>
      <c r="MIP42" s="476"/>
      <c r="MIQ42" s="476"/>
      <c r="MIR42" s="476"/>
      <c r="MIS42" s="476"/>
      <c r="MIT42" s="476"/>
      <c r="MIU42" s="476"/>
      <c r="MIV42" s="476"/>
      <c r="MIW42" s="476"/>
      <c r="MIX42" s="476"/>
      <c r="MIY42" s="476"/>
      <c r="MIZ42" s="476"/>
      <c r="MJA42" s="476"/>
      <c r="MJB42" s="476"/>
      <c r="MJC42" s="476"/>
      <c r="MJD42" s="476"/>
      <c r="MJE42" s="476"/>
      <c r="MJF42" s="476"/>
      <c r="MJG42" s="476"/>
      <c r="MJH42" s="476"/>
      <c r="MJI42" s="476"/>
      <c r="MJJ42" s="476"/>
      <c r="MJK42" s="476"/>
      <c r="MJL42" s="476"/>
      <c r="MJM42" s="476"/>
      <c r="MJN42" s="476"/>
      <c r="MJO42" s="476"/>
      <c r="MJP42" s="476"/>
      <c r="MJQ42" s="476"/>
      <c r="MJR42" s="476"/>
      <c r="MJS42" s="476"/>
      <c r="MJT42" s="476"/>
      <c r="MJU42" s="476"/>
      <c r="MJV42" s="476"/>
      <c r="MJW42" s="476"/>
      <c r="MJX42" s="476"/>
      <c r="MJY42" s="476"/>
      <c r="MJZ42" s="476"/>
      <c r="MKA42" s="476"/>
      <c r="MKB42" s="476"/>
      <c r="MKC42" s="476"/>
      <c r="MKD42" s="476"/>
      <c r="MKE42" s="476"/>
      <c r="MKF42" s="476"/>
      <c r="MKG42" s="476"/>
      <c r="MKH42" s="476"/>
      <c r="MKI42" s="476"/>
      <c r="MKJ42" s="476"/>
      <c r="MKK42" s="476"/>
      <c r="MKL42" s="476"/>
      <c r="MKM42" s="476"/>
      <c r="MKN42" s="476"/>
      <c r="MKO42" s="476"/>
      <c r="MKP42" s="476"/>
      <c r="MKQ42" s="476"/>
      <c r="MKR42" s="476"/>
      <c r="MKS42" s="476"/>
      <c r="MKT42" s="476"/>
      <c r="MKU42" s="476"/>
      <c r="MKV42" s="476"/>
      <c r="MKW42" s="476"/>
      <c r="MKX42" s="476"/>
      <c r="MKY42" s="476"/>
      <c r="MKZ42" s="476"/>
      <c r="MLA42" s="476"/>
      <c r="MLB42" s="476"/>
      <c r="MLC42" s="476"/>
      <c r="MLD42" s="476"/>
      <c r="MLE42" s="476"/>
      <c r="MLF42" s="476"/>
      <c r="MLG42" s="476"/>
      <c r="MLH42" s="476"/>
      <c r="MLI42" s="476"/>
      <c r="MLJ42" s="476"/>
      <c r="MLK42" s="476"/>
      <c r="MLL42" s="476"/>
      <c r="MLM42" s="476"/>
      <c r="MLN42" s="476"/>
      <c r="MLO42" s="476"/>
      <c r="MLP42" s="476"/>
      <c r="MLQ42" s="476"/>
      <c r="MLR42" s="476"/>
      <c r="MLS42" s="476"/>
      <c r="MLT42" s="476"/>
      <c r="MLU42" s="476"/>
      <c r="MLV42" s="476"/>
      <c r="MLW42" s="476"/>
      <c r="MLX42" s="476"/>
      <c r="MLY42" s="476"/>
      <c r="MLZ42" s="476"/>
      <c r="MMA42" s="476"/>
      <c r="MMB42" s="476"/>
      <c r="MMC42" s="476"/>
      <c r="MMD42" s="476"/>
      <c r="MME42" s="476"/>
      <c r="MMF42" s="476"/>
      <c r="MMG42" s="476"/>
      <c r="MMH42" s="476"/>
      <c r="MMI42" s="476"/>
      <c r="MMJ42" s="476"/>
      <c r="MMK42" s="476"/>
      <c r="MML42" s="476"/>
      <c r="MMM42" s="476"/>
      <c r="MMN42" s="476"/>
      <c r="MMO42" s="476"/>
      <c r="MMP42" s="476"/>
      <c r="MMQ42" s="476"/>
      <c r="MMR42" s="476"/>
      <c r="MMS42" s="476"/>
      <c r="MMT42" s="476"/>
      <c r="MMU42" s="476"/>
      <c r="MMV42" s="476"/>
      <c r="MMW42" s="476"/>
      <c r="MMX42" s="476"/>
      <c r="MMY42" s="476"/>
      <c r="MMZ42" s="476"/>
      <c r="MNA42" s="476"/>
      <c r="MNB42" s="476"/>
      <c r="MNC42" s="476"/>
      <c r="MND42" s="476"/>
      <c r="MNE42" s="476"/>
      <c r="MNF42" s="476"/>
      <c r="MNG42" s="476"/>
      <c r="MNH42" s="476"/>
      <c r="MNI42" s="476"/>
      <c r="MNJ42" s="476"/>
      <c r="MNK42" s="476"/>
      <c r="MNL42" s="476"/>
      <c r="MNM42" s="476"/>
      <c r="MNN42" s="476"/>
      <c r="MNO42" s="476"/>
      <c r="MNP42" s="476"/>
      <c r="MNQ42" s="476"/>
      <c r="MNR42" s="476"/>
      <c r="MNS42" s="476"/>
      <c r="MNT42" s="476"/>
      <c r="MNU42" s="476"/>
      <c r="MNV42" s="476"/>
      <c r="MNW42" s="476"/>
      <c r="MNX42" s="476"/>
      <c r="MNY42" s="476"/>
      <c r="MNZ42" s="476"/>
      <c r="MOA42" s="476"/>
      <c r="MOB42" s="476"/>
      <c r="MOC42" s="476"/>
      <c r="MOD42" s="476"/>
      <c r="MOE42" s="476"/>
      <c r="MOF42" s="476"/>
      <c r="MOG42" s="476"/>
      <c r="MOH42" s="476"/>
      <c r="MOI42" s="476"/>
      <c r="MOJ42" s="476"/>
      <c r="MOK42" s="476"/>
      <c r="MOL42" s="476"/>
      <c r="MOM42" s="476"/>
      <c r="MON42" s="476"/>
      <c r="MOO42" s="476"/>
      <c r="MOP42" s="476"/>
      <c r="MOQ42" s="476"/>
      <c r="MOR42" s="476"/>
      <c r="MOS42" s="476"/>
      <c r="MOT42" s="476"/>
      <c r="MOU42" s="476"/>
      <c r="MOV42" s="476"/>
      <c r="MOW42" s="476"/>
      <c r="MOX42" s="476"/>
      <c r="MOY42" s="476"/>
      <c r="MOZ42" s="476"/>
      <c r="MPA42" s="476"/>
      <c r="MPB42" s="476"/>
      <c r="MPC42" s="476"/>
      <c r="MPD42" s="476"/>
      <c r="MPE42" s="476"/>
      <c r="MPF42" s="476"/>
      <c r="MPG42" s="476"/>
      <c r="MPH42" s="476"/>
      <c r="MPI42" s="476"/>
      <c r="MPJ42" s="476"/>
      <c r="MPK42" s="476"/>
      <c r="MPL42" s="476"/>
      <c r="MPM42" s="476"/>
      <c r="MPN42" s="476"/>
      <c r="MPO42" s="476"/>
      <c r="MPP42" s="476"/>
      <c r="MPQ42" s="476"/>
      <c r="MPR42" s="476"/>
      <c r="MPS42" s="476"/>
      <c r="MPT42" s="476"/>
      <c r="MPU42" s="476"/>
      <c r="MPV42" s="476"/>
      <c r="MPW42" s="476"/>
      <c r="MPX42" s="476"/>
      <c r="MPY42" s="476"/>
      <c r="MPZ42" s="476"/>
      <c r="MQA42" s="476"/>
      <c r="MQB42" s="476"/>
      <c r="MQC42" s="476"/>
      <c r="MQD42" s="476"/>
      <c r="MQE42" s="476"/>
      <c r="MQF42" s="476"/>
      <c r="MQG42" s="476"/>
      <c r="MQH42" s="476"/>
      <c r="MQI42" s="476"/>
      <c r="MQJ42" s="476"/>
      <c r="MQK42" s="476"/>
      <c r="MQL42" s="476"/>
      <c r="MQM42" s="476"/>
      <c r="MQN42" s="476"/>
      <c r="MQO42" s="476"/>
      <c r="MQP42" s="476"/>
      <c r="MQQ42" s="476"/>
      <c r="MQR42" s="476"/>
      <c r="MQS42" s="476"/>
      <c r="MQT42" s="476"/>
      <c r="MQU42" s="476"/>
      <c r="MQV42" s="476"/>
      <c r="MQW42" s="476"/>
      <c r="MQX42" s="476"/>
      <c r="MQY42" s="476"/>
      <c r="MQZ42" s="476"/>
      <c r="MRA42" s="476"/>
      <c r="MRB42" s="476"/>
      <c r="MRC42" s="476"/>
      <c r="MRD42" s="476"/>
      <c r="MRE42" s="476"/>
      <c r="MRF42" s="476"/>
      <c r="MRG42" s="476"/>
      <c r="MRH42" s="476"/>
      <c r="MRI42" s="476"/>
      <c r="MRJ42" s="476"/>
      <c r="MRK42" s="476"/>
      <c r="MRL42" s="476"/>
      <c r="MRM42" s="476"/>
      <c r="MRN42" s="476"/>
      <c r="MRO42" s="476"/>
      <c r="MRP42" s="476"/>
      <c r="MRQ42" s="476"/>
      <c r="MRR42" s="476"/>
      <c r="MRS42" s="476"/>
      <c r="MRT42" s="476"/>
      <c r="MRU42" s="476"/>
      <c r="MRV42" s="476"/>
      <c r="MRW42" s="476"/>
      <c r="MRX42" s="476"/>
      <c r="MRY42" s="476"/>
      <c r="MRZ42" s="476"/>
      <c r="MSA42" s="476"/>
      <c r="MSB42" s="476"/>
      <c r="MSC42" s="476"/>
      <c r="MSD42" s="476"/>
      <c r="MSE42" s="476"/>
      <c r="MSF42" s="476"/>
      <c r="MSG42" s="476"/>
      <c r="MSH42" s="476"/>
      <c r="MSI42" s="476"/>
      <c r="MSJ42" s="476"/>
      <c r="MSK42" s="476"/>
      <c r="MSL42" s="476"/>
      <c r="MSM42" s="476"/>
      <c r="MSN42" s="476"/>
      <c r="MSO42" s="476"/>
      <c r="MSP42" s="476"/>
      <c r="MSQ42" s="476"/>
      <c r="MSR42" s="476"/>
      <c r="MSS42" s="476"/>
      <c r="MST42" s="476"/>
      <c r="MSU42" s="476"/>
      <c r="MSV42" s="476"/>
      <c r="MSW42" s="476"/>
      <c r="MSX42" s="476"/>
      <c r="MSY42" s="476"/>
      <c r="MSZ42" s="476"/>
      <c r="MTA42" s="476"/>
      <c r="MTB42" s="476"/>
      <c r="MTC42" s="476"/>
      <c r="MTD42" s="476"/>
      <c r="MTE42" s="476"/>
      <c r="MTF42" s="476"/>
      <c r="MTG42" s="476"/>
      <c r="MTH42" s="476"/>
      <c r="MTI42" s="476"/>
      <c r="MTJ42" s="476"/>
      <c r="MTK42" s="476"/>
      <c r="MTL42" s="476"/>
      <c r="MTM42" s="476"/>
      <c r="MTN42" s="476"/>
      <c r="MTO42" s="476"/>
      <c r="MTP42" s="476"/>
      <c r="MTQ42" s="476"/>
      <c r="MTR42" s="476"/>
      <c r="MTS42" s="476"/>
      <c r="MTT42" s="476"/>
      <c r="MTU42" s="476"/>
      <c r="MTV42" s="476"/>
      <c r="MTW42" s="476"/>
      <c r="MTX42" s="476"/>
      <c r="MTY42" s="476"/>
      <c r="MTZ42" s="476"/>
      <c r="MUA42" s="476"/>
      <c r="MUB42" s="476"/>
      <c r="MUC42" s="476"/>
      <c r="MUD42" s="476"/>
      <c r="MUE42" s="476"/>
      <c r="MUF42" s="476"/>
      <c r="MUG42" s="476"/>
      <c r="MUH42" s="476"/>
      <c r="MUI42" s="476"/>
      <c r="MUJ42" s="476"/>
      <c r="MUK42" s="476"/>
      <c r="MUL42" s="476"/>
      <c r="MUM42" s="476"/>
      <c r="MUN42" s="476"/>
      <c r="MUO42" s="476"/>
      <c r="MUP42" s="476"/>
      <c r="MUQ42" s="476"/>
      <c r="MUR42" s="476"/>
      <c r="MUS42" s="476"/>
      <c r="MUT42" s="476"/>
      <c r="MUU42" s="476"/>
      <c r="MUV42" s="476"/>
      <c r="MUW42" s="476"/>
      <c r="MUX42" s="476"/>
      <c r="MUY42" s="476"/>
      <c r="MUZ42" s="476"/>
      <c r="MVA42" s="476"/>
      <c r="MVB42" s="476"/>
      <c r="MVC42" s="476"/>
      <c r="MVD42" s="476"/>
      <c r="MVE42" s="476"/>
      <c r="MVF42" s="476"/>
      <c r="MVG42" s="476"/>
      <c r="MVH42" s="476"/>
      <c r="MVI42" s="476"/>
      <c r="MVJ42" s="476"/>
      <c r="MVK42" s="476"/>
      <c r="MVL42" s="476"/>
      <c r="MVM42" s="476"/>
      <c r="MVN42" s="476"/>
      <c r="MVO42" s="476"/>
      <c r="MVP42" s="476"/>
      <c r="MVQ42" s="476"/>
      <c r="MVR42" s="476"/>
      <c r="MVS42" s="476"/>
      <c r="MVT42" s="476"/>
      <c r="MVU42" s="476"/>
      <c r="MVV42" s="476"/>
      <c r="MVW42" s="476"/>
      <c r="MVX42" s="476"/>
      <c r="MVY42" s="476"/>
      <c r="MVZ42" s="476"/>
      <c r="MWA42" s="476"/>
      <c r="MWB42" s="476"/>
      <c r="MWC42" s="476"/>
      <c r="MWD42" s="476"/>
      <c r="MWE42" s="476"/>
      <c r="MWF42" s="476"/>
      <c r="MWG42" s="476"/>
      <c r="MWH42" s="476"/>
      <c r="MWI42" s="476"/>
      <c r="MWJ42" s="476"/>
      <c r="MWK42" s="476"/>
      <c r="MWL42" s="476"/>
      <c r="MWM42" s="476"/>
      <c r="MWN42" s="476"/>
      <c r="MWO42" s="476"/>
      <c r="MWP42" s="476"/>
      <c r="MWQ42" s="476"/>
      <c r="MWR42" s="476"/>
      <c r="MWS42" s="476"/>
      <c r="MWT42" s="476"/>
      <c r="MWU42" s="476"/>
      <c r="MWV42" s="476"/>
      <c r="MWW42" s="476"/>
      <c r="MWX42" s="476"/>
      <c r="MWY42" s="476"/>
      <c r="MWZ42" s="476"/>
      <c r="MXA42" s="476"/>
      <c r="MXB42" s="476"/>
      <c r="MXC42" s="476"/>
      <c r="MXD42" s="476"/>
      <c r="MXE42" s="476"/>
      <c r="MXF42" s="476"/>
      <c r="MXG42" s="476"/>
      <c r="MXH42" s="476"/>
      <c r="MXI42" s="476"/>
      <c r="MXJ42" s="476"/>
      <c r="MXK42" s="476"/>
      <c r="MXL42" s="476"/>
      <c r="MXM42" s="476"/>
      <c r="MXN42" s="476"/>
      <c r="MXO42" s="476"/>
      <c r="MXP42" s="476"/>
      <c r="MXQ42" s="476"/>
      <c r="MXR42" s="476"/>
      <c r="MXS42" s="476"/>
      <c r="MXT42" s="476"/>
      <c r="MXU42" s="476"/>
      <c r="MXV42" s="476"/>
      <c r="MXW42" s="476"/>
      <c r="MXX42" s="476"/>
      <c r="MXY42" s="476"/>
      <c r="MXZ42" s="476"/>
      <c r="MYA42" s="476"/>
      <c r="MYB42" s="476"/>
      <c r="MYC42" s="476"/>
      <c r="MYD42" s="476"/>
      <c r="MYE42" s="476"/>
      <c r="MYF42" s="476"/>
      <c r="MYG42" s="476"/>
      <c r="MYH42" s="476"/>
      <c r="MYI42" s="476"/>
      <c r="MYJ42" s="476"/>
      <c r="MYK42" s="476"/>
      <c r="MYL42" s="476"/>
      <c r="MYM42" s="476"/>
      <c r="MYN42" s="476"/>
      <c r="MYO42" s="476"/>
      <c r="MYP42" s="476"/>
      <c r="MYQ42" s="476"/>
      <c r="MYR42" s="476"/>
      <c r="MYS42" s="476"/>
      <c r="MYT42" s="476"/>
      <c r="MYU42" s="476"/>
      <c r="MYV42" s="476"/>
      <c r="MYW42" s="476"/>
      <c r="MYX42" s="476"/>
      <c r="MYY42" s="476"/>
      <c r="MYZ42" s="476"/>
      <c r="MZA42" s="476"/>
      <c r="MZB42" s="476"/>
      <c r="MZC42" s="476"/>
      <c r="MZD42" s="476"/>
      <c r="MZE42" s="476"/>
      <c r="MZF42" s="476"/>
      <c r="MZG42" s="476"/>
      <c r="MZH42" s="476"/>
      <c r="MZI42" s="476"/>
      <c r="MZJ42" s="476"/>
      <c r="MZK42" s="476"/>
      <c r="MZL42" s="476"/>
      <c r="MZM42" s="476"/>
      <c r="MZN42" s="476"/>
      <c r="MZO42" s="476"/>
      <c r="MZP42" s="476"/>
      <c r="MZQ42" s="476"/>
      <c r="MZR42" s="476"/>
      <c r="MZS42" s="476"/>
      <c r="MZT42" s="476"/>
      <c r="MZU42" s="476"/>
      <c r="MZV42" s="476"/>
      <c r="MZW42" s="476"/>
      <c r="MZX42" s="476"/>
      <c r="MZY42" s="476"/>
      <c r="MZZ42" s="476"/>
      <c r="NAA42" s="476"/>
      <c r="NAB42" s="476"/>
      <c r="NAC42" s="476"/>
      <c r="NAD42" s="476"/>
      <c r="NAE42" s="476"/>
      <c r="NAF42" s="476"/>
      <c r="NAG42" s="476"/>
      <c r="NAH42" s="476"/>
      <c r="NAI42" s="476"/>
      <c r="NAJ42" s="476"/>
      <c r="NAK42" s="476"/>
      <c r="NAL42" s="476"/>
      <c r="NAM42" s="476"/>
      <c r="NAN42" s="476"/>
      <c r="NAO42" s="476"/>
      <c r="NAP42" s="476"/>
      <c r="NAQ42" s="476"/>
      <c r="NAR42" s="476"/>
      <c r="NAS42" s="476"/>
      <c r="NAT42" s="476"/>
      <c r="NAU42" s="476"/>
      <c r="NAV42" s="476"/>
      <c r="NAW42" s="476"/>
      <c r="NAX42" s="476"/>
      <c r="NAY42" s="476"/>
      <c r="NAZ42" s="476"/>
      <c r="NBA42" s="476"/>
      <c r="NBB42" s="476"/>
      <c r="NBC42" s="476"/>
      <c r="NBD42" s="476"/>
      <c r="NBE42" s="476"/>
      <c r="NBF42" s="476"/>
      <c r="NBG42" s="476"/>
      <c r="NBH42" s="476"/>
      <c r="NBI42" s="476"/>
      <c r="NBJ42" s="476"/>
      <c r="NBK42" s="476"/>
      <c r="NBL42" s="476"/>
      <c r="NBM42" s="476"/>
      <c r="NBN42" s="476"/>
      <c r="NBO42" s="476"/>
      <c r="NBP42" s="476"/>
      <c r="NBQ42" s="476"/>
      <c r="NBR42" s="476"/>
      <c r="NBS42" s="476"/>
      <c r="NBT42" s="476"/>
      <c r="NBU42" s="476"/>
      <c r="NBV42" s="476"/>
      <c r="NBW42" s="476"/>
      <c r="NBX42" s="476"/>
      <c r="NBY42" s="476"/>
      <c r="NBZ42" s="476"/>
      <c r="NCA42" s="476"/>
      <c r="NCB42" s="476"/>
      <c r="NCC42" s="476"/>
      <c r="NCD42" s="476"/>
      <c r="NCE42" s="476"/>
      <c r="NCF42" s="476"/>
      <c r="NCG42" s="476"/>
      <c r="NCH42" s="476"/>
      <c r="NCI42" s="476"/>
      <c r="NCJ42" s="476"/>
      <c r="NCK42" s="476"/>
      <c r="NCL42" s="476"/>
      <c r="NCM42" s="476"/>
      <c r="NCN42" s="476"/>
      <c r="NCO42" s="476"/>
      <c r="NCP42" s="476"/>
      <c r="NCQ42" s="476"/>
      <c r="NCR42" s="476"/>
      <c r="NCS42" s="476"/>
      <c r="NCT42" s="476"/>
      <c r="NCU42" s="476"/>
      <c r="NCV42" s="476"/>
      <c r="NCW42" s="476"/>
      <c r="NCX42" s="476"/>
      <c r="NCY42" s="476"/>
      <c r="NCZ42" s="476"/>
      <c r="NDA42" s="476"/>
      <c r="NDB42" s="476"/>
      <c r="NDC42" s="476"/>
      <c r="NDD42" s="476"/>
      <c r="NDE42" s="476"/>
      <c r="NDF42" s="476"/>
      <c r="NDG42" s="476"/>
      <c r="NDH42" s="476"/>
      <c r="NDI42" s="476"/>
      <c r="NDJ42" s="476"/>
      <c r="NDK42" s="476"/>
      <c r="NDL42" s="476"/>
      <c r="NDM42" s="476"/>
      <c r="NDN42" s="476"/>
      <c r="NDO42" s="476"/>
      <c r="NDP42" s="476"/>
      <c r="NDQ42" s="476"/>
      <c r="NDR42" s="476"/>
      <c r="NDS42" s="476"/>
      <c r="NDT42" s="476"/>
      <c r="NDU42" s="476"/>
      <c r="NDV42" s="476"/>
      <c r="NDW42" s="476"/>
      <c r="NDX42" s="476"/>
      <c r="NDY42" s="476"/>
      <c r="NDZ42" s="476"/>
      <c r="NEA42" s="476"/>
      <c r="NEB42" s="476"/>
      <c r="NEC42" s="476"/>
      <c r="NED42" s="476"/>
      <c r="NEE42" s="476"/>
      <c r="NEF42" s="476"/>
      <c r="NEG42" s="476"/>
      <c r="NEH42" s="476"/>
      <c r="NEI42" s="476"/>
      <c r="NEJ42" s="476"/>
      <c r="NEK42" s="476"/>
      <c r="NEL42" s="476"/>
      <c r="NEM42" s="476"/>
      <c r="NEN42" s="476"/>
      <c r="NEO42" s="476"/>
      <c r="NEP42" s="476"/>
      <c r="NEQ42" s="476"/>
      <c r="NER42" s="476"/>
      <c r="NES42" s="476"/>
      <c r="NET42" s="476"/>
      <c r="NEU42" s="476"/>
      <c r="NEV42" s="476"/>
      <c r="NEW42" s="476"/>
      <c r="NEX42" s="476"/>
      <c r="NEY42" s="476"/>
      <c r="NEZ42" s="476"/>
      <c r="NFA42" s="476"/>
      <c r="NFB42" s="476"/>
      <c r="NFC42" s="476"/>
      <c r="NFD42" s="476"/>
      <c r="NFE42" s="476"/>
      <c r="NFF42" s="476"/>
      <c r="NFG42" s="476"/>
      <c r="NFH42" s="476"/>
      <c r="NFI42" s="476"/>
      <c r="NFJ42" s="476"/>
      <c r="NFK42" s="476"/>
      <c r="NFL42" s="476"/>
      <c r="NFM42" s="476"/>
      <c r="NFN42" s="476"/>
      <c r="NFO42" s="476"/>
      <c r="NFP42" s="476"/>
      <c r="NFQ42" s="476"/>
      <c r="NFR42" s="476"/>
      <c r="NFS42" s="476"/>
      <c r="NFT42" s="476"/>
      <c r="NFU42" s="476"/>
      <c r="NFV42" s="476"/>
      <c r="NFW42" s="476"/>
      <c r="NFX42" s="476"/>
      <c r="NFY42" s="476"/>
      <c r="NFZ42" s="476"/>
      <c r="NGA42" s="476"/>
      <c r="NGB42" s="476"/>
      <c r="NGC42" s="476"/>
      <c r="NGD42" s="476"/>
      <c r="NGE42" s="476"/>
      <c r="NGF42" s="476"/>
      <c r="NGG42" s="476"/>
      <c r="NGH42" s="476"/>
      <c r="NGI42" s="476"/>
      <c r="NGJ42" s="476"/>
      <c r="NGK42" s="476"/>
      <c r="NGL42" s="476"/>
      <c r="NGM42" s="476"/>
      <c r="NGN42" s="476"/>
      <c r="NGO42" s="476"/>
      <c r="NGP42" s="476"/>
      <c r="NGQ42" s="476"/>
      <c r="NGR42" s="476"/>
      <c r="NGS42" s="476"/>
      <c r="NGT42" s="476"/>
      <c r="NGU42" s="476"/>
      <c r="NGV42" s="476"/>
      <c r="NGW42" s="476"/>
      <c r="NGX42" s="476"/>
      <c r="NGY42" s="476"/>
      <c r="NGZ42" s="476"/>
      <c r="NHA42" s="476"/>
      <c r="NHB42" s="476"/>
      <c r="NHC42" s="476"/>
      <c r="NHD42" s="476"/>
      <c r="NHE42" s="476"/>
      <c r="NHF42" s="476"/>
      <c r="NHG42" s="476"/>
      <c r="NHH42" s="476"/>
      <c r="NHI42" s="476"/>
      <c r="NHJ42" s="476"/>
      <c r="NHK42" s="476"/>
      <c r="NHL42" s="476"/>
      <c r="NHM42" s="476"/>
      <c r="NHN42" s="476"/>
      <c r="NHO42" s="476"/>
      <c r="NHP42" s="476"/>
      <c r="NHQ42" s="476"/>
      <c r="NHR42" s="476"/>
      <c r="NHS42" s="476"/>
      <c r="NHT42" s="476"/>
      <c r="NHU42" s="476"/>
      <c r="NHV42" s="476"/>
      <c r="NHW42" s="476"/>
      <c r="NHX42" s="476"/>
      <c r="NHY42" s="476"/>
      <c r="NHZ42" s="476"/>
      <c r="NIA42" s="476"/>
      <c r="NIB42" s="476"/>
      <c r="NIC42" s="476"/>
      <c r="NID42" s="476"/>
      <c r="NIE42" s="476"/>
      <c r="NIF42" s="476"/>
      <c r="NIG42" s="476"/>
      <c r="NIH42" s="476"/>
      <c r="NII42" s="476"/>
      <c r="NIJ42" s="476"/>
      <c r="NIK42" s="476"/>
      <c r="NIL42" s="476"/>
      <c r="NIM42" s="476"/>
      <c r="NIN42" s="476"/>
      <c r="NIO42" s="476"/>
      <c r="NIP42" s="476"/>
      <c r="NIQ42" s="476"/>
      <c r="NIR42" s="476"/>
      <c r="NIS42" s="476"/>
      <c r="NIT42" s="476"/>
      <c r="NIU42" s="476"/>
      <c r="NIV42" s="476"/>
      <c r="NIW42" s="476"/>
      <c r="NIX42" s="476"/>
      <c r="NIY42" s="476"/>
      <c r="NIZ42" s="476"/>
      <c r="NJA42" s="476"/>
      <c r="NJB42" s="476"/>
      <c r="NJC42" s="476"/>
      <c r="NJD42" s="476"/>
      <c r="NJE42" s="476"/>
      <c r="NJF42" s="476"/>
      <c r="NJG42" s="476"/>
      <c r="NJH42" s="476"/>
      <c r="NJI42" s="476"/>
      <c r="NJJ42" s="476"/>
      <c r="NJK42" s="476"/>
      <c r="NJL42" s="476"/>
      <c r="NJM42" s="476"/>
      <c r="NJN42" s="476"/>
      <c r="NJO42" s="476"/>
      <c r="NJP42" s="476"/>
      <c r="NJQ42" s="476"/>
      <c r="NJR42" s="476"/>
      <c r="NJS42" s="476"/>
      <c r="NJT42" s="476"/>
      <c r="NJU42" s="476"/>
      <c r="NJV42" s="476"/>
      <c r="NJW42" s="476"/>
      <c r="NJX42" s="476"/>
      <c r="NJY42" s="476"/>
      <c r="NJZ42" s="476"/>
      <c r="NKA42" s="476"/>
      <c r="NKB42" s="476"/>
      <c r="NKC42" s="476"/>
      <c r="NKD42" s="476"/>
      <c r="NKE42" s="476"/>
      <c r="NKF42" s="476"/>
      <c r="NKG42" s="476"/>
      <c r="NKH42" s="476"/>
      <c r="NKI42" s="476"/>
      <c r="NKJ42" s="476"/>
      <c r="NKK42" s="476"/>
      <c r="NKL42" s="476"/>
      <c r="NKM42" s="476"/>
      <c r="NKN42" s="476"/>
      <c r="NKO42" s="476"/>
      <c r="NKP42" s="476"/>
      <c r="NKQ42" s="476"/>
      <c r="NKR42" s="476"/>
      <c r="NKS42" s="476"/>
      <c r="NKT42" s="476"/>
      <c r="NKU42" s="476"/>
      <c r="NKV42" s="476"/>
      <c r="NKW42" s="476"/>
      <c r="NKX42" s="476"/>
      <c r="NKY42" s="476"/>
      <c r="NKZ42" s="476"/>
      <c r="NLA42" s="476"/>
      <c r="NLB42" s="476"/>
      <c r="NLC42" s="476"/>
      <c r="NLD42" s="476"/>
      <c r="NLE42" s="476"/>
      <c r="NLF42" s="476"/>
      <c r="NLG42" s="476"/>
      <c r="NLH42" s="476"/>
      <c r="NLI42" s="476"/>
      <c r="NLJ42" s="476"/>
      <c r="NLK42" s="476"/>
      <c r="NLL42" s="476"/>
      <c r="NLM42" s="476"/>
      <c r="NLN42" s="476"/>
      <c r="NLO42" s="476"/>
      <c r="NLP42" s="476"/>
      <c r="NLQ42" s="476"/>
      <c r="NLR42" s="476"/>
      <c r="NLS42" s="476"/>
      <c r="NLT42" s="476"/>
      <c r="NLU42" s="476"/>
      <c r="NLV42" s="476"/>
      <c r="NLW42" s="476"/>
      <c r="NLX42" s="476"/>
      <c r="NLY42" s="476"/>
      <c r="NLZ42" s="476"/>
      <c r="NMA42" s="476"/>
      <c r="NMB42" s="476"/>
      <c r="NMC42" s="476"/>
      <c r="NMD42" s="476"/>
      <c r="NME42" s="476"/>
      <c r="NMF42" s="476"/>
      <c r="NMG42" s="476"/>
      <c r="NMH42" s="476"/>
      <c r="NMI42" s="476"/>
      <c r="NMJ42" s="476"/>
      <c r="NMK42" s="476"/>
      <c r="NML42" s="476"/>
      <c r="NMM42" s="476"/>
      <c r="NMN42" s="476"/>
      <c r="NMO42" s="476"/>
      <c r="NMP42" s="476"/>
      <c r="NMQ42" s="476"/>
      <c r="NMR42" s="476"/>
      <c r="NMS42" s="476"/>
      <c r="NMT42" s="476"/>
      <c r="NMU42" s="476"/>
      <c r="NMV42" s="476"/>
      <c r="NMW42" s="476"/>
      <c r="NMX42" s="476"/>
      <c r="NMY42" s="476"/>
      <c r="NMZ42" s="476"/>
      <c r="NNA42" s="476"/>
      <c r="NNB42" s="476"/>
      <c r="NNC42" s="476"/>
      <c r="NND42" s="476"/>
      <c r="NNE42" s="476"/>
      <c r="NNF42" s="476"/>
      <c r="NNG42" s="476"/>
      <c r="NNH42" s="476"/>
      <c r="NNI42" s="476"/>
      <c r="NNJ42" s="476"/>
      <c r="NNK42" s="476"/>
      <c r="NNL42" s="476"/>
      <c r="NNM42" s="476"/>
      <c r="NNN42" s="476"/>
      <c r="NNO42" s="476"/>
      <c r="NNP42" s="476"/>
      <c r="NNQ42" s="476"/>
      <c r="NNR42" s="476"/>
      <c r="NNS42" s="476"/>
      <c r="NNT42" s="476"/>
      <c r="NNU42" s="476"/>
      <c r="NNV42" s="476"/>
      <c r="NNW42" s="476"/>
      <c r="NNX42" s="476"/>
      <c r="NNY42" s="476"/>
      <c r="NNZ42" s="476"/>
      <c r="NOA42" s="476"/>
      <c r="NOB42" s="476"/>
      <c r="NOC42" s="476"/>
      <c r="NOD42" s="476"/>
      <c r="NOE42" s="476"/>
      <c r="NOF42" s="476"/>
      <c r="NOG42" s="476"/>
      <c r="NOH42" s="476"/>
      <c r="NOI42" s="476"/>
      <c r="NOJ42" s="476"/>
      <c r="NOK42" s="476"/>
      <c r="NOL42" s="476"/>
      <c r="NOM42" s="476"/>
      <c r="NON42" s="476"/>
      <c r="NOO42" s="476"/>
      <c r="NOP42" s="476"/>
      <c r="NOQ42" s="476"/>
      <c r="NOR42" s="476"/>
      <c r="NOS42" s="476"/>
      <c r="NOT42" s="476"/>
      <c r="NOU42" s="476"/>
      <c r="NOV42" s="476"/>
      <c r="NOW42" s="476"/>
      <c r="NOX42" s="476"/>
      <c r="NOY42" s="476"/>
      <c r="NOZ42" s="476"/>
      <c r="NPA42" s="476"/>
      <c r="NPB42" s="476"/>
      <c r="NPC42" s="476"/>
      <c r="NPD42" s="476"/>
      <c r="NPE42" s="476"/>
      <c r="NPF42" s="476"/>
      <c r="NPG42" s="476"/>
      <c r="NPH42" s="476"/>
      <c r="NPI42" s="476"/>
      <c r="NPJ42" s="476"/>
      <c r="NPK42" s="476"/>
      <c r="NPL42" s="476"/>
      <c r="NPM42" s="476"/>
      <c r="NPN42" s="476"/>
      <c r="NPO42" s="476"/>
      <c r="NPP42" s="476"/>
      <c r="NPQ42" s="476"/>
      <c r="NPR42" s="476"/>
      <c r="NPS42" s="476"/>
      <c r="NPT42" s="476"/>
      <c r="NPU42" s="476"/>
      <c r="NPV42" s="476"/>
      <c r="NPW42" s="476"/>
      <c r="NPX42" s="476"/>
      <c r="NPY42" s="476"/>
      <c r="NPZ42" s="476"/>
      <c r="NQA42" s="476"/>
      <c r="NQB42" s="476"/>
      <c r="NQC42" s="476"/>
      <c r="NQD42" s="476"/>
      <c r="NQE42" s="476"/>
      <c r="NQF42" s="476"/>
      <c r="NQG42" s="476"/>
      <c r="NQH42" s="476"/>
      <c r="NQI42" s="476"/>
      <c r="NQJ42" s="476"/>
      <c r="NQK42" s="476"/>
      <c r="NQL42" s="476"/>
      <c r="NQM42" s="476"/>
      <c r="NQN42" s="476"/>
      <c r="NQO42" s="476"/>
      <c r="NQP42" s="476"/>
      <c r="NQQ42" s="476"/>
      <c r="NQR42" s="476"/>
      <c r="NQS42" s="476"/>
      <c r="NQT42" s="476"/>
      <c r="NQU42" s="476"/>
      <c r="NQV42" s="476"/>
      <c r="NQW42" s="476"/>
      <c r="NQX42" s="476"/>
      <c r="NQY42" s="476"/>
      <c r="NQZ42" s="476"/>
      <c r="NRA42" s="476"/>
      <c r="NRB42" s="476"/>
      <c r="NRC42" s="476"/>
      <c r="NRD42" s="476"/>
      <c r="NRE42" s="476"/>
      <c r="NRF42" s="476"/>
      <c r="NRG42" s="476"/>
      <c r="NRH42" s="476"/>
      <c r="NRI42" s="476"/>
      <c r="NRJ42" s="476"/>
      <c r="NRK42" s="476"/>
      <c r="NRL42" s="476"/>
      <c r="NRM42" s="476"/>
      <c r="NRN42" s="476"/>
      <c r="NRO42" s="476"/>
      <c r="NRP42" s="476"/>
      <c r="NRQ42" s="476"/>
      <c r="NRR42" s="476"/>
      <c r="NRS42" s="476"/>
      <c r="NRT42" s="476"/>
      <c r="NRU42" s="476"/>
      <c r="NRV42" s="476"/>
      <c r="NRW42" s="476"/>
      <c r="NRX42" s="476"/>
      <c r="NRY42" s="476"/>
      <c r="NRZ42" s="476"/>
      <c r="NSA42" s="476"/>
      <c r="NSB42" s="476"/>
      <c r="NSC42" s="476"/>
      <c r="NSD42" s="476"/>
      <c r="NSE42" s="476"/>
      <c r="NSF42" s="476"/>
      <c r="NSG42" s="476"/>
      <c r="NSH42" s="476"/>
      <c r="NSI42" s="476"/>
      <c r="NSJ42" s="476"/>
      <c r="NSK42" s="476"/>
      <c r="NSL42" s="476"/>
      <c r="NSM42" s="476"/>
      <c r="NSN42" s="476"/>
      <c r="NSO42" s="476"/>
      <c r="NSP42" s="476"/>
      <c r="NSQ42" s="476"/>
      <c r="NSR42" s="476"/>
      <c r="NSS42" s="476"/>
      <c r="NST42" s="476"/>
      <c r="NSU42" s="476"/>
      <c r="NSV42" s="476"/>
      <c r="NSW42" s="476"/>
      <c r="NSX42" s="476"/>
      <c r="NSY42" s="476"/>
      <c r="NSZ42" s="476"/>
      <c r="NTA42" s="476"/>
      <c r="NTB42" s="476"/>
      <c r="NTC42" s="476"/>
      <c r="NTD42" s="476"/>
      <c r="NTE42" s="476"/>
      <c r="NTF42" s="476"/>
      <c r="NTG42" s="476"/>
      <c r="NTH42" s="476"/>
      <c r="NTI42" s="476"/>
      <c r="NTJ42" s="476"/>
      <c r="NTK42" s="476"/>
      <c r="NTL42" s="476"/>
      <c r="NTM42" s="476"/>
      <c r="NTN42" s="476"/>
      <c r="NTO42" s="476"/>
      <c r="NTP42" s="476"/>
      <c r="NTQ42" s="476"/>
      <c r="NTR42" s="476"/>
      <c r="NTS42" s="476"/>
      <c r="NTT42" s="476"/>
      <c r="NTU42" s="476"/>
      <c r="NTV42" s="476"/>
      <c r="NTW42" s="476"/>
      <c r="NTX42" s="476"/>
      <c r="NTY42" s="476"/>
      <c r="NTZ42" s="476"/>
      <c r="NUA42" s="476"/>
      <c r="NUB42" s="476"/>
      <c r="NUC42" s="476"/>
      <c r="NUD42" s="476"/>
      <c r="NUE42" s="476"/>
      <c r="NUF42" s="476"/>
      <c r="NUG42" s="476"/>
      <c r="NUH42" s="476"/>
      <c r="NUI42" s="476"/>
      <c r="NUJ42" s="476"/>
      <c r="NUK42" s="476"/>
      <c r="NUL42" s="476"/>
      <c r="NUM42" s="476"/>
      <c r="NUN42" s="476"/>
      <c r="NUO42" s="476"/>
      <c r="NUP42" s="476"/>
      <c r="NUQ42" s="476"/>
      <c r="NUR42" s="476"/>
      <c r="NUS42" s="476"/>
      <c r="NUT42" s="476"/>
      <c r="NUU42" s="476"/>
      <c r="NUV42" s="476"/>
      <c r="NUW42" s="476"/>
      <c r="NUX42" s="476"/>
      <c r="NUY42" s="476"/>
      <c r="NUZ42" s="476"/>
      <c r="NVA42" s="476"/>
      <c r="NVB42" s="476"/>
      <c r="NVC42" s="476"/>
      <c r="NVD42" s="476"/>
      <c r="NVE42" s="476"/>
      <c r="NVF42" s="476"/>
      <c r="NVG42" s="476"/>
      <c r="NVH42" s="476"/>
      <c r="NVI42" s="476"/>
      <c r="NVJ42" s="476"/>
      <c r="NVK42" s="476"/>
      <c r="NVL42" s="476"/>
      <c r="NVM42" s="476"/>
      <c r="NVN42" s="476"/>
      <c r="NVO42" s="476"/>
      <c r="NVP42" s="476"/>
      <c r="NVQ42" s="476"/>
      <c r="NVR42" s="476"/>
      <c r="NVS42" s="476"/>
      <c r="NVT42" s="476"/>
      <c r="NVU42" s="476"/>
      <c r="NVV42" s="476"/>
      <c r="NVW42" s="476"/>
      <c r="NVX42" s="476"/>
      <c r="NVY42" s="476"/>
      <c r="NVZ42" s="476"/>
      <c r="NWA42" s="476"/>
      <c r="NWB42" s="476"/>
      <c r="NWC42" s="476"/>
      <c r="NWD42" s="476"/>
      <c r="NWE42" s="476"/>
      <c r="NWF42" s="476"/>
      <c r="NWG42" s="476"/>
      <c r="NWH42" s="476"/>
      <c r="NWI42" s="476"/>
      <c r="NWJ42" s="476"/>
      <c r="NWK42" s="476"/>
      <c r="NWL42" s="476"/>
      <c r="NWM42" s="476"/>
      <c r="NWN42" s="476"/>
      <c r="NWO42" s="476"/>
      <c r="NWP42" s="476"/>
      <c r="NWQ42" s="476"/>
      <c r="NWR42" s="476"/>
      <c r="NWS42" s="476"/>
      <c r="NWT42" s="476"/>
      <c r="NWU42" s="476"/>
      <c r="NWV42" s="476"/>
      <c r="NWW42" s="476"/>
      <c r="NWX42" s="476"/>
      <c r="NWY42" s="476"/>
      <c r="NWZ42" s="476"/>
      <c r="NXA42" s="476"/>
      <c r="NXB42" s="476"/>
      <c r="NXC42" s="476"/>
      <c r="NXD42" s="476"/>
      <c r="NXE42" s="476"/>
      <c r="NXF42" s="476"/>
      <c r="NXG42" s="476"/>
      <c r="NXH42" s="476"/>
      <c r="NXI42" s="476"/>
      <c r="NXJ42" s="476"/>
      <c r="NXK42" s="476"/>
      <c r="NXL42" s="476"/>
      <c r="NXM42" s="476"/>
      <c r="NXN42" s="476"/>
      <c r="NXO42" s="476"/>
      <c r="NXP42" s="476"/>
      <c r="NXQ42" s="476"/>
      <c r="NXR42" s="476"/>
      <c r="NXS42" s="476"/>
      <c r="NXT42" s="476"/>
      <c r="NXU42" s="476"/>
      <c r="NXV42" s="476"/>
      <c r="NXW42" s="476"/>
      <c r="NXX42" s="476"/>
      <c r="NXY42" s="476"/>
      <c r="NXZ42" s="476"/>
      <c r="NYA42" s="476"/>
      <c r="NYB42" s="476"/>
      <c r="NYC42" s="476"/>
      <c r="NYD42" s="476"/>
      <c r="NYE42" s="476"/>
      <c r="NYF42" s="476"/>
      <c r="NYG42" s="476"/>
      <c r="NYH42" s="476"/>
      <c r="NYI42" s="476"/>
      <c r="NYJ42" s="476"/>
      <c r="NYK42" s="476"/>
      <c r="NYL42" s="476"/>
      <c r="NYM42" s="476"/>
      <c r="NYN42" s="476"/>
      <c r="NYO42" s="476"/>
      <c r="NYP42" s="476"/>
      <c r="NYQ42" s="476"/>
      <c r="NYR42" s="476"/>
      <c r="NYS42" s="476"/>
      <c r="NYT42" s="476"/>
      <c r="NYU42" s="476"/>
      <c r="NYV42" s="476"/>
      <c r="NYW42" s="476"/>
      <c r="NYX42" s="476"/>
      <c r="NYY42" s="476"/>
      <c r="NYZ42" s="476"/>
      <c r="NZA42" s="476"/>
      <c r="NZB42" s="476"/>
      <c r="NZC42" s="476"/>
      <c r="NZD42" s="476"/>
      <c r="NZE42" s="476"/>
      <c r="NZF42" s="476"/>
      <c r="NZG42" s="476"/>
      <c r="NZH42" s="476"/>
      <c r="NZI42" s="476"/>
      <c r="NZJ42" s="476"/>
      <c r="NZK42" s="476"/>
      <c r="NZL42" s="476"/>
      <c r="NZM42" s="476"/>
      <c r="NZN42" s="476"/>
      <c r="NZO42" s="476"/>
      <c r="NZP42" s="476"/>
      <c r="NZQ42" s="476"/>
      <c r="NZR42" s="476"/>
      <c r="NZS42" s="476"/>
      <c r="NZT42" s="476"/>
      <c r="NZU42" s="476"/>
      <c r="NZV42" s="476"/>
      <c r="NZW42" s="476"/>
      <c r="NZX42" s="476"/>
      <c r="NZY42" s="476"/>
      <c r="NZZ42" s="476"/>
      <c r="OAA42" s="476"/>
      <c r="OAB42" s="476"/>
      <c r="OAC42" s="476"/>
      <c r="OAD42" s="476"/>
      <c r="OAE42" s="476"/>
      <c r="OAF42" s="476"/>
      <c r="OAG42" s="476"/>
      <c r="OAH42" s="476"/>
      <c r="OAI42" s="476"/>
      <c r="OAJ42" s="476"/>
      <c r="OAK42" s="476"/>
      <c r="OAL42" s="476"/>
      <c r="OAM42" s="476"/>
      <c r="OAN42" s="476"/>
      <c r="OAO42" s="476"/>
      <c r="OAP42" s="476"/>
      <c r="OAQ42" s="476"/>
      <c r="OAR42" s="476"/>
      <c r="OAS42" s="476"/>
      <c r="OAT42" s="476"/>
      <c r="OAU42" s="476"/>
      <c r="OAV42" s="476"/>
      <c r="OAW42" s="476"/>
      <c r="OAX42" s="476"/>
      <c r="OAY42" s="476"/>
      <c r="OAZ42" s="476"/>
      <c r="OBA42" s="476"/>
      <c r="OBB42" s="476"/>
      <c r="OBC42" s="476"/>
      <c r="OBD42" s="476"/>
      <c r="OBE42" s="476"/>
      <c r="OBF42" s="476"/>
      <c r="OBG42" s="476"/>
      <c r="OBH42" s="476"/>
      <c r="OBI42" s="476"/>
      <c r="OBJ42" s="476"/>
      <c r="OBK42" s="476"/>
      <c r="OBL42" s="476"/>
      <c r="OBM42" s="476"/>
      <c r="OBN42" s="476"/>
      <c r="OBO42" s="476"/>
      <c r="OBP42" s="476"/>
      <c r="OBQ42" s="476"/>
      <c r="OBR42" s="476"/>
      <c r="OBS42" s="476"/>
      <c r="OBT42" s="476"/>
      <c r="OBU42" s="476"/>
      <c r="OBV42" s="476"/>
      <c r="OBW42" s="476"/>
      <c r="OBX42" s="476"/>
      <c r="OBY42" s="476"/>
      <c r="OBZ42" s="476"/>
      <c r="OCA42" s="476"/>
      <c r="OCB42" s="476"/>
      <c r="OCC42" s="476"/>
      <c r="OCD42" s="476"/>
      <c r="OCE42" s="476"/>
      <c r="OCF42" s="476"/>
      <c r="OCG42" s="476"/>
      <c r="OCH42" s="476"/>
      <c r="OCI42" s="476"/>
      <c r="OCJ42" s="476"/>
      <c r="OCK42" s="476"/>
      <c r="OCL42" s="476"/>
      <c r="OCM42" s="476"/>
      <c r="OCN42" s="476"/>
      <c r="OCO42" s="476"/>
      <c r="OCP42" s="476"/>
      <c r="OCQ42" s="476"/>
      <c r="OCR42" s="476"/>
      <c r="OCS42" s="476"/>
      <c r="OCT42" s="476"/>
      <c r="OCU42" s="476"/>
      <c r="OCV42" s="476"/>
      <c r="OCW42" s="476"/>
      <c r="OCX42" s="476"/>
      <c r="OCY42" s="476"/>
      <c r="OCZ42" s="476"/>
      <c r="ODA42" s="476"/>
      <c r="ODB42" s="476"/>
      <c r="ODC42" s="476"/>
      <c r="ODD42" s="476"/>
      <c r="ODE42" s="476"/>
      <c r="ODF42" s="476"/>
      <c r="ODG42" s="476"/>
      <c r="ODH42" s="476"/>
      <c r="ODI42" s="476"/>
      <c r="ODJ42" s="476"/>
      <c r="ODK42" s="476"/>
      <c r="ODL42" s="476"/>
      <c r="ODM42" s="476"/>
      <c r="ODN42" s="476"/>
      <c r="ODO42" s="476"/>
      <c r="ODP42" s="476"/>
      <c r="ODQ42" s="476"/>
      <c r="ODR42" s="476"/>
      <c r="ODS42" s="476"/>
      <c r="ODT42" s="476"/>
      <c r="ODU42" s="476"/>
      <c r="ODV42" s="476"/>
      <c r="ODW42" s="476"/>
      <c r="ODX42" s="476"/>
      <c r="ODY42" s="476"/>
      <c r="ODZ42" s="476"/>
      <c r="OEA42" s="476"/>
      <c r="OEB42" s="476"/>
      <c r="OEC42" s="476"/>
      <c r="OED42" s="476"/>
      <c r="OEE42" s="476"/>
      <c r="OEF42" s="476"/>
      <c r="OEG42" s="476"/>
      <c r="OEH42" s="476"/>
      <c r="OEI42" s="476"/>
      <c r="OEJ42" s="476"/>
      <c r="OEK42" s="476"/>
      <c r="OEL42" s="476"/>
      <c r="OEM42" s="476"/>
      <c r="OEN42" s="476"/>
      <c r="OEO42" s="476"/>
      <c r="OEP42" s="476"/>
      <c r="OEQ42" s="476"/>
      <c r="OER42" s="476"/>
      <c r="OES42" s="476"/>
      <c r="OET42" s="476"/>
      <c r="OEU42" s="476"/>
      <c r="OEV42" s="476"/>
      <c r="OEW42" s="476"/>
      <c r="OEX42" s="476"/>
      <c r="OEY42" s="476"/>
      <c r="OEZ42" s="476"/>
      <c r="OFA42" s="476"/>
      <c r="OFB42" s="476"/>
      <c r="OFC42" s="476"/>
      <c r="OFD42" s="476"/>
      <c r="OFE42" s="476"/>
      <c r="OFF42" s="476"/>
      <c r="OFG42" s="476"/>
      <c r="OFH42" s="476"/>
      <c r="OFI42" s="476"/>
      <c r="OFJ42" s="476"/>
      <c r="OFK42" s="476"/>
      <c r="OFL42" s="476"/>
      <c r="OFM42" s="476"/>
      <c r="OFN42" s="476"/>
      <c r="OFO42" s="476"/>
      <c r="OFP42" s="476"/>
      <c r="OFQ42" s="476"/>
      <c r="OFR42" s="476"/>
      <c r="OFS42" s="476"/>
      <c r="OFT42" s="476"/>
      <c r="OFU42" s="476"/>
      <c r="OFV42" s="476"/>
      <c r="OFW42" s="476"/>
      <c r="OFX42" s="476"/>
      <c r="OFY42" s="476"/>
      <c r="OFZ42" s="476"/>
      <c r="OGA42" s="476"/>
      <c r="OGB42" s="476"/>
      <c r="OGC42" s="476"/>
      <c r="OGD42" s="476"/>
      <c r="OGE42" s="476"/>
      <c r="OGF42" s="476"/>
      <c r="OGG42" s="476"/>
      <c r="OGH42" s="476"/>
      <c r="OGI42" s="476"/>
      <c r="OGJ42" s="476"/>
      <c r="OGK42" s="476"/>
      <c r="OGL42" s="476"/>
      <c r="OGM42" s="476"/>
      <c r="OGN42" s="476"/>
      <c r="OGO42" s="476"/>
      <c r="OGP42" s="476"/>
      <c r="OGQ42" s="476"/>
      <c r="OGR42" s="476"/>
      <c r="OGS42" s="476"/>
      <c r="OGT42" s="476"/>
      <c r="OGU42" s="476"/>
      <c r="OGV42" s="476"/>
      <c r="OGW42" s="476"/>
      <c r="OGX42" s="476"/>
      <c r="OGY42" s="476"/>
      <c r="OGZ42" s="476"/>
      <c r="OHA42" s="476"/>
      <c r="OHB42" s="476"/>
      <c r="OHC42" s="476"/>
      <c r="OHD42" s="476"/>
      <c r="OHE42" s="476"/>
      <c r="OHF42" s="476"/>
      <c r="OHG42" s="476"/>
      <c r="OHH42" s="476"/>
      <c r="OHI42" s="476"/>
      <c r="OHJ42" s="476"/>
      <c r="OHK42" s="476"/>
      <c r="OHL42" s="476"/>
      <c r="OHM42" s="476"/>
      <c r="OHN42" s="476"/>
      <c r="OHO42" s="476"/>
      <c r="OHP42" s="476"/>
      <c r="OHQ42" s="476"/>
      <c r="OHR42" s="476"/>
      <c r="OHS42" s="476"/>
      <c r="OHT42" s="476"/>
      <c r="OHU42" s="476"/>
      <c r="OHV42" s="476"/>
      <c r="OHW42" s="476"/>
      <c r="OHX42" s="476"/>
      <c r="OHY42" s="476"/>
      <c r="OHZ42" s="476"/>
      <c r="OIA42" s="476"/>
      <c r="OIB42" s="476"/>
      <c r="OIC42" s="476"/>
      <c r="OID42" s="476"/>
      <c r="OIE42" s="476"/>
      <c r="OIF42" s="476"/>
      <c r="OIG42" s="476"/>
      <c r="OIH42" s="476"/>
      <c r="OII42" s="476"/>
      <c r="OIJ42" s="476"/>
      <c r="OIK42" s="476"/>
      <c r="OIL42" s="476"/>
      <c r="OIM42" s="476"/>
      <c r="OIN42" s="476"/>
      <c r="OIO42" s="476"/>
      <c r="OIP42" s="476"/>
      <c r="OIQ42" s="476"/>
      <c r="OIR42" s="476"/>
      <c r="OIS42" s="476"/>
      <c r="OIT42" s="476"/>
      <c r="OIU42" s="476"/>
      <c r="OIV42" s="476"/>
      <c r="OIW42" s="476"/>
      <c r="OIX42" s="476"/>
      <c r="OIY42" s="476"/>
      <c r="OIZ42" s="476"/>
      <c r="OJA42" s="476"/>
      <c r="OJB42" s="476"/>
      <c r="OJC42" s="476"/>
      <c r="OJD42" s="476"/>
      <c r="OJE42" s="476"/>
      <c r="OJF42" s="476"/>
      <c r="OJG42" s="476"/>
      <c r="OJH42" s="476"/>
      <c r="OJI42" s="476"/>
      <c r="OJJ42" s="476"/>
      <c r="OJK42" s="476"/>
      <c r="OJL42" s="476"/>
      <c r="OJM42" s="476"/>
      <c r="OJN42" s="476"/>
      <c r="OJO42" s="476"/>
      <c r="OJP42" s="476"/>
      <c r="OJQ42" s="476"/>
      <c r="OJR42" s="476"/>
      <c r="OJS42" s="476"/>
      <c r="OJT42" s="476"/>
      <c r="OJU42" s="476"/>
      <c r="OJV42" s="476"/>
      <c r="OJW42" s="476"/>
      <c r="OJX42" s="476"/>
      <c r="OJY42" s="476"/>
      <c r="OJZ42" s="476"/>
      <c r="OKA42" s="476"/>
      <c r="OKB42" s="476"/>
      <c r="OKC42" s="476"/>
      <c r="OKD42" s="476"/>
      <c r="OKE42" s="476"/>
      <c r="OKF42" s="476"/>
      <c r="OKG42" s="476"/>
      <c r="OKH42" s="476"/>
      <c r="OKI42" s="476"/>
      <c r="OKJ42" s="476"/>
      <c r="OKK42" s="476"/>
      <c r="OKL42" s="476"/>
      <c r="OKM42" s="476"/>
      <c r="OKN42" s="476"/>
      <c r="OKO42" s="476"/>
      <c r="OKP42" s="476"/>
      <c r="OKQ42" s="476"/>
      <c r="OKR42" s="476"/>
      <c r="OKS42" s="476"/>
      <c r="OKT42" s="476"/>
      <c r="OKU42" s="476"/>
      <c r="OKV42" s="476"/>
      <c r="OKW42" s="476"/>
      <c r="OKX42" s="476"/>
      <c r="OKY42" s="476"/>
      <c r="OKZ42" s="476"/>
      <c r="OLA42" s="476"/>
      <c r="OLB42" s="476"/>
      <c r="OLC42" s="476"/>
      <c r="OLD42" s="476"/>
      <c r="OLE42" s="476"/>
      <c r="OLF42" s="476"/>
      <c r="OLG42" s="476"/>
      <c r="OLH42" s="476"/>
      <c r="OLI42" s="476"/>
      <c r="OLJ42" s="476"/>
      <c r="OLK42" s="476"/>
      <c r="OLL42" s="476"/>
      <c r="OLM42" s="476"/>
      <c r="OLN42" s="476"/>
      <c r="OLO42" s="476"/>
      <c r="OLP42" s="476"/>
      <c r="OLQ42" s="476"/>
      <c r="OLR42" s="476"/>
      <c r="OLS42" s="476"/>
      <c r="OLT42" s="476"/>
      <c r="OLU42" s="476"/>
      <c r="OLV42" s="476"/>
      <c r="OLW42" s="476"/>
      <c r="OLX42" s="476"/>
      <c r="OLY42" s="476"/>
      <c r="OLZ42" s="476"/>
      <c r="OMA42" s="476"/>
      <c r="OMB42" s="476"/>
      <c r="OMC42" s="476"/>
      <c r="OMD42" s="476"/>
      <c r="OME42" s="476"/>
      <c r="OMF42" s="476"/>
      <c r="OMG42" s="476"/>
      <c r="OMH42" s="476"/>
      <c r="OMI42" s="476"/>
      <c r="OMJ42" s="476"/>
      <c r="OMK42" s="476"/>
      <c r="OML42" s="476"/>
      <c r="OMM42" s="476"/>
      <c r="OMN42" s="476"/>
      <c r="OMO42" s="476"/>
      <c r="OMP42" s="476"/>
      <c r="OMQ42" s="476"/>
      <c r="OMR42" s="476"/>
      <c r="OMS42" s="476"/>
      <c r="OMT42" s="476"/>
      <c r="OMU42" s="476"/>
      <c r="OMV42" s="476"/>
      <c r="OMW42" s="476"/>
      <c r="OMX42" s="476"/>
      <c r="OMY42" s="476"/>
      <c r="OMZ42" s="476"/>
      <c r="ONA42" s="476"/>
      <c r="ONB42" s="476"/>
      <c r="ONC42" s="476"/>
      <c r="OND42" s="476"/>
      <c r="ONE42" s="476"/>
      <c r="ONF42" s="476"/>
      <c r="ONG42" s="476"/>
      <c r="ONH42" s="476"/>
      <c r="ONI42" s="476"/>
      <c r="ONJ42" s="476"/>
      <c r="ONK42" s="476"/>
      <c r="ONL42" s="476"/>
      <c r="ONM42" s="476"/>
      <c r="ONN42" s="476"/>
      <c r="ONO42" s="476"/>
      <c r="ONP42" s="476"/>
      <c r="ONQ42" s="476"/>
      <c r="ONR42" s="476"/>
      <c r="ONS42" s="476"/>
      <c r="ONT42" s="476"/>
      <c r="ONU42" s="476"/>
      <c r="ONV42" s="476"/>
      <c r="ONW42" s="476"/>
      <c r="ONX42" s="476"/>
      <c r="ONY42" s="476"/>
      <c r="ONZ42" s="476"/>
      <c r="OOA42" s="476"/>
      <c r="OOB42" s="476"/>
      <c r="OOC42" s="476"/>
      <c r="OOD42" s="476"/>
      <c r="OOE42" s="476"/>
      <c r="OOF42" s="476"/>
      <c r="OOG42" s="476"/>
      <c r="OOH42" s="476"/>
      <c r="OOI42" s="476"/>
      <c r="OOJ42" s="476"/>
      <c r="OOK42" s="476"/>
      <c r="OOL42" s="476"/>
      <c r="OOM42" s="476"/>
      <c r="OON42" s="476"/>
      <c r="OOO42" s="476"/>
      <c r="OOP42" s="476"/>
      <c r="OOQ42" s="476"/>
      <c r="OOR42" s="476"/>
      <c r="OOS42" s="476"/>
      <c r="OOT42" s="476"/>
      <c r="OOU42" s="476"/>
      <c r="OOV42" s="476"/>
      <c r="OOW42" s="476"/>
      <c r="OOX42" s="476"/>
      <c r="OOY42" s="476"/>
      <c r="OOZ42" s="476"/>
      <c r="OPA42" s="476"/>
      <c r="OPB42" s="476"/>
      <c r="OPC42" s="476"/>
      <c r="OPD42" s="476"/>
      <c r="OPE42" s="476"/>
      <c r="OPF42" s="476"/>
      <c r="OPG42" s="476"/>
      <c r="OPH42" s="476"/>
      <c r="OPI42" s="476"/>
      <c r="OPJ42" s="476"/>
      <c r="OPK42" s="476"/>
      <c r="OPL42" s="476"/>
      <c r="OPM42" s="476"/>
      <c r="OPN42" s="476"/>
      <c r="OPO42" s="476"/>
      <c r="OPP42" s="476"/>
      <c r="OPQ42" s="476"/>
      <c r="OPR42" s="476"/>
      <c r="OPS42" s="476"/>
      <c r="OPT42" s="476"/>
      <c r="OPU42" s="476"/>
      <c r="OPV42" s="476"/>
      <c r="OPW42" s="476"/>
      <c r="OPX42" s="476"/>
      <c r="OPY42" s="476"/>
      <c r="OPZ42" s="476"/>
      <c r="OQA42" s="476"/>
      <c r="OQB42" s="476"/>
      <c r="OQC42" s="476"/>
      <c r="OQD42" s="476"/>
      <c r="OQE42" s="476"/>
      <c r="OQF42" s="476"/>
      <c r="OQG42" s="476"/>
      <c r="OQH42" s="476"/>
      <c r="OQI42" s="476"/>
      <c r="OQJ42" s="476"/>
      <c r="OQK42" s="476"/>
      <c r="OQL42" s="476"/>
      <c r="OQM42" s="476"/>
      <c r="OQN42" s="476"/>
      <c r="OQO42" s="476"/>
      <c r="OQP42" s="476"/>
      <c r="OQQ42" s="476"/>
      <c r="OQR42" s="476"/>
      <c r="OQS42" s="476"/>
      <c r="OQT42" s="476"/>
      <c r="OQU42" s="476"/>
      <c r="OQV42" s="476"/>
      <c r="OQW42" s="476"/>
      <c r="OQX42" s="476"/>
      <c r="OQY42" s="476"/>
      <c r="OQZ42" s="476"/>
      <c r="ORA42" s="476"/>
      <c r="ORB42" s="476"/>
      <c r="ORC42" s="476"/>
      <c r="ORD42" s="476"/>
      <c r="ORE42" s="476"/>
      <c r="ORF42" s="476"/>
      <c r="ORG42" s="476"/>
      <c r="ORH42" s="476"/>
      <c r="ORI42" s="476"/>
      <c r="ORJ42" s="476"/>
      <c r="ORK42" s="476"/>
      <c r="ORL42" s="476"/>
      <c r="ORM42" s="476"/>
      <c r="ORN42" s="476"/>
      <c r="ORO42" s="476"/>
      <c r="ORP42" s="476"/>
      <c r="ORQ42" s="476"/>
      <c r="ORR42" s="476"/>
      <c r="ORS42" s="476"/>
      <c r="ORT42" s="476"/>
      <c r="ORU42" s="476"/>
      <c r="ORV42" s="476"/>
      <c r="ORW42" s="476"/>
      <c r="ORX42" s="476"/>
      <c r="ORY42" s="476"/>
      <c r="ORZ42" s="476"/>
      <c r="OSA42" s="476"/>
      <c r="OSB42" s="476"/>
      <c r="OSC42" s="476"/>
      <c r="OSD42" s="476"/>
      <c r="OSE42" s="476"/>
      <c r="OSF42" s="476"/>
      <c r="OSG42" s="476"/>
      <c r="OSH42" s="476"/>
      <c r="OSI42" s="476"/>
      <c r="OSJ42" s="476"/>
      <c r="OSK42" s="476"/>
      <c r="OSL42" s="476"/>
      <c r="OSM42" s="476"/>
      <c r="OSN42" s="476"/>
      <c r="OSO42" s="476"/>
      <c r="OSP42" s="476"/>
      <c r="OSQ42" s="476"/>
      <c r="OSR42" s="476"/>
      <c r="OSS42" s="476"/>
      <c r="OST42" s="476"/>
      <c r="OSU42" s="476"/>
      <c r="OSV42" s="476"/>
      <c r="OSW42" s="476"/>
      <c r="OSX42" s="476"/>
      <c r="OSY42" s="476"/>
      <c r="OSZ42" s="476"/>
      <c r="OTA42" s="476"/>
      <c r="OTB42" s="476"/>
      <c r="OTC42" s="476"/>
      <c r="OTD42" s="476"/>
      <c r="OTE42" s="476"/>
      <c r="OTF42" s="476"/>
      <c r="OTG42" s="476"/>
      <c r="OTH42" s="476"/>
      <c r="OTI42" s="476"/>
      <c r="OTJ42" s="476"/>
      <c r="OTK42" s="476"/>
      <c r="OTL42" s="476"/>
      <c r="OTM42" s="476"/>
      <c r="OTN42" s="476"/>
      <c r="OTO42" s="476"/>
      <c r="OTP42" s="476"/>
      <c r="OTQ42" s="476"/>
      <c r="OTR42" s="476"/>
      <c r="OTS42" s="476"/>
      <c r="OTT42" s="476"/>
      <c r="OTU42" s="476"/>
      <c r="OTV42" s="476"/>
      <c r="OTW42" s="476"/>
      <c r="OTX42" s="476"/>
      <c r="OTY42" s="476"/>
      <c r="OTZ42" s="476"/>
      <c r="OUA42" s="476"/>
      <c r="OUB42" s="476"/>
      <c r="OUC42" s="476"/>
      <c r="OUD42" s="476"/>
      <c r="OUE42" s="476"/>
      <c r="OUF42" s="476"/>
      <c r="OUG42" s="476"/>
      <c r="OUH42" s="476"/>
      <c r="OUI42" s="476"/>
      <c r="OUJ42" s="476"/>
      <c r="OUK42" s="476"/>
      <c r="OUL42" s="476"/>
      <c r="OUM42" s="476"/>
      <c r="OUN42" s="476"/>
      <c r="OUO42" s="476"/>
      <c r="OUP42" s="476"/>
      <c r="OUQ42" s="476"/>
      <c r="OUR42" s="476"/>
      <c r="OUS42" s="476"/>
      <c r="OUT42" s="476"/>
      <c r="OUU42" s="476"/>
      <c r="OUV42" s="476"/>
      <c r="OUW42" s="476"/>
      <c r="OUX42" s="476"/>
      <c r="OUY42" s="476"/>
      <c r="OUZ42" s="476"/>
      <c r="OVA42" s="476"/>
      <c r="OVB42" s="476"/>
      <c r="OVC42" s="476"/>
      <c r="OVD42" s="476"/>
      <c r="OVE42" s="476"/>
      <c r="OVF42" s="476"/>
      <c r="OVG42" s="476"/>
      <c r="OVH42" s="476"/>
      <c r="OVI42" s="476"/>
      <c r="OVJ42" s="476"/>
      <c r="OVK42" s="476"/>
      <c r="OVL42" s="476"/>
      <c r="OVM42" s="476"/>
      <c r="OVN42" s="476"/>
      <c r="OVO42" s="476"/>
      <c r="OVP42" s="476"/>
      <c r="OVQ42" s="476"/>
      <c r="OVR42" s="476"/>
      <c r="OVS42" s="476"/>
      <c r="OVT42" s="476"/>
      <c r="OVU42" s="476"/>
      <c r="OVV42" s="476"/>
      <c r="OVW42" s="476"/>
      <c r="OVX42" s="476"/>
      <c r="OVY42" s="476"/>
      <c r="OVZ42" s="476"/>
      <c r="OWA42" s="476"/>
      <c r="OWB42" s="476"/>
      <c r="OWC42" s="476"/>
      <c r="OWD42" s="476"/>
      <c r="OWE42" s="476"/>
      <c r="OWF42" s="476"/>
      <c r="OWG42" s="476"/>
      <c r="OWH42" s="476"/>
      <c r="OWI42" s="476"/>
      <c r="OWJ42" s="476"/>
      <c r="OWK42" s="476"/>
      <c r="OWL42" s="476"/>
      <c r="OWM42" s="476"/>
      <c r="OWN42" s="476"/>
      <c r="OWO42" s="476"/>
      <c r="OWP42" s="476"/>
      <c r="OWQ42" s="476"/>
      <c r="OWR42" s="476"/>
      <c r="OWS42" s="476"/>
      <c r="OWT42" s="476"/>
      <c r="OWU42" s="476"/>
      <c r="OWV42" s="476"/>
      <c r="OWW42" s="476"/>
      <c r="OWX42" s="476"/>
      <c r="OWY42" s="476"/>
      <c r="OWZ42" s="476"/>
      <c r="OXA42" s="476"/>
      <c r="OXB42" s="476"/>
      <c r="OXC42" s="476"/>
      <c r="OXD42" s="476"/>
      <c r="OXE42" s="476"/>
      <c r="OXF42" s="476"/>
      <c r="OXG42" s="476"/>
      <c r="OXH42" s="476"/>
      <c r="OXI42" s="476"/>
      <c r="OXJ42" s="476"/>
      <c r="OXK42" s="476"/>
      <c r="OXL42" s="476"/>
      <c r="OXM42" s="476"/>
      <c r="OXN42" s="476"/>
      <c r="OXO42" s="476"/>
      <c r="OXP42" s="476"/>
      <c r="OXQ42" s="476"/>
      <c r="OXR42" s="476"/>
      <c r="OXS42" s="476"/>
      <c r="OXT42" s="476"/>
      <c r="OXU42" s="476"/>
      <c r="OXV42" s="476"/>
      <c r="OXW42" s="476"/>
      <c r="OXX42" s="476"/>
      <c r="OXY42" s="476"/>
      <c r="OXZ42" s="476"/>
      <c r="OYA42" s="476"/>
      <c r="OYB42" s="476"/>
      <c r="OYC42" s="476"/>
      <c r="OYD42" s="476"/>
      <c r="OYE42" s="476"/>
      <c r="OYF42" s="476"/>
      <c r="OYG42" s="476"/>
      <c r="OYH42" s="476"/>
      <c r="OYI42" s="476"/>
      <c r="OYJ42" s="476"/>
      <c r="OYK42" s="476"/>
      <c r="OYL42" s="476"/>
      <c r="OYM42" s="476"/>
      <c r="OYN42" s="476"/>
      <c r="OYO42" s="476"/>
      <c r="OYP42" s="476"/>
      <c r="OYQ42" s="476"/>
      <c r="OYR42" s="476"/>
      <c r="OYS42" s="476"/>
      <c r="OYT42" s="476"/>
      <c r="OYU42" s="476"/>
      <c r="OYV42" s="476"/>
      <c r="OYW42" s="476"/>
      <c r="OYX42" s="476"/>
      <c r="OYY42" s="476"/>
      <c r="OYZ42" s="476"/>
      <c r="OZA42" s="476"/>
      <c r="OZB42" s="476"/>
      <c r="OZC42" s="476"/>
      <c r="OZD42" s="476"/>
      <c r="OZE42" s="476"/>
      <c r="OZF42" s="476"/>
      <c r="OZG42" s="476"/>
      <c r="OZH42" s="476"/>
      <c r="OZI42" s="476"/>
      <c r="OZJ42" s="476"/>
      <c r="OZK42" s="476"/>
      <c r="OZL42" s="476"/>
      <c r="OZM42" s="476"/>
      <c r="OZN42" s="476"/>
      <c r="OZO42" s="476"/>
      <c r="OZP42" s="476"/>
      <c r="OZQ42" s="476"/>
      <c r="OZR42" s="476"/>
      <c r="OZS42" s="476"/>
      <c r="OZT42" s="476"/>
      <c r="OZU42" s="476"/>
      <c r="OZV42" s="476"/>
      <c r="OZW42" s="476"/>
      <c r="OZX42" s="476"/>
      <c r="OZY42" s="476"/>
      <c r="OZZ42" s="476"/>
      <c r="PAA42" s="476"/>
      <c r="PAB42" s="476"/>
      <c r="PAC42" s="476"/>
      <c r="PAD42" s="476"/>
      <c r="PAE42" s="476"/>
      <c r="PAF42" s="476"/>
      <c r="PAG42" s="476"/>
      <c r="PAH42" s="476"/>
      <c r="PAI42" s="476"/>
      <c r="PAJ42" s="476"/>
      <c r="PAK42" s="476"/>
      <c r="PAL42" s="476"/>
      <c r="PAM42" s="476"/>
      <c r="PAN42" s="476"/>
      <c r="PAO42" s="476"/>
      <c r="PAP42" s="476"/>
      <c r="PAQ42" s="476"/>
      <c r="PAR42" s="476"/>
      <c r="PAS42" s="476"/>
      <c r="PAT42" s="476"/>
      <c r="PAU42" s="476"/>
      <c r="PAV42" s="476"/>
      <c r="PAW42" s="476"/>
      <c r="PAX42" s="476"/>
      <c r="PAY42" s="476"/>
      <c r="PAZ42" s="476"/>
      <c r="PBA42" s="476"/>
      <c r="PBB42" s="476"/>
      <c r="PBC42" s="476"/>
      <c r="PBD42" s="476"/>
      <c r="PBE42" s="476"/>
      <c r="PBF42" s="476"/>
      <c r="PBG42" s="476"/>
      <c r="PBH42" s="476"/>
      <c r="PBI42" s="476"/>
      <c r="PBJ42" s="476"/>
      <c r="PBK42" s="476"/>
      <c r="PBL42" s="476"/>
      <c r="PBM42" s="476"/>
      <c r="PBN42" s="476"/>
      <c r="PBO42" s="476"/>
      <c r="PBP42" s="476"/>
      <c r="PBQ42" s="476"/>
      <c r="PBR42" s="476"/>
      <c r="PBS42" s="476"/>
      <c r="PBT42" s="476"/>
      <c r="PBU42" s="476"/>
      <c r="PBV42" s="476"/>
      <c r="PBW42" s="476"/>
      <c r="PBX42" s="476"/>
      <c r="PBY42" s="476"/>
      <c r="PBZ42" s="476"/>
      <c r="PCA42" s="476"/>
      <c r="PCB42" s="476"/>
      <c r="PCC42" s="476"/>
      <c r="PCD42" s="476"/>
      <c r="PCE42" s="476"/>
      <c r="PCF42" s="476"/>
      <c r="PCG42" s="476"/>
      <c r="PCH42" s="476"/>
      <c r="PCI42" s="476"/>
      <c r="PCJ42" s="476"/>
      <c r="PCK42" s="476"/>
      <c r="PCL42" s="476"/>
      <c r="PCM42" s="476"/>
      <c r="PCN42" s="476"/>
      <c r="PCO42" s="476"/>
      <c r="PCP42" s="476"/>
      <c r="PCQ42" s="476"/>
      <c r="PCR42" s="476"/>
      <c r="PCS42" s="476"/>
      <c r="PCT42" s="476"/>
      <c r="PCU42" s="476"/>
      <c r="PCV42" s="476"/>
      <c r="PCW42" s="476"/>
      <c r="PCX42" s="476"/>
      <c r="PCY42" s="476"/>
      <c r="PCZ42" s="476"/>
      <c r="PDA42" s="476"/>
      <c r="PDB42" s="476"/>
      <c r="PDC42" s="476"/>
      <c r="PDD42" s="476"/>
      <c r="PDE42" s="476"/>
      <c r="PDF42" s="476"/>
      <c r="PDG42" s="476"/>
      <c r="PDH42" s="476"/>
      <c r="PDI42" s="476"/>
      <c r="PDJ42" s="476"/>
      <c r="PDK42" s="476"/>
      <c r="PDL42" s="476"/>
      <c r="PDM42" s="476"/>
      <c r="PDN42" s="476"/>
      <c r="PDO42" s="476"/>
      <c r="PDP42" s="476"/>
      <c r="PDQ42" s="476"/>
      <c r="PDR42" s="476"/>
      <c r="PDS42" s="476"/>
      <c r="PDT42" s="476"/>
      <c r="PDU42" s="476"/>
      <c r="PDV42" s="476"/>
      <c r="PDW42" s="476"/>
      <c r="PDX42" s="476"/>
      <c r="PDY42" s="476"/>
      <c r="PDZ42" s="476"/>
      <c r="PEA42" s="476"/>
      <c r="PEB42" s="476"/>
      <c r="PEC42" s="476"/>
      <c r="PED42" s="476"/>
      <c r="PEE42" s="476"/>
      <c r="PEF42" s="476"/>
      <c r="PEG42" s="476"/>
      <c r="PEH42" s="476"/>
      <c r="PEI42" s="476"/>
      <c r="PEJ42" s="476"/>
      <c r="PEK42" s="476"/>
      <c r="PEL42" s="476"/>
      <c r="PEM42" s="476"/>
      <c r="PEN42" s="476"/>
      <c r="PEO42" s="476"/>
      <c r="PEP42" s="476"/>
      <c r="PEQ42" s="476"/>
      <c r="PER42" s="476"/>
      <c r="PES42" s="476"/>
      <c r="PET42" s="476"/>
      <c r="PEU42" s="476"/>
      <c r="PEV42" s="476"/>
      <c r="PEW42" s="476"/>
      <c r="PEX42" s="476"/>
      <c r="PEY42" s="476"/>
      <c r="PEZ42" s="476"/>
      <c r="PFA42" s="476"/>
      <c r="PFB42" s="476"/>
      <c r="PFC42" s="476"/>
      <c r="PFD42" s="476"/>
      <c r="PFE42" s="476"/>
      <c r="PFF42" s="476"/>
      <c r="PFG42" s="476"/>
      <c r="PFH42" s="476"/>
      <c r="PFI42" s="476"/>
      <c r="PFJ42" s="476"/>
      <c r="PFK42" s="476"/>
      <c r="PFL42" s="476"/>
      <c r="PFM42" s="476"/>
      <c r="PFN42" s="476"/>
      <c r="PFO42" s="476"/>
      <c r="PFP42" s="476"/>
      <c r="PFQ42" s="476"/>
      <c r="PFR42" s="476"/>
      <c r="PFS42" s="476"/>
      <c r="PFT42" s="476"/>
      <c r="PFU42" s="476"/>
      <c r="PFV42" s="476"/>
      <c r="PFW42" s="476"/>
      <c r="PFX42" s="476"/>
      <c r="PFY42" s="476"/>
      <c r="PFZ42" s="476"/>
      <c r="PGA42" s="476"/>
      <c r="PGB42" s="476"/>
      <c r="PGC42" s="476"/>
      <c r="PGD42" s="476"/>
      <c r="PGE42" s="476"/>
      <c r="PGF42" s="476"/>
      <c r="PGG42" s="476"/>
      <c r="PGH42" s="476"/>
      <c r="PGI42" s="476"/>
      <c r="PGJ42" s="476"/>
      <c r="PGK42" s="476"/>
      <c r="PGL42" s="476"/>
      <c r="PGM42" s="476"/>
      <c r="PGN42" s="476"/>
      <c r="PGO42" s="476"/>
      <c r="PGP42" s="476"/>
      <c r="PGQ42" s="476"/>
      <c r="PGR42" s="476"/>
      <c r="PGS42" s="476"/>
      <c r="PGT42" s="476"/>
      <c r="PGU42" s="476"/>
      <c r="PGV42" s="476"/>
      <c r="PGW42" s="476"/>
      <c r="PGX42" s="476"/>
      <c r="PGY42" s="476"/>
      <c r="PGZ42" s="476"/>
      <c r="PHA42" s="476"/>
      <c r="PHB42" s="476"/>
      <c r="PHC42" s="476"/>
      <c r="PHD42" s="476"/>
      <c r="PHE42" s="476"/>
      <c r="PHF42" s="476"/>
      <c r="PHG42" s="476"/>
      <c r="PHH42" s="476"/>
      <c r="PHI42" s="476"/>
      <c r="PHJ42" s="476"/>
      <c r="PHK42" s="476"/>
      <c r="PHL42" s="476"/>
      <c r="PHM42" s="476"/>
      <c r="PHN42" s="476"/>
      <c r="PHO42" s="476"/>
      <c r="PHP42" s="476"/>
      <c r="PHQ42" s="476"/>
      <c r="PHR42" s="476"/>
      <c r="PHS42" s="476"/>
      <c r="PHT42" s="476"/>
      <c r="PHU42" s="476"/>
      <c r="PHV42" s="476"/>
      <c r="PHW42" s="476"/>
      <c r="PHX42" s="476"/>
      <c r="PHY42" s="476"/>
      <c r="PHZ42" s="476"/>
      <c r="PIA42" s="476"/>
      <c r="PIB42" s="476"/>
      <c r="PIC42" s="476"/>
      <c r="PID42" s="476"/>
      <c r="PIE42" s="476"/>
      <c r="PIF42" s="476"/>
      <c r="PIG42" s="476"/>
      <c r="PIH42" s="476"/>
      <c r="PII42" s="476"/>
      <c r="PIJ42" s="476"/>
      <c r="PIK42" s="476"/>
      <c r="PIL42" s="476"/>
      <c r="PIM42" s="476"/>
      <c r="PIN42" s="476"/>
      <c r="PIO42" s="476"/>
      <c r="PIP42" s="476"/>
      <c r="PIQ42" s="476"/>
      <c r="PIR42" s="476"/>
      <c r="PIS42" s="476"/>
      <c r="PIT42" s="476"/>
      <c r="PIU42" s="476"/>
      <c r="PIV42" s="476"/>
      <c r="PIW42" s="476"/>
      <c r="PIX42" s="476"/>
      <c r="PIY42" s="476"/>
      <c r="PIZ42" s="476"/>
      <c r="PJA42" s="476"/>
      <c r="PJB42" s="476"/>
      <c r="PJC42" s="476"/>
      <c r="PJD42" s="476"/>
      <c r="PJE42" s="476"/>
      <c r="PJF42" s="476"/>
      <c r="PJG42" s="476"/>
      <c r="PJH42" s="476"/>
      <c r="PJI42" s="476"/>
      <c r="PJJ42" s="476"/>
      <c r="PJK42" s="476"/>
      <c r="PJL42" s="476"/>
      <c r="PJM42" s="476"/>
      <c r="PJN42" s="476"/>
      <c r="PJO42" s="476"/>
      <c r="PJP42" s="476"/>
      <c r="PJQ42" s="476"/>
      <c r="PJR42" s="476"/>
      <c r="PJS42" s="476"/>
      <c r="PJT42" s="476"/>
      <c r="PJU42" s="476"/>
      <c r="PJV42" s="476"/>
      <c r="PJW42" s="476"/>
      <c r="PJX42" s="476"/>
      <c r="PJY42" s="476"/>
      <c r="PJZ42" s="476"/>
      <c r="PKA42" s="476"/>
      <c r="PKB42" s="476"/>
      <c r="PKC42" s="476"/>
      <c r="PKD42" s="476"/>
      <c r="PKE42" s="476"/>
      <c r="PKF42" s="476"/>
      <c r="PKG42" s="476"/>
      <c r="PKH42" s="476"/>
      <c r="PKI42" s="476"/>
      <c r="PKJ42" s="476"/>
      <c r="PKK42" s="476"/>
      <c r="PKL42" s="476"/>
      <c r="PKM42" s="476"/>
      <c r="PKN42" s="476"/>
      <c r="PKO42" s="476"/>
      <c r="PKP42" s="476"/>
      <c r="PKQ42" s="476"/>
      <c r="PKR42" s="476"/>
      <c r="PKS42" s="476"/>
      <c r="PKT42" s="476"/>
      <c r="PKU42" s="476"/>
      <c r="PKV42" s="476"/>
      <c r="PKW42" s="476"/>
      <c r="PKX42" s="476"/>
      <c r="PKY42" s="476"/>
      <c r="PKZ42" s="476"/>
      <c r="PLA42" s="476"/>
      <c r="PLB42" s="476"/>
      <c r="PLC42" s="476"/>
      <c r="PLD42" s="476"/>
      <c r="PLE42" s="476"/>
      <c r="PLF42" s="476"/>
      <c r="PLG42" s="476"/>
      <c r="PLH42" s="476"/>
      <c r="PLI42" s="476"/>
      <c r="PLJ42" s="476"/>
      <c r="PLK42" s="476"/>
      <c r="PLL42" s="476"/>
      <c r="PLM42" s="476"/>
      <c r="PLN42" s="476"/>
      <c r="PLO42" s="476"/>
      <c r="PLP42" s="476"/>
      <c r="PLQ42" s="476"/>
      <c r="PLR42" s="476"/>
      <c r="PLS42" s="476"/>
      <c r="PLT42" s="476"/>
      <c r="PLU42" s="476"/>
      <c r="PLV42" s="476"/>
      <c r="PLW42" s="476"/>
      <c r="PLX42" s="476"/>
      <c r="PLY42" s="476"/>
      <c r="PLZ42" s="476"/>
      <c r="PMA42" s="476"/>
      <c r="PMB42" s="476"/>
      <c r="PMC42" s="476"/>
      <c r="PMD42" s="476"/>
      <c r="PME42" s="476"/>
      <c r="PMF42" s="476"/>
      <c r="PMG42" s="476"/>
      <c r="PMH42" s="476"/>
      <c r="PMI42" s="476"/>
      <c r="PMJ42" s="476"/>
      <c r="PMK42" s="476"/>
      <c r="PML42" s="476"/>
      <c r="PMM42" s="476"/>
      <c r="PMN42" s="476"/>
      <c r="PMO42" s="476"/>
      <c r="PMP42" s="476"/>
      <c r="PMQ42" s="476"/>
      <c r="PMR42" s="476"/>
      <c r="PMS42" s="476"/>
      <c r="PMT42" s="476"/>
      <c r="PMU42" s="476"/>
      <c r="PMV42" s="476"/>
      <c r="PMW42" s="476"/>
      <c r="PMX42" s="476"/>
      <c r="PMY42" s="476"/>
      <c r="PMZ42" s="476"/>
      <c r="PNA42" s="476"/>
      <c r="PNB42" s="476"/>
      <c r="PNC42" s="476"/>
      <c r="PND42" s="476"/>
      <c r="PNE42" s="476"/>
      <c r="PNF42" s="476"/>
      <c r="PNG42" s="476"/>
      <c r="PNH42" s="476"/>
      <c r="PNI42" s="476"/>
      <c r="PNJ42" s="476"/>
      <c r="PNK42" s="476"/>
      <c r="PNL42" s="476"/>
      <c r="PNM42" s="476"/>
      <c r="PNN42" s="476"/>
      <c r="PNO42" s="476"/>
      <c r="PNP42" s="476"/>
      <c r="PNQ42" s="476"/>
      <c r="PNR42" s="476"/>
      <c r="PNS42" s="476"/>
      <c r="PNT42" s="476"/>
      <c r="PNU42" s="476"/>
      <c r="PNV42" s="476"/>
      <c r="PNW42" s="476"/>
      <c r="PNX42" s="476"/>
      <c r="PNY42" s="476"/>
      <c r="PNZ42" s="476"/>
      <c r="POA42" s="476"/>
      <c r="POB42" s="476"/>
      <c r="POC42" s="476"/>
      <c r="POD42" s="476"/>
      <c r="POE42" s="476"/>
      <c r="POF42" s="476"/>
      <c r="POG42" s="476"/>
      <c r="POH42" s="476"/>
      <c r="POI42" s="476"/>
      <c r="POJ42" s="476"/>
      <c r="POK42" s="476"/>
      <c r="POL42" s="476"/>
      <c r="POM42" s="476"/>
      <c r="PON42" s="476"/>
      <c r="POO42" s="476"/>
      <c r="POP42" s="476"/>
      <c r="POQ42" s="476"/>
      <c r="POR42" s="476"/>
      <c r="POS42" s="476"/>
      <c r="POT42" s="476"/>
      <c r="POU42" s="476"/>
      <c r="POV42" s="476"/>
      <c r="POW42" s="476"/>
      <c r="POX42" s="476"/>
      <c r="POY42" s="476"/>
      <c r="POZ42" s="476"/>
      <c r="PPA42" s="476"/>
      <c r="PPB42" s="476"/>
      <c r="PPC42" s="476"/>
      <c r="PPD42" s="476"/>
      <c r="PPE42" s="476"/>
      <c r="PPF42" s="476"/>
      <c r="PPG42" s="476"/>
      <c r="PPH42" s="476"/>
      <c r="PPI42" s="476"/>
      <c r="PPJ42" s="476"/>
      <c r="PPK42" s="476"/>
      <c r="PPL42" s="476"/>
      <c r="PPM42" s="476"/>
      <c r="PPN42" s="476"/>
      <c r="PPO42" s="476"/>
      <c r="PPP42" s="476"/>
      <c r="PPQ42" s="476"/>
      <c r="PPR42" s="476"/>
      <c r="PPS42" s="476"/>
      <c r="PPT42" s="476"/>
      <c r="PPU42" s="476"/>
      <c r="PPV42" s="476"/>
      <c r="PPW42" s="476"/>
      <c r="PPX42" s="476"/>
      <c r="PPY42" s="476"/>
      <c r="PPZ42" s="476"/>
      <c r="PQA42" s="476"/>
      <c r="PQB42" s="476"/>
      <c r="PQC42" s="476"/>
      <c r="PQD42" s="476"/>
      <c r="PQE42" s="476"/>
      <c r="PQF42" s="476"/>
      <c r="PQG42" s="476"/>
      <c r="PQH42" s="476"/>
      <c r="PQI42" s="476"/>
      <c r="PQJ42" s="476"/>
      <c r="PQK42" s="476"/>
      <c r="PQL42" s="476"/>
      <c r="PQM42" s="476"/>
      <c r="PQN42" s="476"/>
      <c r="PQO42" s="476"/>
      <c r="PQP42" s="476"/>
      <c r="PQQ42" s="476"/>
      <c r="PQR42" s="476"/>
      <c r="PQS42" s="476"/>
      <c r="PQT42" s="476"/>
      <c r="PQU42" s="476"/>
      <c r="PQV42" s="476"/>
      <c r="PQW42" s="476"/>
      <c r="PQX42" s="476"/>
      <c r="PQY42" s="476"/>
      <c r="PQZ42" s="476"/>
      <c r="PRA42" s="476"/>
      <c r="PRB42" s="476"/>
      <c r="PRC42" s="476"/>
      <c r="PRD42" s="476"/>
      <c r="PRE42" s="476"/>
      <c r="PRF42" s="476"/>
      <c r="PRG42" s="476"/>
      <c r="PRH42" s="476"/>
      <c r="PRI42" s="476"/>
      <c r="PRJ42" s="476"/>
      <c r="PRK42" s="476"/>
      <c r="PRL42" s="476"/>
      <c r="PRM42" s="476"/>
      <c r="PRN42" s="476"/>
      <c r="PRO42" s="476"/>
      <c r="PRP42" s="476"/>
      <c r="PRQ42" s="476"/>
      <c r="PRR42" s="476"/>
      <c r="PRS42" s="476"/>
      <c r="PRT42" s="476"/>
      <c r="PRU42" s="476"/>
      <c r="PRV42" s="476"/>
      <c r="PRW42" s="476"/>
      <c r="PRX42" s="476"/>
      <c r="PRY42" s="476"/>
      <c r="PRZ42" s="476"/>
      <c r="PSA42" s="476"/>
      <c r="PSB42" s="476"/>
      <c r="PSC42" s="476"/>
      <c r="PSD42" s="476"/>
      <c r="PSE42" s="476"/>
      <c r="PSF42" s="476"/>
      <c r="PSG42" s="476"/>
      <c r="PSH42" s="476"/>
      <c r="PSI42" s="476"/>
      <c r="PSJ42" s="476"/>
      <c r="PSK42" s="476"/>
      <c r="PSL42" s="476"/>
      <c r="PSM42" s="476"/>
      <c r="PSN42" s="476"/>
      <c r="PSO42" s="476"/>
      <c r="PSP42" s="476"/>
      <c r="PSQ42" s="476"/>
      <c r="PSR42" s="476"/>
      <c r="PSS42" s="476"/>
      <c r="PST42" s="476"/>
      <c r="PSU42" s="476"/>
      <c r="PSV42" s="476"/>
      <c r="PSW42" s="476"/>
      <c r="PSX42" s="476"/>
      <c r="PSY42" s="476"/>
      <c r="PSZ42" s="476"/>
      <c r="PTA42" s="476"/>
      <c r="PTB42" s="476"/>
      <c r="PTC42" s="476"/>
      <c r="PTD42" s="476"/>
      <c r="PTE42" s="476"/>
      <c r="PTF42" s="476"/>
      <c r="PTG42" s="476"/>
      <c r="PTH42" s="476"/>
      <c r="PTI42" s="476"/>
      <c r="PTJ42" s="476"/>
      <c r="PTK42" s="476"/>
      <c r="PTL42" s="476"/>
      <c r="PTM42" s="476"/>
      <c r="PTN42" s="476"/>
      <c r="PTO42" s="476"/>
      <c r="PTP42" s="476"/>
      <c r="PTQ42" s="476"/>
      <c r="PTR42" s="476"/>
      <c r="PTS42" s="476"/>
      <c r="PTT42" s="476"/>
      <c r="PTU42" s="476"/>
      <c r="PTV42" s="476"/>
      <c r="PTW42" s="476"/>
      <c r="PTX42" s="476"/>
      <c r="PTY42" s="476"/>
      <c r="PTZ42" s="476"/>
      <c r="PUA42" s="476"/>
      <c r="PUB42" s="476"/>
      <c r="PUC42" s="476"/>
      <c r="PUD42" s="476"/>
      <c r="PUE42" s="476"/>
      <c r="PUF42" s="476"/>
      <c r="PUG42" s="476"/>
      <c r="PUH42" s="476"/>
      <c r="PUI42" s="476"/>
      <c r="PUJ42" s="476"/>
      <c r="PUK42" s="476"/>
      <c r="PUL42" s="476"/>
      <c r="PUM42" s="476"/>
      <c r="PUN42" s="476"/>
      <c r="PUO42" s="476"/>
      <c r="PUP42" s="476"/>
      <c r="PUQ42" s="476"/>
      <c r="PUR42" s="476"/>
      <c r="PUS42" s="476"/>
      <c r="PUT42" s="476"/>
      <c r="PUU42" s="476"/>
      <c r="PUV42" s="476"/>
      <c r="PUW42" s="476"/>
      <c r="PUX42" s="476"/>
      <c r="PUY42" s="476"/>
      <c r="PUZ42" s="476"/>
      <c r="PVA42" s="476"/>
      <c r="PVB42" s="476"/>
      <c r="PVC42" s="476"/>
      <c r="PVD42" s="476"/>
      <c r="PVE42" s="476"/>
      <c r="PVF42" s="476"/>
      <c r="PVG42" s="476"/>
      <c r="PVH42" s="476"/>
      <c r="PVI42" s="476"/>
      <c r="PVJ42" s="476"/>
      <c r="PVK42" s="476"/>
      <c r="PVL42" s="476"/>
      <c r="PVM42" s="476"/>
      <c r="PVN42" s="476"/>
      <c r="PVO42" s="476"/>
      <c r="PVP42" s="476"/>
      <c r="PVQ42" s="476"/>
      <c r="PVR42" s="476"/>
      <c r="PVS42" s="476"/>
      <c r="PVT42" s="476"/>
      <c r="PVU42" s="476"/>
      <c r="PVV42" s="476"/>
      <c r="PVW42" s="476"/>
      <c r="PVX42" s="476"/>
      <c r="PVY42" s="476"/>
      <c r="PVZ42" s="476"/>
      <c r="PWA42" s="476"/>
      <c r="PWB42" s="476"/>
      <c r="PWC42" s="476"/>
      <c r="PWD42" s="476"/>
      <c r="PWE42" s="476"/>
      <c r="PWF42" s="476"/>
      <c r="PWG42" s="476"/>
      <c r="PWH42" s="476"/>
      <c r="PWI42" s="476"/>
      <c r="PWJ42" s="476"/>
      <c r="PWK42" s="476"/>
      <c r="PWL42" s="476"/>
      <c r="PWM42" s="476"/>
      <c r="PWN42" s="476"/>
      <c r="PWO42" s="476"/>
      <c r="PWP42" s="476"/>
      <c r="PWQ42" s="476"/>
      <c r="PWR42" s="476"/>
      <c r="PWS42" s="476"/>
      <c r="PWT42" s="476"/>
      <c r="PWU42" s="476"/>
      <c r="PWV42" s="476"/>
      <c r="PWW42" s="476"/>
      <c r="PWX42" s="476"/>
      <c r="PWY42" s="476"/>
      <c r="PWZ42" s="476"/>
      <c r="PXA42" s="476"/>
      <c r="PXB42" s="476"/>
      <c r="PXC42" s="476"/>
      <c r="PXD42" s="476"/>
      <c r="PXE42" s="476"/>
      <c r="PXF42" s="476"/>
      <c r="PXG42" s="476"/>
      <c r="PXH42" s="476"/>
      <c r="PXI42" s="476"/>
      <c r="PXJ42" s="476"/>
      <c r="PXK42" s="476"/>
      <c r="PXL42" s="476"/>
      <c r="PXM42" s="476"/>
      <c r="PXN42" s="476"/>
      <c r="PXO42" s="476"/>
      <c r="PXP42" s="476"/>
      <c r="PXQ42" s="476"/>
      <c r="PXR42" s="476"/>
      <c r="PXS42" s="476"/>
      <c r="PXT42" s="476"/>
      <c r="PXU42" s="476"/>
      <c r="PXV42" s="476"/>
      <c r="PXW42" s="476"/>
      <c r="PXX42" s="476"/>
      <c r="PXY42" s="476"/>
      <c r="PXZ42" s="476"/>
      <c r="PYA42" s="476"/>
      <c r="PYB42" s="476"/>
      <c r="PYC42" s="476"/>
      <c r="PYD42" s="476"/>
      <c r="PYE42" s="476"/>
      <c r="PYF42" s="476"/>
      <c r="PYG42" s="476"/>
      <c r="PYH42" s="476"/>
      <c r="PYI42" s="476"/>
      <c r="PYJ42" s="476"/>
      <c r="PYK42" s="476"/>
      <c r="PYL42" s="476"/>
      <c r="PYM42" s="476"/>
      <c r="PYN42" s="476"/>
      <c r="PYO42" s="476"/>
      <c r="PYP42" s="476"/>
      <c r="PYQ42" s="476"/>
      <c r="PYR42" s="476"/>
      <c r="PYS42" s="476"/>
      <c r="PYT42" s="476"/>
      <c r="PYU42" s="476"/>
      <c r="PYV42" s="476"/>
      <c r="PYW42" s="476"/>
      <c r="PYX42" s="476"/>
      <c r="PYY42" s="476"/>
      <c r="PYZ42" s="476"/>
      <c r="PZA42" s="476"/>
      <c r="PZB42" s="476"/>
      <c r="PZC42" s="476"/>
      <c r="PZD42" s="476"/>
      <c r="PZE42" s="476"/>
      <c r="PZF42" s="476"/>
      <c r="PZG42" s="476"/>
      <c r="PZH42" s="476"/>
      <c r="PZI42" s="476"/>
      <c r="PZJ42" s="476"/>
      <c r="PZK42" s="476"/>
      <c r="PZL42" s="476"/>
      <c r="PZM42" s="476"/>
      <c r="PZN42" s="476"/>
      <c r="PZO42" s="476"/>
      <c r="PZP42" s="476"/>
      <c r="PZQ42" s="476"/>
      <c r="PZR42" s="476"/>
      <c r="PZS42" s="476"/>
      <c r="PZT42" s="476"/>
      <c r="PZU42" s="476"/>
      <c r="PZV42" s="476"/>
      <c r="PZW42" s="476"/>
      <c r="PZX42" s="476"/>
      <c r="PZY42" s="476"/>
      <c r="PZZ42" s="476"/>
      <c r="QAA42" s="476"/>
      <c r="QAB42" s="476"/>
      <c r="QAC42" s="476"/>
      <c r="QAD42" s="476"/>
      <c r="QAE42" s="476"/>
      <c r="QAF42" s="476"/>
      <c r="QAG42" s="476"/>
      <c r="QAH42" s="476"/>
      <c r="QAI42" s="476"/>
      <c r="QAJ42" s="476"/>
      <c r="QAK42" s="476"/>
      <c r="QAL42" s="476"/>
      <c r="QAM42" s="476"/>
      <c r="QAN42" s="476"/>
      <c r="QAO42" s="476"/>
      <c r="QAP42" s="476"/>
      <c r="QAQ42" s="476"/>
      <c r="QAR42" s="476"/>
      <c r="QAS42" s="476"/>
      <c r="QAT42" s="476"/>
      <c r="QAU42" s="476"/>
      <c r="QAV42" s="476"/>
      <c r="QAW42" s="476"/>
      <c r="QAX42" s="476"/>
      <c r="QAY42" s="476"/>
      <c r="QAZ42" s="476"/>
      <c r="QBA42" s="476"/>
      <c r="QBB42" s="476"/>
      <c r="QBC42" s="476"/>
      <c r="QBD42" s="476"/>
      <c r="QBE42" s="476"/>
      <c r="QBF42" s="476"/>
      <c r="QBG42" s="476"/>
      <c r="QBH42" s="476"/>
      <c r="QBI42" s="476"/>
      <c r="QBJ42" s="476"/>
      <c r="QBK42" s="476"/>
      <c r="QBL42" s="476"/>
      <c r="QBM42" s="476"/>
      <c r="QBN42" s="476"/>
      <c r="QBO42" s="476"/>
      <c r="QBP42" s="476"/>
      <c r="QBQ42" s="476"/>
      <c r="QBR42" s="476"/>
      <c r="QBS42" s="476"/>
      <c r="QBT42" s="476"/>
      <c r="QBU42" s="476"/>
      <c r="QBV42" s="476"/>
      <c r="QBW42" s="476"/>
      <c r="QBX42" s="476"/>
      <c r="QBY42" s="476"/>
      <c r="QBZ42" s="476"/>
      <c r="QCA42" s="476"/>
      <c r="QCB42" s="476"/>
      <c r="QCC42" s="476"/>
      <c r="QCD42" s="476"/>
      <c r="QCE42" s="476"/>
      <c r="QCF42" s="476"/>
      <c r="QCG42" s="476"/>
      <c r="QCH42" s="476"/>
      <c r="QCI42" s="476"/>
      <c r="QCJ42" s="476"/>
      <c r="QCK42" s="476"/>
      <c r="QCL42" s="476"/>
      <c r="QCM42" s="476"/>
      <c r="QCN42" s="476"/>
      <c r="QCO42" s="476"/>
      <c r="QCP42" s="476"/>
      <c r="QCQ42" s="476"/>
      <c r="QCR42" s="476"/>
      <c r="QCS42" s="476"/>
      <c r="QCT42" s="476"/>
      <c r="QCU42" s="476"/>
      <c r="QCV42" s="476"/>
      <c r="QCW42" s="476"/>
      <c r="QCX42" s="476"/>
      <c r="QCY42" s="476"/>
      <c r="QCZ42" s="476"/>
      <c r="QDA42" s="476"/>
      <c r="QDB42" s="476"/>
      <c r="QDC42" s="476"/>
      <c r="QDD42" s="476"/>
      <c r="QDE42" s="476"/>
      <c r="QDF42" s="476"/>
      <c r="QDG42" s="476"/>
      <c r="QDH42" s="476"/>
      <c r="QDI42" s="476"/>
      <c r="QDJ42" s="476"/>
      <c r="QDK42" s="476"/>
      <c r="QDL42" s="476"/>
      <c r="QDM42" s="476"/>
      <c r="QDN42" s="476"/>
      <c r="QDO42" s="476"/>
      <c r="QDP42" s="476"/>
      <c r="QDQ42" s="476"/>
      <c r="QDR42" s="476"/>
      <c r="QDS42" s="476"/>
      <c r="QDT42" s="476"/>
      <c r="QDU42" s="476"/>
      <c r="QDV42" s="476"/>
      <c r="QDW42" s="476"/>
      <c r="QDX42" s="476"/>
      <c r="QDY42" s="476"/>
      <c r="QDZ42" s="476"/>
      <c r="QEA42" s="476"/>
      <c r="QEB42" s="476"/>
      <c r="QEC42" s="476"/>
      <c r="QED42" s="476"/>
      <c r="QEE42" s="476"/>
      <c r="QEF42" s="476"/>
      <c r="QEG42" s="476"/>
      <c r="QEH42" s="476"/>
      <c r="QEI42" s="476"/>
      <c r="QEJ42" s="476"/>
      <c r="QEK42" s="476"/>
      <c r="QEL42" s="476"/>
      <c r="QEM42" s="476"/>
      <c r="QEN42" s="476"/>
      <c r="QEO42" s="476"/>
      <c r="QEP42" s="476"/>
      <c r="QEQ42" s="476"/>
      <c r="QER42" s="476"/>
      <c r="QES42" s="476"/>
      <c r="QET42" s="476"/>
      <c r="QEU42" s="476"/>
      <c r="QEV42" s="476"/>
      <c r="QEW42" s="476"/>
      <c r="QEX42" s="476"/>
      <c r="QEY42" s="476"/>
      <c r="QEZ42" s="476"/>
      <c r="QFA42" s="476"/>
      <c r="QFB42" s="476"/>
      <c r="QFC42" s="476"/>
      <c r="QFD42" s="476"/>
      <c r="QFE42" s="476"/>
      <c r="QFF42" s="476"/>
      <c r="QFG42" s="476"/>
      <c r="QFH42" s="476"/>
      <c r="QFI42" s="476"/>
      <c r="QFJ42" s="476"/>
      <c r="QFK42" s="476"/>
      <c r="QFL42" s="476"/>
      <c r="QFM42" s="476"/>
      <c r="QFN42" s="476"/>
      <c r="QFO42" s="476"/>
      <c r="QFP42" s="476"/>
      <c r="QFQ42" s="476"/>
      <c r="QFR42" s="476"/>
      <c r="QFS42" s="476"/>
      <c r="QFT42" s="476"/>
      <c r="QFU42" s="476"/>
      <c r="QFV42" s="476"/>
      <c r="QFW42" s="476"/>
      <c r="QFX42" s="476"/>
      <c r="QFY42" s="476"/>
      <c r="QFZ42" s="476"/>
      <c r="QGA42" s="476"/>
      <c r="QGB42" s="476"/>
      <c r="QGC42" s="476"/>
      <c r="QGD42" s="476"/>
      <c r="QGE42" s="476"/>
      <c r="QGF42" s="476"/>
      <c r="QGG42" s="476"/>
      <c r="QGH42" s="476"/>
      <c r="QGI42" s="476"/>
      <c r="QGJ42" s="476"/>
      <c r="QGK42" s="476"/>
      <c r="QGL42" s="476"/>
      <c r="QGM42" s="476"/>
      <c r="QGN42" s="476"/>
      <c r="QGO42" s="476"/>
      <c r="QGP42" s="476"/>
      <c r="QGQ42" s="476"/>
      <c r="QGR42" s="476"/>
      <c r="QGS42" s="476"/>
      <c r="QGT42" s="476"/>
      <c r="QGU42" s="476"/>
      <c r="QGV42" s="476"/>
      <c r="QGW42" s="476"/>
      <c r="QGX42" s="476"/>
      <c r="QGY42" s="476"/>
      <c r="QGZ42" s="476"/>
      <c r="QHA42" s="476"/>
      <c r="QHB42" s="476"/>
      <c r="QHC42" s="476"/>
      <c r="QHD42" s="476"/>
      <c r="QHE42" s="476"/>
      <c r="QHF42" s="476"/>
      <c r="QHG42" s="476"/>
      <c r="QHH42" s="476"/>
      <c r="QHI42" s="476"/>
      <c r="QHJ42" s="476"/>
      <c r="QHK42" s="476"/>
      <c r="QHL42" s="476"/>
      <c r="QHM42" s="476"/>
      <c r="QHN42" s="476"/>
      <c r="QHO42" s="476"/>
      <c r="QHP42" s="476"/>
      <c r="QHQ42" s="476"/>
      <c r="QHR42" s="476"/>
      <c r="QHS42" s="476"/>
      <c r="QHT42" s="476"/>
      <c r="QHU42" s="476"/>
      <c r="QHV42" s="476"/>
      <c r="QHW42" s="476"/>
      <c r="QHX42" s="476"/>
      <c r="QHY42" s="476"/>
      <c r="QHZ42" s="476"/>
      <c r="QIA42" s="476"/>
      <c r="QIB42" s="476"/>
      <c r="QIC42" s="476"/>
      <c r="QID42" s="476"/>
      <c r="QIE42" s="476"/>
      <c r="QIF42" s="476"/>
      <c r="QIG42" s="476"/>
      <c r="QIH42" s="476"/>
      <c r="QII42" s="476"/>
      <c r="QIJ42" s="476"/>
      <c r="QIK42" s="476"/>
      <c r="QIL42" s="476"/>
      <c r="QIM42" s="476"/>
      <c r="QIN42" s="476"/>
      <c r="QIO42" s="476"/>
      <c r="QIP42" s="476"/>
      <c r="QIQ42" s="476"/>
      <c r="QIR42" s="476"/>
      <c r="QIS42" s="476"/>
      <c r="QIT42" s="476"/>
      <c r="QIU42" s="476"/>
      <c r="QIV42" s="476"/>
      <c r="QIW42" s="476"/>
      <c r="QIX42" s="476"/>
      <c r="QIY42" s="476"/>
      <c r="QIZ42" s="476"/>
      <c r="QJA42" s="476"/>
      <c r="QJB42" s="476"/>
      <c r="QJC42" s="476"/>
      <c r="QJD42" s="476"/>
      <c r="QJE42" s="476"/>
      <c r="QJF42" s="476"/>
      <c r="QJG42" s="476"/>
      <c r="QJH42" s="476"/>
      <c r="QJI42" s="476"/>
      <c r="QJJ42" s="476"/>
      <c r="QJK42" s="476"/>
      <c r="QJL42" s="476"/>
      <c r="QJM42" s="476"/>
      <c r="QJN42" s="476"/>
      <c r="QJO42" s="476"/>
      <c r="QJP42" s="476"/>
      <c r="QJQ42" s="476"/>
      <c r="QJR42" s="476"/>
      <c r="QJS42" s="476"/>
      <c r="QJT42" s="476"/>
      <c r="QJU42" s="476"/>
      <c r="QJV42" s="476"/>
      <c r="QJW42" s="476"/>
      <c r="QJX42" s="476"/>
      <c r="QJY42" s="476"/>
      <c r="QJZ42" s="476"/>
      <c r="QKA42" s="476"/>
      <c r="QKB42" s="476"/>
      <c r="QKC42" s="476"/>
      <c r="QKD42" s="476"/>
      <c r="QKE42" s="476"/>
      <c r="QKF42" s="476"/>
      <c r="QKG42" s="476"/>
      <c r="QKH42" s="476"/>
      <c r="QKI42" s="476"/>
      <c r="QKJ42" s="476"/>
      <c r="QKK42" s="476"/>
      <c r="QKL42" s="476"/>
      <c r="QKM42" s="476"/>
      <c r="QKN42" s="476"/>
      <c r="QKO42" s="476"/>
      <c r="QKP42" s="476"/>
      <c r="QKQ42" s="476"/>
      <c r="QKR42" s="476"/>
      <c r="QKS42" s="476"/>
      <c r="QKT42" s="476"/>
      <c r="QKU42" s="476"/>
      <c r="QKV42" s="476"/>
      <c r="QKW42" s="476"/>
      <c r="QKX42" s="476"/>
      <c r="QKY42" s="476"/>
      <c r="QKZ42" s="476"/>
      <c r="QLA42" s="476"/>
      <c r="QLB42" s="476"/>
      <c r="QLC42" s="476"/>
      <c r="QLD42" s="476"/>
      <c r="QLE42" s="476"/>
      <c r="QLF42" s="476"/>
      <c r="QLG42" s="476"/>
      <c r="QLH42" s="476"/>
      <c r="QLI42" s="476"/>
      <c r="QLJ42" s="476"/>
      <c r="QLK42" s="476"/>
      <c r="QLL42" s="476"/>
      <c r="QLM42" s="476"/>
      <c r="QLN42" s="476"/>
      <c r="QLO42" s="476"/>
      <c r="QLP42" s="476"/>
      <c r="QLQ42" s="476"/>
      <c r="QLR42" s="476"/>
      <c r="QLS42" s="476"/>
      <c r="QLT42" s="476"/>
      <c r="QLU42" s="476"/>
      <c r="QLV42" s="476"/>
      <c r="QLW42" s="476"/>
      <c r="QLX42" s="476"/>
      <c r="QLY42" s="476"/>
      <c r="QLZ42" s="476"/>
      <c r="QMA42" s="476"/>
      <c r="QMB42" s="476"/>
      <c r="QMC42" s="476"/>
      <c r="QMD42" s="476"/>
      <c r="QME42" s="476"/>
      <c r="QMF42" s="476"/>
      <c r="QMG42" s="476"/>
      <c r="QMH42" s="476"/>
      <c r="QMI42" s="476"/>
      <c r="QMJ42" s="476"/>
      <c r="QMK42" s="476"/>
      <c r="QML42" s="476"/>
      <c r="QMM42" s="476"/>
      <c r="QMN42" s="476"/>
      <c r="QMO42" s="476"/>
      <c r="QMP42" s="476"/>
      <c r="QMQ42" s="476"/>
      <c r="QMR42" s="476"/>
      <c r="QMS42" s="476"/>
      <c r="QMT42" s="476"/>
      <c r="QMU42" s="476"/>
      <c r="QMV42" s="476"/>
      <c r="QMW42" s="476"/>
      <c r="QMX42" s="476"/>
      <c r="QMY42" s="476"/>
      <c r="QMZ42" s="476"/>
      <c r="QNA42" s="476"/>
      <c r="QNB42" s="476"/>
      <c r="QNC42" s="476"/>
      <c r="QND42" s="476"/>
      <c r="QNE42" s="476"/>
      <c r="QNF42" s="476"/>
      <c r="QNG42" s="476"/>
      <c r="QNH42" s="476"/>
      <c r="QNI42" s="476"/>
      <c r="QNJ42" s="476"/>
      <c r="QNK42" s="476"/>
      <c r="QNL42" s="476"/>
      <c r="QNM42" s="476"/>
      <c r="QNN42" s="476"/>
      <c r="QNO42" s="476"/>
      <c r="QNP42" s="476"/>
      <c r="QNQ42" s="476"/>
      <c r="QNR42" s="476"/>
      <c r="QNS42" s="476"/>
      <c r="QNT42" s="476"/>
      <c r="QNU42" s="476"/>
      <c r="QNV42" s="476"/>
      <c r="QNW42" s="476"/>
      <c r="QNX42" s="476"/>
      <c r="QNY42" s="476"/>
      <c r="QNZ42" s="476"/>
      <c r="QOA42" s="476"/>
      <c r="QOB42" s="476"/>
      <c r="QOC42" s="476"/>
      <c r="QOD42" s="476"/>
      <c r="QOE42" s="476"/>
      <c r="QOF42" s="476"/>
      <c r="QOG42" s="476"/>
      <c r="QOH42" s="476"/>
      <c r="QOI42" s="476"/>
      <c r="QOJ42" s="476"/>
      <c r="QOK42" s="476"/>
      <c r="QOL42" s="476"/>
      <c r="QOM42" s="476"/>
      <c r="QON42" s="476"/>
      <c r="QOO42" s="476"/>
      <c r="QOP42" s="476"/>
      <c r="QOQ42" s="476"/>
      <c r="QOR42" s="476"/>
      <c r="QOS42" s="476"/>
      <c r="QOT42" s="476"/>
      <c r="QOU42" s="476"/>
      <c r="QOV42" s="476"/>
      <c r="QOW42" s="476"/>
      <c r="QOX42" s="476"/>
      <c r="QOY42" s="476"/>
      <c r="QOZ42" s="476"/>
      <c r="QPA42" s="476"/>
      <c r="QPB42" s="476"/>
      <c r="QPC42" s="476"/>
      <c r="QPD42" s="476"/>
      <c r="QPE42" s="476"/>
      <c r="QPF42" s="476"/>
      <c r="QPG42" s="476"/>
      <c r="QPH42" s="476"/>
      <c r="QPI42" s="476"/>
      <c r="QPJ42" s="476"/>
      <c r="QPK42" s="476"/>
      <c r="QPL42" s="476"/>
      <c r="QPM42" s="476"/>
      <c r="QPN42" s="476"/>
      <c r="QPO42" s="476"/>
      <c r="QPP42" s="476"/>
      <c r="QPQ42" s="476"/>
      <c r="QPR42" s="476"/>
      <c r="QPS42" s="476"/>
      <c r="QPT42" s="476"/>
      <c r="QPU42" s="476"/>
      <c r="QPV42" s="476"/>
      <c r="QPW42" s="476"/>
      <c r="QPX42" s="476"/>
      <c r="QPY42" s="476"/>
      <c r="QPZ42" s="476"/>
      <c r="QQA42" s="476"/>
      <c r="QQB42" s="476"/>
      <c r="QQC42" s="476"/>
      <c r="QQD42" s="476"/>
      <c r="QQE42" s="476"/>
      <c r="QQF42" s="476"/>
      <c r="QQG42" s="476"/>
      <c r="QQH42" s="476"/>
      <c r="QQI42" s="476"/>
      <c r="QQJ42" s="476"/>
      <c r="QQK42" s="476"/>
      <c r="QQL42" s="476"/>
      <c r="QQM42" s="476"/>
      <c r="QQN42" s="476"/>
      <c r="QQO42" s="476"/>
      <c r="QQP42" s="476"/>
      <c r="QQQ42" s="476"/>
      <c r="QQR42" s="476"/>
      <c r="QQS42" s="476"/>
      <c r="QQT42" s="476"/>
      <c r="QQU42" s="476"/>
      <c r="QQV42" s="476"/>
      <c r="QQW42" s="476"/>
      <c r="QQX42" s="476"/>
      <c r="QQY42" s="476"/>
      <c r="QQZ42" s="476"/>
      <c r="QRA42" s="476"/>
      <c r="QRB42" s="476"/>
      <c r="QRC42" s="476"/>
      <c r="QRD42" s="476"/>
      <c r="QRE42" s="476"/>
      <c r="QRF42" s="476"/>
      <c r="QRG42" s="476"/>
      <c r="QRH42" s="476"/>
      <c r="QRI42" s="476"/>
      <c r="QRJ42" s="476"/>
      <c r="QRK42" s="476"/>
      <c r="QRL42" s="476"/>
      <c r="QRM42" s="476"/>
      <c r="QRN42" s="476"/>
      <c r="QRO42" s="476"/>
      <c r="QRP42" s="476"/>
      <c r="QRQ42" s="476"/>
      <c r="QRR42" s="476"/>
      <c r="QRS42" s="476"/>
      <c r="QRT42" s="476"/>
      <c r="QRU42" s="476"/>
      <c r="QRV42" s="476"/>
      <c r="QRW42" s="476"/>
      <c r="QRX42" s="476"/>
      <c r="QRY42" s="476"/>
      <c r="QRZ42" s="476"/>
      <c r="QSA42" s="476"/>
      <c r="QSB42" s="476"/>
      <c r="QSC42" s="476"/>
      <c r="QSD42" s="476"/>
      <c r="QSE42" s="476"/>
      <c r="QSF42" s="476"/>
      <c r="QSG42" s="476"/>
      <c r="QSH42" s="476"/>
      <c r="QSI42" s="476"/>
      <c r="QSJ42" s="476"/>
      <c r="QSK42" s="476"/>
      <c r="QSL42" s="476"/>
      <c r="QSM42" s="476"/>
      <c r="QSN42" s="476"/>
      <c r="QSO42" s="476"/>
      <c r="QSP42" s="476"/>
      <c r="QSQ42" s="476"/>
      <c r="QSR42" s="476"/>
      <c r="QSS42" s="476"/>
      <c r="QST42" s="476"/>
      <c r="QSU42" s="476"/>
      <c r="QSV42" s="476"/>
      <c r="QSW42" s="476"/>
      <c r="QSX42" s="476"/>
      <c r="QSY42" s="476"/>
      <c r="QSZ42" s="476"/>
      <c r="QTA42" s="476"/>
      <c r="QTB42" s="476"/>
      <c r="QTC42" s="476"/>
      <c r="QTD42" s="476"/>
      <c r="QTE42" s="476"/>
      <c r="QTF42" s="476"/>
      <c r="QTG42" s="476"/>
      <c r="QTH42" s="476"/>
      <c r="QTI42" s="476"/>
      <c r="QTJ42" s="476"/>
      <c r="QTK42" s="476"/>
      <c r="QTL42" s="476"/>
      <c r="QTM42" s="476"/>
      <c r="QTN42" s="476"/>
      <c r="QTO42" s="476"/>
      <c r="QTP42" s="476"/>
      <c r="QTQ42" s="476"/>
      <c r="QTR42" s="476"/>
      <c r="QTS42" s="476"/>
      <c r="QTT42" s="476"/>
      <c r="QTU42" s="476"/>
      <c r="QTV42" s="476"/>
      <c r="QTW42" s="476"/>
      <c r="QTX42" s="476"/>
      <c r="QTY42" s="476"/>
      <c r="QTZ42" s="476"/>
      <c r="QUA42" s="476"/>
      <c r="QUB42" s="476"/>
      <c r="QUC42" s="476"/>
      <c r="QUD42" s="476"/>
      <c r="QUE42" s="476"/>
      <c r="QUF42" s="476"/>
      <c r="QUG42" s="476"/>
      <c r="QUH42" s="476"/>
      <c r="QUI42" s="476"/>
      <c r="QUJ42" s="476"/>
      <c r="QUK42" s="476"/>
      <c r="QUL42" s="476"/>
      <c r="QUM42" s="476"/>
      <c r="QUN42" s="476"/>
      <c r="QUO42" s="476"/>
      <c r="QUP42" s="476"/>
      <c r="QUQ42" s="476"/>
      <c r="QUR42" s="476"/>
      <c r="QUS42" s="476"/>
      <c r="QUT42" s="476"/>
      <c r="QUU42" s="476"/>
      <c r="QUV42" s="476"/>
      <c r="QUW42" s="476"/>
      <c r="QUX42" s="476"/>
      <c r="QUY42" s="476"/>
      <c r="QUZ42" s="476"/>
      <c r="QVA42" s="476"/>
      <c r="QVB42" s="476"/>
      <c r="QVC42" s="476"/>
      <c r="QVD42" s="476"/>
      <c r="QVE42" s="476"/>
      <c r="QVF42" s="476"/>
      <c r="QVG42" s="476"/>
      <c r="QVH42" s="476"/>
      <c r="QVI42" s="476"/>
      <c r="QVJ42" s="476"/>
      <c r="QVK42" s="476"/>
      <c r="QVL42" s="476"/>
      <c r="QVM42" s="476"/>
      <c r="QVN42" s="476"/>
      <c r="QVO42" s="476"/>
      <c r="QVP42" s="476"/>
      <c r="QVQ42" s="476"/>
      <c r="QVR42" s="476"/>
      <c r="QVS42" s="476"/>
      <c r="QVT42" s="476"/>
      <c r="QVU42" s="476"/>
      <c r="QVV42" s="476"/>
      <c r="QVW42" s="476"/>
      <c r="QVX42" s="476"/>
      <c r="QVY42" s="476"/>
      <c r="QVZ42" s="476"/>
      <c r="QWA42" s="476"/>
      <c r="QWB42" s="476"/>
      <c r="QWC42" s="476"/>
      <c r="QWD42" s="476"/>
      <c r="QWE42" s="476"/>
      <c r="QWF42" s="476"/>
      <c r="QWG42" s="476"/>
      <c r="QWH42" s="476"/>
      <c r="QWI42" s="476"/>
      <c r="QWJ42" s="476"/>
      <c r="QWK42" s="476"/>
      <c r="QWL42" s="476"/>
      <c r="QWM42" s="476"/>
      <c r="QWN42" s="476"/>
      <c r="QWO42" s="476"/>
      <c r="QWP42" s="476"/>
      <c r="QWQ42" s="476"/>
      <c r="QWR42" s="476"/>
      <c r="QWS42" s="476"/>
      <c r="QWT42" s="476"/>
      <c r="QWU42" s="476"/>
      <c r="QWV42" s="476"/>
      <c r="QWW42" s="476"/>
      <c r="QWX42" s="476"/>
      <c r="QWY42" s="476"/>
      <c r="QWZ42" s="476"/>
      <c r="QXA42" s="476"/>
      <c r="QXB42" s="476"/>
      <c r="QXC42" s="476"/>
      <c r="QXD42" s="476"/>
      <c r="QXE42" s="476"/>
      <c r="QXF42" s="476"/>
      <c r="QXG42" s="476"/>
      <c r="QXH42" s="476"/>
      <c r="QXI42" s="476"/>
      <c r="QXJ42" s="476"/>
      <c r="QXK42" s="476"/>
      <c r="QXL42" s="476"/>
      <c r="QXM42" s="476"/>
      <c r="QXN42" s="476"/>
      <c r="QXO42" s="476"/>
      <c r="QXP42" s="476"/>
      <c r="QXQ42" s="476"/>
      <c r="QXR42" s="476"/>
      <c r="QXS42" s="476"/>
      <c r="QXT42" s="476"/>
      <c r="QXU42" s="476"/>
      <c r="QXV42" s="476"/>
      <c r="QXW42" s="476"/>
      <c r="QXX42" s="476"/>
      <c r="QXY42" s="476"/>
      <c r="QXZ42" s="476"/>
      <c r="QYA42" s="476"/>
      <c r="QYB42" s="476"/>
      <c r="QYC42" s="476"/>
      <c r="QYD42" s="476"/>
      <c r="QYE42" s="476"/>
      <c r="QYF42" s="476"/>
      <c r="QYG42" s="476"/>
      <c r="QYH42" s="476"/>
      <c r="QYI42" s="476"/>
      <c r="QYJ42" s="476"/>
      <c r="QYK42" s="476"/>
      <c r="QYL42" s="476"/>
      <c r="QYM42" s="476"/>
      <c r="QYN42" s="476"/>
      <c r="QYO42" s="476"/>
      <c r="QYP42" s="476"/>
      <c r="QYQ42" s="476"/>
      <c r="QYR42" s="476"/>
      <c r="QYS42" s="476"/>
      <c r="QYT42" s="476"/>
      <c r="QYU42" s="476"/>
      <c r="QYV42" s="476"/>
      <c r="QYW42" s="476"/>
      <c r="QYX42" s="476"/>
      <c r="QYY42" s="476"/>
      <c r="QYZ42" s="476"/>
      <c r="QZA42" s="476"/>
      <c r="QZB42" s="476"/>
      <c r="QZC42" s="476"/>
      <c r="QZD42" s="476"/>
      <c r="QZE42" s="476"/>
      <c r="QZF42" s="476"/>
      <c r="QZG42" s="476"/>
      <c r="QZH42" s="476"/>
      <c r="QZI42" s="476"/>
      <c r="QZJ42" s="476"/>
      <c r="QZK42" s="476"/>
      <c r="QZL42" s="476"/>
      <c r="QZM42" s="476"/>
      <c r="QZN42" s="476"/>
      <c r="QZO42" s="476"/>
      <c r="QZP42" s="476"/>
      <c r="QZQ42" s="476"/>
      <c r="QZR42" s="476"/>
      <c r="QZS42" s="476"/>
      <c r="QZT42" s="476"/>
      <c r="QZU42" s="476"/>
      <c r="QZV42" s="476"/>
      <c r="QZW42" s="476"/>
      <c r="QZX42" s="476"/>
      <c r="QZY42" s="476"/>
      <c r="QZZ42" s="476"/>
      <c r="RAA42" s="476"/>
      <c r="RAB42" s="476"/>
      <c r="RAC42" s="476"/>
      <c r="RAD42" s="476"/>
      <c r="RAE42" s="476"/>
      <c r="RAF42" s="476"/>
      <c r="RAG42" s="476"/>
      <c r="RAH42" s="476"/>
      <c r="RAI42" s="476"/>
      <c r="RAJ42" s="476"/>
      <c r="RAK42" s="476"/>
      <c r="RAL42" s="476"/>
      <c r="RAM42" s="476"/>
      <c r="RAN42" s="476"/>
      <c r="RAO42" s="476"/>
      <c r="RAP42" s="476"/>
      <c r="RAQ42" s="476"/>
      <c r="RAR42" s="476"/>
      <c r="RAS42" s="476"/>
      <c r="RAT42" s="476"/>
      <c r="RAU42" s="476"/>
      <c r="RAV42" s="476"/>
      <c r="RAW42" s="476"/>
      <c r="RAX42" s="476"/>
      <c r="RAY42" s="476"/>
      <c r="RAZ42" s="476"/>
      <c r="RBA42" s="476"/>
      <c r="RBB42" s="476"/>
      <c r="RBC42" s="476"/>
      <c r="RBD42" s="476"/>
      <c r="RBE42" s="476"/>
      <c r="RBF42" s="476"/>
      <c r="RBG42" s="476"/>
      <c r="RBH42" s="476"/>
      <c r="RBI42" s="476"/>
      <c r="RBJ42" s="476"/>
      <c r="RBK42" s="476"/>
      <c r="RBL42" s="476"/>
      <c r="RBM42" s="476"/>
      <c r="RBN42" s="476"/>
      <c r="RBO42" s="476"/>
      <c r="RBP42" s="476"/>
      <c r="RBQ42" s="476"/>
      <c r="RBR42" s="476"/>
      <c r="RBS42" s="476"/>
      <c r="RBT42" s="476"/>
      <c r="RBU42" s="476"/>
      <c r="RBV42" s="476"/>
      <c r="RBW42" s="476"/>
      <c r="RBX42" s="476"/>
      <c r="RBY42" s="476"/>
      <c r="RBZ42" s="476"/>
      <c r="RCA42" s="476"/>
      <c r="RCB42" s="476"/>
      <c r="RCC42" s="476"/>
      <c r="RCD42" s="476"/>
      <c r="RCE42" s="476"/>
      <c r="RCF42" s="476"/>
      <c r="RCG42" s="476"/>
      <c r="RCH42" s="476"/>
      <c r="RCI42" s="476"/>
      <c r="RCJ42" s="476"/>
      <c r="RCK42" s="476"/>
      <c r="RCL42" s="476"/>
      <c r="RCM42" s="476"/>
      <c r="RCN42" s="476"/>
      <c r="RCO42" s="476"/>
      <c r="RCP42" s="476"/>
      <c r="RCQ42" s="476"/>
      <c r="RCR42" s="476"/>
      <c r="RCS42" s="476"/>
      <c r="RCT42" s="476"/>
      <c r="RCU42" s="476"/>
      <c r="RCV42" s="476"/>
      <c r="RCW42" s="476"/>
      <c r="RCX42" s="476"/>
      <c r="RCY42" s="476"/>
      <c r="RCZ42" s="476"/>
      <c r="RDA42" s="476"/>
      <c r="RDB42" s="476"/>
      <c r="RDC42" s="476"/>
      <c r="RDD42" s="476"/>
      <c r="RDE42" s="476"/>
      <c r="RDF42" s="476"/>
      <c r="RDG42" s="476"/>
      <c r="RDH42" s="476"/>
      <c r="RDI42" s="476"/>
      <c r="RDJ42" s="476"/>
      <c r="RDK42" s="476"/>
      <c r="RDL42" s="476"/>
      <c r="RDM42" s="476"/>
      <c r="RDN42" s="476"/>
      <c r="RDO42" s="476"/>
      <c r="RDP42" s="476"/>
      <c r="RDQ42" s="476"/>
      <c r="RDR42" s="476"/>
      <c r="RDS42" s="476"/>
      <c r="RDT42" s="476"/>
      <c r="RDU42" s="476"/>
      <c r="RDV42" s="476"/>
      <c r="RDW42" s="476"/>
      <c r="RDX42" s="476"/>
      <c r="RDY42" s="476"/>
      <c r="RDZ42" s="476"/>
      <c r="REA42" s="476"/>
      <c r="REB42" s="476"/>
      <c r="REC42" s="476"/>
      <c r="RED42" s="476"/>
      <c r="REE42" s="476"/>
      <c r="REF42" s="476"/>
      <c r="REG42" s="476"/>
      <c r="REH42" s="476"/>
      <c r="REI42" s="476"/>
      <c r="REJ42" s="476"/>
      <c r="REK42" s="476"/>
      <c r="REL42" s="476"/>
      <c r="REM42" s="476"/>
      <c r="REN42" s="476"/>
      <c r="REO42" s="476"/>
      <c r="REP42" s="476"/>
      <c r="REQ42" s="476"/>
      <c r="RER42" s="476"/>
      <c r="RES42" s="476"/>
      <c r="RET42" s="476"/>
      <c r="REU42" s="476"/>
      <c r="REV42" s="476"/>
      <c r="REW42" s="476"/>
      <c r="REX42" s="476"/>
      <c r="REY42" s="476"/>
      <c r="REZ42" s="476"/>
      <c r="RFA42" s="476"/>
      <c r="RFB42" s="476"/>
      <c r="RFC42" s="476"/>
      <c r="RFD42" s="476"/>
      <c r="RFE42" s="476"/>
      <c r="RFF42" s="476"/>
      <c r="RFG42" s="476"/>
      <c r="RFH42" s="476"/>
      <c r="RFI42" s="476"/>
      <c r="RFJ42" s="476"/>
      <c r="RFK42" s="476"/>
      <c r="RFL42" s="476"/>
      <c r="RFM42" s="476"/>
      <c r="RFN42" s="476"/>
      <c r="RFO42" s="476"/>
      <c r="RFP42" s="476"/>
      <c r="RFQ42" s="476"/>
      <c r="RFR42" s="476"/>
      <c r="RFS42" s="476"/>
      <c r="RFT42" s="476"/>
      <c r="RFU42" s="476"/>
      <c r="RFV42" s="476"/>
      <c r="RFW42" s="476"/>
      <c r="RFX42" s="476"/>
      <c r="RFY42" s="476"/>
      <c r="RFZ42" s="476"/>
      <c r="RGA42" s="476"/>
      <c r="RGB42" s="476"/>
      <c r="RGC42" s="476"/>
      <c r="RGD42" s="476"/>
      <c r="RGE42" s="476"/>
      <c r="RGF42" s="476"/>
      <c r="RGG42" s="476"/>
      <c r="RGH42" s="476"/>
      <c r="RGI42" s="476"/>
      <c r="RGJ42" s="476"/>
      <c r="RGK42" s="476"/>
      <c r="RGL42" s="476"/>
      <c r="RGM42" s="476"/>
      <c r="RGN42" s="476"/>
      <c r="RGO42" s="476"/>
      <c r="RGP42" s="476"/>
      <c r="RGQ42" s="476"/>
      <c r="RGR42" s="476"/>
      <c r="RGS42" s="476"/>
      <c r="RGT42" s="476"/>
      <c r="RGU42" s="476"/>
      <c r="RGV42" s="476"/>
      <c r="RGW42" s="476"/>
      <c r="RGX42" s="476"/>
      <c r="RGY42" s="476"/>
      <c r="RGZ42" s="476"/>
      <c r="RHA42" s="476"/>
      <c r="RHB42" s="476"/>
      <c r="RHC42" s="476"/>
      <c r="RHD42" s="476"/>
      <c r="RHE42" s="476"/>
      <c r="RHF42" s="476"/>
      <c r="RHG42" s="476"/>
      <c r="RHH42" s="476"/>
      <c r="RHI42" s="476"/>
      <c r="RHJ42" s="476"/>
      <c r="RHK42" s="476"/>
      <c r="RHL42" s="476"/>
      <c r="RHM42" s="476"/>
      <c r="RHN42" s="476"/>
      <c r="RHO42" s="476"/>
      <c r="RHP42" s="476"/>
      <c r="RHQ42" s="476"/>
      <c r="RHR42" s="476"/>
      <c r="RHS42" s="476"/>
      <c r="RHT42" s="476"/>
      <c r="RHU42" s="476"/>
      <c r="RHV42" s="476"/>
      <c r="RHW42" s="476"/>
      <c r="RHX42" s="476"/>
      <c r="RHY42" s="476"/>
      <c r="RHZ42" s="476"/>
      <c r="RIA42" s="476"/>
      <c r="RIB42" s="476"/>
      <c r="RIC42" s="476"/>
      <c r="RID42" s="476"/>
      <c r="RIE42" s="476"/>
      <c r="RIF42" s="476"/>
      <c r="RIG42" s="476"/>
      <c r="RIH42" s="476"/>
      <c r="RII42" s="476"/>
      <c r="RIJ42" s="476"/>
      <c r="RIK42" s="476"/>
      <c r="RIL42" s="476"/>
      <c r="RIM42" s="476"/>
      <c r="RIN42" s="476"/>
      <c r="RIO42" s="476"/>
      <c r="RIP42" s="476"/>
      <c r="RIQ42" s="476"/>
      <c r="RIR42" s="476"/>
      <c r="RIS42" s="476"/>
      <c r="RIT42" s="476"/>
      <c r="RIU42" s="476"/>
      <c r="RIV42" s="476"/>
      <c r="RIW42" s="476"/>
      <c r="RIX42" s="476"/>
      <c r="RIY42" s="476"/>
      <c r="RIZ42" s="476"/>
      <c r="RJA42" s="476"/>
      <c r="RJB42" s="476"/>
      <c r="RJC42" s="476"/>
      <c r="RJD42" s="476"/>
      <c r="RJE42" s="476"/>
      <c r="RJF42" s="476"/>
      <c r="RJG42" s="476"/>
      <c r="RJH42" s="476"/>
      <c r="RJI42" s="476"/>
      <c r="RJJ42" s="476"/>
      <c r="RJK42" s="476"/>
      <c r="RJL42" s="476"/>
      <c r="RJM42" s="476"/>
      <c r="RJN42" s="476"/>
      <c r="RJO42" s="476"/>
      <c r="RJP42" s="476"/>
      <c r="RJQ42" s="476"/>
      <c r="RJR42" s="476"/>
      <c r="RJS42" s="476"/>
      <c r="RJT42" s="476"/>
      <c r="RJU42" s="476"/>
      <c r="RJV42" s="476"/>
      <c r="RJW42" s="476"/>
      <c r="RJX42" s="476"/>
      <c r="RJY42" s="476"/>
      <c r="RJZ42" s="476"/>
      <c r="RKA42" s="476"/>
      <c r="RKB42" s="476"/>
      <c r="RKC42" s="476"/>
      <c r="RKD42" s="476"/>
      <c r="RKE42" s="476"/>
      <c r="RKF42" s="476"/>
      <c r="RKG42" s="476"/>
      <c r="RKH42" s="476"/>
      <c r="RKI42" s="476"/>
      <c r="RKJ42" s="476"/>
      <c r="RKK42" s="476"/>
      <c r="RKL42" s="476"/>
      <c r="RKM42" s="476"/>
      <c r="RKN42" s="476"/>
      <c r="RKO42" s="476"/>
      <c r="RKP42" s="476"/>
      <c r="RKQ42" s="476"/>
      <c r="RKR42" s="476"/>
      <c r="RKS42" s="476"/>
      <c r="RKT42" s="476"/>
      <c r="RKU42" s="476"/>
      <c r="RKV42" s="476"/>
      <c r="RKW42" s="476"/>
      <c r="RKX42" s="476"/>
      <c r="RKY42" s="476"/>
      <c r="RKZ42" s="476"/>
      <c r="RLA42" s="476"/>
      <c r="RLB42" s="476"/>
      <c r="RLC42" s="476"/>
      <c r="RLD42" s="476"/>
      <c r="RLE42" s="476"/>
      <c r="RLF42" s="476"/>
      <c r="RLG42" s="476"/>
      <c r="RLH42" s="476"/>
      <c r="RLI42" s="476"/>
      <c r="RLJ42" s="476"/>
      <c r="RLK42" s="476"/>
      <c r="RLL42" s="476"/>
      <c r="RLM42" s="476"/>
      <c r="RLN42" s="476"/>
      <c r="RLO42" s="476"/>
      <c r="RLP42" s="476"/>
      <c r="RLQ42" s="476"/>
      <c r="RLR42" s="476"/>
      <c r="RLS42" s="476"/>
      <c r="RLT42" s="476"/>
      <c r="RLU42" s="476"/>
      <c r="RLV42" s="476"/>
      <c r="RLW42" s="476"/>
      <c r="RLX42" s="476"/>
      <c r="RLY42" s="476"/>
      <c r="RLZ42" s="476"/>
      <c r="RMA42" s="476"/>
      <c r="RMB42" s="476"/>
      <c r="RMC42" s="476"/>
      <c r="RMD42" s="476"/>
      <c r="RME42" s="476"/>
      <c r="RMF42" s="476"/>
      <c r="RMG42" s="476"/>
      <c r="RMH42" s="476"/>
      <c r="RMI42" s="476"/>
      <c r="RMJ42" s="476"/>
      <c r="RMK42" s="476"/>
      <c r="RML42" s="476"/>
      <c r="RMM42" s="476"/>
      <c r="RMN42" s="476"/>
      <c r="RMO42" s="476"/>
      <c r="RMP42" s="476"/>
      <c r="RMQ42" s="476"/>
      <c r="RMR42" s="476"/>
      <c r="RMS42" s="476"/>
      <c r="RMT42" s="476"/>
      <c r="RMU42" s="476"/>
      <c r="RMV42" s="476"/>
      <c r="RMW42" s="476"/>
      <c r="RMX42" s="476"/>
      <c r="RMY42" s="476"/>
      <c r="RMZ42" s="476"/>
      <c r="RNA42" s="476"/>
      <c r="RNB42" s="476"/>
      <c r="RNC42" s="476"/>
      <c r="RND42" s="476"/>
      <c r="RNE42" s="476"/>
      <c r="RNF42" s="476"/>
      <c r="RNG42" s="476"/>
      <c r="RNH42" s="476"/>
      <c r="RNI42" s="476"/>
      <c r="RNJ42" s="476"/>
      <c r="RNK42" s="476"/>
      <c r="RNL42" s="476"/>
      <c r="RNM42" s="476"/>
      <c r="RNN42" s="476"/>
      <c r="RNO42" s="476"/>
      <c r="RNP42" s="476"/>
      <c r="RNQ42" s="476"/>
      <c r="RNR42" s="476"/>
      <c r="RNS42" s="476"/>
      <c r="RNT42" s="476"/>
      <c r="RNU42" s="476"/>
      <c r="RNV42" s="476"/>
      <c r="RNW42" s="476"/>
      <c r="RNX42" s="476"/>
      <c r="RNY42" s="476"/>
      <c r="RNZ42" s="476"/>
      <c r="ROA42" s="476"/>
      <c r="ROB42" s="476"/>
      <c r="ROC42" s="476"/>
      <c r="ROD42" s="476"/>
      <c r="ROE42" s="476"/>
      <c r="ROF42" s="476"/>
      <c r="ROG42" s="476"/>
      <c r="ROH42" s="476"/>
      <c r="ROI42" s="476"/>
      <c r="ROJ42" s="476"/>
      <c r="ROK42" s="476"/>
      <c r="ROL42" s="476"/>
      <c r="ROM42" s="476"/>
      <c r="RON42" s="476"/>
      <c r="ROO42" s="476"/>
      <c r="ROP42" s="476"/>
      <c r="ROQ42" s="476"/>
      <c r="ROR42" s="476"/>
      <c r="ROS42" s="476"/>
      <c r="ROT42" s="476"/>
      <c r="ROU42" s="476"/>
      <c r="ROV42" s="476"/>
      <c r="ROW42" s="476"/>
      <c r="ROX42" s="476"/>
      <c r="ROY42" s="476"/>
      <c r="ROZ42" s="476"/>
      <c r="RPA42" s="476"/>
      <c r="RPB42" s="476"/>
      <c r="RPC42" s="476"/>
      <c r="RPD42" s="476"/>
      <c r="RPE42" s="476"/>
      <c r="RPF42" s="476"/>
      <c r="RPG42" s="476"/>
      <c r="RPH42" s="476"/>
      <c r="RPI42" s="476"/>
      <c r="RPJ42" s="476"/>
      <c r="RPK42" s="476"/>
      <c r="RPL42" s="476"/>
      <c r="RPM42" s="476"/>
      <c r="RPN42" s="476"/>
      <c r="RPO42" s="476"/>
      <c r="RPP42" s="476"/>
      <c r="RPQ42" s="476"/>
      <c r="RPR42" s="476"/>
      <c r="RPS42" s="476"/>
      <c r="RPT42" s="476"/>
      <c r="RPU42" s="476"/>
      <c r="RPV42" s="476"/>
      <c r="RPW42" s="476"/>
      <c r="RPX42" s="476"/>
      <c r="RPY42" s="476"/>
      <c r="RPZ42" s="476"/>
      <c r="RQA42" s="476"/>
      <c r="RQB42" s="476"/>
      <c r="RQC42" s="476"/>
      <c r="RQD42" s="476"/>
      <c r="RQE42" s="476"/>
      <c r="RQF42" s="476"/>
      <c r="RQG42" s="476"/>
      <c r="RQH42" s="476"/>
      <c r="RQI42" s="476"/>
      <c r="RQJ42" s="476"/>
      <c r="RQK42" s="476"/>
      <c r="RQL42" s="476"/>
      <c r="RQM42" s="476"/>
      <c r="RQN42" s="476"/>
      <c r="RQO42" s="476"/>
      <c r="RQP42" s="476"/>
      <c r="RQQ42" s="476"/>
      <c r="RQR42" s="476"/>
      <c r="RQS42" s="476"/>
      <c r="RQT42" s="476"/>
      <c r="RQU42" s="476"/>
      <c r="RQV42" s="476"/>
      <c r="RQW42" s="476"/>
      <c r="RQX42" s="476"/>
      <c r="RQY42" s="476"/>
      <c r="RQZ42" s="476"/>
      <c r="RRA42" s="476"/>
      <c r="RRB42" s="476"/>
      <c r="RRC42" s="476"/>
      <c r="RRD42" s="476"/>
      <c r="RRE42" s="476"/>
      <c r="RRF42" s="476"/>
      <c r="RRG42" s="476"/>
      <c r="RRH42" s="476"/>
      <c r="RRI42" s="476"/>
      <c r="RRJ42" s="476"/>
      <c r="RRK42" s="476"/>
      <c r="RRL42" s="476"/>
      <c r="RRM42" s="476"/>
      <c r="RRN42" s="476"/>
      <c r="RRO42" s="476"/>
      <c r="RRP42" s="476"/>
      <c r="RRQ42" s="476"/>
      <c r="RRR42" s="476"/>
      <c r="RRS42" s="476"/>
      <c r="RRT42" s="476"/>
      <c r="RRU42" s="476"/>
      <c r="RRV42" s="476"/>
      <c r="RRW42" s="476"/>
      <c r="RRX42" s="476"/>
      <c r="RRY42" s="476"/>
      <c r="RRZ42" s="476"/>
      <c r="RSA42" s="476"/>
      <c r="RSB42" s="476"/>
      <c r="RSC42" s="476"/>
      <c r="RSD42" s="476"/>
      <c r="RSE42" s="476"/>
      <c r="RSF42" s="476"/>
      <c r="RSG42" s="476"/>
      <c r="RSH42" s="476"/>
      <c r="RSI42" s="476"/>
      <c r="RSJ42" s="476"/>
      <c r="RSK42" s="476"/>
      <c r="RSL42" s="476"/>
      <c r="RSM42" s="476"/>
      <c r="RSN42" s="476"/>
      <c r="RSO42" s="476"/>
      <c r="RSP42" s="476"/>
      <c r="RSQ42" s="476"/>
      <c r="RSR42" s="476"/>
      <c r="RSS42" s="476"/>
      <c r="RST42" s="476"/>
      <c r="RSU42" s="476"/>
      <c r="RSV42" s="476"/>
      <c r="RSW42" s="476"/>
      <c r="RSX42" s="476"/>
      <c r="RSY42" s="476"/>
      <c r="RSZ42" s="476"/>
      <c r="RTA42" s="476"/>
      <c r="RTB42" s="476"/>
      <c r="RTC42" s="476"/>
      <c r="RTD42" s="476"/>
      <c r="RTE42" s="476"/>
      <c r="RTF42" s="476"/>
      <c r="RTG42" s="476"/>
      <c r="RTH42" s="476"/>
      <c r="RTI42" s="476"/>
      <c r="RTJ42" s="476"/>
      <c r="RTK42" s="476"/>
      <c r="RTL42" s="476"/>
      <c r="RTM42" s="476"/>
      <c r="RTN42" s="476"/>
      <c r="RTO42" s="476"/>
      <c r="RTP42" s="476"/>
      <c r="RTQ42" s="476"/>
      <c r="RTR42" s="476"/>
      <c r="RTS42" s="476"/>
      <c r="RTT42" s="476"/>
      <c r="RTU42" s="476"/>
      <c r="RTV42" s="476"/>
      <c r="RTW42" s="476"/>
      <c r="RTX42" s="476"/>
      <c r="RTY42" s="476"/>
      <c r="RTZ42" s="476"/>
      <c r="RUA42" s="476"/>
      <c r="RUB42" s="476"/>
      <c r="RUC42" s="476"/>
      <c r="RUD42" s="476"/>
      <c r="RUE42" s="476"/>
      <c r="RUF42" s="476"/>
      <c r="RUG42" s="476"/>
      <c r="RUH42" s="476"/>
      <c r="RUI42" s="476"/>
      <c r="RUJ42" s="476"/>
      <c r="RUK42" s="476"/>
      <c r="RUL42" s="476"/>
      <c r="RUM42" s="476"/>
      <c r="RUN42" s="476"/>
      <c r="RUO42" s="476"/>
      <c r="RUP42" s="476"/>
      <c r="RUQ42" s="476"/>
      <c r="RUR42" s="476"/>
      <c r="RUS42" s="476"/>
      <c r="RUT42" s="476"/>
      <c r="RUU42" s="476"/>
      <c r="RUV42" s="476"/>
      <c r="RUW42" s="476"/>
      <c r="RUX42" s="476"/>
      <c r="RUY42" s="476"/>
      <c r="RUZ42" s="476"/>
      <c r="RVA42" s="476"/>
      <c r="RVB42" s="476"/>
      <c r="RVC42" s="476"/>
      <c r="RVD42" s="476"/>
      <c r="RVE42" s="476"/>
      <c r="RVF42" s="476"/>
      <c r="RVG42" s="476"/>
      <c r="RVH42" s="476"/>
      <c r="RVI42" s="476"/>
      <c r="RVJ42" s="476"/>
      <c r="RVK42" s="476"/>
      <c r="RVL42" s="476"/>
      <c r="RVM42" s="476"/>
      <c r="RVN42" s="476"/>
      <c r="RVO42" s="476"/>
      <c r="RVP42" s="476"/>
      <c r="RVQ42" s="476"/>
      <c r="RVR42" s="476"/>
      <c r="RVS42" s="476"/>
      <c r="RVT42" s="476"/>
      <c r="RVU42" s="476"/>
      <c r="RVV42" s="476"/>
      <c r="RVW42" s="476"/>
      <c r="RVX42" s="476"/>
      <c r="RVY42" s="476"/>
      <c r="RVZ42" s="476"/>
      <c r="RWA42" s="476"/>
      <c r="RWB42" s="476"/>
      <c r="RWC42" s="476"/>
      <c r="RWD42" s="476"/>
      <c r="RWE42" s="476"/>
      <c r="RWF42" s="476"/>
      <c r="RWG42" s="476"/>
      <c r="RWH42" s="476"/>
      <c r="RWI42" s="476"/>
      <c r="RWJ42" s="476"/>
      <c r="RWK42" s="476"/>
      <c r="RWL42" s="476"/>
      <c r="RWM42" s="476"/>
      <c r="RWN42" s="476"/>
      <c r="RWO42" s="476"/>
      <c r="RWP42" s="476"/>
      <c r="RWQ42" s="476"/>
      <c r="RWR42" s="476"/>
      <c r="RWS42" s="476"/>
      <c r="RWT42" s="476"/>
      <c r="RWU42" s="476"/>
      <c r="RWV42" s="476"/>
      <c r="RWW42" s="476"/>
      <c r="RWX42" s="476"/>
      <c r="RWY42" s="476"/>
      <c r="RWZ42" s="476"/>
      <c r="RXA42" s="476"/>
      <c r="RXB42" s="476"/>
      <c r="RXC42" s="476"/>
      <c r="RXD42" s="476"/>
      <c r="RXE42" s="476"/>
      <c r="RXF42" s="476"/>
      <c r="RXG42" s="476"/>
      <c r="RXH42" s="476"/>
      <c r="RXI42" s="476"/>
      <c r="RXJ42" s="476"/>
      <c r="RXK42" s="476"/>
      <c r="RXL42" s="476"/>
      <c r="RXM42" s="476"/>
      <c r="RXN42" s="476"/>
      <c r="RXO42" s="476"/>
      <c r="RXP42" s="476"/>
      <c r="RXQ42" s="476"/>
      <c r="RXR42" s="476"/>
      <c r="RXS42" s="476"/>
      <c r="RXT42" s="476"/>
      <c r="RXU42" s="476"/>
      <c r="RXV42" s="476"/>
      <c r="RXW42" s="476"/>
      <c r="RXX42" s="476"/>
      <c r="RXY42" s="476"/>
      <c r="RXZ42" s="476"/>
      <c r="RYA42" s="476"/>
      <c r="RYB42" s="476"/>
      <c r="RYC42" s="476"/>
      <c r="RYD42" s="476"/>
      <c r="RYE42" s="476"/>
      <c r="RYF42" s="476"/>
      <c r="RYG42" s="476"/>
      <c r="RYH42" s="476"/>
      <c r="RYI42" s="476"/>
      <c r="RYJ42" s="476"/>
      <c r="RYK42" s="476"/>
      <c r="RYL42" s="476"/>
      <c r="RYM42" s="476"/>
      <c r="RYN42" s="476"/>
      <c r="RYO42" s="476"/>
      <c r="RYP42" s="476"/>
      <c r="RYQ42" s="476"/>
      <c r="RYR42" s="476"/>
      <c r="RYS42" s="476"/>
      <c r="RYT42" s="476"/>
      <c r="RYU42" s="476"/>
      <c r="RYV42" s="476"/>
      <c r="RYW42" s="476"/>
      <c r="RYX42" s="476"/>
      <c r="RYY42" s="476"/>
      <c r="RYZ42" s="476"/>
      <c r="RZA42" s="476"/>
      <c r="RZB42" s="476"/>
      <c r="RZC42" s="476"/>
      <c r="RZD42" s="476"/>
      <c r="RZE42" s="476"/>
      <c r="RZF42" s="476"/>
      <c r="RZG42" s="476"/>
      <c r="RZH42" s="476"/>
      <c r="RZI42" s="476"/>
      <c r="RZJ42" s="476"/>
      <c r="RZK42" s="476"/>
      <c r="RZL42" s="476"/>
      <c r="RZM42" s="476"/>
      <c r="RZN42" s="476"/>
      <c r="RZO42" s="476"/>
      <c r="RZP42" s="476"/>
      <c r="RZQ42" s="476"/>
      <c r="RZR42" s="476"/>
      <c r="RZS42" s="476"/>
      <c r="RZT42" s="476"/>
      <c r="RZU42" s="476"/>
      <c r="RZV42" s="476"/>
      <c r="RZW42" s="476"/>
      <c r="RZX42" s="476"/>
      <c r="RZY42" s="476"/>
      <c r="RZZ42" s="476"/>
      <c r="SAA42" s="476"/>
      <c r="SAB42" s="476"/>
      <c r="SAC42" s="476"/>
      <c r="SAD42" s="476"/>
      <c r="SAE42" s="476"/>
      <c r="SAF42" s="476"/>
      <c r="SAG42" s="476"/>
      <c r="SAH42" s="476"/>
      <c r="SAI42" s="476"/>
      <c r="SAJ42" s="476"/>
      <c r="SAK42" s="476"/>
      <c r="SAL42" s="476"/>
      <c r="SAM42" s="476"/>
      <c r="SAN42" s="476"/>
      <c r="SAO42" s="476"/>
      <c r="SAP42" s="476"/>
      <c r="SAQ42" s="476"/>
      <c r="SAR42" s="476"/>
      <c r="SAS42" s="476"/>
      <c r="SAT42" s="476"/>
      <c r="SAU42" s="476"/>
      <c r="SAV42" s="476"/>
      <c r="SAW42" s="476"/>
      <c r="SAX42" s="476"/>
      <c r="SAY42" s="476"/>
      <c r="SAZ42" s="476"/>
      <c r="SBA42" s="476"/>
      <c r="SBB42" s="476"/>
      <c r="SBC42" s="476"/>
      <c r="SBD42" s="476"/>
      <c r="SBE42" s="476"/>
      <c r="SBF42" s="476"/>
      <c r="SBG42" s="476"/>
      <c r="SBH42" s="476"/>
      <c r="SBI42" s="476"/>
      <c r="SBJ42" s="476"/>
      <c r="SBK42" s="476"/>
      <c r="SBL42" s="476"/>
      <c r="SBM42" s="476"/>
      <c r="SBN42" s="476"/>
      <c r="SBO42" s="476"/>
      <c r="SBP42" s="476"/>
      <c r="SBQ42" s="476"/>
      <c r="SBR42" s="476"/>
      <c r="SBS42" s="476"/>
      <c r="SBT42" s="476"/>
      <c r="SBU42" s="476"/>
      <c r="SBV42" s="476"/>
      <c r="SBW42" s="476"/>
      <c r="SBX42" s="476"/>
      <c r="SBY42" s="476"/>
      <c r="SBZ42" s="476"/>
      <c r="SCA42" s="476"/>
      <c r="SCB42" s="476"/>
      <c r="SCC42" s="476"/>
      <c r="SCD42" s="476"/>
      <c r="SCE42" s="476"/>
      <c r="SCF42" s="476"/>
      <c r="SCG42" s="476"/>
      <c r="SCH42" s="476"/>
      <c r="SCI42" s="476"/>
      <c r="SCJ42" s="476"/>
      <c r="SCK42" s="476"/>
      <c r="SCL42" s="476"/>
      <c r="SCM42" s="476"/>
      <c r="SCN42" s="476"/>
      <c r="SCO42" s="476"/>
      <c r="SCP42" s="476"/>
      <c r="SCQ42" s="476"/>
      <c r="SCR42" s="476"/>
      <c r="SCS42" s="476"/>
      <c r="SCT42" s="476"/>
      <c r="SCU42" s="476"/>
      <c r="SCV42" s="476"/>
      <c r="SCW42" s="476"/>
      <c r="SCX42" s="476"/>
      <c r="SCY42" s="476"/>
      <c r="SCZ42" s="476"/>
      <c r="SDA42" s="476"/>
      <c r="SDB42" s="476"/>
      <c r="SDC42" s="476"/>
      <c r="SDD42" s="476"/>
      <c r="SDE42" s="476"/>
      <c r="SDF42" s="476"/>
      <c r="SDG42" s="476"/>
      <c r="SDH42" s="476"/>
      <c r="SDI42" s="476"/>
      <c r="SDJ42" s="476"/>
      <c r="SDK42" s="476"/>
      <c r="SDL42" s="476"/>
      <c r="SDM42" s="476"/>
      <c r="SDN42" s="476"/>
      <c r="SDO42" s="476"/>
      <c r="SDP42" s="476"/>
      <c r="SDQ42" s="476"/>
      <c r="SDR42" s="476"/>
      <c r="SDS42" s="476"/>
      <c r="SDT42" s="476"/>
      <c r="SDU42" s="476"/>
      <c r="SDV42" s="476"/>
      <c r="SDW42" s="476"/>
      <c r="SDX42" s="476"/>
      <c r="SDY42" s="476"/>
      <c r="SDZ42" s="476"/>
      <c r="SEA42" s="476"/>
      <c r="SEB42" s="476"/>
      <c r="SEC42" s="476"/>
      <c r="SED42" s="476"/>
      <c r="SEE42" s="476"/>
      <c r="SEF42" s="476"/>
      <c r="SEG42" s="476"/>
      <c r="SEH42" s="476"/>
      <c r="SEI42" s="476"/>
      <c r="SEJ42" s="476"/>
      <c r="SEK42" s="476"/>
      <c r="SEL42" s="476"/>
      <c r="SEM42" s="476"/>
      <c r="SEN42" s="476"/>
      <c r="SEO42" s="476"/>
      <c r="SEP42" s="476"/>
      <c r="SEQ42" s="476"/>
      <c r="SER42" s="476"/>
      <c r="SES42" s="476"/>
      <c r="SET42" s="476"/>
      <c r="SEU42" s="476"/>
      <c r="SEV42" s="476"/>
      <c r="SEW42" s="476"/>
      <c r="SEX42" s="476"/>
      <c r="SEY42" s="476"/>
      <c r="SEZ42" s="476"/>
      <c r="SFA42" s="476"/>
      <c r="SFB42" s="476"/>
      <c r="SFC42" s="476"/>
      <c r="SFD42" s="476"/>
      <c r="SFE42" s="476"/>
      <c r="SFF42" s="476"/>
      <c r="SFG42" s="476"/>
      <c r="SFH42" s="476"/>
      <c r="SFI42" s="476"/>
      <c r="SFJ42" s="476"/>
      <c r="SFK42" s="476"/>
      <c r="SFL42" s="476"/>
      <c r="SFM42" s="476"/>
      <c r="SFN42" s="476"/>
      <c r="SFO42" s="476"/>
      <c r="SFP42" s="476"/>
      <c r="SFQ42" s="476"/>
      <c r="SFR42" s="476"/>
      <c r="SFS42" s="476"/>
      <c r="SFT42" s="476"/>
      <c r="SFU42" s="476"/>
      <c r="SFV42" s="476"/>
      <c r="SFW42" s="476"/>
      <c r="SFX42" s="476"/>
      <c r="SFY42" s="476"/>
      <c r="SFZ42" s="476"/>
      <c r="SGA42" s="476"/>
      <c r="SGB42" s="476"/>
      <c r="SGC42" s="476"/>
      <c r="SGD42" s="476"/>
      <c r="SGE42" s="476"/>
      <c r="SGF42" s="476"/>
      <c r="SGG42" s="476"/>
      <c r="SGH42" s="476"/>
      <c r="SGI42" s="476"/>
      <c r="SGJ42" s="476"/>
      <c r="SGK42" s="476"/>
      <c r="SGL42" s="476"/>
      <c r="SGM42" s="476"/>
      <c r="SGN42" s="476"/>
      <c r="SGO42" s="476"/>
      <c r="SGP42" s="476"/>
      <c r="SGQ42" s="476"/>
      <c r="SGR42" s="476"/>
      <c r="SGS42" s="476"/>
      <c r="SGT42" s="476"/>
      <c r="SGU42" s="476"/>
      <c r="SGV42" s="476"/>
      <c r="SGW42" s="476"/>
      <c r="SGX42" s="476"/>
      <c r="SGY42" s="476"/>
      <c r="SGZ42" s="476"/>
      <c r="SHA42" s="476"/>
      <c r="SHB42" s="476"/>
      <c r="SHC42" s="476"/>
      <c r="SHD42" s="476"/>
      <c r="SHE42" s="476"/>
      <c r="SHF42" s="476"/>
      <c r="SHG42" s="476"/>
      <c r="SHH42" s="476"/>
      <c r="SHI42" s="476"/>
      <c r="SHJ42" s="476"/>
      <c r="SHK42" s="476"/>
      <c r="SHL42" s="476"/>
      <c r="SHM42" s="476"/>
      <c r="SHN42" s="476"/>
      <c r="SHO42" s="476"/>
      <c r="SHP42" s="476"/>
      <c r="SHQ42" s="476"/>
      <c r="SHR42" s="476"/>
      <c r="SHS42" s="476"/>
      <c r="SHT42" s="476"/>
      <c r="SHU42" s="476"/>
      <c r="SHV42" s="476"/>
      <c r="SHW42" s="476"/>
      <c r="SHX42" s="476"/>
      <c r="SHY42" s="476"/>
      <c r="SHZ42" s="476"/>
      <c r="SIA42" s="476"/>
      <c r="SIB42" s="476"/>
      <c r="SIC42" s="476"/>
      <c r="SID42" s="476"/>
      <c r="SIE42" s="476"/>
      <c r="SIF42" s="476"/>
      <c r="SIG42" s="476"/>
      <c r="SIH42" s="476"/>
      <c r="SII42" s="476"/>
      <c r="SIJ42" s="476"/>
      <c r="SIK42" s="476"/>
      <c r="SIL42" s="476"/>
      <c r="SIM42" s="476"/>
      <c r="SIN42" s="476"/>
      <c r="SIO42" s="476"/>
      <c r="SIP42" s="476"/>
      <c r="SIQ42" s="476"/>
      <c r="SIR42" s="476"/>
      <c r="SIS42" s="476"/>
      <c r="SIT42" s="476"/>
      <c r="SIU42" s="476"/>
      <c r="SIV42" s="476"/>
      <c r="SIW42" s="476"/>
      <c r="SIX42" s="476"/>
      <c r="SIY42" s="476"/>
      <c r="SIZ42" s="476"/>
      <c r="SJA42" s="476"/>
      <c r="SJB42" s="476"/>
      <c r="SJC42" s="476"/>
      <c r="SJD42" s="476"/>
      <c r="SJE42" s="476"/>
      <c r="SJF42" s="476"/>
      <c r="SJG42" s="476"/>
      <c r="SJH42" s="476"/>
      <c r="SJI42" s="476"/>
      <c r="SJJ42" s="476"/>
      <c r="SJK42" s="476"/>
      <c r="SJL42" s="476"/>
      <c r="SJM42" s="476"/>
      <c r="SJN42" s="476"/>
      <c r="SJO42" s="476"/>
      <c r="SJP42" s="476"/>
      <c r="SJQ42" s="476"/>
      <c r="SJR42" s="476"/>
      <c r="SJS42" s="476"/>
      <c r="SJT42" s="476"/>
      <c r="SJU42" s="476"/>
      <c r="SJV42" s="476"/>
      <c r="SJW42" s="476"/>
      <c r="SJX42" s="476"/>
      <c r="SJY42" s="476"/>
      <c r="SJZ42" s="476"/>
      <c r="SKA42" s="476"/>
      <c r="SKB42" s="476"/>
      <c r="SKC42" s="476"/>
      <c r="SKD42" s="476"/>
      <c r="SKE42" s="476"/>
      <c r="SKF42" s="476"/>
      <c r="SKG42" s="476"/>
      <c r="SKH42" s="476"/>
      <c r="SKI42" s="476"/>
      <c r="SKJ42" s="476"/>
      <c r="SKK42" s="476"/>
      <c r="SKL42" s="476"/>
      <c r="SKM42" s="476"/>
      <c r="SKN42" s="476"/>
      <c r="SKO42" s="476"/>
      <c r="SKP42" s="476"/>
      <c r="SKQ42" s="476"/>
      <c r="SKR42" s="476"/>
      <c r="SKS42" s="476"/>
      <c r="SKT42" s="476"/>
      <c r="SKU42" s="476"/>
      <c r="SKV42" s="476"/>
      <c r="SKW42" s="476"/>
      <c r="SKX42" s="476"/>
      <c r="SKY42" s="476"/>
      <c r="SKZ42" s="476"/>
      <c r="SLA42" s="476"/>
      <c r="SLB42" s="476"/>
      <c r="SLC42" s="476"/>
      <c r="SLD42" s="476"/>
      <c r="SLE42" s="476"/>
      <c r="SLF42" s="476"/>
      <c r="SLG42" s="476"/>
      <c r="SLH42" s="476"/>
      <c r="SLI42" s="476"/>
      <c r="SLJ42" s="476"/>
      <c r="SLK42" s="476"/>
      <c r="SLL42" s="476"/>
      <c r="SLM42" s="476"/>
      <c r="SLN42" s="476"/>
      <c r="SLO42" s="476"/>
      <c r="SLP42" s="476"/>
      <c r="SLQ42" s="476"/>
      <c r="SLR42" s="476"/>
      <c r="SLS42" s="476"/>
      <c r="SLT42" s="476"/>
      <c r="SLU42" s="476"/>
      <c r="SLV42" s="476"/>
      <c r="SLW42" s="476"/>
      <c r="SLX42" s="476"/>
      <c r="SLY42" s="476"/>
      <c r="SLZ42" s="476"/>
      <c r="SMA42" s="476"/>
      <c r="SMB42" s="476"/>
      <c r="SMC42" s="476"/>
      <c r="SMD42" s="476"/>
      <c r="SME42" s="476"/>
      <c r="SMF42" s="476"/>
      <c r="SMG42" s="476"/>
      <c r="SMH42" s="476"/>
      <c r="SMI42" s="476"/>
      <c r="SMJ42" s="476"/>
      <c r="SMK42" s="476"/>
      <c r="SML42" s="476"/>
      <c r="SMM42" s="476"/>
      <c r="SMN42" s="476"/>
      <c r="SMO42" s="476"/>
      <c r="SMP42" s="476"/>
      <c r="SMQ42" s="476"/>
      <c r="SMR42" s="476"/>
      <c r="SMS42" s="476"/>
      <c r="SMT42" s="476"/>
      <c r="SMU42" s="476"/>
      <c r="SMV42" s="476"/>
      <c r="SMW42" s="476"/>
      <c r="SMX42" s="476"/>
      <c r="SMY42" s="476"/>
      <c r="SMZ42" s="476"/>
      <c r="SNA42" s="476"/>
      <c r="SNB42" s="476"/>
      <c r="SNC42" s="476"/>
      <c r="SND42" s="476"/>
      <c r="SNE42" s="476"/>
      <c r="SNF42" s="476"/>
      <c r="SNG42" s="476"/>
      <c r="SNH42" s="476"/>
      <c r="SNI42" s="476"/>
      <c r="SNJ42" s="476"/>
      <c r="SNK42" s="476"/>
      <c r="SNL42" s="476"/>
      <c r="SNM42" s="476"/>
      <c r="SNN42" s="476"/>
      <c r="SNO42" s="476"/>
      <c r="SNP42" s="476"/>
      <c r="SNQ42" s="476"/>
      <c r="SNR42" s="476"/>
      <c r="SNS42" s="476"/>
      <c r="SNT42" s="476"/>
      <c r="SNU42" s="476"/>
      <c r="SNV42" s="476"/>
      <c r="SNW42" s="476"/>
      <c r="SNX42" s="476"/>
      <c r="SNY42" s="476"/>
      <c r="SNZ42" s="476"/>
      <c r="SOA42" s="476"/>
      <c r="SOB42" s="476"/>
      <c r="SOC42" s="476"/>
      <c r="SOD42" s="476"/>
      <c r="SOE42" s="476"/>
      <c r="SOF42" s="476"/>
      <c r="SOG42" s="476"/>
      <c r="SOH42" s="476"/>
      <c r="SOI42" s="476"/>
      <c r="SOJ42" s="476"/>
      <c r="SOK42" s="476"/>
      <c r="SOL42" s="476"/>
      <c r="SOM42" s="476"/>
      <c r="SON42" s="476"/>
      <c r="SOO42" s="476"/>
      <c r="SOP42" s="476"/>
      <c r="SOQ42" s="476"/>
      <c r="SOR42" s="476"/>
      <c r="SOS42" s="476"/>
      <c r="SOT42" s="476"/>
      <c r="SOU42" s="476"/>
      <c r="SOV42" s="476"/>
      <c r="SOW42" s="476"/>
      <c r="SOX42" s="476"/>
      <c r="SOY42" s="476"/>
      <c r="SOZ42" s="476"/>
      <c r="SPA42" s="476"/>
      <c r="SPB42" s="476"/>
      <c r="SPC42" s="476"/>
      <c r="SPD42" s="476"/>
      <c r="SPE42" s="476"/>
      <c r="SPF42" s="476"/>
      <c r="SPG42" s="476"/>
      <c r="SPH42" s="476"/>
      <c r="SPI42" s="476"/>
      <c r="SPJ42" s="476"/>
      <c r="SPK42" s="476"/>
      <c r="SPL42" s="476"/>
      <c r="SPM42" s="476"/>
      <c r="SPN42" s="476"/>
      <c r="SPO42" s="476"/>
      <c r="SPP42" s="476"/>
      <c r="SPQ42" s="476"/>
      <c r="SPR42" s="476"/>
      <c r="SPS42" s="476"/>
      <c r="SPT42" s="476"/>
      <c r="SPU42" s="476"/>
      <c r="SPV42" s="476"/>
      <c r="SPW42" s="476"/>
      <c r="SPX42" s="476"/>
      <c r="SPY42" s="476"/>
      <c r="SPZ42" s="476"/>
      <c r="SQA42" s="476"/>
      <c r="SQB42" s="476"/>
      <c r="SQC42" s="476"/>
      <c r="SQD42" s="476"/>
      <c r="SQE42" s="476"/>
      <c r="SQF42" s="476"/>
      <c r="SQG42" s="476"/>
      <c r="SQH42" s="476"/>
      <c r="SQI42" s="476"/>
      <c r="SQJ42" s="476"/>
      <c r="SQK42" s="476"/>
      <c r="SQL42" s="476"/>
      <c r="SQM42" s="476"/>
      <c r="SQN42" s="476"/>
      <c r="SQO42" s="476"/>
      <c r="SQP42" s="476"/>
      <c r="SQQ42" s="476"/>
      <c r="SQR42" s="476"/>
      <c r="SQS42" s="476"/>
      <c r="SQT42" s="476"/>
      <c r="SQU42" s="476"/>
      <c r="SQV42" s="476"/>
      <c r="SQW42" s="476"/>
      <c r="SQX42" s="476"/>
      <c r="SQY42" s="476"/>
      <c r="SQZ42" s="476"/>
      <c r="SRA42" s="476"/>
      <c r="SRB42" s="476"/>
      <c r="SRC42" s="476"/>
      <c r="SRD42" s="476"/>
      <c r="SRE42" s="476"/>
      <c r="SRF42" s="476"/>
      <c r="SRG42" s="476"/>
      <c r="SRH42" s="476"/>
      <c r="SRI42" s="476"/>
      <c r="SRJ42" s="476"/>
      <c r="SRK42" s="476"/>
      <c r="SRL42" s="476"/>
      <c r="SRM42" s="476"/>
      <c r="SRN42" s="476"/>
      <c r="SRO42" s="476"/>
      <c r="SRP42" s="476"/>
      <c r="SRQ42" s="476"/>
      <c r="SRR42" s="476"/>
      <c r="SRS42" s="476"/>
      <c r="SRT42" s="476"/>
      <c r="SRU42" s="476"/>
      <c r="SRV42" s="476"/>
      <c r="SRW42" s="476"/>
      <c r="SRX42" s="476"/>
      <c r="SRY42" s="476"/>
      <c r="SRZ42" s="476"/>
      <c r="SSA42" s="476"/>
      <c r="SSB42" s="476"/>
      <c r="SSC42" s="476"/>
      <c r="SSD42" s="476"/>
      <c r="SSE42" s="476"/>
      <c r="SSF42" s="476"/>
      <c r="SSG42" s="476"/>
      <c r="SSH42" s="476"/>
      <c r="SSI42" s="476"/>
      <c r="SSJ42" s="476"/>
      <c r="SSK42" s="476"/>
      <c r="SSL42" s="476"/>
      <c r="SSM42" s="476"/>
      <c r="SSN42" s="476"/>
      <c r="SSO42" s="476"/>
      <c r="SSP42" s="476"/>
      <c r="SSQ42" s="476"/>
      <c r="SSR42" s="476"/>
      <c r="SSS42" s="476"/>
      <c r="SST42" s="476"/>
      <c r="SSU42" s="476"/>
      <c r="SSV42" s="476"/>
      <c r="SSW42" s="476"/>
      <c r="SSX42" s="476"/>
      <c r="SSY42" s="476"/>
      <c r="SSZ42" s="476"/>
      <c r="STA42" s="476"/>
      <c r="STB42" s="476"/>
      <c r="STC42" s="476"/>
      <c r="STD42" s="476"/>
      <c r="STE42" s="476"/>
      <c r="STF42" s="476"/>
      <c r="STG42" s="476"/>
      <c r="STH42" s="476"/>
      <c r="STI42" s="476"/>
      <c r="STJ42" s="476"/>
      <c r="STK42" s="476"/>
      <c r="STL42" s="476"/>
      <c r="STM42" s="476"/>
      <c r="STN42" s="476"/>
      <c r="STO42" s="476"/>
      <c r="STP42" s="476"/>
      <c r="STQ42" s="476"/>
      <c r="STR42" s="476"/>
      <c r="STS42" s="476"/>
      <c r="STT42" s="476"/>
      <c r="STU42" s="476"/>
      <c r="STV42" s="476"/>
      <c r="STW42" s="476"/>
      <c r="STX42" s="476"/>
      <c r="STY42" s="476"/>
      <c r="STZ42" s="476"/>
      <c r="SUA42" s="476"/>
      <c r="SUB42" s="476"/>
      <c r="SUC42" s="476"/>
      <c r="SUD42" s="476"/>
      <c r="SUE42" s="476"/>
      <c r="SUF42" s="476"/>
      <c r="SUG42" s="476"/>
      <c r="SUH42" s="476"/>
      <c r="SUI42" s="476"/>
      <c r="SUJ42" s="476"/>
      <c r="SUK42" s="476"/>
      <c r="SUL42" s="476"/>
      <c r="SUM42" s="476"/>
      <c r="SUN42" s="476"/>
      <c r="SUO42" s="476"/>
      <c r="SUP42" s="476"/>
      <c r="SUQ42" s="476"/>
      <c r="SUR42" s="476"/>
      <c r="SUS42" s="476"/>
      <c r="SUT42" s="476"/>
      <c r="SUU42" s="476"/>
      <c r="SUV42" s="476"/>
      <c r="SUW42" s="476"/>
      <c r="SUX42" s="476"/>
      <c r="SUY42" s="476"/>
      <c r="SUZ42" s="476"/>
      <c r="SVA42" s="476"/>
      <c r="SVB42" s="476"/>
      <c r="SVC42" s="476"/>
      <c r="SVD42" s="476"/>
      <c r="SVE42" s="476"/>
      <c r="SVF42" s="476"/>
      <c r="SVG42" s="476"/>
      <c r="SVH42" s="476"/>
      <c r="SVI42" s="476"/>
      <c r="SVJ42" s="476"/>
      <c r="SVK42" s="476"/>
      <c r="SVL42" s="476"/>
      <c r="SVM42" s="476"/>
      <c r="SVN42" s="476"/>
      <c r="SVO42" s="476"/>
      <c r="SVP42" s="476"/>
      <c r="SVQ42" s="476"/>
      <c r="SVR42" s="476"/>
      <c r="SVS42" s="476"/>
      <c r="SVT42" s="476"/>
      <c r="SVU42" s="476"/>
      <c r="SVV42" s="476"/>
      <c r="SVW42" s="476"/>
      <c r="SVX42" s="476"/>
      <c r="SVY42" s="476"/>
      <c r="SVZ42" s="476"/>
      <c r="SWA42" s="476"/>
      <c r="SWB42" s="476"/>
      <c r="SWC42" s="476"/>
      <c r="SWD42" s="476"/>
      <c r="SWE42" s="476"/>
      <c r="SWF42" s="476"/>
      <c r="SWG42" s="476"/>
      <c r="SWH42" s="476"/>
      <c r="SWI42" s="476"/>
      <c r="SWJ42" s="476"/>
      <c r="SWK42" s="476"/>
      <c r="SWL42" s="476"/>
      <c r="SWM42" s="476"/>
      <c r="SWN42" s="476"/>
      <c r="SWO42" s="476"/>
      <c r="SWP42" s="476"/>
      <c r="SWQ42" s="476"/>
      <c r="SWR42" s="476"/>
      <c r="SWS42" s="476"/>
      <c r="SWT42" s="476"/>
      <c r="SWU42" s="476"/>
      <c r="SWV42" s="476"/>
      <c r="SWW42" s="476"/>
      <c r="SWX42" s="476"/>
      <c r="SWY42" s="476"/>
      <c r="SWZ42" s="476"/>
      <c r="SXA42" s="476"/>
      <c r="SXB42" s="476"/>
      <c r="SXC42" s="476"/>
      <c r="SXD42" s="476"/>
      <c r="SXE42" s="476"/>
      <c r="SXF42" s="476"/>
      <c r="SXG42" s="476"/>
      <c r="SXH42" s="476"/>
      <c r="SXI42" s="476"/>
      <c r="SXJ42" s="476"/>
      <c r="SXK42" s="476"/>
      <c r="SXL42" s="476"/>
      <c r="SXM42" s="476"/>
      <c r="SXN42" s="476"/>
      <c r="SXO42" s="476"/>
      <c r="SXP42" s="476"/>
      <c r="SXQ42" s="476"/>
      <c r="SXR42" s="476"/>
      <c r="SXS42" s="476"/>
      <c r="SXT42" s="476"/>
      <c r="SXU42" s="476"/>
      <c r="SXV42" s="476"/>
      <c r="SXW42" s="476"/>
      <c r="SXX42" s="476"/>
      <c r="SXY42" s="476"/>
      <c r="SXZ42" s="476"/>
      <c r="SYA42" s="476"/>
      <c r="SYB42" s="476"/>
      <c r="SYC42" s="476"/>
      <c r="SYD42" s="476"/>
      <c r="SYE42" s="476"/>
      <c r="SYF42" s="476"/>
      <c r="SYG42" s="476"/>
      <c r="SYH42" s="476"/>
      <c r="SYI42" s="476"/>
      <c r="SYJ42" s="476"/>
      <c r="SYK42" s="476"/>
      <c r="SYL42" s="476"/>
      <c r="SYM42" s="476"/>
      <c r="SYN42" s="476"/>
      <c r="SYO42" s="476"/>
      <c r="SYP42" s="476"/>
      <c r="SYQ42" s="476"/>
      <c r="SYR42" s="476"/>
      <c r="SYS42" s="476"/>
      <c r="SYT42" s="476"/>
      <c r="SYU42" s="476"/>
      <c r="SYV42" s="476"/>
      <c r="SYW42" s="476"/>
      <c r="SYX42" s="476"/>
      <c r="SYY42" s="476"/>
      <c r="SYZ42" s="476"/>
      <c r="SZA42" s="476"/>
      <c r="SZB42" s="476"/>
      <c r="SZC42" s="476"/>
      <c r="SZD42" s="476"/>
      <c r="SZE42" s="476"/>
      <c r="SZF42" s="476"/>
      <c r="SZG42" s="476"/>
      <c r="SZH42" s="476"/>
      <c r="SZI42" s="476"/>
      <c r="SZJ42" s="476"/>
      <c r="SZK42" s="476"/>
      <c r="SZL42" s="476"/>
      <c r="SZM42" s="476"/>
      <c r="SZN42" s="476"/>
      <c r="SZO42" s="476"/>
      <c r="SZP42" s="476"/>
      <c r="SZQ42" s="476"/>
      <c r="SZR42" s="476"/>
      <c r="SZS42" s="476"/>
      <c r="SZT42" s="476"/>
      <c r="SZU42" s="476"/>
      <c r="SZV42" s="476"/>
      <c r="SZW42" s="476"/>
      <c r="SZX42" s="476"/>
      <c r="SZY42" s="476"/>
      <c r="SZZ42" s="476"/>
      <c r="TAA42" s="476"/>
      <c r="TAB42" s="476"/>
      <c r="TAC42" s="476"/>
      <c r="TAD42" s="476"/>
      <c r="TAE42" s="476"/>
      <c r="TAF42" s="476"/>
      <c r="TAG42" s="476"/>
      <c r="TAH42" s="476"/>
      <c r="TAI42" s="476"/>
      <c r="TAJ42" s="476"/>
      <c r="TAK42" s="476"/>
      <c r="TAL42" s="476"/>
      <c r="TAM42" s="476"/>
      <c r="TAN42" s="476"/>
      <c r="TAO42" s="476"/>
      <c r="TAP42" s="476"/>
      <c r="TAQ42" s="476"/>
      <c r="TAR42" s="476"/>
      <c r="TAS42" s="476"/>
      <c r="TAT42" s="476"/>
      <c r="TAU42" s="476"/>
      <c r="TAV42" s="476"/>
      <c r="TAW42" s="476"/>
      <c r="TAX42" s="476"/>
      <c r="TAY42" s="476"/>
      <c r="TAZ42" s="476"/>
      <c r="TBA42" s="476"/>
      <c r="TBB42" s="476"/>
      <c r="TBC42" s="476"/>
      <c r="TBD42" s="476"/>
      <c r="TBE42" s="476"/>
      <c r="TBF42" s="476"/>
      <c r="TBG42" s="476"/>
      <c r="TBH42" s="476"/>
      <c r="TBI42" s="476"/>
      <c r="TBJ42" s="476"/>
      <c r="TBK42" s="476"/>
      <c r="TBL42" s="476"/>
      <c r="TBM42" s="476"/>
      <c r="TBN42" s="476"/>
      <c r="TBO42" s="476"/>
      <c r="TBP42" s="476"/>
      <c r="TBQ42" s="476"/>
      <c r="TBR42" s="476"/>
      <c r="TBS42" s="476"/>
      <c r="TBT42" s="476"/>
      <c r="TBU42" s="476"/>
      <c r="TBV42" s="476"/>
      <c r="TBW42" s="476"/>
      <c r="TBX42" s="476"/>
      <c r="TBY42" s="476"/>
      <c r="TBZ42" s="476"/>
      <c r="TCA42" s="476"/>
      <c r="TCB42" s="476"/>
      <c r="TCC42" s="476"/>
      <c r="TCD42" s="476"/>
      <c r="TCE42" s="476"/>
      <c r="TCF42" s="476"/>
      <c r="TCG42" s="476"/>
      <c r="TCH42" s="476"/>
      <c r="TCI42" s="476"/>
      <c r="TCJ42" s="476"/>
      <c r="TCK42" s="476"/>
      <c r="TCL42" s="476"/>
      <c r="TCM42" s="476"/>
      <c r="TCN42" s="476"/>
      <c r="TCO42" s="476"/>
      <c r="TCP42" s="476"/>
      <c r="TCQ42" s="476"/>
      <c r="TCR42" s="476"/>
      <c r="TCS42" s="476"/>
      <c r="TCT42" s="476"/>
      <c r="TCU42" s="476"/>
      <c r="TCV42" s="476"/>
      <c r="TCW42" s="476"/>
      <c r="TCX42" s="476"/>
      <c r="TCY42" s="476"/>
      <c r="TCZ42" s="476"/>
      <c r="TDA42" s="476"/>
      <c r="TDB42" s="476"/>
      <c r="TDC42" s="476"/>
      <c r="TDD42" s="476"/>
      <c r="TDE42" s="476"/>
      <c r="TDF42" s="476"/>
      <c r="TDG42" s="476"/>
      <c r="TDH42" s="476"/>
      <c r="TDI42" s="476"/>
      <c r="TDJ42" s="476"/>
      <c r="TDK42" s="476"/>
      <c r="TDL42" s="476"/>
      <c r="TDM42" s="476"/>
      <c r="TDN42" s="476"/>
      <c r="TDO42" s="476"/>
      <c r="TDP42" s="476"/>
      <c r="TDQ42" s="476"/>
      <c r="TDR42" s="476"/>
      <c r="TDS42" s="476"/>
      <c r="TDT42" s="476"/>
      <c r="TDU42" s="476"/>
      <c r="TDV42" s="476"/>
      <c r="TDW42" s="476"/>
      <c r="TDX42" s="476"/>
      <c r="TDY42" s="476"/>
      <c r="TDZ42" s="476"/>
      <c r="TEA42" s="476"/>
      <c r="TEB42" s="476"/>
      <c r="TEC42" s="476"/>
      <c r="TED42" s="476"/>
      <c r="TEE42" s="476"/>
      <c r="TEF42" s="476"/>
      <c r="TEG42" s="476"/>
      <c r="TEH42" s="476"/>
      <c r="TEI42" s="476"/>
      <c r="TEJ42" s="476"/>
      <c r="TEK42" s="476"/>
      <c r="TEL42" s="476"/>
      <c r="TEM42" s="476"/>
      <c r="TEN42" s="476"/>
      <c r="TEO42" s="476"/>
      <c r="TEP42" s="476"/>
      <c r="TEQ42" s="476"/>
      <c r="TER42" s="476"/>
      <c r="TES42" s="476"/>
      <c r="TET42" s="476"/>
      <c r="TEU42" s="476"/>
      <c r="TEV42" s="476"/>
      <c r="TEW42" s="476"/>
      <c r="TEX42" s="476"/>
      <c r="TEY42" s="476"/>
      <c r="TEZ42" s="476"/>
      <c r="TFA42" s="476"/>
      <c r="TFB42" s="476"/>
      <c r="TFC42" s="476"/>
      <c r="TFD42" s="476"/>
      <c r="TFE42" s="476"/>
      <c r="TFF42" s="476"/>
      <c r="TFG42" s="476"/>
      <c r="TFH42" s="476"/>
      <c r="TFI42" s="476"/>
      <c r="TFJ42" s="476"/>
      <c r="TFK42" s="476"/>
      <c r="TFL42" s="476"/>
      <c r="TFM42" s="476"/>
      <c r="TFN42" s="476"/>
      <c r="TFO42" s="476"/>
      <c r="TFP42" s="476"/>
      <c r="TFQ42" s="476"/>
      <c r="TFR42" s="476"/>
      <c r="TFS42" s="476"/>
      <c r="TFT42" s="476"/>
      <c r="TFU42" s="476"/>
      <c r="TFV42" s="476"/>
      <c r="TFW42" s="476"/>
      <c r="TFX42" s="476"/>
      <c r="TFY42" s="476"/>
      <c r="TFZ42" s="476"/>
      <c r="TGA42" s="476"/>
      <c r="TGB42" s="476"/>
      <c r="TGC42" s="476"/>
      <c r="TGD42" s="476"/>
      <c r="TGE42" s="476"/>
      <c r="TGF42" s="476"/>
      <c r="TGG42" s="476"/>
      <c r="TGH42" s="476"/>
      <c r="TGI42" s="476"/>
      <c r="TGJ42" s="476"/>
      <c r="TGK42" s="476"/>
      <c r="TGL42" s="476"/>
      <c r="TGM42" s="476"/>
      <c r="TGN42" s="476"/>
      <c r="TGO42" s="476"/>
      <c r="TGP42" s="476"/>
      <c r="TGQ42" s="476"/>
      <c r="TGR42" s="476"/>
      <c r="TGS42" s="476"/>
      <c r="TGT42" s="476"/>
      <c r="TGU42" s="476"/>
      <c r="TGV42" s="476"/>
      <c r="TGW42" s="476"/>
      <c r="TGX42" s="476"/>
      <c r="TGY42" s="476"/>
      <c r="TGZ42" s="476"/>
      <c r="THA42" s="476"/>
      <c r="THB42" s="476"/>
      <c r="THC42" s="476"/>
      <c r="THD42" s="476"/>
      <c r="THE42" s="476"/>
      <c r="THF42" s="476"/>
      <c r="THG42" s="476"/>
      <c r="THH42" s="476"/>
      <c r="THI42" s="476"/>
      <c r="THJ42" s="476"/>
      <c r="THK42" s="476"/>
      <c r="THL42" s="476"/>
      <c r="THM42" s="476"/>
      <c r="THN42" s="476"/>
      <c r="THO42" s="476"/>
      <c r="THP42" s="476"/>
      <c r="THQ42" s="476"/>
      <c r="THR42" s="476"/>
      <c r="THS42" s="476"/>
      <c r="THT42" s="476"/>
      <c r="THU42" s="476"/>
      <c r="THV42" s="476"/>
      <c r="THW42" s="476"/>
      <c r="THX42" s="476"/>
      <c r="THY42" s="476"/>
      <c r="THZ42" s="476"/>
      <c r="TIA42" s="476"/>
      <c r="TIB42" s="476"/>
      <c r="TIC42" s="476"/>
      <c r="TID42" s="476"/>
      <c r="TIE42" s="476"/>
      <c r="TIF42" s="476"/>
      <c r="TIG42" s="476"/>
      <c r="TIH42" s="476"/>
      <c r="TII42" s="476"/>
      <c r="TIJ42" s="476"/>
      <c r="TIK42" s="476"/>
      <c r="TIL42" s="476"/>
      <c r="TIM42" s="476"/>
      <c r="TIN42" s="476"/>
      <c r="TIO42" s="476"/>
      <c r="TIP42" s="476"/>
      <c r="TIQ42" s="476"/>
      <c r="TIR42" s="476"/>
      <c r="TIS42" s="476"/>
      <c r="TIT42" s="476"/>
      <c r="TIU42" s="476"/>
      <c r="TIV42" s="476"/>
      <c r="TIW42" s="476"/>
      <c r="TIX42" s="476"/>
      <c r="TIY42" s="476"/>
      <c r="TIZ42" s="476"/>
      <c r="TJA42" s="476"/>
      <c r="TJB42" s="476"/>
      <c r="TJC42" s="476"/>
      <c r="TJD42" s="476"/>
      <c r="TJE42" s="476"/>
      <c r="TJF42" s="476"/>
      <c r="TJG42" s="476"/>
      <c r="TJH42" s="476"/>
      <c r="TJI42" s="476"/>
      <c r="TJJ42" s="476"/>
      <c r="TJK42" s="476"/>
      <c r="TJL42" s="476"/>
      <c r="TJM42" s="476"/>
      <c r="TJN42" s="476"/>
      <c r="TJO42" s="476"/>
      <c r="TJP42" s="476"/>
      <c r="TJQ42" s="476"/>
      <c r="TJR42" s="476"/>
      <c r="TJS42" s="476"/>
      <c r="TJT42" s="476"/>
      <c r="TJU42" s="476"/>
      <c r="TJV42" s="476"/>
      <c r="TJW42" s="476"/>
      <c r="TJX42" s="476"/>
      <c r="TJY42" s="476"/>
      <c r="TJZ42" s="476"/>
      <c r="TKA42" s="476"/>
      <c r="TKB42" s="476"/>
      <c r="TKC42" s="476"/>
      <c r="TKD42" s="476"/>
      <c r="TKE42" s="476"/>
      <c r="TKF42" s="476"/>
      <c r="TKG42" s="476"/>
      <c r="TKH42" s="476"/>
      <c r="TKI42" s="476"/>
      <c r="TKJ42" s="476"/>
      <c r="TKK42" s="476"/>
      <c r="TKL42" s="476"/>
      <c r="TKM42" s="476"/>
      <c r="TKN42" s="476"/>
      <c r="TKO42" s="476"/>
      <c r="TKP42" s="476"/>
      <c r="TKQ42" s="476"/>
      <c r="TKR42" s="476"/>
      <c r="TKS42" s="476"/>
      <c r="TKT42" s="476"/>
      <c r="TKU42" s="476"/>
      <c r="TKV42" s="476"/>
      <c r="TKW42" s="476"/>
      <c r="TKX42" s="476"/>
      <c r="TKY42" s="476"/>
      <c r="TKZ42" s="476"/>
      <c r="TLA42" s="476"/>
      <c r="TLB42" s="476"/>
      <c r="TLC42" s="476"/>
      <c r="TLD42" s="476"/>
      <c r="TLE42" s="476"/>
      <c r="TLF42" s="476"/>
      <c r="TLG42" s="476"/>
      <c r="TLH42" s="476"/>
      <c r="TLI42" s="476"/>
      <c r="TLJ42" s="476"/>
      <c r="TLK42" s="476"/>
      <c r="TLL42" s="476"/>
      <c r="TLM42" s="476"/>
      <c r="TLN42" s="476"/>
      <c r="TLO42" s="476"/>
      <c r="TLP42" s="476"/>
      <c r="TLQ42" s="476"/>
      <c r="TLR42" s="476"/>
      <c r="TLS42" s="476"/>
      <c r="TLT42" s="476"/>
      <c r="TLU42" s="476"/>
      <c r="TLV42" s="476"/>
      <c r="TLW42" s="476"/>
      <c r="TLX42" s="476"/>
      <c r="TLY42" s="476"/>
      <c r="TLZ42" s="476"/>
      <c r="TMA42" s="476"/>
      <c r="TMB42" s="476"/>
      <c r="TMC42" s="476"/>
      <c r="TMD42" s="476"/>
      <c r="TME42" s="476"/>
      <c r="TMF42" s="476"/>
      <c r="TMG42" s="476"/>
      <c r="TMH42" s="476"/>
      <c r="TMI42" s="476"/>
      <c r="TMJ42" s="476"/>
      <c r="TMK42" s="476"/>
      <c r="TML42" s="476"/>
      <c r="TMM42" s="476"/>
      <c r="TMN42" s="476"/>
      <c r="TMO42" s="476"/>
      <c r="TMP42" s="476"/>
      <c r="TMQ42" s="476"/>
      <c r="TMR42" s="476"/>
      <c r="TMS42" s="476"/>
      <c r="TMT42" s="476"/>
      <c r="TMU42" s="476"/>
      <c r="TMV42" s="476"/>
      <c r="TMW42" s="476"/>
      <c r="TMX42" s="476"/>
      <c r="TMY42" s="476"/>
      <c r="TMZ42" s="476"/>
      <c r="TNA42" s="476"/>
      <c r="TNB42" s="476"/>
      <c r="TNC42" s="476"/>
      <c r="TND42" s="476"/>
      <c r="TNE42" s="476"/>
      <c r="TNF42" s="476"/>
      <c r="TNG42" s="476"/>
      <c r="TNH42" s="476"/>
      <c r="TNI42" s="476"/>
      <c r="TNJ42" s="476"/>
      <c r="TNK42" s="476"/>
      <c r="TNL42" s="476"/>
      <c r="TNM42" s="476"/>
      <c r="TNN42" s="476"/>
      <c r="TNO42" s="476"/>
      <c r="TNP42" s="476"/>
      <c r="TNQ42" s="476"/>
      <c r="TNR42" s="476"/>
      <c r="TNS42" s="476"/>
      <c r="TNT42" s="476"/>
      <c r="TNU42" s="476"/>
      <c r="TNV42" s="476"/>
      <c r="TNW42" s="476"/>
      <c r="TNX42" s="476"/>
      <c r="TNY42" s="476"/>
      <c r="TNZ42" s="476"/>
      <c r="TOA42" s="476"/>
      <c r="TOB42" s="476"/>
      <c r="TOC42" s="476"/>
      <c r="TOD42" s="476"/>
      <c r="TOE42" s="476"/>
      <c r="TOF42" s="476"/>
      <c r="TOG42" s="476"/>
      <c r="TOH42" s="476"/>
      <c r="TOI42" s="476"/>
      <c r="TOJ42" s="476"/>
      <c r="TOK42" s="476"/>
      <c r="TOL42" s="476"/>
      <c r="TOM42" s="476"/>
      <c r="TON42" s="476"/>
      <c r="TOO42" s="476"/>
      <c r="TOP42" s="476"/>
      <c r="TOQ42" s="476"/>
      <c r="TOR42" s="476"/>
      <c r="TOS42" s="476"/>
      <c r="TOT42" s="476"/>
      <c r="TOU42" s="476"/>
      <c r="TOV42" s="476"/>
      <c r="TOW42" s="476"/>
      <c r="TOX42" s="476"/>
      <c r="TOY42" s="476"/>
      <c r="TOZ42" s="476"/>
      <c r="TPA42" s="476"/>
      <c r="TPB42" s="476"/>
      <c r="TPC42" s="476"/>
      <c r="TPD42" s="476"/>
      <c r="TPE42" s="476"/>
      <c r="TPF42" s="476"/>
      <c r="TPG42" s="476"/>
      <c r="TPH42" s="476"/>
      <c r="TPI42" s="476"/>
      <c r="TPJ42" s="476"/>
      <c r="TPK42" s="476"/>
      <c r="TPL42" s="476"/>
      <c r="TPM42" s="476"/>
      <c r="TPN42" s="476"/>
      <c r="TPO42" s="476"/>
      <c r="TPP42" s="476"/>
      <c r="TPQ42" s="476"/>
      <c r="TPR42" s="476"/>
      <c r="TPS42" s="476"/>
      <c r="TPT42" s="476"/>
      <c r="TPU42" s="476"/>
      <c r="TPV42" s="476"/>
      <c r="TPW42" s="476"/>
      <c r="TPX42" s="476"/>
      <c r="TPY42" s="476"/>
      <c r="TPZ42" s="476"/>
      <c r="TQA42" s="476"/>
      <c r="TQB42" s="476"/>
      <c r="TQC42" s="476"/>
      <c r="TQD42" s="476"/>
      <c r="TQE42" s="476"/>
      <c r="TQF42" s="476"/>
      <c r="TQG42" s="476"/>
      <c r="TQH42" s="476"/>
      <c r="TQI42" s="476"/>
      <c r="TQJ42" s="476"/>
      <c r="TQK42" s="476"/>
      <c r="TQL42" s="476"/>
      <c r="TQM42" s="476"/>
      <c r="TQN42" s="476"/>
      <c r="TQO42" s="476"/>
      <c r="TQP42" s="476"/>
      <c r="TQQ42" s="476"/>
      <c r="TQR42" s="476"/>
      <c r="TQS42" s="476"/>
      <c r="TQT42" s="476"/>
      <c r="TQU42" s="476"/>
      <c r="TQV42" s="476"/>
      <c r="TQW42" s="476"/>
      <c r="TQX42" s="476"/>
      <c r="TQY42" s="476"/>
      <c r="TQZ42" s="476"/>
      <c r="TRA42" s="476"/>
      <c r="TRB42" s="476"/>
      <c r="TRC42" s="476"/>
      <c r="TRD42" s="476"/>
      <c r="TRE42" s="476"/>
      <c r="TRF42" s="476"/>
      <c r="TRG42" s="476"/>
      <c r="TRH42" s="476"/>
      <c r="TRI42" s="476"/>
      <c r="TRJ42" s="476"/>
      <c r="TRK42" s="476"/>
      <c r="TRL42" s="476"/>
      <c r="TRM42" s="476"/>
      <c r="TRN42" s="476"/>
      <c r="TRO42" s="476"/>
      <c r="TRP42" s="476"/>
      <c r="TRQ42" s="476"/>
      <c r="TRR42" s="476"/>
      <c r="TRS42" s="476"/>
      <c r="TRT42" s="476"/>
      <c r="TRU42" s="476"/>
      <c r="TRV42" s="476"/>
      <c r="TRW42" s="476"/>
      <c r="TRX42" s="476"/>
      <c r="TRY42" s="476"/>
      <c r="TRZ42" s="476"/>
      <c r="TSA42" s="476"/>
      <c r="TSB42" s="476"/>
      <c r="TSC42" s="476"/>
      <c r="TSD42" s="476"/>
      <c r="TSE42" s="476"/>
      <c r="TSF42" s="476"/>
      <c r="TSG42" s="476"/>
      <c r="TSH42" s="476"/>
      <c r="TSI42" s="476"/>
      <c r="TSJ42" s="476"/>
      <c r="TSK42" s="476"/>
      <c r="TSL42" s="476"/>
      <c r="TSM42" s="476"/>
      <c r="TSN42" s="476"/>
      <c r="TSO42" s="476"/>
      <c r="TSP42" s="476"/>
      <c r="TSQ42" s="476"/>
      <c r="TSR42" s="476"/>
      <c r="TSS42" s="476"/>
      <c r="TST42" s="476"/>
      <c r="TSU42" s="476"/>
      <c r="TSV42" s="476"/>
      <c r="TSW42" s="476"/>
      <c r="TSX42" s="476"/>
      <c r="TSY42" s="476"/>
      <c r="TSZ42" s="476"/>
      <c r="TTA42" s="476"/>
      <c r="TTB42" s="476"/>
      <c r="TTC42" s="476"/>
      <c r="TTD42" s="476"/>
      <c r="TTE42" s="476"/>
      <c r="TTF42" s="476"/>
      <c r="TTG42" s="476"/>
      <c r="TTH42" s="476"/>
      <c r="TTI42" s="476"/>
      <c r="TTJ42" s="476"/>
      <c r="TTK42" s="476"/>
      <c r="TTL42" s="476"/>
      <c r="TTM42" s="476"/>
      <c r="TTN42" s="476"/>
      <c r="TTO42" s="476"/>
      <c r="TTP42" s="476"/>
      <c r="TTQ42" s="476"/>
      <c r="TTR42" s="476"/>
      <c r="TTS42" s="476"/>
      <c r="TTT42" s="476"/>
      <c r="TTU42" s="476"/>
      <c r="TTV42" s="476"/>
      <c r="TTW42" s="476"/>
      <c r="TTX42" s="476"/>
      <c r="TTY42" s="476"/>
      <c r="TTZ42" s="476"/>
      <c r="TUA42" s="476"/>
      <c r="TUB42" s="476"/>
      <c r="TUC42" s="476"/>
      <c r="TUD42" s="476"/>
      <c r="TUE42" s="476"/>
      <c r="TUF42" s="476"/>
      <c r="TUG42" s="476"/>
      <c r="TUH42" s="476"/>
      <c r="TUI42" s="476"/>
      <c r="TUJ42" s="476"/>
      <c r="TUK42" s="476"/>
      <c r="TUL42" s="476"/>
      <c r="TUM42" s="476"/>
      <c r="TUN42" s="476"/>
      <c r="TUO42" s="476"/>
      <c r="TUP42" s="476"/>
      <c r="TUQ42" s="476"/>
      <c r="TUR42" s="476"/>
      <c r="TUS42" s="476"/>
      <c r="TUT42" s="476"/>
      <c r="TUU42" s="476"/>
      <c r="TUV42" s="476"/>
      <c r="TUW42" s="476"/>
      <c r="TUX42" s="476"/>
      <c r="TUY42" s="476"/>
      <c r="TUZ42" s="476"/>
      <c r="TVA42" s="476"/>
      <c r="TVB42" s="476"/>
      <c r="TVC42" s="476"/>
      <c r="TVD42" s="476"/>
      <c r="TVE42" s="476"/>
      <c r="TVF42" s="476"/>
      <c r="TVG42" s="476"/>
      <c r="TVH42" s="476"/>
      <c r="TVI42" s="476"/>
      <c r="TVJ42" s="476"/>
      <c r="TVK42" s="476"/>
      <c r="TVL42" s="476"/>
      <c r="TVM42" s="476"/>
      <c r="TVN42" s="476"/>
      <c r="TVO42" s="476"/>
      <c r="TVP42" s="476"/>
      <c r="TVQ42" s="476"/>
      <c r="TVR42" s="476"/>
      <c r="TVS42" s="476"/>
      <c r="TVT42" s="476"/>
      <c r="TVU42" s="476"/>
      <c r="TVV42" s="476"/>
      <c r="TVW42" s="476"/>
      <c r="TVX42" s="476"/>
      <c r="TVY42" s="476"/>
      <c r="TVZ42" s="476"/>
      <c r="TWA42" s="476"/>
      <c r="TWB42" s="476"/>
      <c r="TWC42" s="476"/>
      <c r="TWD42" s="476"/>
      <c r="TWE42" s="476"/>
      <c r="TWF42" s="476"/>
      <c r="TWG42" s="476"/>
      <c r="TWH42" s="476"/>
      <c r="TWI42" s="476"/>
      <c r="TWJ42" s="476"/>
      <c r="TWK42" s="476"/>
      <c r="TWL42" s="476"/>
      <c r="TWM42" s="476"/>
      <c r="TWN42" s="476"/>
      <c r="TWO42" s="476"/>
      <c r="TWP42" s="476"/>
      <c r="TWQ42" s="476"/>
      <c r="TWR42" s="476"/>
      <c r="TWS42" s="476"/>
      <c r="TWT42" s="476"/>
      <c r="TWU42" s="476"/>
      <c r="TWV42" s="476"/>
      <c r="TWW42" s="476"/>
      <c r="TWX42" s="476"/>
      <c r="TWY42" s="476"/>
      <c r="TWZ42" s="476"/>
      <c r="TXA42" s="476"/>
      <c r="TXB42" s="476"/>
      <c r="TXC42" s="476"/>
      <c r="TXD42" s="476"/>
      <c r="TXE42" s="476"/>
      <c r="TXF42" s="476"/>
      <c r="TXG42" s="476"/>
      <c r="TXH42" s="476"/>
      <c r="TXI42" s="476"/>
      <c r="TXJ42" s="476"/>
      <c r="TXK42" s="476"/>
      <c r="TXL42" s="476"/>
      <c r="TXM42" s="476"/>
      <c r="TXN42" s="476"/>
      <c r="TXO42" s="476"/>
      <c r="TXP42" s="476"/>
      <c r="TXQ42" s="476"/>
      <c r="TXR42" s="476"/>
      <c r="TXS42" s="476"/>
      <c r="TXT42" s="476"/>
      <c r="TXU42" s="476"/>
      <c r="TXV42" s="476"/>
      <c r="TXW42" s="476"/>
      <c r="TXX42" s="476"/>
      <c r="TXY42" s="476"/>
      <c r="TXZ42" s="476"/>
      <c r="TYA42" s="476"/>
      <c r="TYB42" s="476"/>
      <c r="TYC42" s="476"/>
      <c r="TYD42" s="476"/>
      <c r="TYE42" s="476"/>
      <c r="TYF42" s="476"/>
      <c r="TYG42" s="476"/>
      <c r="TYH42" s="476"/>
      <c r="TYI42" s="476"/>
      <c r="TYJ42" s="476"/>
      <c r="TYK42" s="476"/>
      <c r="TYL42" s="476"/>
      <c r="TYM42" s="476"/>
      <c r="TYN42" s="476"/>
      <c r="TYO42" s="476"/>
      <c r="TYP42" s="476"/>
      <c r="TYQ42" s="476"/>
      <c r="TYR42" s="476"/>
      <c r="TYS42" s="476"/>
      <c r="TYT42" s="476"/>
      <c r="TYU42" s="476"/>
      <c r="TYV42" s="476"/>
      <c r="TYW42" s="476"/>
      <c r="TYX42" s="476"/>
      <c r="TYY42" s="476"/>
      <c r="TYZ42" s="476"/>
      <c r="TZA42" s="476"/>
      <c r="TZB42" s="476"/>
      <c r="TZC42" s="476"/>
      <c r="TZD42" s="476"/>
      <c r="TZE42" s="476"/>
      <c r="TZF42" s="476"/>
      <c r="TZG42" s="476"/>
      <c r="TZH42" s="476"/>
      <c r="TZI42" s="476"/>
      <c r="TZJ42" s="476"/>
      <c r="TZK42" s="476"/>
      <c r="TZL42" s="476"/>
      <c r="TZM42" s="476"/>
      <c r="TZN42" s="476"/>
      <c r="TZO42" s="476"/>
      <c r="TZP42" s="476"/>
      <c r="TZQ42" s="476"/>
      <c r="TZR42" s="476"/>
      <c r="TZS42" s="476"/>
      <c r="TZT42" s="476"/>
      <c r="TZU42" s="476"/>
      <c r="TZV42" s="476"/>
      <c r="TZW42" s="476"/>
      <c r="TZX42" s="476"/>
      <c r="TZY42" s="476"/>
      <c r="TZZ42" s="476"/>
      <c r="UAA42" s="476"/>
      <c r="UAB42" s="476"/>
      <c r="UAC42" s="476"/>
      <c r="UAD42" s="476"/>
      <c r="UAE42" s="476"/>
      <c r="UAF42" s="476"/>
      <c r="UAG42" s="476"/>
      <c r="UAH42" s="476"/>
      <c r="UAI42" s="476"/>
      <c r="UAJ42" s="476"/>
      <c r="UAK42" s="476"/>
      <c r="UAL42" s="476"/>
      <c r="UAM42" s="476"/>
      <c r="UAN42" s="476"/>
      <c r="UAO42" s="476"/>
      <c r="UAP42" s="476"/>
      <c r="UAQ42" s="476"/>
      <c r="UAR42" s="476"/>
      <c r="UAS42" s="476"/>
      <c r="UAT42" s="476"/>
      <c r="UAU42" s="476"/>
      <c r="UAV42" s="476"/>
      <c r="UAW42" s="476"/>
      <c r="UAX42" s="476"/>
      <c r="UAY42" s="476"/>
      <c r="UAZ42" s="476"/>
      <c r="UBA42" s="476"/>
      <c r="UBB42" s="476"/>
      <c r="UBC42" s="476"/>
      <c r="UBD42" s="476"/>
      <c r="UBE42" s="476"/>
      <c r="UBF42" s="476"/>
      <c r="UBG42" s="476"/>
      <c r="UBH42" s="476"/>
      <c r="UBI42" s="476"/>
      <c r="UBJ42" s="476"/>
      <c r="UBK42" s="476"/>
      <c r="UBL42" s="476"/>
      <c r="UBM42" s="476"/>
      <c r="UBN42" s="476"/>
      <c r="UBO42" s="476"/>
      <c r="UBP42" s="476"/>
      <c r="UBQ42" s="476"/>
      <c r="UBR42" s="476"/>
      <c r="UBS42" s="476"/>
      <c r="UBT42" s="476"/>
      <c r="UBU42" s="476"/>
      <c r="UBV42" s="476"/>
      <c r="UBW42" s="476"/>
      <c r="UBX42" s="476"/>
      <c r="UBY42" s="476"/>
      <c r="UBZ42" s="476"/>
      <c r="UCA42" s="476"/>
      <c r="UCB42" s="476"/>
      <c r="UCC42" s="476"/>
      <c r="UCD42" s="476"/>
      <c r="UCE42" s="476"/>
      <c r="UCF42" s="476"/>
      <c r="UCG42" s="476"/>
      <c r="UCH42" s="476"/>
      <c r="UCI42" s="476"/>
      <c r="UCJ42" s="476"/>
      <c r="UCK42" s="476"/>
      <c r="UCL42" s="476"/>
      <c r="UCM42" s="476"/>
      <c r="UCN42" s="476"/>
      <c r="UCO42" s="476"/>
      <c r="UCP42" s="476"/>
      <c r="UCQ42" s="476"/>
      <c r="UCR42" s="476"/>
      <c r="UCS42" s="476"/>
      <c r="UCT42" s="476"/>
      <c r="UCU42" s="476"/>
      <c r="UCV42" s="476"/>
      <c r="UCW42" s="476"/>
      <c r="UCX42" s="476"/>
      <c r="UCY42" s="476"/>
      <c r="UCZ42" s="476"/>
      <c r="UDA42" s="476"/>
      <c r="UDB42" s="476"/>
      <c r="UDC42" s="476"/>
      <c r="UDD42" s="476"/>
      <c r="UDE42" s="476"/>
      <c r="UDF42" s="476"/>
      <c r="UDG42" s="476"/>
      <c r="UDH42" s="476"/>
      <c r="UDI42" s="476"/>
      <c r="UDJ42" s="476"/>
      <c r="UDK42" s="476"/>
      <c r="UDL42" s="476"/>
      <c r="UDM42" s="476"/>
      <c r="UDN42" s="476"/>
      <c r="UDO42" s="476"/>
      <c r="UDP42" s="476"/>
      <c r="UDQ42" s="476"/>
      <c r="UDR42" s="476"/>
      <c r="UDS42" s="476"/>
      <c r="UDT42" s="476"/>
      <c r="UDU42" s="476"/>
      <c r="UDV42" s="476"/>
      <c r="UDW42" s="476"/>
      <c r="UDX42" s="476"/>
      <c r="UDY42" s="476"/>
      <c r="UDZ42" s="476"/>
      <c r="UEA42" s="476"/>
      <c r="UEB42" s="476"/>
      <c r="UEC42" s="476"/>
      <c r="UED42" s="476"/>
      <c r="UEE42" s="476"/>
      <c r="UEF42" s="476"/>
      <c r="UEG42" s="476"/>
      <c r="UEH42" s="476"/>
      <c r="UEI42" s="476"/>
      <c r="UEJ42" s="476"/>
      <c r="UEK42" s="476"/>
      <c r="UEL42" s="476"/>
      <c r="UEM42" s="476"/>
      <c r="UEN42" s="476"/>
      <c r="UEO42" s="476"/>
      <c r="UEP42" s="476"/>
      <c r="UEQ42" s="476"/>
      <c r="UER42" s="476"/>
      <c r="UES42" s="476"/>
      <c r="UET42" s="476"/>
      <c r="UEU42" s="476"/>
      <c r="UEV42" s="476"/>
      <c r="UEW42" s="476"/>
      <c r="UEX42" s="476"/>
      <c r="UEY42" s="476"/>
      <c r="UEZ42" s="476"/>
      <c r="UFA42" s="476"/>
      <c r="UFB42" s="476"/>
      <c r="UFC42" s="476"/>
      <c r="UFD42" s="476"/>
      <c r="UFE42" s="476"/>
      <c r="UFF42" s="476"/>
      <c r="UFG42" s="476"/>
      <c r="UFH42" s="476"/>
      <c r="UFI42" s="476"/>
      <c r="UFJ42" s="476"/>
      <c r="UFK42" s="476"/>
      <c r="UFL42" s="476"/>
      <c r="UFM42" s="476"/>
      <c r="UFN42" s="476"/>
      <c r="UFO42" s="476"/>
      <c r="UFP42" s="476"/>
      <c r="UFQ42" s="476"/>
      <c r="UFR42" s="476"/>
      <c r="UFS42" s="476"/>
      <c r="UFT42" s="476"/>
      <c r="UFU42" s="476"/>
      <c r="UFV42" s="476"/>
      <c r="UFW42" s="476"/>
      <c r="UFX42" s="476"/>
      <c r="UFY42" s="476"/>
      <c r="UFZ42" s="476"/>
      <c r="UGA42" s="476"/>
      <c r="UGB42" s="476"/>
      <c r="UGC42" s="476"/>
      <c r="UGD42" s="476"/>
      <c r="UGE42" s="476"/>
      <c r="UGF42" s="476"/>
      <c r="UGG42" s="476"/>
      <c r="UGH42" s="476"/>
      <c r="UGI42" s="476"/>
      <c r="UGJ42" s="476"/>
      <c r="UGK42" s="476"/>
      <c r="UGL42" s="476"/>
      <c r="UGM42" s="476"/>
      <c r="UGN42" s="476"/>
      <c r="UGO42" s="476"/>
      <c r="UGP42" s="476"/>
      <c r="UGQ42" s="476"/>
      <c r="UGR42" s="476"/>
      <c r="UGS42" s="476"/>
      <c r="UGT42" s="476"/>
      <c r="UGU42" s="476"/>
      <c r="UGV42" s="476"/>
      <c r="UGW42" s="476"/>
      <c r="UGX42" s="476"/>
      <c r="UGY42" s="476"/>
      <c r="UGZ42" s="476"/>
      <c r="UHA42" s="476"/>
      <c r="UHB42" s="476"/>
      <c r="UHC42" s="476"/>
      <c r="UHD42" s="476"/>
      <c r="UHE42" s="476"/>
      <c r="UHF42" s="476"/>
      <c r="UHG42" s="476"/>
      <c r="UHH42" s="476"/>
      <c r="UHI42" s="476"/>
      <c r="UHJ42" s="476"/>
      <c r="UHK42" s="476"/>
      <c r="UHL42" s="476"/>
      <c r="UHM42" s="476"/>
      <c r="UHN42" s="476"/>
      <c r="UHO42" s="476"/>
      <c r="UHP42" s="476"/>
      <c r="UHQ42" s="476"/>
      <c r="UHR42" s="476"/>
      <c r="UHS42" s="476"/>
      <c r="UHT42" s="476"/>
      <c r="UHU42" s="476"/>
      <c r="UHV42" s="476"/>
      <c r="UHW42" s="476"/>
      <c r="UHX42" s="476"/>
      <c r="UHY42" s="476"/>
      <c r="UHZ42" s="476"/>
      <c r="UIA42" s="476"/>
      <c r="UIB42" s="476"/>
      <c r="UIC42" s="476"/>
      <c r="UID42" s="476"/>
      <c r="UIE42" s="476"/>
      <c r="UIF42" s="476"/>
      <c r="UIG42" s="476"/>
      <c r="UIH42" s="476"/>
      <c r="UII42" s="476"/>
      <c r="UIJ42" s="476"/>
      <c r="UIK42" s="476"/>
      <c r="UIL42" s="476"/>
      <c r="UIM42" s="476"/>
      <c r="UIN42" s="476"/>
      <c r="UIO42" s="476"/>
      <c r="UIP42" s="476"/>
      <c r="UIQ42" s="476"/>
      <c r="UIR42" s="476"/>
      <c r="UIS42" s="476"/>
      <c r="UIT42" s="476"/>
      <c r="UIU42" s="476"/>
      <c r="UIV42" s="476"/>
      <c r="UIW42" s="476"/>
      <c r="UIX42" s="476"/>
      <c r="UIY42" s="476"/>
      <c r="UIZ42" s="476"/>
      <c r="UJA42" s="476"/>
      <c r="UJB42" s="476"/>
      <c r="UJC42" s="476"/>
      <c r="UJD42" s="476"/>
      <c r="UJE42" s="476"/>
      <c r="UJF42" s="476"/>
      <c r="UJG42" s="476"/>
      <c r="UJH42" s="476"/>
      <c r="UJI42" s="476"/>
      <c r="UJJ42" s="476"/>
      <c r="UJK42" s="476"/>
      <c r="UJL42" s="476"/>
      <c r="UJM42" s="476"/>
      <c r="UJN42" s="476"/>
      <c r="UJO42" s="476"/>
      <c r="UJP42" s="476"/>
      <c r="UJQ42" s="476"/>
      <c r="UJR42" s="476"/>
      <c r="UJS42" s="476"/>
      <c r="UJT42" s="476"/>
      <c r="UJU42" s="476"/>
      <c r="UJV42" s="476"/>
      <c r="UJW42" s="476"/>
      <c r="UJX42" s="476"/>
      <c r="UJY42" s="476"/>
      <c r="UJZ42" s="476"/>
      <c r="UKA42" s="476"/>
      <c r="UKB42" s="476"/>
      <c r="UKC42" s="476"/>
      <c r="UKD42" s="476"/>
      <c r="UKE42" s="476"/>
      <c r="UKF42" s="476"/>
      <c r="UKG42" s="476"/>
      <c r="UKH42" s="476"/>
      <c r="UKI42" s="476"/>
      <c r="UKJ42" s="476"/>
      <c r="UKK42" s="476"/>
      <c r="UKL42" s="476"/>
      <c r="UKM42" s="476"/>
      <c r="UKN42" s="476"/>
      <c r="UKO42" s="476"/>
      <c r="UKP42" s="476"/>
      <c r="UKQ42" s="476"/>
      <c r="UKR42" s="476"/>
      <c r="UKS42" s="476"/>
      <c r="UKT42" s="476"/>
      <c r="UKU42" s="476"/>
      <c r="UKV42" s="476"/>
      <c r="UKW42" s="476"/>
      <c r="UKX42" s="476"/>
      <c r="UKY42" s="476"/>
      <c r="UKZ42" s="476"/>
      <c r="ULA42" s="476"/>
      <c r="ULB42" s="476"/>
      <c r="ULC42" s="476"/>
      <c r="ULD42" s="476"/>
      <c r="ULE42" s="476"/>
      <c r="ULF42" s="476"/>
      <c r="ULG42" s="476"/>
      <c r="ULH42" s="476"/>
      <c r="ULI42" s="476"/>
      <c r="ULJ42" s="476"/>
      <c r="ULK42" s="476"/>
      <c r="ULL42" s="476"/>
      <c r="ULM42" s="476"/>
      <c r="ULN42" s="476"/>
      <c r="ULO42" s="476"/>
      <c r="ULP42" s="476"/>
      <c r="ULQ42" s="476"/>
      <c r="ULR42" s="476"/>
      <c r="ULS42" s="476"/>
      <c r="ULT42" s="476"/>
      <c r="ULU42" s="476"/>
      <c r="ULV42" s="476"/>
      <c r="ULW42" s="476"/>
      <c r="ULX42" s="476"/>
      <c r="ULY42" s="476"/>
      <c r="ULZ42" s="476"/>
      <c r="UMA42" s="476"/>
      <c r="UMB42" s="476"/>
      <c r="UMC42" s="476"/>
      <c r="UMD42" s="476"/>
      <c r="UME42" s="476"/>
      <c r="UMF42" s="476"/>
      <c r="UMG42" s="476"/>
      <c r="UMH42" s="476"/>
      <c r="UMI42" s="476"/>
      <c r="UMJ42" s="476"/>
      <c r="UMK42" s="476"/>
      <c r="UML42" s="476"/>
      <c r="UMM42" s="476"/>
      <c r="UMN42" s="476"/>
      <c r="UMO42" s="476"/>
      <c r="UMP42" s="476"/>
      <c r="UMQ42" s="476"/>
      <c r="UMR42" s="476"/>
      <c r="UMS42" s="476"/>
      <c r="UMT42" s="476"/>
      <c r="UMU42" s="476"/>
      <c r="UMV42" s="476"/>
      <c r="UMW42" s="476"/>
      <c r="UMX42" s="476"/>
      <c r="UMY42" s="476"/>
      <c r="UMZ42" s="476"/>
      <c r="UNA42" s="476"/>
      <c r="UNB42" s="476"/>
      <c r="UNC42" s="476"/>
      <c r="UND42" s="476"/>
      <c r="UNE42" s="476"/>
      <c r="UNF42" s="476"/>
      <c r="UNG42" s="476"/>
      <c r="UNH42" s="476"/>
      <c r="UNI42" s="476"/>
      <c r="UNJ42" s="476"/>
      <c r="UNK42" s="476"/>
      <c r="UNL42" s="476"/>
      <c r="UNM42" s="476"/>
      <c r="UNN42" s="476"/>
      <c r="UNO42" s="476"/>
      <c r="UNP42" s="476"/>
      <c r="UNQ42" s="476"/>
      <c r="UNR42" s="476"/>
      <c r="UNS42" s="476"/>
      <c r="UNT42" s="476"/>
      <c r="UNU42" s="476"/>
      <c r="UNV42" s="476"/>
      <c r="UNW42" s="476"/>
      <c r="UNX42" s="476"/>
      <c r="UNY42" s="476"/>
      <c r="UNZ42" s="476"/>
      <c r="UOA42" s="476"/>
      <c r="UOB42" s="476"/>
      <c r="UOC42" s="476"/>
      <c r="UOD42" s="476"/>
      <c r="UOE42" s="476"/>
      <c r="UOF42" s="476"/>
      <c r="UOG42" s="476"/>
      <c r="UOH42" s="476"/>
      <c r="UOI42" s="476"/>
      <c r="UOJ42" s="476"/>
      <c r="UOK42" s="476"/>
      <c r="UOL42" s="476"/>
      <c r="UOM42" s="476"/>
      <c r="UON42" s="476"/>
      <c r="UOO42" s="476"/>
      <c r="UOP42" s="476"/>
      <c r="UOQ42" s="476"/>
      <c r="UOR42" s="476"/>
      <c r="UOS42" s="476"/>
      <c r="UOT42" s="476"/>
      <c r="UOU42" s="476"/>
      <c r="UOV42" s="476"/>
      <c r="UOW42" s="476"/>
      <c r="UOX42" s="476"/>
      <c r="UOY42" s="476"/>
      <c r="UOZ42" s="476"/>
      <c r="UPA42" s="476"/>
      <c r="UPB42" s="476"/>
      <c r="UPC42" s="476"/>
      <c r="UPD42" s="476"/>
      <c r="UPE42" s="476"/>
      <c r="UPF42" s="476"/>
      <c r="UPG42" s="476"/>
      <c r="UPH42" s="476"/>
      <c r="UPI42" s="476"/>
      <c r="UPJ42" s="476"/>
      <c r="UPK42" s="476"/>
      <c r="UPL42" s="476"/>
      <c r="UPM42" s="476"/>
      <c r="UPN42" s="476"/>
      <c r="UPO42" s="476"/>
      <c r="UPP42" s="476"/>
      <c r="UPQ42" s="476"/>
      <c r="UPR42" s="476"/>
      <c r="UPS42" s="476"/>
      <c r="UPT42" s="476"/>
      <c r="UPU42" s="476"/>
      <c r="UPV42" s="476"/>
      <c r="UPW42" s="476"/>
      <c r="UPX42" s="476"/>
      <c r="UPY42" s="476"/>
      <c r="UPZ42" s="476"/>
      <c r="UQA42" s="476"/>
      <c r="UQB42" s="476"/>
      <c r="UQC42" s="476"/>
      <c r="UQD42" s="476"/>
      <c r="UQE42" s="476"/>
      <c r="UQF42" s="476"/>
      <c r="UQG42" s="476"/>
      <c r="UQH42" s="476"/>
      <c r="UQI42" s="476"/>
      <c r="UQJ42" s="476"/>
      <c r="UQK42" s="476"/>
      <c r="UQL42" s="476"/>
      <c r="UQM42" s="476"/>
      <c r="UQN42" s="476"/>
      <c r="UQO42" s="476"/>
      <c r="UQP42" s="476"/>
      <c r="UQQ42" s="476"/>
      <c r="UQR42" s="476"/>
      <c r="UQS42" s="476"/>
      <c r="UQT42" s="476"/>
      <c r="UQU42" s="476"/>
      <c r="UQV42" s="476"/>
      <c r="UQW42" s="476"/>
      <c r="UQX42" s="476"/>
      <c r="UQY42" s="476"/>
      <c r="UQZ42" s="476"/>
      <c r="URA42" s="476"/>
      <c r="URB42" s="476"/>
      <c r="URC42" s="476"/>
      <c r="URD42" s="476"/>
      <c r="URE42" s="476"/>
      <c r="URF42" s="476"/>
      <c r="URG42" s="476"/>
      <c r="URH42" s="476"/>
      <c r="URI42" s="476"/>
      <c r="URJ42" s="476"/>
      <c r="URK42" s="476"/>
      <c r="URL42" s="476"/>
      <c r="URM42" s="476"/>
      <c r="URN42" s="476"/>
      <c r="URO42" s="476"/>
      <c r="URP42" s="476"/>
      <c r="URQ42" s="476"/>
      <c r="URR42" s="476"/>
      <c r="URS42" s="476"/>
      <c r="URT42" s="476"/>
      <c r="URU42" s="476"/>
      <c r="URV42" s="476"/>
      <c r="URW42" s="476"/>
      <c r="URX42" s="476"/>
      <c r="URY42" s="476"/>
      <c r="URZ42" s="476"/>
      <c r="USA42" s="476"/>
      <c r="USB42" s="476"/>
      <c r="USC42" s="476"/>
      <c r="USD42" s="476"/>
      <c r="USE42" s="476"/>
      <c r="USF42" s="476"/>
      <c r="USG42" s="476"/>
      <c r="USH42" s="476"/>
      <c r="USI42" s="476"/>
      <c r="USJ42" s="476"/>
      <c r="USK42" s="476"/>
      <c r="USL42" s="476"/>
      <c r="USM42" s="476"/>
      <c r="USN42" s="476"/>
      <c r="USO42" s="476"/>
      <c r="USP42" s="476"/>
      <c r="USQ42" s="476"/>
      <c r="USR42" s="476"/>
      <c r="USS42" s="476"/>
      <c r="UST42" s="476"/>
      <c r="USU42" s="476"/>
      <c r="USV42" s="476"/>
      <c r="USW42" s="476"/>
      <c r="USX42" s="476"/>
      <c r="USY42" s="476"/>
      <c r="USZ42" s="476"/>
      <c r="UTA42" s="476"/>
      <c r="UTB42" s="476"/>
      <c r="UTC42" s="476"/>
      <c r="UTD42" s="476"/>
      <c r="UTE42" s="476"/>
      <c r="UTF42" s="476"/>
      <c r="UTG42" s="476"/>
      <c r="UTH42" s="476"/>
      <c r="UTI42" s="476"/>
      <c r="UTJ42" s="476"/>
      <c r="UTK42" s="476"/>
      <c r="UTL42" s="476"/>
      <c r="UTM42" s="476"/>
      <c r="UTN42" s="476"/>
      <c r="UTO42" s="476"/>
      <c r="UTP42" s="476"/>
      <c r="UTQ42" s="476"/>
      <c r="UTR42" s="476"/>
      <c r="UTS42" s="476"/>
      <c r="UTT42" s="476"/>
      <c r="UTU42" s="476"/>
      <c r="UTV42" s="476"/>
      <c r="UTW42" s="476"/>
      <c r="UTX42" s="476"/>
      <c r="UTY42" s="476"/>
      <c r="UTZ42" s="476"/>
      <c r="UUA42" s="476"/>
      <c r="UUB42" s="476"/>
      <c r="UUC42" s="476"/>
      <c r="UUD42" s="476"/>
      <c r="UUE42" s="476"/>
      <c r="UUF42" s="476"/>
      <c r="UUG42" s="476"/>
      <c r="UUH42" s="476"/>
      <c r="UUI42" s="476"/>
      <c r="UUJ42" s="476"/>
      <c r="UUK42" s="476"/>
      <c r="UUL42" s="476"/>
      <c r="UUM42" s="476"/>
      <c r="UUN42" s="476"/>
      <c r="UUO42" s="476"/>
      <c r="UUP42" s="476"/>
      <c r="UUQ42" s="476"/>
      <c r="UUR42" s="476"/>
      <c r="UUS42" s="476"/>
      <c r="UUT42" s="476"/>
      <c r="UUU42" s="476"/>
      <c r="UUV42" s="476"/>
      <c r="UUW42" s="476"/>
      <c r="UUX42" s="476"/>
      <c r="UUY42" s="476"/>
      <c r="UUZ42" s="476"/>
      <c r="UVA42" s="476"/>
      <c r="UVB42" s="476"/>
      <c r="UVC42" s="476"/>
      <c r="UVD42" s="476"/>
      <c r="UVE42" s="476"/>
      <c r="UVF42" s="476"/>
      <c r="UVG42" s="476"/>
      <c r="UVH42" s="476"/>
      <c r="UVI42" s="476"/>
      <c r="UVJ42" s="476"/>
      <c r="UVK42" s="476"/>
      <c r="UVL42" s="476"/>
      <c r="UVM42" s="476"/>
      <c r="UVN42" s="476"/>
      <c r="UVO42" s="476"/>
      <c r="UVP42" s="476"/>
      <c r="UVQ42" s="476"/>
      <c r="UVR42" s="476"/>
      <c r="UVS42" s="476"/>
      <c r="UVT42" s="476"/>
      <c r="UVU42" s="476"/>
      <c r="UVV42" s="476"/>
      <c r="UVW42" s="476"/>
      <c r="UVX42" s="476"/>
      <c r="UVY42" s="476"/>
      <c r="UVZ42" s="476"/>
      <c r="UWA42" s="476"/>
      <c r="UWB42" s="476"/>
      <c r="UWC42" s="476"/>
      <c r="UWD42" s="476"/>
      <c r="UWE42" s="476"/>
      <c r="UWF42" s="476"/>
      <c r="UWG42" s="476"/>
      <c r="UWH42" s="476"/>
      <c r="UWI42" s="476"/>
      <c r="UWJ42" s="476"/>
      <c r="UWK42" s="476"/>
      <c r="UWL42" s="476"/>
      <c r="UWM42" s="476"/>
      <c r="UWN42" s="476"/>
      <c r="UWO42" s="476"/>
      <c r="UWP42" s="476"/>
      <c r="UWQ42" s="476"/>
      <c r="UWR42" s="476"/>
      <c r="UWS42" s="476"/>
      <c r="UWT42" s="476"/>
      <c r="UWU42" s="476"/>
      <c r="UWV42" s="476"/>
      <c r="UWW42" s="476"/>
      <c r="UWX42" s="476"/>
      <c r="UWY42" s="476"/>
      <c r="UWZ42" s="476"/>
      <c r="UXA42" s="476"/>
      <c r="UXB42" s="476"/>
      <c r="UXC42" s="476"/>
      <c r="UXD42" s="476"/>
      <c r="UXE42" s="476"/>
      <c r="UXF42" s="476"/>
      <c r="UXG42" s="476"/>
      <c r="UXH42" s="476"/>
      <c r="UXI42" s="476"/>
      <c r="UXJ42" s="476"/>
      <c r="UXK42" s="476"/>
      <c r="UXL42" s="476"/>
      <c r="UXM42" s="476"/>
      <c r="UXN42" s="476"/>
      <c r="UXO42" s="476"/>
      <c r="UXP42" s="476"/>
      <c r="UXQ42" s="476"/>
      <c r="UXR42" s="476"/>
      <c r="UXS42" s="476"/>
      <c r="UXT42" s="476"/>
      <c r="UXU42" s="476"/>
      <c r="UXV42" s="476"/>
      <c r="UXW42" s="476"/>
      <c r="UXX42" s="476"/>
      <c r="UXY42" s="476"/>
      <c r="UXZ42" s="476"/>
      <c r="UYA42" s="476"/>
      <c r="UYB42" s="476"/>
      <c r="UYC42" s="476"/>
      <c r="UYD42" s="476"/>
      <c r="UYE42" s="476"/>
      <c r="UYF42" s="476"/>
      <c r="UYG42" s="476"/>
      <c r="UYH42" s="476"/>
      <c r="UYI42" s="476"/>
      <c r="UYJ42" s="476"/>
      <c r="UYK42" s="476"/>
      <c r="UYL42" s="476"/>
      <c r="UYM42" s="476"/>
      <c r="UYN42" s="476"/>
      <c r="UYO42" s="476"/>
      <c r="UYP42" s="476"/>
      <c r="UYQ42" s="476"/>
      <c r="UYR42" s="476"/>
      <c r="UYS42" s="476"/>
      <c r="UYT42" s="476"/>
      <c r="UYU42" s="476"/>
      <c r="UYV42" s="476"/>
      <c r="UYW42" s="476"/>
      <c r="UYX42" s="476"/>
      <c r="UYY42" s="476"/>
      <c r="UYZ42" s="476"/>
      <c r="UZA42" s="476"/>
      <c r="UZB42" s="476"/>
      <c r="UZC42" s="476"/>
      <c r="UZD42" s="476"/>
      <c r="UZE42" s="476"/>
      <c r="UZF42" s="476"/>
      <c r="UZG42" s="476"/>
      <c r="UZH42" s="476"/>
      <c r="UZI42" s="476"/>
      <c r="UZJ42" s="476"/>
      <c r="UZK42" s="476"/>
      <c r="UZL42" s="476"/>
      <c r="UZM42" s="476"/>
      <c r="UZN42" s="476"/>
      <c r="UZO42" s="476"/>
      <c r="UZP42" s="476"/>
      <c r="UZQ42" s="476"/>
      <c r="UZR42" s="476"/>
      <c r="UZS42" s="476"/>
      <c r="UZT42" s="476"/>
      <c r="UZU42" s="476"/>
      <c r="UZV42" s="476"/>
      <c r="UZW42" s="476"/>
      <c r="UZX42" s="476"/>
      <c r="UZY42" s="476"/>
      <c r="UZZ42" s="476"/>
      <c r="VAA42" s="476"/>
      <c r="VAB42" s="476"/>
      <c r="VAC42" s="476"/>
      <c r="VAD42" s="476"/>
      <c r="VAE42" s="476"/>
      <c r="VAF42" s="476"/>
      <c r="VAG42" s="476"/>
      <c r="VAH42" s="476"/>
      <c r="VAI42" s="476"/>
      <c r="VAJ42" s="476"/>
      <c r="VAK42" s="476"/>
      <c r="VAL42" s="476"/>
      <c r="VAM42" s="476"/>
      <c r="VAN42" s="476"/>
      <c r="VAO42" s="476"/>
      <c r="VAP42" s="476"/>
      <c r="VAQ42" s="476"/>
      <c r="VAR42" s="476"/>
      <c r="VAS42" s="476"/>
      <c r="VAT42" s="476"/>
      <c r="VAU42" s="476"/>
      <c r="VAV42" s="476"/>
      <c r="VAW42" s="476"/>
      <c r="VAX42" s="476"/>
      <c r="VAY42" s="476"/>
      <c r="VAZ42" s="476"/>
      <c r="VBA42" s="476"/>
      <c r="VBB42" s="476"/>
      <c r="VBC42" s="476"/>
      <c r="VBD42" s="476"/>
      <c r="VBE42" s="476"/>
      <c r="VBF42" s="476"/>
      <c r="VBG42" s="476"/>
      <c r="VBH42" s="476"/>
      <c r="VBI42" s="476"/>
      <c r="VBJ42" s="476"/>
      <c r="VBK42" s="476"/>
      <c r="VBL42" s="476"/>
      <c r="VBM42" s="476"/>
      <c r="VBN42" s="476"/>
      <c r="VBO42" s="476"/>
      <c r="VBP42" s="476"/>
      <c r="VBQ42" s="476"/>
      <c r="VBR42" s="476"/>
      <c r="VBS42" s="476"/>
      <c r="VBT42" s="476"/>
      <c r="VBU42" s="476"/>
      <c r="VBV42" s="476"/>
      <c r="VBW42" s="476"/>
      <c r="VBX42" s="476"/>
      <c r="VBY42" s="476"/>
      <c r="VBZ42" s="476"/>
      <c r="VCA42" s="476"/>
      <c r="VCB42" s="476"/>
      <c r="VCC42" s="476"/>
      <c r="VCD42" s="476"/>
      <c r="VCE42" s="476"/>
      <c r="VCF42" s="476"/>
      <c r="VCG42" s="476"/>
      <c r="VCH42" s="476"/>
      <c r="VCI42" s="476"/>
      <c r="VCJ42" s="476"/>
      <c r="VCK42" s="476"/>
      <c r="VCL42" s="476"/>
      <c r="VCM42" s="476"/>
      <c r="VCN42" s="476"/>
      <c r="VCO42" s="476"/>
      <c r="VCP42" s="476"/>
      <c r="VCQ42" s="476"/>
      <c r="VCR42" s="476"/>
      <c r="VCS42" s="476"/>
      <c r="VCT42" s="476"/>
      <c r="VCU42" s="476"/>
      <c r="VCV42" s="476"/>
      <c r="VCW42" s="476"/>
      <c r="VCX42" s="476"/>
      <c r="VCY42" s="476"/>
      <c r="VCZ42" s="476"/>
      <c r="VDA42" s="476"/>
      <c r="VDB42" s="476"/>
      <c r="VDC42" s="476"/>
      <c r="VDD42" s="476"/>
      <c r="VDE42" s="476"/>
      <c r="VDF42" s="476"/>
      <c r="VDG42" s="476"/>
      <c r="VDH42" s="476"/>
      <c r="VDI42" s="476"/>
      <c r="VDJ42" s="476"/>
      <c r="VDK42" s="476"/>
      <c r="VDL42" s="476"/>
      <c r="VDM42" s="476"/>
      <c r="VDN42" s="476"/>
      <c r="VDO42" s="476"/>
      <c r="VDP42" s="476"/>
      <c r="VDQ42" s="476"/>
      <c r="VDR42" s="476"/>
      <c r="VDS42" s="476"/>
      <c r="VDT42" s="476"/>
      <c r="VDU42" s="476"/>
      <c r="VDV42" s="476"/>
      <c r="VDW42" s="476"/>
      <c r="VDX42" s="476"/>
      <c r="VDY42" s="476"/>
      <c r="VDZ42" s="476"/>
      <c r="VEA42" s="476"/>
      <c r="VEB42" s="476"/>
      <c r="VEC42" s="476"/>
      <c r="VED42" s="476"/>
      <c r="VEE42" s="476"/>
      <c r="VEF42" s="476"/>
      <c r="VEG42" s="476"/>
      <c r="VEH42" s="476"/>
      <c r="VEI42" s="476"/>
      <c r="VEJ42" s="476"/>
      <c r="VEK42" s="476"/>
      <c r="VEL42" s="476"/>
      <c r="VEM42" s="476"/>
      <c r="VEN42" s="476"/>
      <c r="VEO42" s="476"/>
      <c r="VEP42" s="476"/>
      <c r="VEQ42" s="476"/>
      <c r="VER42" s="476"/>
      <c r="VES42" s="476"/>
      <c r="VET42" s="476"/>
      <c r="VEU42" s="476"/>
      <c r="VEV42" s="476"/>
      <c r="VEW42" s="476"/>
      <c r="VEX42" s="476"/>
      <c r="VEY42" s="476"/>
      <c r="VEZ42" s="476"/>
      <c r="VFA42" s="476"/>
      <c r="VFB42" s="476"/>
      <c r="VFC42" s="476"/>
      <c r="VFD42" s="476"/>
      <c r="VFE42" s="476"/>
      <c r="VFF42" s="476"/>
      <c r="VFG42" s="476"/>
      <c r="VFH42" s="476"/>
      <c r="VFI42" s="476"/>
      <c r="VFJ42" s="476"/>
      <c r="VFK42" s="476"/>
      <c r="VFL42" s="476"/>
      <c r="VFM42" s="476"/>
      <c r="VFN42" s="476"/>
      <c r="VFO42" s="476"/>
      <c r="VFP42" s="476"/>
      <c r="VFQ42" s="476"/>
      <c r="VFR42" s="476"/>
      <c r="VFS42" s="476"/>
      <c r="VFT42" s="476"/>
      <c r="VFU42" s="476"/>
      <c r="VFV42" s="476"/>
      <c r="VFW42" s="476"/>
      <c r="VFX42" s="476"/>
      <c r="VFY42" s="476"/>
      <c r="VFZ42" s="476"/>
      <c r="VGA42" s="476"/>
      <c r="VGB42" s="476"/>
      <c r="VGC42" s="476"/>
      <c r="VGD42" s="476"/>
      <c r="VGE42" s="476"/>
      <c r="VGF42" s="476"/>
      <c r="VGG42" s="476"/>
      <c r="VGH42" s="476"/>
      <c r="VGI42" s="476"/>
      <c r="VGJ42" s="476"/>
      <c r="VGK42" s="476"/>
      <c r="VGL42" s="476"/>
      <c r="VGM42" s="476"/>
      <c r="VGN42" s="476"/>
      <c r="VGO42" s="476"/>
      <c r="VGP42" s="476"/>
      <c r="VGQ42" s="476"/>
      <c r="VGR42" s="476"/>
      <c r="VGS42" s="476"/>
      <c r="VGT42" s="476"/>
      <c r="VGU42" s="476"/>
      <c r="VGV42" s="476"/>
      <c r="VGW42" s="476"/>
      <c r="VGX42" s="476"/>
      <c r="VGY42" s="476"/>
      <c r="VGZ42" s="476"/>
      <c r="VHA42" s="476"/>
      <c r="VHB42" s="476"/>
      <c r="VHC42" s="476"/>
      <c r="VHD42" s="476"/>
      <c r="VHE42" s="476"/>
      <c r="VHF42" s="476"/>
      <c r="VHG42" s="476"/>
      <c r="VHH42" s="476"/>
      <c r="VHI42" s="476"/>
      <c r="VHJ42" s="476"/>
      <c r="VHK42" s="476"/>
      <c r="VHL42" s="476"/>
      <c r="VHM42" s="476"/>
      <c r="VHN42" s="476"/>
      <c r="VHO42" s="476"/>
      <c r="VHP42" s="476"/>
      <c r="VHQ42" s="476"/>
      <c r="VHR42" s="476"/>
      <c r="VHS42" s="476"/>
      <c r="VHT42" s="476"/>
      <c r="VHU42" s="476"/>
      <c r="VHV42" s="476"/>
      <c r="VHW42" s="476"/>
      <c r="VHX42" s="476"/>
      <c r="VHY42" s="476"/>
      <c r="VHZ42" s="476"/>
      <c r="VIA42" s="476"/>
      <c r="VIB42" s="476"/>
      <c r="VIC42" s="476"/>
      <c r="VID42" s="476"/>
      <c r="VIE42" s="476"/>
      <c r="VIF42" s="476"/>
      <c r="VIG42" s="476"/>
      <c r="VIH42" s="476"/>
      <c r="VII42" s="476"/>
      <c r="VIJ42" s="476"/>
      <c r="VIK42" s="476"/>
      <c r="VIL42" s="476"/>
      <c r="VIM42" s="476"/>
      <c r="VIN42" s="476"/>
      <c r="VIO42" s="476"/>
      <c r="VIP42" s="476"/>
      <c r="VIQ42" s="476"/>
      <c r="VIR42" s="476"/>
      <c r="VIS42" s="476"/>
      <c r="VIT42" s="476"/>
      <c r="VIU42" s="476"/>
      <c r="VIV42" s="476"/>
      <c r="VIW42" s="476"/>
      <c r="VIX42" s="476"/>
      <c r="VIY42" s="476"/>
      <c r="VIZ42" s="476"/>
      <c r="VJA42" s="476"/>
      <c r="VJB42" s="476"/>
      <c r="VJC42" s="476"/>
      <c r="VJD42" s="476"/>
      <c r="VJE42" s="476"/>
      <c r="VJF42" s="476"/>
      <c r="VJG42" s="476"/>
      <c r="VJH42" s="476"/>
      <c r="VJI42" s="476"/>
      <c r="VJJ42" s="476"/>
      <c r="VJK42" s="476"/>
      <c r="VJL42" s="476"/>
      <c r="VJM42" s="476"/>
      <c r="VJN42" s="476"/>
      <c r="VJO42" s="476"/>
      <c r="VJP42" s="476"/>
      <c r="VJQ42" s="476"/>
      <c r="VJR42" s="476"/>
      <c r="VJS42" s="476"/>
      <c r="VJT42" s="476"/>
      <c r="VJU42" s="476"/>
      <c r="VJV42" s="476"/>
      <c r="VJW42" s="476"/>
      <c r="VJX42" s="476"/>
      <c r="VJY42" s="476"/>
      <c r="VJZ42" s="476"/>
      <c r="VKA42" s="476"/>
      <c r="VKB42" s="476"/>
      <c r="VKC42" s="476"/>
      <c r="VKD42" s="476"/>
      <c r="VKE42" s="476"/>
      <c r="VKF42" s="476"/>
      <c r="VKG42" s="476"/>
      <c r="VKH42" s="476"/>
      <c r="VKI42" s="476"/>
      <c r="VKJ42" s="476"/>
      <c r="VKK42" s="476"/>
      <c r="VKL42" s="476"/>
      <c r="VKM42" s="476"/>
      <c r="VKN42" s="476"/>
      <c r="VKO42" s="476"/>
      <c r="VKP42" s="476"/>
      <c r="VKQ42" s="476"/>
      <c r="VKR42" s="476"/>
      <c r="VKS42" s="476"/>
      <c r="VKT42" s="476"/>
      <c r="VKU42" s="476"/>
      <c r="VKV42" s="476"/>
      <c r="VKW42" s="476"/>
      <c r="VKX42" s="476"/>
      <c r="VKY42" s="476"/>
      <c r="VKZ42" s="476"/>
      <c r="VLA42" s="476"/>
      <c r="VLB42" s="476"/>
      <c r="VLC42" s="476"/>
      <c r="VLD42" s="476"/>
      <c r="VLE42" s="476"/>
      <c r="VLF42" s="476"/>
      <c r="VLG42" s="476"/>
      <c r="VLH42" s="476"/>
      <c r="VLI42" s="476"/>
      <c r="VLJ42" s="476"/>
      <c r="VLK42" s="476"/>
      <c r="VLL42" s="476"/>
      <c r="VLM42" s="476"/>
      <c r="VLN42" s="476"/>
      <c r="VLO42" s="476"/>
      <c r="VLP42" s="476"/>
      <c r="VLQ42" s="476"/>
      <c r="VLR42" s="476"/>
      <c r="VLS42" s="476"/>
      <c r="VLT42" s="476"/>
      <c r="VLU42" s="476"/>
      <c r="VLV42" s="476"/>
      <c r="VLW42" s="476"/>
      <c r="VLX42" s="476"/>
      <c r="VLY42" s="476"/>
      <c r="VLZ42" s="476"/>
      <c r="VMA42" s="476"/>
      <c r="VMB42" s="476"/>
      <c r="VMC42" s="476"/>
      <c r="VMD42" s="476"/>
      <c r="VME42" s="476"/>
      <c r="VMF42" s="476"/>
      <c r="VMG42" s="476"/>
      <c r="VMH42" s="476"/>
      <c r="VMI42" s="476"/>
      <c r="VMJ42" s="476"/>
      <c r="VMK42" s="476"/>
      <c r="VML42" s="476"/>
      <c r="VMM42" s="476"/>
      <c r="VMN42" s="476"/>
      <c r="VMO42" s="476"/>
      <c r="VMP42" s="476"/>
      <c r="VMQ42" s="476"/>
      <c r="VMR42" s="476"/>
      <c r="VMS42" s="476"/>
      <c r="VMT42" s="476"/>
      <c r="VMU42" s="476"/>
      <c r="VMV42" s="476"/>
      <c r="VMW42" s="476"/>
      <c r="VMX42" s="476"/>
      <c r="VMY42" s="476"/>
      <c r="VMZ42" s="476"/>
      <c r="VNA42" s="476"/>
      <c r="VNB42" s="476"/>
      <c r="VNC42" s="476"/>
      <c r="VND42" s="476"/>
      <c r="VNE42" s="476"/>
      <c r="VNF42" s="476"/>
      <c r="VNG42" s="476"/>
      <c r="VNH42" s="476"/>
      <c r="VNI42" s="476"/>
      <c r="VNJ42" s="476"/>
      <c r="VNK42" s="476"/>
      <c r="VNL42" s="476"/>
      <c r="VNM42" s="476"/>
      <c r="VNN42" s="476"/>
      <c r="VNO42" s="476"/>
      <c r="VNP42" s="476"/>
      <c r="VNQ42" s="476"/>
      <c r="VNR42" s="476"/>
      <c r="VNS42" s="476"/>
      <c r="VNT42" s="476"/>
      <c r="VNU42" s="476"/>
      <c r="VNV42" s="476"/>
      <c r="VNW42" s="476"/>
      <c r="VNX42" s="476"/>
      <c r="VNY42" s="476"/>
      <c r="VNZ42" s="476"/>
      <c r="VOA42" s="476"/>
      <c r="VOB42" s="476"/>
      <c r="VOC42" s="476"/>
      <c r="VOD42" s="476"/>
      <c r="VOE42" s="476"/>
      <c r="VOF42" s="476"/>
      <c r="VOG42" s="476"/>
      <c r="VOH42" s="476"/>
      <c r="VOI42" s="476"/>
      <c r="VOJ42" s="476"/>
      <c r="VOK42" s="476"/>
      <c r="VOL42" s="476"/>
      <c r="VOM42" s="476"/>
      <c r="VON42" s="476"/>
      <c r="VOO42" s="476"/>
      <c r="VOP42" s="476"/>
      <c r="VOQ42" s="476"/>
      <c r="VOR42" s="476"/>
      <c r="VOS42" s="476"/>
      <c r="VOT42" s="476"/>
      <c r="VOU42" s="476"/>
      <c r="VOV42" s="476"/>
      <c r="VOW42" s="476"/>
      <c r="VOX42" s="476"/>
      <c r="VOY42" s="476"/>
      <c r="VOZ42" s="476"/>
      <c r="VPA42" s="476"/>
      <c r="VPB42" s="476"/>
      <c r="VPC42" s="476"/>
      <c r="VPD42" s="476"/>
      <c r="VPE42" s="476"/>
      <c r="VPF42" s="476"/>
      <c r="VPG42" s="476"/>
      <c r="VPH42" s="476"/>
      <c r="VPI42" s="476"/>
      <c r="VPJ42" s="476"/>
      <c r="VPK42" s="476"/>
      <c r="VPL42" s="476"/>
      <c r="VPM42" s="476"/>
      <c r="VPN42" s="476"/>
      <c r="VPO42" s="476"/>
      <c r="VPP42" s="476"/>
      <c r="VPQ42" s="476"/>
      <c r="VPR42" s="476"/>
      <c r="VPS42" s="476"/>
      <c r="VPT42" s="476"/>
      <c r="VPU42" s="476"/>
      <c r="VPV42" s="476"/>
      <c r="VPW42" s="476"/>
      <c r="VPX42" s="476"/>
      <c r="VPY42" s="476"/>
      <c r="VPZ42" s="476"/>
      <c r="VQA42" s="476"/>
      <c r="VQB42" s="476"/>
      <c r="VQC42" s="476"/>
      <c r="VQD42" s="476"/>
      <c r="VQE42" s="476"/>
      <c r="VQF42" s="476"/>
      <c r="VQG42" s="476"/>
      <c r="VQH42" s="476"/>
      <c r="VQI42" s="476"/>
      <c r="VQJ42" s="476"/>
      <c r="VQK42" s="476"/>
      <c r="VQL42" s="476"/>
      <c r="VQM42" s="476"/>
      <c r="VQN42" s="476"/>
      <c r="VQO42" s="476"/>
      <c r="VQP42" s="476"/>
      <c r="VQQ42" s="476"/>
      <c r="VQR42" s="476"/>
      <c r="VQS42" s="476"/>
      <c r="VQT42" s="476"/>
      <c r="VQU42" s="476"/>
      <c r="VQV42" s="476"/>
      <c r="VQW42" s="476"/>
      <c r="VQX42" s="476"/>
      <c r="VQY42" s="476"/>
      <c r="VQZ42" s="476"/>
      <c r="VRA42" s="476"/>
      <c r="VRB42" s="476"/>
      <c r="VRC42" s="476"/>
      <c r="VRD42" s="476"/>
      <c r="VRE42" s="476"/>
      <c r="VRF42" s="476"/>
      <c r="VRG42" s="476"/>
      <c r="VRH42" s="476"/>
      <c r="VRI42" s="476"/>
      <c r="VRJ42" s="476"/>
      <c r="VRK42" s="476"/>
      <c r="VRL42" s="476"/>
      <c r="VRM42" s="476"/>
      <c r="VRN42" s="476"/>
      <c r="VRO42" s="476"/>
      <c r="VRP42" s="476"/>
      <c r="VRQ42" s="476"/>
      <c r="VRR42" s="476"/>
      <c r="VRS42" s="476"/>
      <c r="VRT42" s="476"/>
      <c r="VRU42" s="476"/>
      <c r="VRV42" s="476"/>
      <c r="VRW42" s="476"/>
      <c r="VRX42" s="476"/>
      <c r="VRY42" s="476"/>
      <c r="VRZ42" s="476"/>
      <c r="VSA42" s="476"/>
      <c r="VSB42" s="476"/>
      <c r="VSC42" s="476"/>
      <c r="VSD42" s="476"/>
      <c r="VSE42" s="476"/>
      <c r="VSF42" s="476"/>
      <c r="VSG42" s="476"/>
      <c r="VSH42" s="476"/>
      <c r="VSI42" s="476"/>
      <c r="VSJ42" s="476"/>
      <c r="VSK42" s="476"/>
      <c r="VSL42" s="476"/>
      <c r="VSM42" s="476"/>
      <c r="VSN42" s="476"/>
      <c r="VSO42" s="476"/>
      <c r="VSP42" s="476"/>
      <c r="VSQ42" s="476"/>
      <c r="VSR42" s="476"/>
      <c r="VSS42" s="476"/>
      <c r="VST42" s="476"/>
      <c r="VSU42" s="476"/>
      <c r="VSV42" s="476"/>
      <c r="VSW42" s="476"/>
      <c r="VSX42" s="476"/>
      <c r="VSY42" s="476"/>
      <c r="VSZ42" s="476"/>
      <c r="VTA42" s="476"/>
      <c r="VTB42" s="476"/>
      <c r="VTC42" s="476"/>
      <c r="VTD42" s="476"/>
      <c r="VTE42" s="476"/>
      <c r="VTF42" s="476"/>
      <c r="VTG42" s="476"/>
      <c r="VTH42" s="476"/>
      <c r="VTI42" s="476"/>
      <c r="VTJ42" s="476"/>
      <c r="VTK42" s="476"/>
      <c r="VTL42" s="476"/>
      <c r="VTM42" s="476"/>
      <c r="VTN42" s="476"/>
      <c r="VTO42" s="476"/>
      <c r="VTP42" s="476"/>
      <c r="VTQ42" s="476"/>
      <c r="VTR42" s="476"/>
      <c r="VTS42" s="476"/>
      <c r="VTT42" s="476"/>
      <c r="VTU42" s="476"/>
      <c r="VTV42" s="476"/>
      <c r="VTW42" s="476"/>
      <c r="VTX42" s="476"/>
      <c r="VTY42" s="476"/>
      <c r="VTZ42" s="476"/>
      <c r="VUA42" s="476"/>
      <c r="VUB42" s="476"/>
      <c r="VUC42" s="476"/>
      <c r="VUD42" s="476"/>
      <c r="VUE42" s="476"/>
      <c r="VUF42" s="476"/>
      <c r="VUG42" s="476"/>
      <c r="VUH42" s="476"/>
      <c r="VUI42" s="476"/>
      <c r="VUJ42" s="476"/>
      <c r="VUK42" s="476"/>
      <c r="VUL42" s="476"/>
      <c r="VUM42" s="476"/>
      <c r="VUN42" s="476"/>
      <c r="VUO42" s="476"/>
      <c r="VUP42" s="476"/>
      <c r="VUQ42" s="476"/>
      <c r="VUR42" s="476"/>
      <c r="VUS42" s="476"/>
      <c r="VUT42" s="476"/>
      <c r="VUU42" s="476"/>
      <c r="VUV42" s="476"/>
      <c r="VUW42" s="476"/>
      <c r="VUX42" s="476"/>
      <c r="VUY42" s="476"/>
      <c r="VUZ42" s="476"/>
      <c r="VVA42" s="476"/>
      <c r="VVB42" s="476"/>
      <c r="VVC42" s="476"/>
      <c r="VVD42" s="476"/>
      <c r="VVE42" s="476"/>
      <c r="VVF42" s="476"/>
      <c r="VVG42" s="476"/>
      <c r="VVH42" s="476"/>
      <c r="VVI42" s="476"/>
      <c r="VVJ42" s="476"/>
      <c r="VVK42" s="476"/>
      <c r="VVL42" s="476"/>
      <c r="VVM42" s="476"/>
      <c r="VVN42" s="476"/>
      <c r="VVO42" s="476"/>
      <c r="VVP42" s="476"/>
      <c r="VVQ42" s="476"/>
      <c r="VVR42" s="476"/>
      <c r="VVS42" s="476"/>
      <c r="VVT42" s="476"/>
      <c r="VVU42" s="476"/>
      <c r="VVV42" s="476"/>
      <c r="VVW42" s="476"/>
      <c r="VVX42" s="476"/>
      <c r="VVY42" s="476"/>
      <c r="VVZ42" s="476"/>
      <c r="VWA42" s="476"/>
      <c r="VWB42" s="476"/>
      <c r="VWC42" s="476"/>
      <c r="VWD42" s="476"/>
      <c r="VWE42" s="476"/>
      <c r="VWF42" s="476"/>
      <c r="VWG42" s="476"/>
      <c r="VWH42" s="476"/>
      <c r="VWI42" s="476"/>
      <c r="VWJ42" s="476"/>
      <c r="VWK42" s="476"/>
      <c r="VWL42" s="476"/>
      <c r="VWM42" s="476"/>
      <c r="VWN42" s="476"/>
      <c r="VWO42" s="476"/>
      <c r="VWP42" s="476"/>
      <c r="VWQ42" s="476"/>
      <c r="VWR42" s="476"/>
      <c r="VWS42" s="476"/>
      <c r="VWT42" s="476"/>
      <c r="VWU42" s="476"/>
      <c r="VWV42" s="476"/>
      <c r="VWW42" s="476"/>
      <c r="VWX42" s="476"/>
      <c r="VWY42" s="476"/>
      <c r="VWZ42" s="476"/>
      <c r="VXA42" s="476"/>
      <c r="VXB42" s="476"/>
      <c r="VXC42" s="476"/>
      <c r="VXD42" s="476"/>
      <c r="VXE42" s="476"/>
      <c r="VXF42" s="476"/>
      <c r="VXG42" s="476"/>
      <c r="VXH42" s="476"/>
      <c r="VXI42" s="476"/>
      <c r="VXJ42" s="476"/>
      <c r="VXK42" s="476"/>
      <c r="VXL42" s="476"/>
      <c r="VXM42" s="476"/>
      <c r="VXN42" s="476"/>
      <c r="VXO42" s="476"/>
      <c r="VXP42" s="476"/>
      <c r="VXQ42" s="476"/>
      <c r="VXR42" s="476"/>
      <c r="VXS42" s="476"/>
      <c r="VXT42" s="476"/>
      <c r="VXU42" s="476"/>
      <c r="VXV42" s="476"/>
      <c r="VXW42" s="476"/>
      <c r="VXX42" s="476"/>
      <c r="VXY42" s="476"/>
      <c r="VXZ42" s="476"/>
      <c r="VYA42" s="476"/>
      <c r="VYB42" s="476"/>
      <c r="VYC42" s="476"/>
      <c r="VYD42" s="476"/>
      <c r="VYE42" s="476"/>
      <c r="VYF42" s="476"/>
      <c r="VYG42" s="476"/>
      <c r="VYH42" s="476"/>
      <c r="VYI42" s="476"/>
      <c r="VYJ42" s="476"/>
      <c r="VYK42" s="476"/>
      <c r="VYL42" s="476"/>
      <c r="VYM42" s="476"/>
      <c r="VYN42" s="476"/>
      <c r="VYO42" s="476"/>
      <c r="VYP42" s="476"/>
      <c r="VYQ42" s="476"/>
      <c r="VYR42" s="476"/>
      <c r="VYS42" s="476"/>
      <c r="VYT42" s="476"/>
      <c r="VYU42" s="476"/>
      <c r="VYV42" s="476"/>
      <c r="VYW42" s="476"/>
      <c r="VYX42" s="476"/>
      <c r="VYY42" s="476"/>
      <c r="VYZ42" s="476"/>
      <c r="VZA42" s="476"/>
      <c r="VZB42" s="476"/>
      <c r="VZC42" s="476"/>
      <c r="VZD42" s="476"/>
      <c r="VZE42" s="476"/>
      <c r="VZF42" s="476"/>
      <c r="VZG42" s="476"/>
      <c r="VZH42" s="476"/>
      <c r="VZI42" s="476"/>
      <c r="VZJ42" s="476"/>
      <c r="VZK42" s="476"/>
      <c r="VZL42" s="476"/>
      <c r="VZM42" s="476"/>
      <c r="VZN42" s="476"/>
      <c r="VZO42" s="476"/>
      <c r="VZP42" s="476"/>
      <c r="VZQ42" s="476"/>
      <c r="VZR42" s="476"/>
      <c r="VZS42" s="476"/>
      <c r="VZT42" s="476"/>
      <c r="VZU42" s="476"/>
      <c r="VZV42" s="476"/>
      <c r="VZW42" s="476"/>
      <c r="VZX42" s="476"/>
      <c r="VZY42" s="476"/>
      <c r="VZZ42" s="476"/>
      <c r="WAA42" s="476"/>
      <c r="WAB42" s="476"/>
      <c r="WAC42" s="476"/>
      <c r="WAD42" s="476"/>
      <c r="WAE42" s="476"/>
      <c r="WAF42" s="476"/>
      <c r="WAG42" s="476"/>
      <c r="WAH42" s="476"/>
      <c r="WAI42" s="476"/>
      <c r="WAJ42" s="476"/>
      <c r="WAK42" s="476"/>
      <c r="WAL42" s="476"/>
      <c r="WAM42" s="476"/>
      <c r="WAN42" s="476"/>
      <c r="WAO42" s="476"/>
      <c r="WAP42" s="476"/>
      <c r="WAQ42" s="476"/>
      <c r="WAR42" s="476"/>
      <c r="WAS42" s="476"/>
      <c r="WAT42" s="476"/>
      <c r="WAU42" s="476"/>
      <c r="WAV42" s="476"/>
      <c r="WAW42" s="476"/>
      <c r="WAX42" s="476"/>
      <c r="WAY42" s="476"/>
      <c r="WAZ42" s="476"/>
      <c r="WBA42" s="476"/>
      <c r="WBB42" s="476"/>
      <c r="WBC42" s="476"/>
      <c r="WBD42" s="476"/>
      <c r="WBE42" s="476"/>
      <c r="WBF42" s="476"/>
      <c r="WBG42" s="476"/>
      <c r="WBH42" s="476"/>
      <c r="WBI42" s="476"/>
      <c r="WBJ42" s="476"/>
      <c r="WBK42" s="476"/>
      <c r="WBL42" s="476"/>
      <c r="WBM42" s="476"/>
      <c r="WBN42" s="476"/>
      <c r="WBO42" s="476"/>
      <c r="WBP42" s="476"/>
      <c r="WBQ42" s="476"/>
      <c r="WBR42" s="476"/>
      <c r="WBS42" s="476"/>
      <c r="WBT42" s="476"/>
      <c r="WBU42" s="476"/>
      <c r="WBV42" s="476"/>
      <c r="WBW42" s="476"/>
      <c r="WBX42" s="476"/>
      <c r="WBY42" s="476"/>
      <c r="WBZ42" s="476"/>
      <c r="WCA42" s="476"/>
      <c r="WCB42" s="476"/>
      <c r="WCC42" s="476"/>
      <c r="WCD42" s="476"/>
      <c r="WCE42" s="476"/>
      <c r="WCF42" s="476"/>
      <c r="WCG42" s="476"/>
      <c r="WCH42" s="476"/>
      <c r="WCI42" s="476"/>
      <c r="WCJ42" s="476"/>
      <c r="WCK42" s="476"/>
      <c r="WCL42" s="476"/>
      <c r="WCM42" s="476"/>
      <c r="WCN42" s="476"/>
      <c r="WCO42" s="476"/>
      <c r="WCP42" s="476"/>
      <c r="WCQ42" s="476"/>
      <c r="WCR42" s="476"/>
      <c r="WCS42" s="476"/>
      <c r="WCT42" s="476"/>
      <c r="WCU42" s="476"/>
      <c r="WCV42" s="476"/>
      <c r="WCW42" s="476"/>
      <c r="WCX42" s="476"/>
      <c r="WCY42" s="476"/>
      <c r="WCZ42" s="476"/>
      <c r="WDA42" s="476"/>
      <c r="WDB42" s="476"/>
      <c r="WDC42" s="476"/>
      <c r="WDD42" s="476"/>
      <c r="WDE42" s="476"/>
      <c r="WDF42" s="476"/>
      <c r="WDG42" s="476"/>
      <c r="WDH42" s="476"/>
      <c r="WDI42" s="476"/>
      <c r="WDJ42" s="476"/>
      <c r="WDK42" s="476"/>
      <c r="WDL42" s="476"/>
      <c r="WDM42" s="476"/>
      <c r="WDN42" s="476"/>
      <c r="WDO42" s="476"/>
      <c r="WDP42" s="476"/>
      <c r="WDQ42" s="476"/>
      <c r="WDR42" s="476"/>
      <c r="WDS42" s="476"/>
      <c r="WDT42" s="476"/>
      <c r="WDU42" s="476"/>
      <c r="WDV42" s="476"/>
      <c r="WDW42" s="476"/>
      <c r="WDX42" s="476"/>
      <c r="WDY42" s="476"/>
      <c r="WDZ42" s="476"/>
      <c r="WEA42" s="476"/>
      <c r="WEB42" s="476"/>
      <c r="WEC42" s="476"/>
      <c r="WED42" s="476"/>
      <c r="WEE42" s="476"/>
      <c r="WEF42" s="476"/>
      <c r="WEG42" s="476"/>
      <c r="WEH42" s="476"/>
      <c r="WEI42" s="476"/>
      <c r="WEJ42" s="476"/>
      <c r="WEK42" s="476"/>
      <c r="WEL42" s="476"/>
      <c r="WEM42" s="476"/>
      <c r="WEN42" s="476"/>
      <c r="WEO42" s="476"/>
      <c r="WEP42" s="476"/>
      <c r="WEQ42" s="476"/>
      <c r="WER42" s="476"/>
      <c r="WES42" s="476"/>
      <c r="WET42" s="476"/>
      <c r="WEU42" s="476"/>
      <c r="WEV42" s="476"/>
      <c r="WEW42" s="476"/>
      <c r="WEX42" s="476"/>
      <c r="WEY42" s="476"/>
      <c r="WEZ42" s="476"/>
      <c r="WFA42" s="476"/>
      <c r="WFB42" s="476"/>
      <c r="WFC42" s="476"/>
      <c r="WFD42" s="476"/>
      <c r="WFE42" s="476"/>
      <c r="WFF42" s="476"/>
      <c r="WFG42" s="476"/>
      <c r="WFH42" s="476"/>
      <c r="WFI42" s="476"/>
      <c r="WFJ42" s="476"/>
      <c r="WFK42" s="476"/>
      <c r="WFL42" s="476"/>
      <c r="WFM42" s="476"/>
      <c r="WFN42" s="476"/>
      <c r="WFO42" s="476"/>
      <c r="WFP42" s="476"/>
      <c r="WFQ42" s="476"/>
      <c r="WFR42" s="476"/>
      <c r="WFS42" s="476"/>
      <c r="WFT42" s="476"/>
      <c r="WFU42" s="476"/>
      <c r="WFV42" s="476"/>
      <c r="WFW42" s="476"/>
      <c r="WFX42" s="476"/>
      <c r="WFY42" s="476"/>
      <c r="WFZ42" s="476"/>
      <c r="WGA42" s="476"/>
      <c r="WGB42" s="476"/>
      <c r="WGC42" s="476"/>
      <c r="WGD42" s="476"/>
      <c r="WGE42" s="476"/>
      <c r="WGF42" s="476"/>
      <c r="WGG42" s="476"/>
      <c r="WGH42" s="476"/>
      <c r="WGI42" s="476"/>
      <c r="WGJ42" s="476"/>
      <c r="WGK42" s="476"/>
      <c r="WGL42" s="476"/>
      <c r="WGM42" s="476"/>
      <c r="WGN42" s="476"/>
      <c r="WGO42" s="476"/>
      <c r="WGP42" s="476"/>
      <c r="WGQ42" s="476"/>
      <c r="WGR42" s="476"/>
      <c r="WGS42" s="476"/>
      <c r="WGT42" s="476"/>
      <c r="WGU42" s="476"/>
      <c r="WGV42" s="476"/>
      <c r="WGW42" s="476"/>
      <c r="WGX42" s="476"/>
      <c r="WGY42" s="476"/>
      <c r="WGZ42" s="476"/>
      <c r="WHA42" s="476"/>
      <c r="WHB42" s="476"/>
      <c r="WHC42" s="476"/>
      <c r="WHD42" s="476"/>
      <c r="WHE42" s="476"/>
      <c r="WHF42" s="476"/>
      <c r="WHG42" s="476"/>
      <c r="WHH42" s="476"/>
      <c r="WHI42" s="476"/>
      <c r="WHJ42" s="476"/>
      <c r="WHK42" s="476"/>
      <c r="WHL42" s="476"/>
      <c r="WHM42" s="476"/>
      <c r="WHN42" s="476"/>
      <c r="WHO42" s="476"/>
      <c r="WHP42" s="476"/>
      <c r="WHQ42" s="476"/>
      <c r="WHR42" s="476"/>
      <c r="WHS42" s="476"/>
      <c r="WHT42" s="476"/>
      <c r="WHU42" s="476"/>
      <c r="WHV42" s="476"/>
      <c r="WHW42" s="476"/>
      <c r="WHX42" s="476"/>
      <c r="WHY42" s="476"/>
      <c r="WHZ42" s="476"/>
      <c r="WIA42" s="476"/>
      <c r="WIB42" s="476"/>
      <c r="WIC42" s="476"/>
      <c r="WID42" s="476"/>
      <c r="WIE42" s="476"/>
      <c r="WIF42" s="476"/>
      <c r="WIG42" s="476"/>
      <c r="WIH42" s="476"/>
      <c r="WII42" s="476"/>
      <c r="WIJ42" s="476"/>
      <c r="WIK42" s="476"/>
      <c r="WIL42" s="476"/>
      <c r="WIM42" s="476"/>
      <c r="WIN42" s="476"/>
      <c r="WIO42" s="476"/>
      <c r="WIP42" s="476"/>
      <c r="WIQ42" s="476"/>
      <c r="WIR42" s="476"/>
      <c r="WIS42" s="476"/>
      <c r="WIT42" s="476"/>
      <c r="WIU42" s="476"/>
      <c r="WIV42" s="476"/>
      <c r="WIW42" s="476"/>
      <c r="WIX42" s="476"/>
      <c r="WIY42" s="476"/>
      <c r="WIZ42" s="476"/>
      <c r="WJA42" s="476"/>
      <c r="WJB42" s="476"/>
      <c r="WJC42" s="476"/>
      <c r="WJD42" s="476"/>
      <c r="WJE42" s="476"/>
      <c r="WJF42" s="476"/>
      <c r="WJG42" s="476"/>
      <c r="WJH42" s="476"/>
      <c r="WJI42" s="476"/>
      <c r="WJJ42" s="476"/>
      <c r="WJK42" s="476"/>
      <c r="WJL42" s="476"/>
      <c r="WJM42" s="476"/>
      <c r="WJN42" s="476"/>
      <c r="WJO42" s="476"/>
      <c r="WJP42" s="476"/>
      <c r="WJQ42" s="476"/>
      <c r="WJR42" s="476"/>
      <c r="WJS42" s="476"/>
      <c r="WJT42" s="476"/>
      <c r="WJU42" s="476"/>
      <c r="WJV42" s="476"/>
      <c r="WJW42" s="476"/>
      <c r="WJX42" s="476"/>
      <c r="WJY42" s="476"/>
      <c r="WJZ42" s="476"/>
      <c r="WKA42" s="476"/>
      <c r="WKB42" s="476"/>
      <c r="WKC42" s="476"/>
      <c r="WKD42" s="476"/>
      <c r="WKE42" s="476"/>
      <c r="WKF42" s="476"/>
      <c r="WKG42" s="476"/>
      <c r="WKH42" s="476"/>
      <c r="WKI42" s="476"/>
      <c r="WKJ42" s="476"/>
      <c r="WKK42" s="476"/>
      <c r="WKL42" s="476"/>
      <c r="WKM42" s="476"/>
      <c r="WKN42" s="476"/>
      <c r="WKO42" s="476"/>
      <c r="WKP42" s="476"/>
      <c r="WKQ42" s="476"/>
      <c r="WKR42" s="476"/>
      <c r="WKS42" s="476"/>
      <c r="WKT42" s="476"/>
      <c r="WKU42" s="476"/>
      <c r="WKV42" s="476"/>
      <c r="WKW42" s="476"/>
      <c r="WKX42" s="476"/>
      <c r="WKY42" s="476"/>
      <c r="WKZ42" s="476"/>
      <c r="WLA42" s="476"/>
      <c r="WLB42" s="476"/>
      <c r="WLC42" s="476"/>
      <c r="WLD42" s="476"/>
      <c r="WLE42" s="476"/>
      <c r="WLF42" s="476"/>
      <c r="WLG42" s="476"/>
      <c r="WLH42" s="476"/>
      <c r="WLI42" s="476"/>
      <c r="WLJ42" s="476"/>
      <c r="WLK42" s="476"/>
      <c r="WLL42" s="476"/>
      <c r="WLM42" s="476"/>
      <c r="WLN42" s="476"/>
      <c r="WLO42" s="476"/>
      <c r="WLP42" s="476"/>
      <c r="WLQ42" s="476"/>
      <c r="WLR42" s="476"/>
      <c r="WLS42" s="476"/>
      <c r="WLT42" s="476"/>
      <c r="WLU42" s="476"/>
      <c r="WLV42" s="476"/>
      <c r="WLW42" s="476"/>
      <c r="WLX42" s="476"/>
      <c r="WLY42" s="476"/>
      <c r="WLZ42" s="476"/>
      <c r="WMA42" s="476"/>
      <c r="WMB42" s="476"/>
      <c r="WMC42" s="476"/>
      <c r="WMD42" s="476"/>
      <c r="WME42" s="476"/>
      <c r="WMF42" s="476"/>
      <c r="WMG42" s="476"/>
      <c r="WMH42" s="476"/>
      <c r="WMI42" s="476"/>
      <c r="WMJ42" s="476"/>
      <c r="WMK42" s="476"/>
      <c r="WML42" s="476"/>
      <c r="WMM42" s="476"/>
      <c r="WMN42" s="476"/>
      <c r="WMO42" s="476"/>
      <c r="WMP42" s="476"/>
      <c r="WMQ42" s="476"/>
      <c r="WMR42" s="476"/>
      <c r="WMS42" s="476"/>
      <c r="WMT42" s="476"/>
      <c r="WMU42" s="476"/>
      <c r="WMV42" s="476"/>
      <c r="WMW42" s="476"/>
      <c r="WMX42" s="476"/>
      <c r="WMY42" s="476"/>
      <c r="WMZ42" s="476"/>
      <c r="WNA42" s="476"/>
      <c r="WNB42" s="476"/>
      <c r="WNC42" s="476"/>
      <c r="WND42" s="476"/>
      <c r="WNE42" s="476"/>
      <c r="WNF42" s="476"/>
      <c r="WNG42" s="476"/>
      <c r="WNH42" s="476"/>
      <c r="WNI42" s="476"/>
      <c r="WNJ42" s="476"/>
      <c r="WNK42" s="476"/>
      <c r="WNL42" s="476"/>
      <c r="WNM42" s="476"/>
      <c r="WNN42" s="476"/>
      <c r="WNO42" s="476"/>
      <c r="WNP42" s="476"/>
      <c r="WNQ42" s="476"/>
      <c r="WNR42" s="476"/>
      <c r="WNS42" s="476"/>
      <c r="WNT42" s="476"/>
      <c r="WNU42" s="476"/>
      <c r="WNV42" s="476"/>
      <c r="WNW42" s="476"/>
      <c r="WNX42" s="476"/>
      <c r="WNY42" s="476"/>
      <c r="WNZ42" s="476"/>
      <c r="WOA42" s="476"/>
      <c r="WOB42" s="476"/>
      <c r="WOC42" s="476"/>
      <c r="WOD42" s="476"/>
      <c r="WOE42" s="476"/>
      <c r="WOF42" s="476"/>
      <c r="WOG42" s="476"/>
      <c r="WOH42" s="476"/>
      <c r="WOI42" s="476"/>
      <c r="WOJ42" s="476"/>
      <c r="WOK42" s="476"/>
      <c r="WOL42" s="476"/>
      <c r="WOM42" s="476"/>
      <c r="WON42" s="476"/>
      <c r="WOO42" s="476"/>
      <c r="WOP42" s="476"/>
      <c r="WOQ42" s="476"/>
      <c r="WOR42" s="476"/>
      <c r="WOS42" s="476"/>
      <c r="WOT42" s="476"/>
      <c r="WOU42" s="476"/>
      <c r="WOV42" s="476"/>
      <c r="WOW42" s="476"/>
      <c r="WOX42" s="476"/>
      <c r="WOY42" s="476"/>
      <c r="WOZ42" s="476"/>
      <c r="WPA42" s="476"/>
      <c r="WPB42" s="476"/>
      <c r="WPC42" s="476"/>
      <c r="WPD42" s="476"/>
      <c r="WPE42" s="476"/>
      <c r="WPF42" s="476"/>
      <c r="WPG42" s="476"/>
      <c r="WPH42" s="476"/>
      <c r="WPI42" s="476"/>
      <c r="WPJ42" s="476"/>
      <c r="WPK42" s="476"/>
      <c r="WPL42" s="476"/>
      <c r="WPM42" s="476"/>
      <c r="WPN42" s="476"/>
      <c r="WPO42" s="476"/>
      <c r="WPP42" s="476"/>
      <c r="WPQ42" s="476"/>
      <c r="WPR42" s="476"/>
      <c r="WPS42" s="476"/>
      <c r="WPT42" s="476"/>
      <c r="WPU42" s="476"/>
      <c r="WPV42" s="476"/>
      <c r="WPW42" s="476"/>
      <c r="WPX42" s="476"/>
      <c r="WPY42" s="476"/>
      <c r="WPZ42" s="476"/>
      <c r="WQA42" s="476"/>
      <c r="WQB42" s="476"/>
      <c r="WQC42" s="476"/>
      <c r="WQD42" s="476"/>
      <c r="WQE42" s="476"/>
      <c r="WQF42" s="476"/>
      <c r="WQG42" s="476"/>
      <c r="WQH42" s="476"/>
      <c r="WQI42" s="476"/>
      <c r="WQJ42" s="476"/>
      <c r="WQK42" s="476"/>
      <c r="WQL42" s="476"/>
      <c r="WQM42" s="476"/>
      <c r="WQN42" s="476"/>
      <c r="WQO42" s="476"/>
      <c r="WQP42" s="476"/>
      <c r="WQQ42" s="476"/>
      <c r="WQR42" s="476"/>
      <c r="WQS42" s="476"/>
      <c r="WQT42" s="476"/>
      <c r="WQU42" s="476"/>
      <c r="WQV42" s="476"/>
      <c r="WQW42" s="476"/>
      <c r="WQX42" s="476"/>
      <c r="WQY42" s="476"/>
      <c r="WQZ42" s="476"/>
      <c r="WRA42" s="476"/>
      <c r="WRB42" s="476"/>
      <c r="WRC42" s="476"/>
      <c r="WRD42" s="476"/>
      <c r="WRE42" s="476"/>
      <c r="WRF42" s="476"/>
      <c r="WRG42" s="476"/>
      <c r="WRH42" s="476"/>
      <c r="WRI42" s="476"/>
      <c r="WRJ42" s="476"/>
      <c r="WRK42" s="476"/>
      <c r="WRL42" s="476"/>
      <c r="WRM42" s="476"/>
      <c r="WRN42" s="476"/>
      <c r="WRO42" s="476"/>
      <c r="WRP42" s="476"/>
      <c r="WRQ42" s="476"/>
      <c r="WRR42" s="476"/>
      <c r="WRS42" s="476"/>
      <c r="WRT42" s="476"/>
      <c r="WRU42" s="476"/>
      <c r="WRV42" s="476"/>
      <c r="WRW42" s="476"/>
      <c r="WRX42" s="476"/>
      <c r="WRY42" s="476"/>
      <c r="WRZ42" s="476"/>
      <c r="WSA42" s="476"/>
      <c r="WSB42" s="476"/>
      <c r="WSC42" s="476"/>
      <c r="WSD42" s="476"/>
      <c r="WSE42" s="476"/>
      <c r="WSF42" s="476"/>
      <c r="WSG42" s="476"/>
      <c r="WSH42" s="476"/>
      <c r="WSI42" s="476"/>
      <c r="WSJ42" s="476"/>
      <c r="WSK42" s="476"/>
      <c r="WSL42" s="476"/>
      <c r="WSM42" s="476"/>
      <c r="WSN42" s="476"/>
      <c r="WSO42" s="476"/>
      <c r="WSP42" s="476"/>
      <c r="WSQ42" s="476"/>
      <c r="WSR42" s="476"/>
      <c r="WSS42" s="476"/>
      <c r="WST42" s="476"/>
      <c r="WSU42" s="476"/>
      <c r="WSV42" s="476"/>
      <c r="WSW42" s="476"/>
      <c r="WSX42" s="476"/>
      <c r="WSY42" s="476"/>
      <c r="WSZ42" s="476"/>
      <c r="WTA42" s="476"/>
      <c r="WTB42" s="476"/>
      <c r="WTC42" s="476"/>
      <c r="WTD42" s="476"/>
      <c r="WTE42" s="476"/>
      <c r="WTF42" s="476"/>
      <c r="WTG42" s="476"/>
      <c r="WTH42" s="476"/>
      <c r="WTI42" s="476"/>
      <c r="WTJ42" s="476"/>
      <c r="WTK42" s="476"/>
      <c r="WTL42" s="476"/>
      <c r="WTM42" s="476"/>
      <c r="WTN42" s="476"/>
      <c r="WTO42" s="476"/>
      <c r="WTP42" s="476"/>
      <c r="WTQ42" s="476"/>
      <c r="WTR42" s="476"/>
      <c r="WTS42" s="476"/>
      <c r="WTT42" s="476"/>
      <c r="WTU42" s="476"/>
      <c r="WTV42" s="476"/>
      <c r="WTW42" s="476"/>
      <c r="WTX42" s="476"/>
      <c r="WTY42" s="476"/>
      <c r="WTZ42" s="476"/>
      <c r="WUA42" s="476"/>
      <c r="WUB42" s="476"/>
      <c r="WUC42" s="476"/>
      <c r="WUD42" s="476"/>
      <c r="WUE42" s="476"/>
      <c r="WUF42" s="476"/>
      <c r="WUG42" s="476"/>
      <c r="WUH42" s="476"/>
      <c r="WUI42" s="476"/>
      <c r="WUJ42" s="476"/>
      <c r="WUK42" s="476"/>
      <c r="WUL42" s="476"/>
      <c r="WUM42" s="476"/>
      <c r="WUN42" s="476"/>
      <c r="WUO42" s="476"/>
      <c r="WUP42" s="476"/>
      <c r="WUQ42" s="476"/>
      <c r="WUR42" s="476"/>
      <c r="WUS42" s="476"/>
      <c r="WUT42" s="476"/>
      <c r="WUU42" s="476"/>
      <c r="WUV42" s="476"/>
      <c r="WUW42" s="476"/>
      <c r="WUX42" s="476"/>
      <c r="WUY42" s="476"/>
      <c r="WUZ42" s="476"/>
      <c r="WVA42" s="476"/>
      <c r="WVB42" s="476"/>
      <c r="WVC42" s="476"/>
      <c r="WVD42" s="476"/>
      <c r="WVE42" s="476"/>
      <c r="WVF42" s="476"/>
      <c r="WVG42" s="476"/>
      <c r="WVH42" s="476"/>
      <c r="WVI42" s="476"/>
      <c r="WVJ42" s="476"/>
      <c r="WVK42" s="476"/>
      <c r="WVL42" s="476"/>
      <c r="WVM42" s="476"/>
      <c r="WVN42" s="476"/>
      <c r="WVO42" s="476"/>
      <c r="WVP42" s="476"/>
      <c r="WVQ42" s="476"/>
      <c r="WVR42" s="476"/>
      <c r="WVS42" s="476"/>
      <c r="WVT42" s="476"/>
      <c r="WVU42" s="476"/>
      <c r="WVV42" s="476"/>
      <c r="WVW42" s="476"/>
      <c r="WVX42" s="476"/>
      <c r="WVY42" s="476"/>
      <c r="WVZ42" s="476"/>
      <c r="WWA42" s="476"/>
      <c r="WWB42" s="476"/>
      <c r="WWC42" s="476"/>
      <c r="WWD42" s="476"/>
      <c r="WWE42" s="476"/>
      <c r="WWF42" s="476"/>
      <c r="WWG42" s="476"/>
      <c r="WWH42" s="476"/>
      <c r="WWI42" s="476"/>
      <c r="WWJ42" s="476"/>
      <c r="WWK42" s="476"/>
      <c r="WWL42" s="476"/>
      <c r="WWM42" s="476"/>
      <c r="WWN42" s="476"/>
      <c r="WWO42" s="476"/>
      <c r="WWP42" s="476"/>
      <c r="WWQ42" s="476"/>
      <c r="WWR42" s="476"/>
      <c r="WWS42" s="476"/>
      <c r="WWT42" s="476"/>
      <c r="WWU42" s="476"/>
      <c r="WWV42" s="476"/>
      <c r="WWW42" s="476"/>
      <c r="WWX42" s="476"/>
      <c r="WWY42" s="476"/>
      <c r="WWZ42" s="476"/>
      <c r="WXA42" s="476"/>
      <c r="WXB42" s="476"/>
      <c r="WXC42" s="476"/>
      <c r="WXD42" s="476"/>
      <c r="WXE42" s="476"/>
      <c r="WXF42" s="476"/>
      <c r="WXG42" s="476"/>
      <c r="WXH42" s="476"/>
      <c r="WXI42" s="476"/>
      <c r="WXJ42" s="476"/>
      <c r="WXK42" s="476"/>
      <c r="WXL42" s="476"/>
      <c r="WXM42" s="476"/>
      <c r="WXN42" s="476"/>
      <c r="WXO42" s="476"/>
      <c r="WXP42" s="476"/>
      <c r="WXQ42" s="476"/>
      <c r="WXR42" s="476"/>
      <c r="WXS42" s="476"/>
      <c r="WXT42" s="476"/>
      <c r="WXU42" s="476"/>
      <c r="WXV42" s="476"/>
      <c r="WXW42" s="476"/>
      <c r="WXX42" s="476"/>
      <c r="WXY42" s="476"/>
      <c r="WXZ42" s="476"/>
      <c r="WYA42" s="476"/>
      <c r="WYB42" s="476"/>
      <c r="WYC42" s="476"/>
      <c r="WYD42" s="476"/>
      <c r="WYE42" s="476"/>
      <c r="WYF42" s="476"/>
      <c r="WYG42" s="476"/>
      <c r="WYH42" s="476"/>
      <c r="WYI42" s="476"/>
      <c r="WYJ42" s="476"/>
      <c r="WYK42" s="476"/>
      <c r="WYL42" s="476"/>
      <c r="WYM42" s="476"/>
      <c r="WYN42" s="476"/>
      <c r="WYO42" s="476"/>
      <c r="WYP42" s="476"/>
      <c r="WYQ42" s="476"/>
      <c r="WYR42" s="476"/>
      <c r="WYS42" s="476"/>
      <c r="WYT42" s="476"/>
      <c r="WYU42" s="476"/>
      <c r="WYV42" s="476"/>
      <c r="WYW42" s="476"/>
      <c r="WYX42" s="476"/>
      <c r="WYY42" s="476"/>
      <c r="WYZ42" s="476"/>
      <c r="WZA42" s="476"/>
      <c r="WZB42" s="476"/>
      <c r="WZC42" s="476"/>
      <c r="WZD42" s="476"/>
      <c r="WZE42" s="476"/>
      <c r="WZF42" s="476"/>
      <c r="WZG42" s="476"/>
      <c r="WZH42" s="476"/>
      <c r="WZI42" s="476"/>
      <c r="WZJ42" s="476"/>
      <c r="WZK42" s="476"/>
      <c r="WZL42" s="476"/>
      <c r="WZM42" s="476"/>
      <c r="WZN42" s="476"/>
      <c r="WZO42" s="476"/>
      <c r="WZP42" s="476"/>
      <c r="WZQ42" s="476"/>
      <c r="WZR42" s="476"/>
      <c r="WZS42" s="476"/>
      <c r="WZT42" s="476"/>
      <c r="WZU42" s="476"/>
      <c r="WZV42" s="476"/>
      <c r="WZW42" s="476"/>
      <c r="WZX42" s="476"/>
      <c r="WZY42" s="476"/>
      <c r="WZZ42" s="476"/>
      <c r="XAA42" s="476"/>
      <c r="XAB42" s="476"/>
      <c r="XAC42" s="476"/>
      <c r="XAD42" s="476"/>
      <c r="XAE42" s="476"/>
      <c r="XAF42" s="476"/>
      <c r="XAG42" s="476"/>
      <c r="XAH42" s="476"/>
      <c r="XAI42" s="476"/>
      <c r="XAJ42" s="476"/>
      <c r="XAK42" s="476"/>
      <c r="XAL42" s="476"/>
      <c r="XAM42" s="476"/>
      <c r="XAN42" s="476"/>
      <c r="XAO42" s="476"/>
      <c r="XAP42" s="476"/>
      <c r="XAQ42" s="476"/>
      <c r="XAR42" s="476"/>
      <c r="XAS42" s="476"/>
      <c r="XAT42" s="476"/>
      <c r="XAU42" s="476"/>
      <c r="XAV42" s="476"/>
      <c r="XAW42" s="476"/>
      <c r="XAX42" s="476"/>
      <c r="XAY42" s="476"/>
      <c r="XAZ42" s="476"/>
      <c r="XBA42" s="476"/>
      <c r="XBB42" s="476"/>
      <c r="XBC42" s="476"/>
      <c r="XBD42" s="476"/>
      <c r="XBE42" s="476"/>
      <c r="XBF42" s="476"/>
      <c r="XBG42" s="476"/>
      <c r="XBH42" s="476"/>
      <c r="XBI42" s="476"/>
      <c r="XBJ42" s="476"/>
      <c r="XBK42" s="476"/>
      <c r="XBL42" s="476"/>
      <c r="XBM42" s="476"/>
      <c r="XBN42" s="476"/>
      <c r="XBO42" s="476"/>
      <c r="XBP42" s="476"/>
      <c r="XBQ42" s="476"/>
      <c r="XBR42" s="476"/>
      <c r="XBS42" s="476"/>
      <c r="XBT42" s="476"/>
      <c r="XBU42" s="476"/>
      <c r="XBV42" s="476"/>
      <c r="XBW42" s="476"/>
      <c r="XBX42" s="476"/>
      <c r="XBY42" s="476"/>
      <c r="XBZ42" s="476"/>
      <c r="XCA42" s="476"/>
      <c r="XCB42" s="476"/>
      <c r="XCC42" s="476"/>
      <c r="XCD42" s="476"/>
      <c r="XCE42" s="476"/>
      <c r="XCF42" s="476"/>
      <c r="XCG42" s="476"/>
      <c r="XCH42" s="476"/>
      <c r="XCI42" s="476"/>
      <c r="XCJ42" s="476"/>
      <c r="XCK42" s="476"/>
      <c r="XCL42" s="476"/>
      <c r="XCM42" s="476"/>
      <c r="XCN42" s="476"/>
      <c r="XCO42" s="476"/>
      <c r="XCP42" s="476"/>
      <c r="XCQ42" s="476"/>
      <c r="XCR42" s="476"/>
      <c r="XCS42" s="476"/>
      <c r="XCT42" s="476"/>
      <c r="XCU42" s="476"/>
      <c r="XCV42" s="476"/>
      <c r="XCW42" s="476"/>
      <c r="XCX42" s="476"/>
      <c r="XCY42" s="476"/>
      <c r="XCZ42" s="476"/>
      <c r="XDA42" s="476"/>
      <c r="XDB42" s="476"/>
      <c r="XDC42" s="476"/>
      <c r="XDD42" s="476"/>
      <c r="XDE42" s="476"/>
      <c r="XDF42" s="476"/>
      <c r="XDG42" s="476"/>
      <c r="XDH42" s="476"/>
      <c r="XDI42" s="476"/>
      <c r="XDJ42" s="476"/>
      <c r="XDK42" s="476"/>
      <c r="XDL42" s="476"/>
      <c r="XDM42" s="476"/>
      <c r="XDN42" s="476"/>
      <c r="XDO42" s="476"/>
      <c r="XDP42" s="476"/>
      <c r="XDQ42" s="476"/>
      <c r="XDR42" s="476"/>
      <c r="XDS42" s="476"/>
      <c r="XDT42" s="476"/>
      <c r="XDU42" s="476"/>
      <c r="XDV42" s="476"/>
      <c r="XDW42" s="476"/>
      <c r="XDX42" s="476"/>
      <c r="XDY42" s="476"/>
      <c r="XDZ42" s="476"/>
      <c r="XEA42" s="476"/>
      <c r="XEB42" s="476"/>
      <c r="XEC42" s="476"/>
      <c r="XED42" s="476"/>
      <c r="XEE42" s="476"/>
      <c r="XEF42" s="476"/>
      <c r="XEG42" s="476"/>
      <c r="XEH42" s="476"/>
      <c r="XEI42" s="476"/>
      <c r="XEJ42" s="476"/>
      <c r="XEK42" s="476"/>
      <c r="XEL42" s="476"/>
      <c r="XEM42" s="476"/>
      <c r="XEN42" s="476"/>
      <c r="XEO42" s="476"/>
      <c r="XEP42" s="476"/>
      <c r="XEQ42" s="476"/>
      <c r="XER42" s="476"/>
      <c r="XES42" s="476"/>
      <c r="XET42" s="476"/>
      <c r="XEU42" s="476"/>
      <c r="XEV42" s="476"/>
      <c r="XEW42" s="476"/>
      <c r="XEX42" s="476"/>
      <c r="XEY42" s="476"/>
      <c r="XEZ42" s="476"/>
      <c r="XFA42" s="476"/>
      <c r="XFB42" s="476"/>
      <c r="XFC42" s="476"/>
      <c r="XFD42" s="476"/>
    </row>
    <row r="43" spans="1:16384" ht="15" customHeight="1" thickTop="1">
      <c r="A43" s="478" t="s">
        <v>147</v>
      </c>
      <c r="B43" s="479" t="s">
        <v>148</v>
      </c>
      <c r="C43" s="480" t="s">
        <v>156</v>
      </c>
      <c r="D43" s="466"/>
      <c r="E43" s="260"/>
    </row>
    <row r="44" spans="1:16384" ht="15" customHeight="1">
      <c r="A44" s="481"/>
      <c r="B44" s="479" t="s">
        <v>149</v>
      </c>
      <c r="C44" s="480" t="s">
        <v>155</v>
      </c>
      <c r="D44" s="466"/>
      <c r="E44" s="260"/>
    </row>
    <row r="45" spans="1:16384" ht="15" customHeight="1">
      <c r="A45" s="481"/>
      <c r="B45" s="482" t="s">
        <v>150</v>
      </c>
      <c r="C45" s="480" t="s">
        <v>151</v>
      </c>
      <c r="D45" s="466"/>
      <c r="E45" s="260"/>
    </row>
    <row r="46" spans="1:16384" ht="15" customHeight="1">
      <c r="A46" s="466"/>
      <c r="B46" s="466"/>
      <c r="C46" s="467"/>
      <c r="D46" s="467"/>
      <c r="E46" s="468"/>
    </row>
    <row r="47" spans="1:16384" ht="15" customHeight="1">
      <c r="A47" s="466"/>
      <c r="B47" s="466"/>
      <c r="C47" s="467"/>
      <c r="D47" s="467"/>
      <c r="E47" s="468"/>
    </row>
    <row r="48" spans="1:16384" ht="15" customHeight="1">
      <c r="A48" s="466"/>
      <c r="B48" s="466"/>
      <c r="C48" s="467"/>
      <c r="D48" s="467"/>
      <c r="E48" s="468"/>
    </row>
    <row r="49" spans="1:5" ht="15" customHeight="1">
      <c r="A49" s="466"/>
      <c r="B49" s="466"/>
      <c r="C49" s="467"/>
      <c r="D49" s="467"/>
      <c r="E49" s="468"/>
    </row>
    <row r="50" spans="1:5" ht="15" customHeight="1">
      <c r="A50" s="466"/>
      <c r="B50" s="466"/>
      <c r="C50" s="467"/>
      <c r="D50" s="467"/>
      <c r="E50" s="468"/>
    </row>
    <row r="51" spans="1:5" ht="15" customHeight="1">
      <c r="A51" s="466"/>
      <c r="B51" s="466"/>
      <c r="C51" s="467"/>
      <c r="D51" s="467"/>
      <c r="E51" s="468"/>
    </row>
    <row r="52" spans="1:5" ht="15" customHeight="1">
      <c r="A52" s="466"/>
      <c r="B52" s="466"/>
      <c r="C52" s="467"/>
      <c r="D52" s="467"/>
      <c r="E52" s="468"/>
    </row>
    <row r="53" spans="1:5" ht="15" customHeight="1">
      <c r="A53" s="466"/>
      <c r="B53" s="466"/>
      <c r="C53" s="467"/>
      <c r="D53" s="467"/>
      <c r="E53" s="468"/>
    </row>
    <row r="54" spans="1:5" ht="15" customHeight="1">
      <c r="A54" s="466"/>
      <c r="B54" s="466"/>
      <c r="C54" s="467"/>
      <c r="D54" s="467"/>
      <c r="E54" s="468"/>
    </row>
    <row r="55" spans="1:5" ht="15" customHeight="1">
      <c r="A55" s="466"/>
      <c r="B55" s="466"/>
      <c r="C55" s="467"/>
      <c r="D55" s="467"/>
      <c r="E55" s="468"/>
    </row>
    <row r="56" spans="1:5" ht="15" customHeight="1">
      <c r="A56" s="466"/>
      <c r="B56" s="466"/>
      <c r="C56" s="467"/>
      <c r="D56" s="467"/>
      <c r="E56" s="468"/>
    </row>
    <row r="57" spans="1:5" ht="15" customHeight="1">
      <c r="A57" s="466"/>
      <c r="B57" s="466"/>
      <c r="C57" s="467"/>
      <c r="D57" s="467"/>
      <c r="E57" s="468"/>
    </row>
    <row r="58" spans="1:5" ht="15" customHeight="1">
      <c r="A58" s="466"/>
      <c r="B58" s="466"/>
      <c r="C58" s="467"/>
      <c r="D58" s="467"/>
      <c r="E58" s="468"/>
    </row>
    <row r="59" spans="1:5" ht="15" customHeight="1">
      <c r="A59" s="466"/>
      <c r="B59" s="466"/>
      <c r="C59" s="467"/>
      <c r="D59" s="467"/>
      <c r="E59" s="468"/>
    </row>
    <row r="60" spans="1:5" ht="15" customHeight="1">
      <c r="A60" s="466"/>
      <c r="B60" s="466"/>
      <c r="C60" s="467"/>
      <c r="D60" s="467"/>
      <c r="E60" s="468"/>
    </row>
    <row r="61" spans="1:5" ht="15" customHeight="1">
      <c r="A61" s="466"/>
      <c r="B61" s="466"/>
      <c r="C61" s="467"/>
      <c r="D61" s="467"/>
      <c r="E61" s="468"/>
    </row>
    <row r="62" spans="1:5" ht="15" customHeight="1">
      <c r="A62" s="466"/>
      <c r="B62" s="466"/>
      <c r="C62" s="467"/>
      <c r="D62" s="467"/>
      <c r="E62" s="468"/>
    </row>
    <row r="63" spans="1:5" ht="15" customHeight="1">
      <c r="A63" s="466"/>
      <c r="B63" s="466"/>
      <c r="C63" s="467"/>
      <c r="D63" s="467"/>
      <c r="E63" s="468"/>
    </row>
    <row r="64" spans="1:5" ht="15" customHeight="1">
      <c r="A64" s="466"/>
      <c r="B64" s="466"/>
      <c r="C64" s="467"/>
      <c r="D64" s="467"/>
      <c r="E64" s="468"/>
    </row>
    <row r="65" spans="1:5" ht="15" customHeight="1">
      <c r="A65" s="466"/>
      <c r="B65" s="466"/>
      <c r="C65" s="467"/>
      <c r="D65" s="467"/>
      <c r="E65" s="468"/>
    </row>
    <row r="66" spans="1:5" ht="15" customHeight="1">
      <c r="A66" s="466"/>
      <c r="B66" s="466"/>
      <c r="C66" s="467"/>
      <c r="D66" s="467"/>
      <c r="E66" s="468"/>
    </row>
    <row r="67" spans="1:5" ht="15" customHeight="1">
      <c r="A67" s="466"/>
      <c r="B67" s="466"/>
      <c r="C67" s="467"/>
      <c r="D67" s="467"/>
      <c r="E67" s="468"/>
    </row>
    <row r="68" spans="1:5" ht="15" customHeight="1">
      <c r="A68" s="466"/>
      <c r="B68" s="466"/>
      <c r="C68" s="467"/>
      <c r="D68" s="467"/>
      <c r="E68" s="468"/>
    </row>
    <row r="69" spans="1:5" ht="15" customHeight="1">
      <c r="A69" s="466"/>
      <c r="B69" s="466"/>
      <c r="C69" s="467"/>
      <c r="D69" s="467"/>
      <c r="E69" s="468"/>
    </row>
    <row r="70" spans="1:5" ht="15" customHeight="1">
      <c r="A70" s="466"/>
      <c r="B70" s="466"/>
      <c r="C70" s="467"/>
      <c r="D70" s="467"/>
      <c r="E70" s="468"/>
    </row>
    <row r="71" spans="1:5" ht="15" customHeight="1">
      <c r="A71" s="466"/>
      <c r="B71" s="466"/>
      <c r="C71" s="467"/>
      <c r="D71" s="467"/>
      <c r="E71" s="468"/>
    </row>
    <row r="72" spans="1:5" ht="15" customHeight="1">
      <c r="A72" s="466"/>
      <c r="B72" s="466"/>
      <c r="C72" s="467"/>
      <c r="D72" s="467"/>
      <c r="E72" s="468"/>
    </row>
    <row r="73" spans="1:5" ht="15" customHeight="1">
      <c r="A73" s="466"/>
      <c r="B73" s="466"/>
      <c r="C73" s="467"/>
      <c r="D73" s="467"/>
      <c r="E73" s="468"/>
    </row>
  </sheetData>
  <mergeCells count="210">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 ref="IC8:ID8"/>
    <mergeCell ref="IF8:IG8"/>
    <mergeCell ref="II8:IJ8"/>
    <mergeCell ref="IL8:IM8"/>
    <mergeCell ref="IO8:IP8"/>
    <mergeCell ref="IR8:IS8"/>
    <mergeCell ref="IU8:IV8"/>
    <mergeCell ref="IX8:IY8"/>
    <mergeCell ref="KB8:KC8"/>
    <mergeCell ref="HB8:HC8"/>
    <mergeCell ref="HE8:HF8"/>
    <mergeCell ref="HH8:HI8"/>
    <mergeCell ref="HK8:HL8"/>
    <mergeCell ref="HN8:HO8"/>
    <mergeCell ref="HQ8:HR8"/>
    <mergeCell ref="HT8:HU8"/>
    <mergeCell ref="HW8:HX8"/>
    <mergeCell ref="HZ8:IA8"/>
    <mergeCell ref="GA8:GB8"/>
    <mergeCell ref="GD8:GE8"/>
    <mergeCell ref="GG8:GH8"/>
    <mergeCell ref="GJ8:GK8"/>
    <mergeCell ref="GM8:GN8"/>
    <mergeCell ref="GP8:GQ8"/>
    <mergeCell ref="GS8:GT8"/>
    <mergeCell ref="GV8:GW8"/>
    <mergeCell ref="GY8:GZ8"/>
    <mergeCell ref="EZ8:FA8"/>
    <mergeCell ref="FC8:FD8"/>
    <mergeCell ref="FF8:FG8"/>
    <mergeCell ref="FI8:FJ8"/>
    <mergeCell ref="FL8:FM8"/>
    <mergeCell ref="FO8:FP8"/>
    <mergeCell ref="FR8:FS8"/>
    <mergeCell ref="FU8:FV8"/>
    <mergeCell ref="FX8:FY8"/>
    <mergeCell ref="DY8:DZ8"/>
    <mergeCell ref="EB8:EC8"/>
    <mergeCell ref="EE8:EF8"/>
    <mergeCell ref="EH8:EI8"/>
    <mergeCell ref="EK8:EL8"/>
    <mergeCell ref="EN8:EO8"/>
    <mergeCell ref="EQ8:ER8"/>
    <mergeCell ref="ET8:EU8"/>
    <mergeCell ref="EW8:EX8"/>
    <mergeCell ref="AY8:AZ8"/>
    <mergeCell ref="BT8:BU8"/>
    <mergeCell ref="BW8:BX8"/>
    <mergeCell ref="BZ8:CA8"/>
    <mergeCell ref="DJ8:DK8"/>
    <mergeCell ref="DM8:DN8"/>
    <mergeCell ref="DP8:DQ8"/>
    <mergeCell ref="DS8:DT8"/>
    <mergeCell ref="DV8:DW8"/>
    <mergeCell ref="JS7:JU7"/>
    <mergeCell ref="JV7:JX7"/>
    <mergeCell ref="JY7:KA7"/>
    <mergeCell ref="KB7:KD7"/>
    <mergeCell ref="KE7:KG7"/>
    <mergeCell ref="KH7:KJ7"/>
    <mergeCell ref="KK7:KM7"/>
    <mergeCell ref="KN7:KP7"/>
    <mergeCell ref="KQ7:KS7"/>
    <mergeCell ref="IR7:IT7"/>
    <mergeCell ref="IU7:IW7"/>
    <mergeCell ref="IX7:IZ7"/>
    <mergeCell ref="JA7:JC7"/>
    <mergeCell ref="JD7:JF7"/>
    <mergeCell ref="JG7:JI7"/>
    <mergeCell ref="JJ7:JL7"/>
    <mergeCell ref="JM7:JO7"/>
    <mergeCell ref="JP7:JR7"/>
    <mergeCell ref="HQ7:HS7"/>
    <mergeCell ref="HT7:HV7"/>
    <mergeCell ref="HW7:HY7"/>
    <mergeCell ref="HZ7:IB7"/>
    <mergeCell ref="IC7:IE7"/>
    <mergeCell ref="IF7:IH7"/>
    <mergeCell ref="II7:IK7"/>
    <mergeCell ref="IL7:IN7"/>
    <mergeCell ref="IO7:IQ7"/>
    <mergeCell ref="GP7:GR7"/>
    <mergeCell ref="GS7:GU7"/>
    <mergeCell ref="GV7:GX7"/>
    <mergeCell ref="GY7:HA7"/>
    <mergeCell ref="HB7:HD7"/>
    <mergeCell ref="HE7:HG7"/>
    <mergeCell ref="HH7:HJ7"/>
    <mergeCell ref="HK7:HM7"/>
    <mergeCell ref="HN7:HP7"/>
    <mergeCell ref="FO7:FQ7"/>
    <mergeCell ref="FR7:FT7"/>
    <mergeCell ref="FU7:FW7"/>
    <mergeCell ref="FX7:FZ7"/>
    <mergeCell ref="GA7:GC7"/>
    <mergeCell ref="GD7:GF7"/>
    <mergeCell ref="GG7:GI7"/>
    <mergeCell ref="GJ7:GL7"/>
    <mergeCell ref="GM7:GO7"/>
    <mergeCell ref="EN7:EP7"/>
    <mergeCell ref="EQ7:ES7"/>
    <mergeCell ref="ET7:EV7"/>
    <mergeCell ref="EW7:EY7"/>
    <mergeCell ref="EZ7:FB7"/>
    <mergeCell ref="FC7:FE7"/>
    <mergeCell ref="FF7:FH7"/>
    <mergeCell ref="FI7:FK7"/>
    <mergeCell ref="FL7:FN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O47"/>
  <sheetViews>
    <sheetView zoomScale="85" workbookViewId="0">
      <pane xSplit="5" ySplit="9" topLeftCell="DN13" activePane="bottomRight" state="frozen"/>
      <selection pane="topRight"/>
      <selection pane="bottomLeft"/>
      <selection pane="bottomRight" activeCell="EF26" sqref="EF26"/>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35" width="11.5703125" customWidth="1"/>
    <col min="136" max="136" width="12.28515625" customWidth="1"/>
    <col min="137" max="137" width="11.5703125" customWidth="1"/>
    <col min="138" max="138" width="8" customWidth="1"/>
    <col min="139" max="139" width="13.28515625" hidden="1" customWidth="1"/>
    <col min="140" max="140" width="8.85546875" hidden="1" customWidth="1"/>
    <col min="141" max="141" width="15.28515625" hidden="1" customWidth="1"/>
    <col min="142" max="142" width="7.7109375" hidden="1" customWidth="1"/>
    <col min="143" max="143" width="13.28515625" hidden="1" customWidth="1"/>
    <col min="144" max="144" width="8.85546875" hidden="1" customWidth="1"/>
    <col min="145" max="145" width="15.28515625" hidden="1" customWidth="1"/>
    <col min="146" max="146" width="7.7109375" hidden="1" customWidth="1"/>
    <col min="147" max="147" width="13.28515625" hidden="1" customWidth="1"/>
    <col min="148" max="148" width="8.85546875" hidden="1" customWidth="1"/>
    <col min="149" max="149" width="15.28515625" hidden="1" customWidth="1"/>
    <col min="150" max="150" width="7.7109375" hidden="1" customWidth="1"/>
    <col min="151" max="151" width="13.28515625" hidden="1" customWidth="1"/>
    <col min="152" max="152" width="8.85546875" hidden="1" customWidth="1"/>
    <col min="153" max="153" width="15.28515625" hidden="1" customWidth="1"/>
    <col min="154" max="154" width="7.7109375" hidden="1" customWidth="1"/>
    <col min="155" max="155" width="11.5703125" customWidth="1"/>
    <col min="156" max="156" width="12.28515625" customWidth="1"/>
    <col min="157" max="157" width="11.5703125" customWidth="1"/>
    <col min="158" max="158" width="8" customWidth="1"/>
    <col min="159" max="159" width="17.7109375" bestFit="1" customWidth="1"/>
    <col min="160" max="160" width="14.42578125" bestFit="1" customWidth="1"/>
    <col min="161" max="161" width="8.85546875" bestFit="1" customWidth="1"/>
    <col min="162" max="162" width="10.28515625" bestFit="1" customWidth="1"/>
    <col min="163" max="163" width="13.28515625" hidden="1" customWidth="1"/>
    <col min="164" max="164" width="10.42578125" hidden="1" customWidth="1"/>
    <col min="165" max="165" width="0" hidden="1" customWidth="1"/>
    <col min="166" max="166" width="15.42578125" hidden="1" customWidth="1"/>
    <col min="167" max="167" width="10.42578125" bestFit="1" customWidth="1"/>
    <col min="170" max="170" width="10.42578125" bestFit="1" customWidth="1"/>
  </cols>
  <sheetData>
    <row r="1" spans="1:166" ht="15.75">
      <c r="A1" s="152"/>
      <c r="F1">
        <v>3</v>
      </c>
      <c r="CP1" s="4"/>
      <c r="CU1" s="253"/>
    </row>
    <row r="2" spans="1:166" ht="15.75">
      <c r="A2" s="152"/>
      <c r="CU2" s="253"/>
      <c r="CY2" s="20"/>
    </row>
    <row r="3" spans="1:166" ht="15">
      <c r="A3" s="154"/>
      <c r="CU3" s="253"/>
    </row>
    <row r="4" spans="1:166" ht="15.75">
      <c r="A4" s="155" t="s">
        <v>236</v>
      </c>
      <c r="G4" s="14"/>
      <c r="AV4" s="20"/>
      <c r="AY4" s="14"/>
      <c r="CQ4" s="14"/>
      <c r="CU4" s="253"/>
      <c r="DP4" s="20"/>
      <c r="EJ4" s="20"/>
      <c r="EN4" s="20"/>
      <c r="ER4" s="20"/>
      <c r="EV4" s="20"/>
    </row>
    <row r="5" spans="1:166" ht="15.75" hidden="1" customHeight="1">
      <c r="A5" s="155"/>
      <c r="G5" s="14"/>
      <c r="AY5" s="14"/>
      <c r="CQ5" s="14"/>
      <c r="CU5" s="14"/>
    </row>
    <row r="6" spans="1:166" ht="18" hidden="1" customHeight="1">
      <c r="A6" s="254"/>
      <c r="CQ6" s="14"/>
      <c r="CU6" s="14"/>
      <c r="EF6" s="14"/>
      <c r="EG6" s="14"/>
      <c r="EH6" s="14"/>
      <c r="EZ6" s="14"/>
      <c r="FA6" s="14"/>
      <c r="FB6" s="14"/>
      <c r="FD6" s="14"/>
    </row>
    <row r="7" spans="1:166" ht="16.5" thickBot="1">
      <c r="A7" s="255"/>
      <c r="B7" s="255"/>
      <c r="C7" s="255"/>
      <c r="D7" s="255"/>
      <c r="E7" s="255"/>
      <c r="F7" s="255"/>
      <c r="G7">
        <v>214.10599999999999</v>
      </c>
      <c r="K7">
        <v>250</v>
      </c>
      <c r="O7">
        <v>228.40600000000001</v>
      </c>
      <c r="S7">
        <v>230.04499999999999</v>
      </c>
      <c r="W7">
        <v>250</v>
      </c>
      <c r="BG7">
        <v>200.64</v>
      </c>
      <c r="BK7" s="255"/>
      <c r="BL7" s="255"/>
      <c r="BM7" s="255"/>
      <c r="BN7" s="255"/>
      <c r="BO7" s="255"/>
      <c r="BP7" s="255"/>
      <c r="BQ7" s="255"/>
      <c r="BR7" s="255"/>
      <c r="BS7" s="255"/>
      <c r="BT7" s="255"/>
      <c r="BU7" s="255"/>
      <c r="BV7" s="255"/>
      <c r="BW7" s="255"/>
      <c r="BX7" s="255"/>
      <c r="BY7" s="256"/>
      <c r="BZ7" s="256"/>
      <c r="CA7" s="255"/>
      <c r="CB7" s="255"/>
      <c r="CC7" s="255"/>
      <c r="CD7" s="255"/>
      <c r="CE7" s="255">
        <v>250</v>
      </c>
      <c r="CF7" s="255"/>
      <c r="CG7" s="255"/>
      <c r="CH7" s="255"/>
      <c r="CI7" s="416">
        <v>251.43899999999999</v>
      </c>
      <c r="CQ7" s="255">
        <v>250.83</v>
      </c>
      <c r="CR7" s="255"/>
      <c r="CS7" s="255"/>
      <c r="CT7" s="255"/>
      <c r="CU7" s="255">
        <v>246.74</v>
      </c>
      <c r="CV7" s="255"/>
      <c r="CW7" s="255"/>
      <c r="CX7" s="255"/>
      <c r="CY7" s="255">
        <v>250</v>
      </c>
      <c r="CZ7" s="255"/>
      <c r="DA7" s="255"/>
      <c r="DB7" s="255"/>
      <c r="DC7" s="255">
        <v>248.75</v>
      </c>
      <c r="DD7" s="255"/>
      <c r="DE7" s="255"/>
      <c r="DF7" s="255"/>
      <c r="DJ7" s="255"/>
      <c r="DK7" s="255"/>
      <c r="DL7" s="255"/>
      <c r="DM7" s="255"/>
      <c r="DN7" s="255"/>
      <c r="DO7" s="255"/>
      <c r="DP7" s="255"/>
      <c r="DQ7" s="255"/>
      <c r="DR7" s="255"/>
      <c r="DS7" s="255"/>
      <c r="DT7" s="255"/>
      <c r="DU7" s="255"/>
      <c r="DV7" s="255"/>
      <c r="DW7" s="255">
        <v>248.75</v>
      </c>
      <c r="DX7" s="255"/>
      <c r="DY7" s="255"/>
      <c r="DZ7" s="255"/>
      <c r="EA7" s="255">
        <v>250</v>
      </c>
      <c r="EB7" s="255"/>
      <c r="EC7" s="255"/>
      <c r="ED7" s="255"/>
      <c r="EE7" s="256"/>
      <c r="EF7" s="256"/>
      <c r="EG7" s="255"/>
      <c r="EH7" s="255"/>
      <c r="EI7" s="255"/>
      <c r="EJ7" s="255"/>
      <c r="EK7" s="255"/>
      <c r="EL7" s="255"/>
      <c r="EM7" s="255"/>
      <c r="EN7" s="255"/>
      <c r="EO7" s="255"/>
      <c r="EP7" s="255"/>
      <c r="EQ7" s="255"/>
      <c r="ER7" s="255"/>
      <c r="ES7" s="255"/>
      <c r="ET7" s="255"/>
      <c r="EU7" s="255"/>
      <c r="EV7" s="255"/>
      <c r="EW7" s="255"/>
      <c r="EX7" s="255"/>
      <c r="EY7" s="256"/>
      <c r="EZ7" s="256"/>
      <c r="FA7" s="255"/>
      <c r="FB7" s="255"/>
      <c r="FC7" s="255"/>
      <c r="FD7" s="255"/>
      <c r="FE7" s="255"/>
      <c r="FF7" s="255"/>
    </row>
    <row r="8" spans="1:166" ht="38.25" customHeight="1" thickTop="1">
      <c r="A8" s="747" t="s">
        <v>30</v>
      </c>
      <c r="B8" s="747" t="s">
        <v>5</v>
      </c>
      <c r="C8" s="747" t="s">
        <v>6</v>
      </c>
      <c r="D8" s="751" t="s">
        <v>42</v>
      </c>
      <c r="E8" s="753" t="s">
        <v>40</v>
      </c>
      <c r="F8" s="754"/>
      <c r="G8" s="748" t="s">
        <v>401</v>
      </c>
      <c r="H8" s="749"/>
      <c r="I8" s="749"/>
      <c r="J8" s="750"/>
      <c r="K8" s="741" t="s">
        <v>391</v>
      </c>
      <c r="L8" s="742"/>
      <c r="M8" s="742"/>
      <c r="N8" s="743"/>
      <c r="O8" s="744" t="s">
        <v>392</v>
      </c>
      <c r="P8" s="745"/>
      <c r="Q8" s="745"/>
      <c r="R8" s="746"/>
      <c r="S8" s="741" t="s">
        <v>393</v>
      </c>
      <c r="T8" s="742"/>
      <c r="U8" s="742"/>
      <c r="V8" s="743"/>
      <c r="W8" s="741" t="s">
        <v>390</v>
      </c>
      <c r="X8" s="742"/>
      <c r="Y8" s="742"/>
      <c r="Z8" s="743"/>
      <c r="AA8" s="741" t="s">
        <v>44</v>
      </c>
      <c r="AB8" s="742"/>
      <c r="AC8" s="742"/>
      <c r="AD8" s="743"/>
      <c r="AE8" s="741" t="s">
        <v>101</v>
      </c>
      <c r="AF8" s="742"/>
      <c r="AG8" s="742"/>
      <c r="AH8" s="743"/>
      <c r="AI8" s="741" t="s">
        <v>45</v>
      </c>
      <c r="AJ8" s="742"/>
      <c r="AK8" s="742"/>
      <c r="AL8" s="743"/>
      <c r="AM8" s="741" t="s">
        <v>46</v>
      </c>
      <c r="AN8" s="742"/>
      <c r="AO8" s="742"/>
      <c r="AP8" s="743"/>
      <c r="AQ8" s="741" t="s">
        <v>47</v>
      </c>
      <c r="AR8" s="742"/>
      <c r="AS8" s="742"/>
      <c r="AT8" s="743"/>
      <c r="AU8" s="741" t="s">
        <v>48</v>
      </c>
      <c r="AV8" s="742"/>
      <c r="AW8" s="742"/>
      <c r="AX8" s="743"/>
      <c r="AY8" s="741" t="s">
        <v>49</v>
      </c>
      <c r="AZ8" s="742"/>
      <c r="BA8" s="742"/>
      <c r="BB8" s="743"/>
      <c r="BC8" s="741" t="s">
        <v>50</v>
      </c>
      <c r="BD8" s="742"/>
      <c r="BE8" s="742"/>
      <c r="BF8" s="743"/>
      <c r="BG8" s="741" t="s">
        <v>51</v>
      </c>
      <c r="BH8" s="742"/>
      <c r="BI8" s="742"/>
      <c r="BJ8" s="743"/>
      <c r="BK8" s="741" t="s">
        <v>43</v>
      </c>
      <c r="BL8" s="742"/>
      <c r="BM8" s="742"/>
      <c r="BN8" s="743"/>
      <c r="BO8" s="741" t="s">
        <v>52</v>
      </c>
      <c r="BP8" s="742"/>
      <c r="BQ8" s="742"/>
      <c r="BR8" s="743"/>
      <c r="BS8" s="741" t="s">
        <v>53</v>
      </c>
      <c r="BT8" s="742"/>
      <c r="BU8" s="742"/>
      <c r="BV8" s="743"/>
      <c r="BW8" s="741" t="s">
        <v>54</v>
      </c>
      <c r="BX8" s="742"/>
      <c r="BY8" s="742"/>
      <c r="BZ8" s="742"/>
      <c r="CA8" s="741" t="s">
        <v>403</v>
      </c>
      <c r="CB8" s="742"/>
      <c r="CC8" s="742"/>
      <c r="CD8" s="743"/>
      <c r="CE8" s="741" t="s">
        <v>443</v>
      </c>
      <c r="CF8" s="742"/>
      <c r="CG8" s="742"/>
      <c r="CH8" s="742"/>
      <c r="CI8" s="759" t="s">
        <v>239</v>
      </c>
      <c r="CJ8" s="760"/>
      <c r="CK8" s="760"/>
      <c r="CL8" s="761"/>
      <c r="CM8" s="759" t="s">
        <v>55</v>
      </c>
      <c r="CN8" s="760"/>
      <c r="CO8" s="760"/>
      <c r="CP8" s="761"/>
      <c r="CQ8" s="762" t="s">
        <v>195</v>
      </c>
      <c r="CR8" s="762"/>
      <c r="CS8" s="762"/>
      <c r="CT8" s="763"/>
      <c r="CU8" s="767" t="s">
        <v>402</v>
      </c>
      <c r="CV8" s="768"/>
      <c r="CW8" s="768"/>
      <c r="CX8" s="769"/>
      <c r="CY8" s="764" t="s">
        <v>235</v>
      </c>
      <c r="CZ8" s="765"/>
      <c r="DA8" s="765"/>
      <c r="DB8" s="766"/>
      <c r="DC8" s="756" t="s">
        <v>621</v>
      </c>
      <c r="DD8" s="757"/>
      <c r="DE8" s="757"/>
      <c r="DF8" s="758"/>
      <c r="DG8" s="741" t="s">
        <v>56</v>
      </c>
      <c r="DH8" s="742"/>
      <c r="DI8" s="742"/>
      <c r="DJ8" s="743"/>
      <c r="DK8" s="741" t="s">
        <v>444</v>
      </c>
      <c r="DL8" s="742"/>
      <c r="DM8" s="742"/>
      <c r="DN8" s="743"/>
      <c r="DO8" s="741"/>
      <c r="DP8" s="742"/>
      <c r="DQ8" s="742"/>
      <c r="DR8" s="743"/>
      <c r="DS8" s="741"/>
      <c r="DT8" s="742"/>
      <c r="DU8" s="742"/>
      <c r="DV8" s="743"/>
      <c r="DW8" s="741" t="s">
        <v>576</v>
      </c>
      <c r="DX8" s="742"/>
      <c r="DY8" s="742"/>
      <c r="DZ8" s="743"/>
      <c r="EA8" s="764" t="s">
        <v>235</v>
      </c>
      <c r="EB8" s="765"/>
      <c r="EC8" s="765"/>
      <c r="ED8" s="766"/>
      <c r="EE8" s="741" t="s">
        <v>558</v>
      </c>
      <c r="EF8" s="742"/>
      <c r="EG8" s="742"/>
      <c r="EH8" s="742"/>
      <c r="EI8" s="741" t="s">
        <v>287</v>
      </c>
      <c r="EJ8" s="742"/>
      <c r="EK8" s="742"/>
      <c r="EL8" s="743"/>
      <c r="EM8" s="741" t="s">
        <v>787</v>
      </c>
      <c r="EN8" s="742"/>
      <c r="EO8" s="742"/>
      <c r="EP8" s="743"/>
      <c r="EQ8" s="741" t="s">
        <v>788</v>
      </c>
      <c r="ER8" s="742"/>
      <c r="ES8" s="742"/>
      <c r="ET8" s="743"/>
      <c r="EU8" s="741" t="s">
        <v>806</v>
      </c>
      <c r="EV8" s="742"/>
      <c r="EW8" s="742"/>
      <c r="EX8" s="743"/>
      <c r="EY8" s="741" t="s">
        <v>786</v>
      </c>
      <c r="EZ8" s="742"/>
      <c r="FA8" s="742"/>
      <c r="FB8" s="742"/>
      <c r="FC8" s="741" t="s">
        <v>57</v>
      </c>
      <c r="FD8" s="743"/>
      <c r="FE8" s="741" t="s">
        <v>58</v>
      </c>
      <c r="FF8" s="743"/>
      <c r="FG8" s="457" t="s">
        <v>288</v>
      </c>
      <c r="FH8" s="770" t="s">
        <v>289</v>
      </c>
      <c r="FI8" s="770"/>
      <c r="FJ8" s="755" t="s">
        <v>290</v>
      </c>
    </row>
    <row r="9" spans="1:166">
      <c r="A9" s="611"/>
      <c r="B9" s="611"/>
      <c r="C9" s="611"/>
      <c r="D9" s="752"/>
      <c r="E9" s="2" t="s">
        <v>38</v>
      </c>
      <c r="F9" s="455" t="s">
        <v>39</v>
      </c>
      <c r="G9" s="9" t="s">
        <v>38</v>
      </c>
      <c r="H9" s="9" t="s">
        <v>11</v>
      </c>
      <c r="I9" s="456" t="s">
        <v>39</v>
      </c>
      <c r="J9" s="456" t="s">
        <v>11</v>
      </c>
      <c r="K9" s="9" t="s">
        <v>38</v>
      </c>
      <c r="L9" s="9" t="s">
        <v>11</v>
      </c>
      <c r="M9" s="456" t="s">
        <v>39</v>
      </c>
      <c r="N9" s="456" t="s">
        <v>11</v>
      </c>
      <c r="O9" s="9" t="s">
        <v>38</v>
      </c>
      <c r="P9" s="9" t="s">
        <v>11</v>
      </c>
      <c r="Q9" s="456" t="s">
        <v>39</v>
      </c>
      <c r="R9" s="456" t="s">
        <v>11</v>
      </c>
      <c r="S9" s="9" t="s">
        <v>38</v>
      </c>
      <c r="T9" s="9" t="s">
        <v>11</v>
      </c>
      <c r="U9" s="456" t="s">
        <v>39</v>
      </c>
      <c r="V9" s="456" t="s">
        <v>11</v>
      </c>
      <c r="W9" s="9" t="s">
        <v>38</v>
      </c>
      <c r="X9" s="9" t="s">
        <v>11</v>
      </c>
      <c r="Y9" s="456" t="s">
        <v>39</v>
      </c>
      <c r="Z9" s="456" t="s">
        <v>11</v>
      </c>
      <c r="AA9" s="9" t="s">
        <v>38</v>
      </c>
      <c r="AB9" s="9" t="s">
        <v>11</v>
      </c>
      <c r="AC9" s="456" t="s">
        <v>39</v>
      </c>
      <c r="AD9" s="456" t="s">
        <v>11</v>
      </c>
      <c r="AE9" s="9" t="s">
        <v>38</v>
      </c>
      <c r="AF9" s="9" t="s">
        <v>11</v>
      </c>
      <c r="AG9" s="456" t="s">
        <v>39</v>
      </c>
      <c r="AH9" s="456" t="s">
        <v>11</v>
      </c>
      <c r="AI9" s="456" t="s">
        <v>38</v>
      </c>
      <c r="AJ9" s="456" t="s">
        <v>11</v>
      </c>
      <c r="AK9" s="456" t="s">
        <v>39</v>
      </c>
      <c r="AL9" s="456" t="s">
        <v>11</v>
      </c>
      <c r="AM9" s="456" t="s">
        <v>38</v>
      </c>
      <c r="AN9" s="456" t="s">
        <v>11</v>
      </c>
      <c r="AO9" s="456" t="s">
        <v>39</v>
      </c>
      <c r="AP9" s="456" t="s">
        <v>11</v>
      </c>
      <c r="AQ9" s="456" t="s">
        <v>38</v>
      </c>
      <c r="AR9" s="456" t="s">
        <v>11</v>
      </c>
      <c r="AS9" s="456" t="s">
        <v>39</v>
      </c>
      <c r="AT9" s="456" t="s">
        <v>11</v>
      </c>
      <c r="AU9" s="456" t="s">
        <v>38</v>
      </c>
      <c r="AV9" s="456" t="s">
        <v>11</v>
      </c>
      <c r="AW9" s="456" t="s">
        <v>39</v>
      </c>
      <c r="AX9" s="456" t="s">
        <v>11</v>
      </c>
      <c r="AY9" s="456" t="s">
        <v>38</v>
      </c>
      <c r="AZ9" s="456" t="s">
        <v>11</v>
      </c>
      <c r="BA9" s="456" t="s">
        <v>39</v>
      </c>
      <c r="BB9" s="456" t="s">
        <v>11</v>
      </c>
      <c r="BC9" s="456" t="s">
        <v>38</v>
      </c>
      <c r="BD9" s="456" t="s">
        <v>11</v>
      </c>
      <c r="BE9" s="456" t="s">
        <v>39</v>
      </c>
      <c r="BF9" s="456" t="s">
        <v>11</v>
      </c>
      <c r="BG9" s="456" t="s">
        <v>38</v>
      </c>
      <c r="BH9" s="456" t="s">
        <v>11</v>
      </c>
      <c r="BI9" s="456" t="s">
        <v>39</v>
      </c>
      <c r="BJ9" s="456" t="s">
        <v>11</v>
      </c>
      <c r="BK9" s="456" t="s">
        <v>38</v>
      </c>
      <c r="BL9" s="456" t="s">
        <v>11</v>
      </c>
      <c r="BM9" s="456" t="s">
        <v>39</v>
      </c>
      <c r="BN9" s="456" t="s">
        <v>11</v>
      </c>
      <c r="BO9" s="456" t="s">
        <v>38</v>
      </c>
      <c r="BP9" s="456" t="s">
        <v>11</v>
      </c>
      <c r="BQ9" s="456" t="s">
        <v>39</v>
      </c>
      <c r="BR9" s="456" t="s">
        <v>11</v>
      </c>
      <c r="BS9" s="456" t="s">
        <v>38</v>
      </c>
      <c r="BT9" s="456" t="s">
        <v>11</v>
      </c>
      <c r="BU9" s="456" t="s">
        <v>39</v>
      </c>
      <c r="BV9" s="456" t="s">
        <v>11</v>
      </c>
      <c r="BW9" s="456" t="s">
        <v>38</v>
      </c>
      <c r="BX9" s="456" t="s">
        <v>11</v>
      </c>
      <c r="BY9" s="456" t="s">
        <v>39</v>
      </c>
      <c r="BZ9" s="456" t="s">
        <v>11</v>
      </c>
      <c r="CA9" s="456" t="s">
        <v>38</v>
      </c>
      <c r="CB9" s="456" t="s">
        <v>11</v>
      </c>
      <c r="CC9" s="456" t="s">
        <v>39</v>
      </c>
      <c r="CD9" s="456" t="s">
        <v>11</v>
      </c>
      <c r="CE9" s="456" t="s">
        <v>38</v>
      </c>
      <c r="CF9" s="456" t="s">
        <v>11</v>
      </c>
      <c r="CG9" s="456" t="s">
        <v>39</v>
      </c>
      <c r="CH9" s="456" t="s">
        <v>11</v>
      </c>
      <c r="CI9" s="456" t="s">
        <v>38</v>
      </c>
      <c r="CJ9" s="456" t="s">
        <v>11</v>
      </c>
      <c r="CK9" s="456" t="s">
        <v>39</v>
      </c>
      <c r="CL9" s="456" t="s">
        <v>11</v>
      </c>
      <c r="CM9" s="456" t="s">
        <v>38</v>
      </c>
      <c r="CN9" s="456" t="s">
        <v>11</v>
      </c>
      <c r="CO9" s="456" t="s">
        <v>39</v>
      </c>
      <c r="CP9" s="456" t="s">
        <v>11</v>
      </c>
      <c r="CQ9" s="456" t="s">
        <v>38</v>
      </c>
      <c r="CR9" s="456" t="s">
        <v>11</v>
      </c>
      <c r="CS9" s="456" t="s">
        <v>39</v>
      </c>
      <c r="CT9" s="456" t="s">
        <v>11</v>
      </c>
      <c r="CU9" s="456" t="s">
        <v>38</v>
      </c>
      <c r="CV9" s="456" t="s">
        <v>11</v>
      </c>
      <c r="CW9" s="456" t="s">
        <v>39</v>
      </c>
      <c r="CX9" s="456" t="s">
        <v>11</v>
      </c>
      <c r="CY9" s="456" t="s">
        <v>38</v>
      </c>
      <c r="CZ9" s="456" t="s">
        <v>11</v>
      </c>
      <c r="DA9" s="456" t="s">
        <v>39</v>
      </c>
      <c r="DB9" s="456" t="s">
        <v>11</v>
      </c>
      <c r="DC9" s="456" t="s">
        <v>38</v>
      </c>
      <c r="DD9" s="456" t="s">
        <v>11</v>
      </c>
      <c r="DE9" s="456" t="s">
        <v>39</v>
      </c>
      <c r="DF9" s="456" t="s">
        <v>11</v>
      </c>
      <c r="DG9" s="456" t="s">
        <v>38</v>
      </c>
      <c r="DH9" s="456" t="s">
        <v>11</v>
      </c>
      <c r="DI9" s="456" t="s">
        <v>39</v>
      </c>
      <c r="DJ9" s="456" t="s">
        <v>11</v>
      </c>
      <c r="DK9" s="456" t="s">
        <v>38</v>
      </c>
      <c r="DL9" s="456" t="s">
        <v>11</v>
      </c>
      <c r="DM9" s="456" t="s">
        <v>39</v>
      </c>
      <c r="DN9" s="456" t="s">
        <v>11</v>
      </c>
      <c r="DO9" s="456" t="s">
        <v>38</v>
      </c>
      <c r="DP9" s="456" t="s">
        <v>11</v>
      </c>
      <c r="DQ9" s="456" t="s">
        <v>39</v>
      </c>
      <c r="DR9" s="456" t="s">
        <v>11</v>
      </c>
      <c r="DS9" s="456" t="s">
        <v>38</v>
      </c>
      <c r="DT9" s="456" t="s">
        <v>11</v>
      </c>
      <c r="DU9" s="456" t="s">
        <v>39</v>
      </c>
      <c r="DV9" s="456" t="s">
        <v>11</v>
      </c>
      <c r="DW9" s="456" t="s">
        <v>38</v>
      </c>
      <c r="DX9" s="456" t="s">
        <v>11</v>
      </c>
      <c r="DY9" s="456" t="s">
        <v>39</v>
      </c>
      <c r="DZ9" s="456" t="s">
        <v>11</v>
      </c>
      <c r="EA9" s="456" t="s">
        <v>38</v>
      </c>
      <c r="EB9" s="456" t="s">
        <v>11</v>
      </c>
      <c r="EC9" s="456" t="s">
        <v>39</v>
      </c>
      <c r="ED9" s="456" t="s">
        <v>11</v>
      </c>
      <c r="EE9" s="456" t="s">
        <v>38</v>
      </c>
      <c r="EF9" s="456" t="s">
        <v>11</v>
      </c>
      <c r="EG9" s="456" t="s">
        <v>39</v>
      </c>
      <c r="EH9" s="456" t="s">
        <v>11</v>
      </c>
      <c r="EI9" s="604" t="s">
        <v>38</v>
      </c>
      <c r="EJ9" s="604" t="s">
        <v>11</v>
      </c>
      <c r="EK9" s="604" t="s">
        <v>39</v>
      </c>
      <c r="EL9" s="604" t="s">
        <v>11</v>
      </c>
      <c r="EM9" s="604" t="s">
        <v>38</v>
      </c>
      <c r="EN9" s="604" t="s">
        <v>11</v>
      </c>
      <c r="EO9" s="604" t="s">
        <v>39</v>
      </c>
      <c r="EP9" s="604" t="s">
        <v>11</v>
      </c>
      <c r="EQ9" s="604" t="s">
        <v>38</v>
      </c>
      <c r="ER9" s="604" t="s">
        <v>11</v>
      </c>
      <c r="ES9" s="604" t="s">
        <v>39</v>
      </c>
      <c r="ET9" s="604" t="s">
        <v>11</v>
      </c>
      <c r="EU9" s="605" t="s">
        <v>38</v>
      </c>
      <c r="EV9" s="605" t="s">
        <v>11</v>
      </c>
      <c r="EW9" s="605" t="s">
        <v>39</v>
      </c>
      <c r="EX9" s="605" t="s">
        <v>11</v>
      </c>
      <c r="EY9" s="604" t="s">
        <v>38</v>
      </c>
      <c r="EZ9" s="604" t="s">
        <v>11</v>
      </c>
      <c r="FA9" s="604" t="s">
        <v>39</v>
      </c>
      <c r="FB9" s="604" t="s">
        <v>11</v>
      </c>
      <c r="FC9" s="456" t="s">
        <v>38</v>
      </c>
      <c r="FD9" s="456" t="s">
        <v>39</v>
      </c>
      <c r="FE9" s="456" t="s">
        <v>38</v>
      </c>
      <c r="FF9" s="456" t="s">
        <v>39</v>
      </c>
      <c r="FG9" s="6"/>
      <c r="FH9" s="456" t="s">
        <v>38</v>
      </c>
      <c r="FI9" s="458" t="s">
        <v>39</v>
      </c>
      <c r="FJ9" s="755"/>
    </row>
    <row r="10" spans="1:166">
      <c r="A10" s="16">
        <f>+Chem!A10</f>
        <v>45931</v>
      </c>
      <c r="B10" s="6" t="str">
        <f>+Chem!B10</f>
        <v>STOP</v>
      </c>
      <c r="C10" s="16" t="str">
        <f>+Chem!C10</f>
        <v>17</v>
      </c>
      <c r="D10" s="8">
        <f>+Chem!D10</f>
        <v>0</v>
      </c>
      <c r="E10" s="7">
        <f>+Chem!E10</f>
        <v>3.3639999999999999</v>
      </c>
      <c r="F10" s="7">
        <f>+E10</f>
        <v>3.3639999999999999</v>
      </c>
      <c r="G10" s="101"/>
      <c r="H10" s="91" t="e">
        <f t="shared" ref="H10:H39" si="0">G10/FC10*100</f>
        <v>#DIV/0!</v>
      </c>
      <c r="I10" s="8">
        <f>G10</f>
        <v>0</v>
      </c>
      <c r="J10" s="91" t="e">
        <f t="shared" ref="J10:J39" si="1">I10/FD10*100</f>
        <v>#DIV/0!</v>
      </c>
      <c r="K10" s="101"/>
      <c r="L10" s="91" t="e">
        <f t="shared" ref="L10:L39" si="2">+K10/FC10*100</f>
        <v>#DIV/0!</v>
      </c>
      <c r="M10" s="91">
        <f>+K10</f>
        <v>0</v>
      </c>
      <c r="N10" s="91" t="e">
        <f t="shared" ref="N10:N39" si="3">+M10/FD10*100</f>
        <v>#DIV/0!</v>
      </c>
      <c r="O10" s="101"/>
      <c r="P10" s="91" t="e">
        <f t="shared" ref="P10:P39" si="4">+O10/FC10*100</f>
        <v>#DIV/0!</v>
      </c>
      <c r="Q10" s="91">
        <f>+O10</f>
        <v>0</v>
      </c>
      <c r="R10" s="91" t="e">
        <f t="shared" ref="R10:R39" si="5">+Q10/FD10*100</f>
        <v>#DIV/0!</v>
      </c>
      <c r="S10" s="101"/>
      <c r="T10" s="91" t="e">
        <f t="shared" ref="T10:T39" si="6">+S10/FC10*100</f>
        <v>#DIV/0!</v>
      </c>
      <c r="U10" s="91">
        <f>+S10</f>
        <v>0</v>
      </c>
      <c r="V10" s="91" t="e">
        <f t="shared" ref="V10:V39" si="7">+U10/FD10*100</f>
        <v>#DIV/0!</v>
      </c>
      <c r="W10" s="101"/>
      <c r="X10" s="91" t="e">
        <f t="shared" ref="X10:X39" si="8">+W10/FC10*100</f>
        <v>#DIV/0!</v>
      </c>
      <c r="Y10" s="91">
        <f>+W10</f>
        <v>0</v>
      </c>
      <c r="Z10" s="91" t="e">
        <f t="shared" ref="Z10:Z39" si="9">+Y10/FD10*100</f>
        <v>#DIV/0!</v>
      </c>
      <c r="AA10" s="101"/>
      <c r="AB10" s="91" t="e">
        <f t="shared" ref="AB10:AB39" si="10">AA10/FC10*100</f>
        <v>#DIV/0!</v>
      </c>
      <c r="AC10" s="91">
        <f>AA10</f>
        <v>0</v>
      </c>
      <c r="AD10" s="91" t="e">
        <f t="shared" ref="AD10:AD39" si="11">AC10/FD10*100</f>
        <v>#DIV/0!</v>
      </c>
      <c r="AE10" s="101"/>
      <c r="AF10" s="91" t="e">
        <f t="shared" ref="AF10:AF39" si="12">+AE10/FC10*100</f>
        <v>#DIV/0!</v>
      </c>
      <c r="AG10" s="91">
        <f>+AE10</f>
        <v>0</v>
      </c>
      <c r="AH10" s="91" t="e">
        <f t="shared" ref="AH10:AH39" si="13">+AG10/FD10*100</f>
        <v>#DIV/0!</v>
      </c>
      <c r="AI10" s="101"/>
      <c r="AJ10" s="91" t="e">
        <f t="shared" ref="AJ10:AJ39" si="14">AI10/FC10*100</f>
        <v>#DIV/0!</v>
      </c>
      <c r="AK10" s="91">
        <f>AI10</f>
        <v>0</v>
      </c>
      <c r="AL10" s="91" t="e">
        <f t="shared" ref="AL10:AL39" si="15">AK10/FD10*100</f>
        <v>#DIV/0!</v>
      </c>
      <c r="AM10" s="101"/>
      <c r="AN10" s="91" t="e">
        <f t="shared" ref="AN10:AN39" si="16">AM10/FC10*100</f>
        <v>#DIV/0!</v>
      </c>
      <c r="AO10" s="91">
        <f>AM10</f>
        <v>0</v>
      </c>
      <c r="AP10" s="91" t="e">
        <f t="shared" ref="AP10:AP39" si="17">+AO10/FD10*100</f>
        <v>#DIV/0!</v>
      </c>
      <c r="AQ10" s="101"/>
      <c r="AR10" s="91" t="e">
        <f t="shared" ref="AR10:AR39" si="18">AQ10/FC10*100</f>
        <v>#DIV/0!</v>
      </c>
      <c r="AS10" s="91">
        <f>AQ10</f>
        <v>0</v>
      </c>
      <c r="AT10" s="91" t="e">
        <f t="shared" ref="AT10:AT39" si="19">AS10/FD10*100</f>
        <v>#DIV/0!</v>
      </c>
      <c r="AU10" s="252"/>
      <c r="AV10" s="91" t="e">
        <f t="shared" ref="AV10:AV39" si="20">AU10/FC10*100</f>
        <v>#DIV/0!</v>
      </c>
      <c r="AW10" s="8">
        <f>AU10</f>
        <v>0</v>
      </c>
      <c r="AX10" s="91" t="e">
        <f t="shared" ref="AX10:AX39" si="21">AW10/FD10*100</f>
        <v>#DIV/0!</v>
      </c>
      <c r="AY10" s="101">
        <v>0</v>
      </c>
      <c r="AZ10" s="91" t="e">
        <f t="shared" ref="AZ10:AZ39" si="22">AY10/FC10*100</f>
        <v>#DIV/0!</v>
      </c>
      <c r="BA10" s="91">
        <f>AY10</f>
        <v>0</v>
      </c>
      <c r="BB10" s="91" t="e">
        <f t="shared" ref="BB10:BB39" si="23">BA10/FD10*100</f>
        <v>#DIV/0!</v>
      </c>
      <c r="BC10" s="101"/>
      <c r="BD10" s="91" t="e">
        <f t="shared" ref="BD10:BD39" si="24">BC10/FC10*100</f>
        <v>#DIV/0!</v>
      </c>
      <c r="BE10" s="91">
        <f>BC10</f>
        <v>0</v>
      </c>
      <c r="BF10" s="91" t="e">
        <f t="shared" ref="BF10:BF39" si="25">BE10/FD10*100</f>
        <v>#DIV/0!</v>
      </c>
      <c r="BG10" s="101">
        <v>0</v>
      </c>
      <c r="BH10" s="91" t="e">
        <f t="shared" ref="BH10:BH39" si="26">BG10/FC10*100</f>
        <v>#DIV/0!</v>
      </c>
      <c r="BI10" s="91">
        <f>BG10</f>
        <v>0</v>
      </c>
      <c r="BJ10" s="91" t="e">
        <f t="shared" ref="BJ10:BJ39" si="27">BI10/FD10*100</f>
        <v>#DIV/0!</v>
      </c>
      <c r="BK10" s="101"/>
      <c r="BL10" s="91" t="e">
        <f>BK10/FC10*100</f>
        <v>#DIV/0!</v>
      </c>
      <c r="BM10" s="91">
        <f>BK10</f>
        <v>0</v>
      </c>
      <c r="BN10" s="91" t="e">
        <f>BM10/FD10*100</f>
        <v>#DIV/0!</v>
      </c>
      <c r="BO10" s="101"/>
      <c r="BP10" s="91" t="e">
        <f>BO10/FC10*100</f>
        <v>#DIV/0!</v>
      </c>
      <c r="BQ10" s="91">
        <f>+BO10</f>
        <v>0</v>
      </c>
      <c r="BR10" s="91" t="e">
        <f>BQ10/FD10*100</f>
        <v>#DIV/0!</v>
      </c>
      <c r="BS10" s="101"/>
      <c r="BT10" s="91">
        <v>0</v>
      </c>
      <c r="BU10" s="91">
        <f>BS10</f>
        <v>0</v>
      </c>
      <c r="BV10" s="91" t="e">
        <f>BU10/FD10*100</f>
        <v>#DIV/0!</v>
      </c>
      <c r="BW10" s="91">
        <f>G10+AY10+BK10+BG10+BS10+BO10+AU10+AI10+BC10+AQ10+AA10+AM10+AE10+K10+W10+S10+O10</f>
        <v>0</v>
      </c>
      <c r="BX10" s="91" t="e">
        <f t="shared" ref="BX10:BX39" si="28">BW10/FC10*100</f>
        <v>#DIV/0!</v>
      </c>
      <c r="BY10" s="91">
        <f>BW10</f>
        <v>0</v>
      </c>
      <c r="BZ10" s="91" t="e">
        <f t="shared" ref="BZ10:BZ39" si="29">BY10/FD10*100</f>
        <v>#DIV/0!</v>
      </c>
      <c r="CA10" s="101"/>
      <c r="CB10" s="91" t="e">
        <f t="shared" ref="CB10:CB39" si="30">CA10/FC10*100</f>
        <v>#DIV/0!</v>
      </c>
      <c r="CC10" s="91"/>
      <c r="CD10" s="91" t="e">
        <f t="shared" ref="CD10:CD39" si="31">CC10/FD10*100</f>
        <v>#DIV/0!</v>
      </c>
      <c r="CE10" s="101"/>
      <c r="CF10" s="91" t="e">
        <f t="shared" ref="CF10:CF39" si="32">CE10/FC10*100</f>
        <v>#DIV/0!</v>
      </c>
      <c r="CG10" s="91">
        <f>CE10</f>
        <v>0</v>
      </c>
      <c r="CH10" s="91" t="e">
        <f t="shared" ref="CH10:CH39" si="33">CG10/FD10*100</f>
        <v>#DIV/0!</v>
      </c>
      <c r="CI10" s="101"/>
      <c r="CJ10" s="91" t="e">
        <f t="shared" ref="CJ10:CJ39" si="34">CI10/FC10*100</f>
        <v>#DIV/0!</v>
      </c>
      <c r="CK10" s="91">
        <f>CI10</f>
        <v>0</v>
      </c>
      <c r="CL10" s="91" t="e">
        <f t="shared" ref="CL10:CL39" si="35">CK10/FD10*100</f>
        <v>#DIV/0!</v>
      </c>
      <c r="CM10" s="101"/>
      <c r="CN10" s="91" t="e">
        <f t="shared" ref="CN10:CN39" si="36">CM10/FC10*100</f>
        <v>#DIV/0!</v>
      </c>
      <c r="CO10" s="91">
        <f>CM10</f>
        <v>0</v>
      </c>
      <c r="CP10" s="91" t="e">
        <f t="shared" ref="CP10:CP39" si="37">CO10/FD10*100</f>
        <v>#DIV/0!</v>
      </c>
      <c r="CQ10" s="101"/>
      <c r="CR10" s="91" t="e">
        <f t="shared" ref="CR10:CR39" si="38">CQ10/FC10*100</f>
        <v>#DIV/0!</v>
      </c>
      <c r="CS10" s="91">
        <f>CQ10</f>
        <v>0</v>
      </c>
      <c r="CT10" s="91" t="e">
        <f t="shared" ref="CT10:CT39" si="39">CS10/FD10*100</f>
        <v>#DIV/0!</v>
      </c>
      <c r="CU10" s="101"/>
      <c r="CV10" s="91" t="e">
        <f t="shared" ref="CV10:CV39" si="40">CU10/FC10*100</f>
        <v>#DIV/0!</v>
      </c>
      <c r="CW10" s="91">
        <f>CU10</f>
        <v>0</v>
      </c>
      <c r="CX10" s="91" t="e">
        <f t="shared" ref="CX10:CX39" si="41">CW10/FD10*100</f>
        <v>#DIV/0!</v>
      </c>
      <c r="CY10" s="101"/>
      <c r="CZ10" s="91" t="e">
        <f t="shared" ref="CZ10:CZ39" si="42">CY10/FC10*100</f>
        <v>#DIV/0!</v>
      </c>
      <c r="DA10" s="91">
        <f>CY10</f>
        <v>0</v>
      </c>
      <c r="DB10" s="91" t="e">
        <f t="shared" ref="DB10:DB39" si="43">DA10/FD10</f>
        <v>#DIV/0!</v>
      </c>
      <c r="DC10" s="101"/>
      <c r="DD10" s="91" t="e">
        <f t="shared" ref="DD10:DD39" si="44">DC10/FC10*100</f>
        <v>#DIV/0!</v>
      </c>
      <c r="DE10" s="91">
        <f>DC10</f>
        <v>0</v>
      </c>
      <c r="DF10" s="91" t="e">
        <f t="shared" ref="DF10:DF39" si="45">DE10/FD10*100</f>
        <v>#DIV/0!</v>
      </c>
      <c r="DG10" s="101"/>
      <c r="DH10" s="91"/>
      <c r="DI10" s="91"/>
      <c r="DJ10" s="91"/>
      <c r="DK10" s="91">
        <f>CA10+CE10+CI10+CM10+CQ10+CU10+CY10+DC10</f>
        <v>0</v>
      </c>
      <c r="DL10" s="91" t="e">
        <f t="shared" ref="DL10:DL39" si="46">DK10/FC10*100</f>
        <v>#DIV/0!</v>
      </c>
      <c r="DM10" s="91">
        <f>DK10</f>
        <v>0</v>
      </c>
      <c r="DN10" s="91" t="e">
        <f t="shared" ref="DN10:DN39" si="47">DM10/FD10*100</f>
        <v>#DIV/0!</v>
      </c>
      <c r="DO10" s="101"/>
      <c r="DP10" s="91" t="e">
        <f>DO10/FC10*100</f>
        <v>#DIV/0!</v>
      </c>
      <c r="DQ10" s="91">
        <f>DO10</f>
        <v>0</v>
      </c>
      <c r="DR10" s="91" t="e">
        <f>DQ10/FD10*100</f>
        <v>#DIV/0!</v>
      </c>
      <c r="DS10" s="101"/>
      <c r="DT10" s="92" t="e">
        <f>DS10/FC10*100</f>
        <v>#DIV/0!</v>
      </c>
      <c r="DU10" s="91">
        <f>DS10</f>
        <v>0</v>
      </c>
      <c r="DV10" s="91" t="e">
        <f>DU10/FD10*100</f>
        <v>#DIV/0!</v>
      </c>
      <c r="DW10" s="101"/>
      <c r="DX10" s="92" t="e">
        <f>DW10/FC10*100</f>
        <v>#DIV/0!</v>
      </c>
      <c r="DY10" s="91">
        <f>DW10</f>
        <v>0</v>
      </c>
      <c r="DZ10" s="461" t="e">
        <f>DY10/FD10*100</f>
        <v>#DIV/0!</v>
      </c>
      <c r="EA10" s="101"/>
      <c r="EB10" s="91" t="e">
        <f>+EA10/FC10*100</f>
        <v>#DIV/0!</v>
      </c>
      <c r="EC10" s="91">
        <f>+EA10</f>
        <v>0</v>
      </c>
      <c r="ED10" s="91" t="e">
        <f>+EC10/FD10*100</f>
        <v>#DIV/0!</v>
      </c>
      <c r="EE10" s="91">
        <f t="shared" ref="EE10:EE39" si="48">EA10+DO10+DS10+DW10</f>
        <v>0</v>
      </c>
      <c r="EF10" s="91" t="e">
        <f>EE10/FC10*100</f>
        <v>#DIV/0!</v>
      </c>
      <c r="EG10" s="91">
        <f>EE10</f>
        <v>0</v>
      </c>
      <c r="EH10" s="91" t="e">
        <f>EG10/FD10*100</f>
        <v>#DIV/0!</v>
      </c>
      <c r="EI10" s="101"/>
      <c r="EJ10" s="91" t="e">
        <f>EI10/FC10*100</f>
        <v>#DIV/0!</v>
      </c>
      <c r="EK10" s="91">
        <f>EI10</f>
        <v>0</v>
      </c>
      <c r="EL10" s="91" t="e">
        <f>EK10/FD10*100</f>
        <v>#DIV/0!</v>
      </c>
      <c r="EM10" s="101"/>
      <c r="EN10" s="91" t="e">
        <f>EM10/FC10*100</f>
        <v>#DIV/0!</v>
      </c>
      <c r="EO10" s="91">
        <f>EM10</f>
        <v>0</v>
      </c>
      <c r="EP10" s="91" t="e">
        <f>EO10/FD10*100</f>
        <v>#DIV/0!</v>
      </c>
      <c r="EQ10" s="101"/>
      <c r="ER10" s="91" t="e">
        <f>EQ10/FC10*100</f>
        <v>#DIV/0!</v>
      </c>
      <c r="ES10" s="91">
        <f>EQ10</f>
        <v>0</v>
      </c>
      <c r="ET10" s="91" t="e">
        <f>ES10/FD10*100</f>
        <v>#DIV/0!</v>
      </c>
      <c r="EU10" s="101"/>
      <c r="EV10" s="91" t="e">
        <f>EU10/FC10*100</f>
        <v>#DIV/0!</v>
      </c>
      <c r="EW10" s="91">
        <f>EU10</f>
        <v>0</v>
      </c>
      <c r="EX10" s="91" t="e">
        <f>EW10/FD10*100</f>
        <v>#DIV/0!</v>
      </c>
      <c r="EY10" s="91">
        <f>+EI10+EM10+EQ10</f>
        <v>0</v>
      </c>
      <c r="EZ10" s="91" t="e">
        <f>EY10/FC10*100</f>
        <v>#DIV/0!</v>
      </c>
      <c r="FA10" s="91">
        <f>EY10</f>
        <v>0</v>
      </c>
      <c r="FB10" s="91" t="e">
        <f>FA10/FD10*100</f>
        <v>#DIV/0!</v>
      </c>
      <c r="FC10" s="91">
        <f>+EE10+DK10+BW10+EY10</f>
        <v>0</v>
      </c>
      <c r="FD10" s="91">
        <f>FC10</f>
        <v>0</v>
      </c>
      <c r="FE10" s="91">
        <f t="shared" ref="FE10:FE39" si="49">FC10/1000/E10</f>
        <v>0</v>
      </c>
      <c r="FF10" s="91">
        <f t="shared" ref="FF10:FF39" si="50">(FD10/1000)/F10</f>
        <v>0</v>
      </c>
      <c r="FG10" s="6"/>
      <c r="FH10" s="460" t="e">
        <f>+FG10/EE10*100%</f>
        <v>#DIV/0!</v>
      </c>
      <c r="FI10" s="460" t="e">
        <f>(SUM($FG$10:FG10))/(SUM($EE$10:EE10))</f>
        <v>#DIV/0!</v>
      </c>
      <c r="FJ10" s="3"/>
    </row>
    <row r="11" spans="1:166">
      <c r="A11" s="16">
        <f>+Chem!A11</f>
        <v>45932</v>
      </c>
      <c r="B11" s="6" t="str">
        <f>+Chem!B11</f>
        <v>STOP</v>
      </c>
      <c r="C11" s="16" t="str">
        <f>+Chem!C11</f>
        <v>17</v>
      </c>
      <c r="D11" s="8">
        <f>+Chem!D11</f>
        <v>0</v>
      </c>
      <c r="E11" s="7">
        <f>+Chem!E11</f>
        <v>0</v>
      </c>
      <c r="F11" s="7">
        <f>+E11+F10</f>
        <v>3.3639999999999999</v>
      </c>
      <c r="G11" s="101"/>
      <c r="H11" s="91" t="e">
        <f t="shared" si="0"/>
        <v>#DIV/0!</v>
      </c>
      <c r="I11" s="8">
        <f t="shared" ref="I11:I39" si="51">G11+I10</f>
        <v>0</v>
      </c>
      <c r="J11" s="91" t="e">
        <f t="shared" si="1"/>
        <v>#DIV/0!</v>
      </c>
      <c r="K11" s="101"/>
      <c r="L11" s="91" t="e">
        <f t="shared" si="2"/>
        <v>#DIV/0!</v>
      </c>
      <c r="M11" s="91">
        <f t="shared" ref="M11:M39" si="52">+K11+M10</f>
        <v>0</v>
      </c>
      <c r="N11" s="91" t="e">
        <f t="shared" si="3"/>
        <v>#DIV/0!</v>
      </c>
      <c r="O11" s="101"/>
      <c r="P11" s="91" t="e">
        <f t="shared" si="4"/>
        <v>#DIV/0!</v>
      </c>
      <c r="Q11" s="91">
        <f t="shared" ref="Q11:Q39" si="53">+O11+Q10</f>
        <v>0</v>
      </c>
      <c r="R11" s="91" t="e">
        <f t="shared" si="5"/>
        <v>#DIV/0!</v>
      </c>
      <c r="S11" s="101"/>
      <c r="T11" s="91" t="e">
        <f t="shared" si="6"/>
        <v>#DIV/0!</v>
      </c>
      <c r="U11" s="91">
        <f t="shared" ref="U11:U39" si="54">+S11+U10</f>
        <v>0</v>
      </c>
      <c r="V11" s="91" t="e">
        <f t="shared" si="7"/>
        <v>#DIV/0!</v>
      </c>
      <c r="W11" s="101"/>
      <c r="X11" s="91" t="e">
        <f t="shared" si="8"/>
        <v>#DIV/0!</v>
      </c>
      <c r="Y11" s="91">
        <f t="shared" ref="Y11:Y39" si="55">+W11+Y10</f>
        <v>0</v>
      </c>
      <c r="Z11" s="91" t="e">
        <f t="shared" si="9"/>
        <v>#DIV/0!</v>
      </c>
      <c r="AA11" s="101"/>
      <c r="AB11" s="91" t="e">
        <f t="shared" si="10"/>
        <v>#DIV/0!</v>
      </c>
      <c r="AC11" s="91">
        <f t="shared" ref="AC11:AC39" si="56">AA11+AC10</f>
        <v>0</v>
      </c>
      <c r="AD11" s="91" t="e">
        <f t="shared" si="11"/>
        <v>#DIV/0!</v>
      </c>
      <c r="AE11" s="101"/>
      <c r="AF11" s="91" t="e">
        <f t="shared" si="12"/>
        <v>#DIV/0!</v>
      </c>
      <c r="AG11" s="91">
        <f t="shared" ref="AG11:AG39" si="57">+AE11+AG10</f>
        <v>0</v>
      </c>
      <c r="AH11" s="91" t="e">
        <f t="shared" si="13"/>
        <v>#DIV/0!</v>
      </c>
      <c r="AI11" s="101"/>
      <c r="AJ11" s="91" t="e">
        <f t="shared" si="14"/>
        <v>#DIV/0!</v>
      </c>
      <c r="AK11" s="91">
        <f t="shared" ref="AK11:AK39" si="58">AI11+AK10</f>
        <v>0</v>
      </c>
      <c r="AL11" s="91" t="e">
        <f t="shared" si="15"/>
        <v>#DIV/0!</v>
      </c>
      <c r="AM11" s="101"/>
      <c r="AN11" s="91" t="e">
        <f t="shared" si="16"/>
        <v>#DIV/0!</v>
      </c>
      <c r="AO11" s="91">
        <f t="shared" ref="AO11:AO39" si="59">+AM11+AO10</f>
        <v>0</v>
      </c>
      <c r="AP11" s="91" t="e">
        <f t="shared" si="17"/>
        <v>#DIV/0!</v>
      </c>
      <c r="AQ11" s="101"/>
      <c r="AR11" s="91" t="e">
        <f t="shared" si="18"/>
        <v>#DIV/0!</v>
      </c>
      <c r="AS11" s="91">
        <f t="shared" ref="AS11:AS39" si="60">AQ11+AS10</f>
        <v>0</v>
      </c>
      <c r="AT11" s="91" t="e">
        <f t="shared" si="19"/>
        <v>#DIV/0!</v>
      </c>
      <c r="AU11" s="252"/>
      <c r="AV11" s="91" t="e">
        <f t="shared" si="20"/>
        <v>#DIV/0!</v>
      </c>
      <c r="AW11" s="8">
        <f t="shared" ref="AW11:AW39" si="61">AU11+AW10</f>
        <v>0</v>
      </c>
      <c r="AX11" s="91" t="e">
        <f t="shared" si="21"/>
        <v>#DIV/0!</v>
      </c>
      <c r="AY11" s="101"/>
      <c r="AZ11" s="91" t="e">
        <f t="shared" si="22"/>
        <v>#DIV/0!</v>
      </c>
      <c r="BA11" s="91">
        <f t="shared" ref="BA11:BA39" si="62">AY11+BA10</f>
        <v>0</v>
      </c>
      <c r="BB11" s="91" t="e">
        <f t="shared" si="23"/>
        <v>#DIV/0!</v>
      </c>
      <c r="BC11" s="101"/>
      <c r="BD11" s="91" t="e">
        <f t="shared" si="24"/>
        <v>#DIV/0!</v>
      </c>
      <c r="BE11" s="91">
        <f t="shared" ref="BE11:BE39" si="63">BC11+BE10</f>
        <v>0</v>
      </c>
      <c r="BF11" s="91" t="e">
        <f t="shared" si="25"/>
        <v>#DIV/0!</v>
      </c>
      <c r="BG11" s="101">
        <v>0</v>
      </c>
      <c r="BH11" s="91" t="e">
        <f t="shared" si="26"/>
        <v>#DIV/0!</v>
      </c>
      <c r="BI11" s="91">
        <f t="shared" ref="BI11:BI39" si="64">BG11+BI10</f>
        <v>0</v>
      </c>
      <c r="BJ11" s="91" t="e">
        <f t="shared" si="27"/>
        <v>#DIV/0!</v>
      </c>
      <c r="BK11" s="101"/>
      <c r="BL11" s="91"/>
      <c r="BM11" s="91"/>
      <c r="BN11" s="91"/>
      <c r="BO11" s="101"/>
      <c r="BP11" s="91"/>
      <c r="BQ11" s="91"/>
      <c r="BR11" s="91"/>
      <c r="BS11" s="101"/>
      <c r="BT11" s="91"/>
      <c r="BU11" s="91"/>
      <c r="BV11" s="91"/>
      <c r="BW11" s="91">
        <f t="shared" ref="BW11:BW39" si="65">G11+AY11+BK11+BG11+BS11+BO11+AU11+AI11+BC11+AQ11+AA11+AM11+AE11+K11+W11+S11+O11</f>
        <v>0</v>
      </c>
      <c r="BX11" s="91" t="e">
        <f t="shared" si="28"/>
        <v>#DIV/0!</v>
      </c>
      <c r="BY11" s="91">
        <f t="shared" ref="BY11:BY39" si="66">BW11+BY10</f>
        <v>0</v>
      </c>
      <c r="BZ11" s="91" t="e">
        <f t="shared" si="29"/>
        <v>#DIV/0!</v>
      </c>
      <c r="CA11" s="101"/>
      <c r="CB11" s="91" t="e">
        <f t="shared" si="30"/>
        <v>#DIV/0!</v>
      </c>
      <c r="CC11" s="91"/>
      <c r="CD11" s="91" t="e">
        <f t="shared" si="31"/>
        <v>#DIV/0!</v>
      </c>
      <c r="CE11" s="101"/>
      <c r="CF11" s="91" t="e">
        <f t="shared" si="32"/>
        <v>#DIV/0!</v>
      </c>
      <c r="CG11" s="91">
        <f t="shared" ref="CG11:CG39" si="67">CE11+CG10</f>
        <v>0</v>
      </c>
      <c r="CH11" s="91" t="e">
        <f t="shared" si="33"/>
        <v>#DIV/0!</v>
      </c>
      <c r="CI11" s="101"/>
      <c r="CJ11" s="91" t="e">
        <f t="shared" si="34"/>
        <v>#DIV/0!</v>
      </c>
      <c r="CK11" s="91">
        <f t="shared" ref="CK11:CK39" si="68">CI11+CK10</f>
        <v>0</v>
      </c>
      <c r="CL11" s="91" t="e">
        <f t="shared" si="35"/>
        <v>#DIV/0!</v>
      </c>
      <c r="CM11" s="101"/>
      <c r="CN11" s="91" t="e">
        <f t="shared" si="36"/>
        <v>#DIV/0!</v>
      </c>
      <c r="CO11" s="91">
        <f t="shared" ref="CO11:CO39" si="69">CM11+CO10</f>
        <v>0</v>
      </c>
      <c r="CP11" s="91" t="e">
        <f t="shared" si="37"/>
        <v>#DIV/0!</v>
      </c>
      <c r="CQ11" s="101"/>
      <c r="CR11" s="91" t="e">
        <f t="shared" si="38"/>
        <v>#DIV/0!</v>
      </c>
      <c r="CS11" s="91">
        <f t="shared" ref="CS11:CS39" si="70">CQ11+CS10</f>
        <v>0</v>
      </c>
      <c r="CT11" s="91" t="e">
        <f t="shared" si="39"/>
        <v>#DIV/0!</v>
      </c>
      <c r="CU11" s="101"/>
      <c r="CV11" s="91" t="e">
        <f t="shared" si="40"/>
        <v>#DIV/0!</v>
      </c>
      <c r="CW11" s="91">
        <f t="shared" ref="CW11:CW39" si="71">CU11+CW10</f>
        <v>0</v>
      </c>
      <c r="CX11" s="91" t="e">
        <f t="shared" si="41"/>
        <v>#DIV/0!</v>
      </c>
      <c r="CY11" s="101"/>
      <c r="CZ11" s="91" t="e">
        <f t="shared" si="42"/>
        <v>#DIV/0!</v>
      </c>
      <c r="DA11" s="91">
        <f t="shared" ref="DA11:DA39" si="72">CY11+DA10</f>
        <v>0</v>
      </c>
      <c r="DB11" s="91" t="e">
        <f t="shared" si="43"/>
        <v>#DIV/0!</v>
      </c>
      <c r="DC11" s="101"/>
      <c r="DD11" s="91" t="e">
        <f t="shared" si="44"/>
        <v>#DIV/0!</v>
      </c>
      <c r="DE11" s="91">
        <f t="shared" ref="DE11:DE39" si="73">DC11+DE10</f>
        <v>0</v>
      </c>
      <c r="DF11" s="91" t="e">
        <f t="shared" si="45"/>
        <v>#DIV/0!</v>
      </c>
      <c r="DG11" s="101"/>
      <c r="DH11" s="91"/>
      <c r="DI11" s="91"/>
      <c r="DJ11" s="91"/>
      <c r="DK11" s="91">
        <f t="shared" ref="DK11:DK39" si="74">CA11+CE11+CI11+CM11+CQ11+CU11+CY11+DC11</f>
        <v>0</v>
      </c>
      <c r="DL11" s="91" t="e">
        <f t="shared" si="46"/>
        <v>#DIV/0!</v>
      </c>
      <c r="DM11" s="91">
        <f t="shared" ref="DM11:DM39" si="75">DK11+DM10</f>
        <v>0</v>
      </c>
      <c r="DN11" s="91" t="e">
        <f t="shared" si="47"/>
        <v>#DIV/0!</v>
      </c>
      <c r="DO11" s="101"/>
      <c r="DP11" s="91" t="e">
        <f t="shared" ref="DP11:DP39" si="76">DO11/FC11*100</f>
        <v>#DIV/0!</v>
      </c>
      <c r="DQ11" s="91">
        <f t="shared" ref="DQ11:DQ39" si="77">DO11+DQ10</f>
        <v>0</v>
      </c>
      <c r="DR11" s="91" t="e">
        <f t="shared" ref="DR11:DR39" si="78">DQ11/FD11*100</f>
        <v>#DIV/0!</v>
      </c>
      <c r="DS11" s="101"/>
      <c r="DT11" s="92" t="e">
        <f t="shared" ref="DT11:DT39" si="79">DS11/FC11*100</f>
        <v>#DIV/0!</v>
      </c>
      <c r="DU11" s="91">
        <f t="shared" ref="DU11:DU39" si="80">DS11+DU10</f>
        <v>0</v>
      </c>
      <c r="DV11" s="91" t="e">
        <f t="shared" ref="DV11:DV39" si="81">DU11/FD11*100</f>
        <v>#DIV/0!</v>
      </c>
      <c r="DW11" s="101"/>
      <c r="DX11" s="92" t="e">
        <f t="shared" ref="DX11:DX39" si="82">DW11/FC11*100</f>
        <v>#DIV/0!</v>
      </c>
      <c r="DY11" s="91">
        <f t="shared" ref="DY11:DY39" si="83">DW11</f>
        <v>0</v>
      </c>
      <c r="DZ11" s="461" t="e">
        <f t="shared" ref="DZ11:DZ39" si="84">DY11/FD11*100</f>
        <v>#DIV/0!</v>
      </c>
      <c r="EA11" s="101"/>
      <c r="EB11" s="91" t="e">
        <f t="shared" ref="EB11:EB39" si="85">+EA11/FC11*100</f>
        <v>#DIV/0!</v>
      </c>
      <c r="EC11" s="91">
        <f t="shared" ref="EC11:EC39" si="86">+EA11+EC10</f>
        <v>0</v>
      </c>
      <c r="ED11" s="91" t="e">
        <f t="shared" ref="ED11:ED39" si="87">+EC11/FD11*100</f>
        <v>#DIV/0!</v>
      </c>
      <c r="EE11" s="91">
        <f t="shared" si="48"/>
        <v>0</v>
      </c>
      <c r="EF11" s="91" t="e">
        <f t="shared" ref="EF11:EF39" si="88">EE11/FC11*100</f>
        <v>#DIV/0!</v>
      </c>
      <c r="EG11" s="91">
        <f t="shared" ref="EG11:EG39" si="89">EE11+EG10</f>
        <v>0</v>
      </c>
      <c r="EH11" s="91" t="e">
        <f t="shared" ref="EH11:EH39" si="90">EG11/FD11*100</f>
        <v>#DIV/0!</v>
      </c>
      <c r="EI11" s="101"/>
      <c r="EJ11" s="91" t="e">
        <f t="shared" ref="EJ11:EJ40" si="91">EI11/FC11*100</f>
        <v>#DIV/0!</v>
      </c>
      <c r="EK11" s="91">
        <f t="shared" ref="EK11:EK39" si="92">EI11+EK10</f>
        <v>0</v>
      </c>
      <c r="EL11" s="91" t="e">
        <f t="shared" ref="EL11:EL40" si="93">EK11/FD11*100</f>
        <v>#DIV/0!</v>
      </c>
      <c r="EM11" s="101"/>
      <c r="EN11" s="91" t="e">
        <f t="shared" ref="EN11:EN40" si="94">EM11/FC11*100</f>
        <v>#DIV/0!</v>
      </c>
      <c r="EO11" s="91">
        <f t="shared" ref="EO11:EO39" si="95">EM11+EO10</f>
        <v>0</v>
      </c>
      <c r="EP11" s="91" t="e">
        <f t="shared" ref="EP11:EP40" si="96">EO11/FD11*100</f>
        <v>#DIV/0!</v>
      </c>
      <c r="EQ11" s="101"/>
      <c r="ER11" s="91" t="e">
        <f t="shared" ref="ER11:ER40" si="97">EQ11/FC11*100</f>
        <v>#DIV/0!</v>
      </c>
      <c r="ES11" s="91">
        <f t="shared" ref="ES11:ES39" si="98">EQ11+ES10</f>
        <v>0</v>
      </c>
      <c r="ET11" s="91" t="e">
        <f t="shared" ref="ET11:ET40" si="99">ES11/FD11*100</f>
        <v>#DIV/0!</v>
      </c>
      <c r="EU11" s="101"/>
      <c r="EV11" s="91" t="e">
        <f t="shared" ref="EV11:EV40" si="100">EU11/FC11*100</f>
        <v>#DIV/0!</v>
      </c>
      <c r="EW11" s="91">
        <f t="shared" ref="EW11:EW40" si="101">EU11+EW10</f>
        <v>0</v>
      </c>
      <c r="EX11" s="91" t="e">
        <f t="shared" ref="EX11:EX40" si="102">EW11/FD11*100</f>
        <v>#DIV/0!</v>
      </c>
      <c r="EY11" s="91">
        <f t="shared" ref="EY11:EY41" si="103">+EI11+EM11+EQ11</f>
        <v>0</v>
      </c>
      <c r="EZ11" s="91" t="e">
        <f t="shared" ref="EZ11:EZ40" si="104">EY11/FC11*100</f>
        <v>#DIV/0!</v>
      </c>
      <c r="FA11" s="91">
        <f t="shared" ref="FA11:FA39" si="105">EY11+FA10</f>
        <v>0</v>
      </c>
      <c r="FB11" s="91" t="e">
        <f t="shared" ref="FB11:FB40" si="106">FA11/FD11*100</f>
        <v>#DIV/0!</v>
      </c>
      <c r="FC11" s="91">
        <f t="shared" ref="FC11:FC12" si="107">+EE11+DK11+BW11</f>
        <v>0</v>
      </c>
      <c r="FD11" s="91">
        <f t="shared" ref="FD11:FD39" si="108">FC11+FD10</f>
        <v>0</v>
      </c>
      <c r="FE11" s="91" t="e">
        <f t="shared" si="49"/>
        <v>#DIV/0!</v>
      </c>
      <c r="FF11" s="91">
        <f t="shared" si="50"/>
        <v>0</v>
      </c>
      <c r="FG11" s="6"/>
      <c r="FH11" s="460" t="e">
        <f t="shared" ref="FH11:FH39" si="109">+FG11/EE11*100%</f>
        <v>#DIV/0!</v>
      </c>
      <c r="FI11" s="460" t="e">
        <f>(SUM($FG$10:FG11))/(SUM($EE$10:EE11))</f>
        <v>#DIV/0!</v>
      </c>
      <c r="FJ11" s="3"/>
    </row>
    <row r="12" spans="1:166">
      <c r="A12" s="16">
        <f>+Chem!A12</f>
        <v>45933</v>
      </c>
      <c r="B12" s="6" t="str">
        <f>+Chem!B12</f>
        <v>STOP</v>
      </c>
      <c r="C12" s="16" t="str">
        <f>+Chem!C12</f>
        <v>17</v>
      </c>
      <c r="D12" s="8">
        <f>+Chem!D12</f>
        <v>0</v>
      </c>
      <c r="E12" s="7">
        <f>+Chem!E12</f>
        <v>0</v>
      </c>
      <c r="F12" s="7">
        <f t="shared" ref="F12:F39" si="110">+E12+F11</f>
        <v>3.3639999999999999</v>
      </c>
      <c r="G12" s="101"/>
      <c r="H12" s="91" t="e">
        <f t="shared" si="0"/>
        <v>#DIV/0!</v>
      </c>
      <c r="I12" s="8">
        <f t="shared" si="51"/>
        <v>0</v>
      </c>
      <c r="J12" s="91" t="e">
        <f t="shared" si="1"/>
        <v>#DIV/0!</v>
      </c>
      <c r="K12" s="101"/>
      <c r="L12" s="91" t="e">
        <f t="shared" si="2"/>
        <v>#DIV/0!</v>
      </c>
      <c r="M12" s="91">
        <f t="shared" si="52"/>
        <v>0</v>
      </c>
      <c r="N12" s="91" t="e">
        <f t="shared" si="3"/>
        <v>#DIV/0!</v>
      </c>
      <c r="O12" s="101"/>
      <c r="P12" s="91" t="e">
        <f t="shared" si="4"/>
        <v>#DIV/0!</v>
      </c>
      <c r="Q12" s="91">
        <f t="shared" si="53"/>
        <v>0</v>
      </c>
      <c r="R12" s="91" t="e">
        <f t="shared" si="5"/>
        <v>#DIV/0!</v>
      </c>
      <c r="S12" s="101"/>
      <c r="T12" s="91" t="e">
        <f t="shared" si="6"/>
        <v>#DIV/0!</v>
      </c>
      <c r="U12" s="91">
        <f t="shared" si="54"/>
        <v>0</v>
      </c>
      <c r="V12" s="91" t="e">
        <f t="shared" si="7"/>
        <v>#DIV/0!</v>
      </c>
      <c r="W12" s="101"/>
      <c r="X12" s="91" t="e">
        <f t="shared" si="8"/>
        <v>#DIV/0!</v>
      </c>
      <c r="Y12" s="91">
        <f t="shared" si="55"/>
        <v>0</v>
      </c>
      <c r="Z12" s="91" t="e">
        <f t="shared" si="9"/>
        <v>#DIV/0!</v>
      </c>
      <c r="AA12" s="101"/>
      <c r="AB12" s="91" t="e">
        <f t="shared" si="10"/>
        <v>#DIV/0!</v>
      </c>
      <c r="AC12" s="91">
        <f t="shared" si="56"/>
        <v>0</v>
      </c>
      <c r="AD12" s="91" t="e">
        <f t="shared" si="11"/>
        <v>#DIV/0!</v>
      </c>
      <c r="AE12" s="101"/>
      <c r="AF12" s="91" t="e">
        <f t="shared" si="12"/>
        <v>#DIV/0!</v>
      </c>
      <c r="AG12" s="91">
        <f t="shared" si="57"/>
        <v>0</v>
      </c>
      <c r="AH12" s="91" t="e">
        <f t="shared" si="13"/>
        <v>#DIV/0!</v>
      </c>
      <c r="AI12" s="101"/>
      <c r="AJ12" s="91" t="e">
        <f t="shared" si="14"/>
        <v>#DIV/0!</v>
      </c>
      <c r="AK12" s="91">
        <f t="shared" si="58"/>
        <v>0</v>
      </c>
      <c r="AL12" s="91" t="e">
        <f t="shared" si="15"/>
        <v>#DIV/0!</v>
      </c>
      <c r="AM12" s="101"/>
      <c r="AN12" s="91" t="e">
        <f t="shared" si="16"/>
        <v>#DIV/0!</v>
      </c>
      <c r="AO12" s="91">
        <f t="shared" si="59"/>
        <v>0</v>
      </c>
      <c r="AP12" s="91" t="e">
        <f t="shared" si="17"/>
        <v>#DIV/0!</v>
      </c>
      <c r="AQ12" s="101"/>
      <c r="AR12" s="91" t="e">
        <f t="shared" si="18"/>
        <v>#DIV/0!</v>
      </c>
      <c r="AS12" s="91">
        <f t="shared" si="60"/>
        <v>0</v>
      </c>
      <c r="AT12" s="91" t="e">
        <f t="shared" si="19"/>
        <v>#DIV/0!</v>
      </c>
      <c r="AU12" s="252"/>
      <c r="AV12" s="91" t="e">
        <f t="shared" si="20"/>
        <v>#DIV/0!</v>
      </c>
      <c r="AW12" s="8">
        <f t="shared" si="61"/>
        <v>0</v>
      </c>
      <c r="AX12" s="91" t="e">
        <f t="shared" si="21"/>
        <v>#DIV/0!</v>
      </c>
      <c r="AY12" s="101"/>
      <c r="AZ12" s="91" t="e">
        <f t="shared" si="22"/>
        <v>#DIV/0!</v>
      </c>
      <c r="BA12" s="91">
        <f t="shared" si="62"/>
        <v>0</v>
      </c>
      <c r="BB12" s="91" t="e">
        <f t="shared" si="23"/>
        <v>#DIV/0!</v>
      </c>
      <c r="BC12" s="101"/>
      <c r="BD12" s="91" t="e">
        <f t="shared" si="24"/>
        <v>#DIV/0!</v>
      </c>
      <c r="BE12" s="91">
        <f t="shared" si="63"/>
        <v>0</v>
      </c>
      <c r="BF12" s="91" t="e">
        <f t="shared" si="25"/>
        <v>#DIV/0!</v>
      </c>
      <c r="BG12" s="101"/>
      <c r="BH12" s="91" t="e">
        <f t="shared" si="26"/>
        <v>#DIV/0!</v>
      </c>
      <c r="BI12" s="91">
        <f t="shared" si="64"/>
        <v>0</v>
      </c>
      <c r="BJ12" s="91" t="e">
        <f t="shared" si="27"/>
        <v>#DIV/0!</v>
      </c>
      <c r="BK12" s="101"/>
      <c r="BL12" s="91"/>
      <c r="BM12" s="91"/>
      <c r="BN12" s="91"/>
      <c r="BO12" s="101"/>
      <c r="BP12" s="91"/>
      <c r="BQ12" s="91"/>
      <c r="BR12" s="91"/>
      <c r="BS12" s="101"/>
      <c r="BT12" s="91"/>
      <c r="BU12" s="91"/>
      <c r="BV12" s="91"/>
      <c r="BW12" s="91">
        <f t="shared" si="65"/>
        <v>0</v>
      </c>
      <c r="BX12" s="91" t="e">
        <f t="shared" si="28"/>
        <v>#DIV/0!</v>
      </c>
      <c r="BY12" s="91">
        <f t="shared" si="66"/>
        <v>0</v>
      </c>
      <c r="BZ12" s="91" t="e">
        <f t="shared" si="29"/>
        <v>#DIV/0!</v>
      </c>
      <c r="CA12" s="101"/>
      <c r="CB12" s="91" t="e">
        <f t="shared" si="30"/>
        <v>#DIV/0!</v>
      </c>
      <c r="CC12" s="91"/>
      <c r="CD12" s="91" t="e">
        <f t="shared" si="31"/>
        <v>#DIV/0!</v>
      </c>
      <c r="CE12" s="101"/>
      <c r="CF12" s="91" t="e">
        <f t="shared" si="32"/>
        <v>#DIV/0!</v>
      </c>
      <c r="CG12" s="91">
        <f t="shared" si="67"/>
        <v>0</v>
      </c>
      <c r="CH12" s="91" t="e">
        <f t="shared" si="33"/>
        <v>#DIV/0!</v>
      </c>
      <c r="CI12" s="101"/>
      <c r="CJ12" s="91" t="e">
        <f t="shared" si="34"/>
        <v>#DIV/0!</v>
      </c>
      <c r="CK12" s="91">
        <f t="shared" si="68"/>
        <v>0</v>
      </c>
      <c r="CL12" s="91" t="e">
        <f t="shared" si="35"/>
        <v>#DIV/0!</v>
      </c>
      <c r="CM12" s="101"/>
      <c r="CN12" s="91" t="e">
        <f t="shared" si="36"/>
        <v>#DIV/0!</v>
      </c>
      <c r="CO12" s="91">
        <f t="shared" si="69"/>
        <v>0</v>
      </c>
      <c r="CP12" s="91" t="e">
        <f t="shared" si="37"/>
        <v>#DIV/0!</v>
      </c>
      <c r="CQ12" s="101"/>
      <c r="CR12" s="91" t="e">
        <f t="shared" si="38"/>
        <v>#DIV/0!</v>
      </c>
      <c r="CS12" s="91">
        <f t="shared" si="70"/>
        <v>0</v>
      </c>
      <c r="CT12" s="91" t="e">
        <f t="shared" si="39"/>
        <v>#DIV/0!</v>
      </c>
      <c r="CU12" s="101"/>
      <c r="CV12" s="91" t="e">
        <f t="shared" si="40"/>
        <v>#DIV/0!</v>
      </c>
      <c r="CW12" s="91">
        <f t="shared" si="71"/>
        <v>0</v>
      </c>
      <c r="CX12" s="91" t="e">
        <f t="shared" si="41"/>
        <v>#DIV/0!</v>
      </c>
      <c r="CY12" s="101"/>
      <c r="CZ12" s="91" t="e">
        <f t="shared" si="42"/>
        <v>#DIV/0!</v>
      </c>
      <c r="DA12" s="91">
        <f t="shared" si="72"/>
        <v>0</v>
      </c>
      <c r="DB12" s="91" t="e">
        <f t="shared" si="43"/>
        <v>#DIV/0!</v>
      </c>
      <c r="DC12" s="101"/>
      <c r="DD12" s="91" t="e">
        <f t="shared" si="44"/>
        <v>#DIV/0!</v>
      </c>
      <c r="DE12" s="91">
        <f t="shared" si="73"/>
        <v>0</v>
      </c>
      <c r="DF12" s="91" t="e">
        <f t="shared" si="45"/>
        <v>#DIV/0!</v>
      </c>
      <c r="DG12" s="101"/>
      <c r="DH12" s="91"/>
      <c r="DI12" s="91"/>
      <c r="DJ12" s="91"/>
      <c r="DK12" s="91">
        <f t="shared" si="74"/>
        <v>0</v>
      </c>
      <c r="DL12" s="91" t="e">
        <f t="shared" si="46"/>
        <v>#DIV/0!</v>
      </c>
      <c r="DM12" s="91">
        <f t="shared" si="75"/>
        <v>0</v>
      </c>
      <c r="DN12" s="91" t="e">
        <f t="shared" si="47"/>
        <v>#DIV/0!</v>
      </c>
      <c r="DO12" s="101"/>
      <c r="DP12" s="91" t="e">
        <f t="shared" si="76"/>
        <v>#DIV/0!</v>
      </c>
      <c r="DQ12" s="91">
        <f t="shared" si="77"/>
        <v>0</v>
      </c>
      <c r="DR12" s="91" t="e">
        <f t="shared" si="78"/>
        <v>#DIV/0!</v>
      </c>
      <c r="DS12" s="101"/>
      <c r="DT12" s="92" t="e">
        <f t="shared" si="79"/>
        <v>#DIV/0!</v>
      </c>
      <c r="DU12" s="91">
        <f t="shared" si="80"/>
        <v>0</v>
      </c>
      <c r="DV12" s="91" t="e">
        <f t="shared" si="81"/>
        <v>#DIV/0!</v>
      </c>
      <c r="DW12" s="101"/>
      <c r="DX12" s="92" t="e">
        <f t="shared" si="82"/>
        <v>#DIV/0!</v>
      </c>
      <c r="DY12" s="91">
        <f t="shared" si="83"/>
        <v>0</v>
      </c>
      <c r="DZ12" s="461" t="e">
        <f t="shared" si="84"/>
        <v>#DIV/0!</v>
      </c>
      <c r="EA12" s="101"/>
      <c r="EB12" s="91" t="e">
        <f t="shared" si="85"/>
        <v>#DIV/0!</v>
      </c>
      <c r="EC12" s="91">
        <f t="shared" si="86"/>
        <v>0</v>
      </c>
      <c r="ED12" s="91" t="e">
        <f t="shared" si="87"/>
        <v>#DIV/0!</v>
      </c>
      <c r="EE12" s="91">
        <f t="shared" si="48"/>
        <v>0</v>
      </c>
      <c r="EF12" s="91" t="e">
        <f t="shared" si="88"/>
        <v>#DIV/0!</v>
      </c>
      <c r="EG12" s="91">
        <f t="shared" si="89"/>
        <v>0</v>
      </c>
      <c r="EH12" s="91" t="e">
        <f t="shared" si="90"/>
        <v>#DIV/0!</v>
      </c>
      <c r="EI12" s="101"/>
      <c r="EJ12" s="91" t="e">
        <f t="shared" si="91"/>
        <v>#DIV/0!</v>
      </c>
      <c r="EK12" s="91">
        <f t="shared" si="92"/>
        <v>0</v>
      </c>
      <c r="EL12" s="91" t="e">
        <f t="shared" si="93"/>
        <v>#DIV/0!</v>
      </c>
      <c r="EM12" s="101"/>
      <c r="EN12" s="91" t="e">
        <f t="shared" si="94"/>
        <v>#DIV/0!</v>
      </c>
      <c r="EO12" s="91">
        <f t="shared" si="95"/>
        <v>0</v>
      </c>
      <c r="EP12" s="91" t="e">
        <f t="shared" si="96"/>
        <v>#DIV/0!</v>
      </c>
      <c r="EQ12" s="101"/>
      <c r="ER12" s="91" t="e">
        <f t="shared" si="97"/>
        <v>#DIV/0!</v>
      </c>
      <c r="ES12" s="91">
        <f t="shared" si="98"/>
        <v>0</v>
      </c>
      <c r="ET12" s="91" t="e">
        <f t="shared" si="99"/>
        <v>#DIV/0!</v>
      </c>
      <c r="EU12" s="101"/>
      <c r="EV12" s="91" t="e">
        <f t="shared" si="100"/>
        <v>#DIV/0!</v>
      </c>
      <c r="EW12" s="91">
        <f t="shared" si="101"/>
        <v>0</v>
      </c>
      <c r="EX12" s="91" t="e">
        <f t="shared" si="102"/>
        <v>#DIV/0!</v>
      </c>
      <c r="EY12" s="91">
        <f t="shared" si="103"/>
        <v>0</v>
      </c>
      <c r="EZ12" s="91" t="e">
        <f t="shared" si="104"/>
        <v>#DIV/0!</v>
      </c>
      <c r="FA12" s="91">
        <f t="shared" si="105"/>
        <v>0</v>
      </c>
      <c r="FB12" s="91" t="e">
        <f t="shared" si="106"/>
        <v>#DIV/0!</v>
      </c>
      <c r="FC12" s="91">
        <f t="shared" si="107"/>
        <v>0</v>
      </c>
      <c r="FD12" s="91">
        <f t="shared" si="108"/>
        <v>0</v>
      </c>
      <c r="FE12" s="91" t="e">
        <f t="shared" si="49"/>
        <v>#DIV/0!</v>
      </c>
      <c r="FF12" s="91">
        <f t="shared" si="50"/>
        <v>0</v>
      </c>
      <c r="FG12" s="6"/>
      <c r="FH12" s="460" t="e">
        <f t="shared" si="109"/>
        <v>#DIV/0!</v>
      </c>
      <c r="FI12" s="460" t="e">
        <f>(SUM($FG$10:FG12))/(SUM($EE$10:EE12))</f>
        <v>#DIV/0!</v>
      </c>
      <c r="FJ12" s="3"/>
    </row>
    <row r="13" spans="1:166">
      <c r="A13" s="16">
        <f>+Chem!A13</f>
        <v>45934</v>
      </c>
      <c r="B13" s="6" t="str">
        <f>+Chem!B13</f>
        <v>STOP</v>
      </c>
      <c r="C13" s="16" t="str">
        <f>+Chem!C13</f>
        <v>17</v>
      </c>
      <c r="D13" s="8">
        <f>+Chem!D13</f>
        <v>0</v>
      </c>
      <c r="E13" s="7">
        <f>+Chem!E13</f>
        <v>0</v>
      </c>
      <c r="F13" s="7">
        <f t="shared" si="110"/>
        <v>3.3639999999999999</v>
      </c>
      <c r="G13" s="101"/>
      <c r="H13" s="91" t="e">
        <f t="shared" si="0"/>
        <v>#DIV/0!</v>
      </c>
      <c r="I13" s="8">
        <f t="shared" si="51"/>
        <v>0</v>
      </c>
      <c r="J13" s="91" t="e">
        <f t="shared" si="1"/>
        <v>#DIV/0!</v>
      </c>
      <c r="K13" s="101"/>
      <c r="L13" s="91" t="e">
        <f t="shared" si="2"/>
        <v>#DIV/0!</v>
      </c>
      <c r="M13" s="91">
        <f t="shared" si="52"/>
        <v>0</v>
      </c>
      <c r="N13" s="91" t="e">
        <f t="shared" si="3"/>
        <v>#DIV/0!</v>
      </c>
      <c r="O13" s="101"/>
      <c r="P13" s="91" t="e">
        <f t="shared" si="4"/>
        <v>#DIV/0!</v>
      </c>
      <c r="Q13" s="91">
        <f t="shared" si="53"/>
        <v>0</v>
      </c>
      <c r="R13" s="91" t="e">
        <f t="shared" si="5"/>
        <v>#DIV/0!</v>
      </c>
      <c r="S13" s="101"/>
      <c r="T13" s="91" t="e">
        <f t="shared" si="6"/>
        <v>#DIV/0!</v>
      </c>
      <c r="U13" s="91">
        <f t="shared" si="54"/>
        <v>0</v>
      </c>
      <c r="V13" s="91" t="e">
        <f t="shared" si="7"/>
        <v>#DIV/0!</v>
      </c>
      <c r="W13" s="101"/>
      <c r="X13" s="91" t="e">
        <f t="shared" si="8"/>
        <v>#DIV/0!</v>
      </c>
      <c r="Y13" s="91">
        <f t="shared" si="55"/>
        <v>0</v>
      </c>
      <c r="Z13" s="91" t="e">
        <f t="shared" si="9"/>
        <v>#DIV/0!</v>
      </c>
      <c r="AA13" s="101"/>
      <c r="AB13" s="91" t="e">
        <f t="shared" si="10"/>
        <v>#DIV/0!</v>
      </c>
      <c r="AC13" s="91">
        <f t="shared" si="56"/>
        <v>0</v>
      </c>
      <c r="AD13" s="91" t="e">
        <f t="shared" si="11"/>
        <v>#DIV/0!</v>
      </c>
      <c r="AE13" s="101"/>
      <c r="AF13" s="91" t="e">
        <f t="shared" si="12"/>
        <v>#DIV/0!</v>
      </c>
      <c r="AG13" s="91">
        <f t="shared" si="57"/>
        <v>0</v>
      </c>
      <c r="AH13" s="91" t="e">
        <f t="shared" si="13"/>
        <v>#DIV/0!</v>
      </c>
      <c r="AI13" s="101"/>
      <c r="AJ13" s="91" t="e">
        <f t="shared" si="14"/>
        <v>#DIV/0!</v>
      </c>
      <c r="AK13" s="91">
        <f t="shared" si="58"/>
        <v>0</v>
      </c>
      <c r="AL13" s="91" t="e">
        <f t="shared" si="15"/>
        <v>#DIV/0!</v>
      </c>
      <c r="AM13" s="101"/>
      <c r="AN13" s="91" t="e">
        <f t="shared" si="16"/>
        <v>#DIV/0!</v>
      </c>
      <c r="AO13" s="91">
        <f t="shared" si="59"/>
        <v>0</v>
      </c>
      <c r="AP13" s="91" t="e">
        <f t="shared" si="17"/>
        <v>#DIV/0!</v>
      </c>
      <c r="AQ13" s="101"/>
      <c r="AR13" s="91" t="e">
        <f t="shared" si="18"/>
        <v>#DIV/0!</v>
      </c>
      <c r="AS13" s="91">
        <f t="shared" si="60"/>
        <v>0</v>
      </c>
      <c r="AT13" s="91" t="e">
        <f t="shared" si="19"/>
        <v>#DIV/0!</v>
      </c>
      <c r="AU13" s="252"/>
      <c r="AV13" s="91" t="e">
        <f t="shared" si="20"/>
        <v>#DIV/0!</v>
      </c>
      <c r="AW13" s="8">
        <f t="shared" si="61"/>
        <v>0</v>
      </c>
      <c r="AX13" s="91" t="e">
        <f t="shared" si="21"/>
        <v>#DIV/0!</v>
      </c>
      <c r="AY13" s="101"/>
      <c r="AZ13" s="91" t="e">
        <f t="shared" si="22"/>
        <v>#DIV/0!</v>
      </c>
      <c r="BA13" s="91">
        <f t="shared" si="62"/>
        <v>0</v>
      </c>
      <c r="BB13" s="91" t="e">
        <f t="shared" si="23"/>
        <v>#DIV/0!</v>
      </c>
      <c r="BC13" s="101"/>
      <c r="BD13" s="91" t="e">
        <f t="shared" si="24"/>
        <v>#DIV/0!</v>
      </c>
      <c r="BE13" s="91">
        <f t="shared" si="63"/>
        <v>0</v>
      </c>
      <c r="BF13" s="91" t="e">
        <f t="shared" si="25"/>
        <v>#DIV/0!</v>
      </c>
      <c r="BG13" s="101"/>
      <c r="BH13" s="91" t="e">
        <f t="shared" si="26"/>
        <v>#DIV/0!</v>
      </c>
      <c r="BI13" s="91">
        <f t="shared" si="64"/>
        <v>0</v>
      </c>
      <c r="BJ13" s="91" t="e">
        <f t="shared" si="27"/>
        <v>#DIV/0!</v>
      </c>
      <c r="BK13" s="101"/>
      <c r="BL13" s="91"/>
      <c r="BM13" s="91"/>
      <c r="BN13" s="91"/>
      <c r="BO13" s="101"/>
      <c r="BP13" s="91"/>
      <c r="BQ13" s="91"/>
      <c r="BR13" s="91"/>
      <c r="BS13" s="101"/>
      <c r="BT13" s="91"/>
      <c r="BU13" s="91"/>
      <c r="BV13" s="91"/>
      <c r="BW13" s="91">
        <f t="shared" si="65"/>
        <v>0</v>
      </c>
      <c r="BX13" s="91" t="e">
        <f t="shared" si="28"/>
        <v>#DIV/0!</v>
      </c>
      <c r="BY13" s="91">
        <f t="shared" si="66"/>
        <v>0</v>
      </c>
      <c r="BZ13" s="91" t="e">
        <f t="shared" si="29"/>
        <v>#DIV/0!</v>
      </c>
      <c r="CA13" s="101"/>
      <c r="CB13" s="91" t="e">
        <f t="shared" si="30"/>
        <v>#DIV/0!</v>
      </c>
      <c r="CC13" s="91"/>
      <c r="CD13" s="91" t="e">
        <f t="shared" si="31"/>
        <v>#DIV/0!</v>
      </c>
      <c r="CE13" s="101"/>
      <c r="CF13" s="91" t="e">
        <f t="shared" si="32"/>
        <v>#DIV/0!</v>
      </c>
      <c r="CG13" s="91">
        <f t="shared" si="67"/>
        <v>0</v>
      </c>
      <c r="CH13" s="91" t="e">
        <f t="shared" si="33"/>
        <v>#DIV/0!</v>
      </c>
      <c r="CI13" s="101"/>
      <c r="CJ13" s="91" t="e">
        <f t="shared" si="34"/>
        <v>#DIV/0!</v>
      </c>
      <c r="CK13" s="91">
        <f t="shared" si="68"/>
        <v>0</v>
      </c>
      <c r="CL13" s="91" t="e">
        <f t="shared" si="35"/>
        <v>#DIV/0!</v>
      </c>
      <c r="CM13" s="101"/>
      <c r="CN13" s="91" t="e">
        <f t="shared" si="36"/>
        <v>#DIV/0!</v>
      </c>
      <c r="CO13" s="91">
        <f t="shared" si="69"/>
        <v>0</v>
      </c>
      <c r="CP13" s="91" t="e">
        <f t="shared" si="37"/>
        <v>#DIV/0!</v>
      </c>
      <c r="CQ13" s="101"/>
      <c r="CR13" s="91" t="e">
        <f t="shared" si="38"/>
        <v>#DIV/0!</v>
      </c>
      <c r="CS13" s="91">
        <f t="shared" si="70"/>
        <v>0</v>
      </c>
      <c r="CT13" s="91" t="e">
        <f t="shared" si="39"/>
        <v>#DIV/0!</v>
      </c>
      <c r="CU13" s="101"/>
      <c r="CV13" s="91" t="e">
        <f t="shared" si="40"/>
        <v>#DIV/0!</v>
      </c>
      <c r="CW13" s="91">
        <f t="shared" si="71"/>
        <v>0</v>
      </c>
      <c r="CX13" s="91" t="e">
        <f t="shared" si="41"/>
        <v>#DIV/0!</v>
      </c>
      <c r="CY13" s="101"/>
      <c r="CZ13" s="91" t="e">
        <f t="shared" si="42"/>
        <v>#DIV/0!</v>
      </c>
      <c r="DA13" s="91">
        <f t="shared" si="72"/>
        <v>0</v>
      </c>
      <c r="DB13" s="91" t="e">
        <f t="shared" si="43"/>
        <v>#DIV/0!</v>
      </c>
      <c r="DC13" s="101"/>
      <c r="DD13" s="91" t="e">
        <f t="shared" si="44"/>
        <v>#DIV/0!</v>
      </c>
      <c r="DE13" s="91">
        <f t="shared" si="73"/>
        <v>0</v>
      </c>
      <c r="DF13" s="91" t="e">
        <f t="shared" si="45"/>
        <v>#DIV/0!</v>
      </c>
      <c r="DG13" s="101"/>
      <c r="DH13" s="91"/>
      <c r="DI13" s="91"/>
      <c r="DJ13" s="91"/>
      <c r="DK13" s="91">
        <f t="shared" si="74"/>
        <v>0</v>
      </c>
      <c r="DL13" s="91" t="e">
        <f t="shared" si="46"/>
        <v>#DIV/0!</v>
      </c>
      <c r="DM13" s="91">
        <f t="shared" si="75"/>
        <v>0</v>
      </c>
      <c r="DN13" s="91" t="e">
        <f t="shared" si="47"/>
        <v>#DIV/0!</v>
      </c>
      <c r="DO13" s="101"/>
      <c r="DP13" s="91" t="e">
        <f t="shared" si="76"/>
        <v>#DIV/0!</v>
      </c>
      <c r="DQ13" s="91">
        <f t="shared" si="77"/>
        <v>0</v>
      </c>
      <c r="DR13" s="91" t="e">
        <f t="shared" si="78"/>
        <v>#DIV/0!</v>
      </c>
      <c r="DS13" s="101"/>
      <c r="DT13" s="92" t="e">
        <f t="shared" si="79"/>
        <v>#DIV/0!</v>
      </c>
      <c r="DU13" s="91">
        <f t="shared" si="80"/>
        <v>0</v>
      </c>
      <c r="DV13" s="91" t="e">
        <f t="shared" si="81"/>
        <v>#DIV/0!</v>
      </c>
      <c r="DW13" s="101"/>
      <c r="DX13" s="92" t="e">
        <f t="shared" si="82"/>
        <v>#DIV/0!</v>
      </c>
      <c r="DY13" s="91">
        <f t="shared" si="83"/>
        <v>0</v>
      </c>
      <c r="DZ13" s="461" t="e">
        <f t="shared" si="84"/>
        <v>#DIV/0!</v>
      </c>
      <c r="EA13" s="101"/>
      <c r="EB13" s="91" t="e">
        <f t="shared" si="85"/>
        <v>#DIV/0!</v>
      </c>
      <c r="EC13" s="91">
        <f t="shared" si="86"/>
        <v>0</v>
      </c>
      <c r="ED13" s="91" t="e">
        <f t="shared" si="87"/>
        <v>#DIV/0!</v>
      </c>
      <c r="EE13" s="91">
        <f t="shared" si="48"/>
        <v>0</v>
      </c>
      <c r="EF13" s="91" t="e">
        <f t="shared" si="88"/>
        <v>#DIV/0!</v>
      </c>
      <c r="EG13" s="91">
        <f t="shared" si="89"/>
        <v>0</v>
      </c>
      <c r="EH13" s="91" t="e">
        <f t="shared" si="90"/>
        <v>#DIV/0!</v>
      </c>
      <c r="EI13" s="101"/>
      <c r="EJ13" s="91" t="e">
        <f t="shared" si="91"/>
        <v>#DIV/0!</v>
      </c>
      <c r="EK13" s="91">
        <f t="shared" si="92"/>
        <v>0</v>
      </c>
      <c r="EL13" s="91" t="e">
        <f t="shared" si="93"/>
        <v>#DIV/0!</v>
      </c>
      <c r="EM13" s="101"/>
      <c r="EN13" s="91" t="e">
        <f t="shared" si="94"/>
        <v>#DIV/0!</v>
      </c>
      <c r="EO13" s="91">
        <f t="shared" si="95"/>
        <v>0</v>
      </c>
      <c r="EP13" s="91" t="e">
        <f t="shared" si="96"/>
        <v>#DIV/0!</v>
      </c>
      <c r="EQ13" s="101"/>
      <c r="ER13" s="91" t="e">
        <f t="shared" si="97"/>
        <v>#DIV/0!</v>
      </c>
      <c r="ES13" s="91">
        <f t="shared" si="98"/>
        <v>0</v>
      </c>
      <c r="ET13" s="91" t="e">
        <f t="shared" si="99"/>
        <v>#DIV/0!</v>
      </c>
      <c r="EU13" s="101"/>
      <c r="EV13" s="91" t="e">
        <f t="shared" si="100"/>
        <v>#DIV/0!</v>
      </c>
      <c r="EW13" s="91">
        <f t="shared" si="101"/>
        <v>0</v>
      </c>
      <c r="EX13" s="91" t="e">
        <f t="shared" si="102"/>
        <v>#DIV/0!</v>
      </c>
      <c r="EY13" s="91">
        <f t="shared" si="103"/>
        <v>0</v>
      </c>
      <c r="EZ13" s="91" t="e">
        <f t="shared" si="104"/>
        <v>#DIV/0!</v>
      </c>
      <c r="FA13" s="91">
        <f t="shared" si="105"/>
        <v>0</v>
      </c>
      <c r="FB13" s="91" t="e">
        <f t="shared" si="106"/>
        <v>#DIV/0!</v>
      </c>
      <c r="FC13" s="91">
        <f>+EE13+DK13+BW13+EY13</f>
        <v>0</v>
      </c>
      <c r="FD13" s="91">
        <f t="shared" si="108"/>
        <v>0</v>
      </c>
      <c r="FE13" s="91" t="e">
        <f t="shared" si="49"/>
        <v>#DIV/0!</v>
      </c>
      <c r="FF13" s="91">
        <f t="shared" si="50"/>
        <v>0</v>
      </c>
      <c r="FG13" s="6"/>
      <c r="FH13" s="460" t="e">
        <f t="shared" si="109"/>
        <v>#DIV/0!</v>
      </c>
      <c r="FI13" s="460" t="e">
        <f>(SUM($FG$10:FG13))/(SUM($EE$10:EE13))</f>
        <v>#DIV/0!</v>
      </c>
      <c r="FJ13" s="3"/>
    </row>
    <row r="14" spans="1:166">
      <c r="A14" s="16">
        <f>+Chem!A14</f>
        <v>45935</v>
      </c>
      <c r="B14" s="6" t="str">
        <f>+Chem!B14</f>
        <v>STOP</v>
      </c>
      <c r="C14" s="16" t="str">
        <f>+Chem!C14</f>
        <v>17</v>
      </c>
      <c r="D14" s="8">
        <f>+Chem!D14</f>
        <v>0</v>
      </c>
      <c r="E14" s="7">
        <f>+Chem!E14</f>
        <v>0</v>
      </c>
      <c r="F14" s="7">
        <f t="shared" si="110"/>
        <v>3.3639999999999999</v>
      </c>
      <c r="G14" s="101"/>
      <c r="H14" s="91" t="e">
        <f t="shared" si="0"/>
        <v>#DIV/0!</v>
      </c>
      <c r="I14" s="8">
        <f t="shared" si="51"/>
        <v>0</v>
      </c>
      <c r="J14" s="91" t="e">
        <f t="shared" si="1"/>
        <v>#DIV/0!</v>
      </c>
      <c r="K14" s="101"/>
      <c r="L14" s="91" t="e">
        <f t="shared" si="2"/>
        <v>#DIV/0!</v>
      </c>
      <c r="M14" s="91">
        <f t="shared" si="52"/>
        <v>0</v>
      </c>
      <c r="N14" s="91" t="e">
        <f t="shared" si="3"/>
        <v>#DIV/0!</v>
      </c>
      <c r="O14" s="101"/>
      <c r="P14" s="91" t="e">
        <f t="shared" si="4"/>
        <v>#DIV/0!</v>
      </c>
      <c r="Q14" s="91">
        <f t="shared" si="53"/>
        <v>0</v>
      </c>
      <c r="R14" s="91" t="e">
        <f t="shared" si="5"/>
        <v>#DIV/0!</v>
      </c>
      <c r="S14" s="101"/>
      <c r="T14" s="91" t="e">
        <f t="shared" si="6"/>
        <v>#DIV/0!</v>
      </c>
      <c r="U14" s="91">
        <f t="shared" si="54"/>
        <v>0</v>
      </c>
      <c r="V14" s="91" t="e">
        <f t="shared" si="7"/>
        <v>#DIV/0!</v>
      </c>
      <c r="W14" s="101"/>
      <c r="X14" s="91" t="e">
        <f t="shared" si="8"/>
        <v>#DIV/0!</v>
      </c>
      <c r="Y14" s="91">
        <f t="shared" si="55"/>
        <v>0</v>
      </c>
      <c r="Z14" s="91" t="e">
        <f t="shared" si="9"/>
        <v>#DIV/0!</v>
      </c>
      <c r="AA14" s="101"/>
      <c r="AB14" s="91" t="e">
        <f t="shared" si="10"/>
        <v>#DIV/0!</v>
      </c>
      <c r="AC14" s="91">
        <f t="shared" si="56"/>
        <v>0</v>
      </c>
      <c r="AD14" s="91" t="e">
        <f t="shared" si="11"/>
        <v>#DIV/0!</v>
      </c>
      <c r="AE14" s="101"/>
      <c r="AF14" s="91" t="e">
        <f t="shared" si="12"/>
        <v>#DIV/0!</v>
      </c>
      <c r="AG14" s="91">
        <f t="shared" si="57"/>
        <v>0</v>
      </c>
      <c r="AH14" s="91" t="e">
        <f t="shared" si="13"/>
        <v>#DIV/0!</v>
      </c>
      <c r="AI14" s="101"/>
      <c r="AJ14" s="91" t="e">
        <f t="shared" si="14"/>
        <v>#DIV/0!</v>
      </c>
      <c r="AK14" s="91">
        <f t="shared" si="58"/>
        <v>0</v>
      </c>
      <c r="AL14" s="91" t="e">
        <f t="shared" si="15"/>
        <v>#DIV/0!</v>
      </c>
      <c r="AM14" s="101"/>
      <c r="AN14" s="91" t="e">
        <f t="shared" si="16"/>
        <v>#DIV/0!</v>
      </c>
      <c r="AO14" s="91">
        <f t="shared" si="59"/>
        <v>0</v>
      </c>
      <c r="AP14" s="91" t="e">
        <f t="shared" si="17"/>
        <v>#DIV/0!</v>
      </c>
      <c r="AQ14" s="101"/>
      <c r="AR14" s="91" t="e">
        <f t="shared" si="18"/>
        <v>#DIV/0!</v>
      </c>
      <c r="AS14" s="91">
        <f t="shared" si="60"/>
        <v>0</v>
      </c>
      <c r="AT14" s="91" t="e">
        <f t="shared" si="19"/>
        <v>#DIV/0!</v>
      </c>
      <c r="AU14" s="252"/>
      <c r="AV14" s="91" t="e">
        <f t="shared" si="20"/>
        <v>#DIV/0!</v>
      </c>
      <c r="AW14" s="8">
        <f t="shared" si="61"/>
        <v>0</v>
      </c>
      <c r="AX14" s="91" t="e">
        <f t="shared" si="21"/>
        <v>#DIV/0!</v>
      </c>
      <c r="AY14" s="101"/>
      <c r="AZ14" s="91" t="e">
        <f t="shared" si="22"/>
        <v>#DIV/0!</v>
      </c>
      <c r="BA14" s="91">
        <f t="shared" si="62"/>
        <v>0</v>
      </c>
      <c r="BB14" s="91" t="e">
        <f t="shared" si="23"/>
        <v>#DIV/0!</v>
      </c>
      <c r="BC14" s="101"/>
      <c r="BD14" s="91" t="e">
        <f t="shared" si="24"/>
        <v>#DIV/0!</v>
      </c>
      <c r="BE14" s="91">
        <f t="shared" si="63"/>
        <v>0</v>
      </c>
      <c r="BF14" s="91" t="e">
        <f t="shared" si="25"/>
        <v>#DIV/0!</v>
      </c>
      <c r="BG14" s="101"/>
      <c r="BH14" s="91" t="e">
        <f t="shared" si="26"/>
        <v>#DIV/0!</v>
      </c>
      <c r="BI14" s="91">
        <f t="shared" si="64"/>
        <v>0</v>
      </c>
      <c r="BJ14" s="91" t="e">
        <f t="shared" si="27"/>
        <v>#DIV/0!</v>
      </c>
      <c r="BK14" s="101"/>
      <c r="BL14" s="91"/>
      <c r="BM14" s="91"/>
      <c r="BN14" s="91"/>
      <c r="BO14" s="101"/>
      <c r="BP14" s="91"/>
      <c r="BQ14" s="91"/>
      <c r="BR14" s="91"/>
      <c r="BS14" s="101"/>
      <c r="BT14" s="91"/>
      <c r="BU14" s="91"/>
      <c r="BV14" s="91"/>
      <c r="BW14" s="91">
        <f t="shared" si="65"/>
        <v>0</v>
      </c>
      <c r="BX14" s="91" t="e">
        <f>BW14/FC14*100</f>
        <v>#DIV/0!</v>
      </c>
      <c r="BY14" s="91">
        <f t="shared" si="66"/>
        <v>0</v>
      </c>
      <c r="BZ14" s="91" t="e">
        <f t="shared" si="29"/>
        <v>#DIV/0!</v>
      </c>
      <c r="CA14" s="101"/>
      <c r="CB14" s="91" t="e">
        <f t="shared" si="30"/>
        <v>#DIV/0!</v>
      </c>
      <c r="CC14" s="91"/>
      <c r="CD14" s="91" t="e">
        <f t="shared" si="31"/>
        <v>#DIV/0!</v>
      </c>
      <c r="CE14" s="101"/>
      <c r="CF14" s="91" t="e">
        <f t="shared" si="32"/>
        <v>#DIV/0!</v>
      </c>
      <c r="CG14" s="91">
        <f t="shared" si="67"/>
        <v>0</v>
      </c>
      <c r="CH14" s="91" t="e">
        <f t="shared" si="33"/>
        <v>#DIV/0!</v>
      </c>
      <c r="CI14" s="101"/>
      <c r="CJ14" s="91" t="e">
        <f t="shared" si="34"/>
        <v>#DIV/0!</v>
      </c>
      <c r="CK14" s="91">
        <f t="shared" si="68"/>
        <v>0</v>
      </c>
      <c r="CL14" s="91" t="e">
        <f t="shared" si="35"/>
        <v>#DIV/0!</v>
      </c>
      <c r="CM14" s="101"/>
      <c r="CN14" s="91" t="e">
        <f t="shared" si="36"/>
        <v>#DIV/0!</v>
      </c>
      <c r="CO14" s="91">
        <f t="shared" si="69"/>
        <v>0</v>
      </c>
      <c r="CP14" s="91" t="e">
        <f t="shared" si="37"/>
        <v>#DIV/0!</v>
      </c>
      <c r="CQ14" s="101"/>
      <c r="CR14" s="91" t="e">
        <f t="shared" si="38"/>
        <v>#DIV/0!</v>
      </c>
      <c r="CS14" s="91">
        <f t="shared" si="70"/>
        <v>0</v>
      </c>
      <c r="CT14" s="91" t="e">
        <f t="shared" si="39"/>
        <v>#DIV/0!</v>
      </c>
      <c r="CU14" s="101"/>
      <c r="CV14" s="91" t="e">
        <f t="shared" si="40"/>
        <v>#DIV/0!</v>
      </c>
      <c r="CW14" s="91">
        <f t="shared" si="71"/>
        <v>0</v>
      </c>
      <c r="CX14" s="91" t="e">
        <f t="shared" si="41"/>
        <v>#DIV/0!</v>
      </c>
      <c r="CY14" s="101"/>
      <c r="CZ14" s="91" t="e">
        <f t="shared" si="42"/>
        <v>#DIV/0!</v>
      </c>
      <c r="DA14" s="91">
        <f t="shared" si="72"/>
        <v>0</v>
      </c>
      <c r="DB14" s="91" t="e">
        <f t="shared" si="43"/>
        <v>#DIV/0!</v>
      </c>
      <c r="DC14" s="101"/>
      <c r="DD14" s="91" t="e">
        <f t="shared" si="44"/>
        <v>#DIV/0!</v>
      </c>
      <c r="DE14" s="91">
        <f t="shared" si="73"/>
        <v>0</v>
      </c>
      <c r="DF14" s="91" t="e">
        <f t="shared" si="45"/>
        <v>#DIV/0!</v>
      </c>
      <c r="DG14" s="101"/>
      <c r="DH14" s="91"/>
      <c r="DI14" s="91"/>
      <c r="DJ14" s="91"/>
      <c r="DK14" s="91">
        <f t="shared" si="74"/>
        <v>0</v>
      </c>
      <c r="DL14" s="91" t="e">
        <f t="shared" si="46"/>
        <v>#DIV/0!</v>
      </c>
      <c r="DM14" s="91">
        <f t="shared" si="75"/>
        <v>0</v>
      </c>
      <c r="DN14" s="91" t="e">
        <f t="shared" si="47"/>
        <v>#DIV/0!</v>
      </c>
      <c r="DO14" s="101"/>
      <c r="DP14" s="91" t="e">
        <f t="shared" si="76"/>
        <v>#DIV/0!</v>
      </c>
      <c r="DQ14" s="91">
        <f t="shared" si="77"/>
        <v>0</v>
      </c>
      <c r="DR14" s="91" t="e">
        <f t="shared" si="78"/>
        <v>#DIV/0!</v>
      </c>
      <c r="DS14" s="101"/>
      <c r="DT14" s="92" t="e">
        <f t="shared" si="79"/>
        <v>#DIV/0!</v>
      </c>
      <c r="DU14" s="91">
        <f t="shared" si="80"/>
        <v>0</v>
      </c>
      <c r="DV14" s="91" t="e">
        <f t="shared" si="81"/>
        <v>#DIV/0!</v>
      </c>
      <c r="DW14" s="101"/>
      <c r="DX14" s="92" t="e">
        <f t="shared" si="82"/>
        <v>#DIV/0!</v>
      </c>
      <c r="DY14" s="91">
        <f t="shared" si="83"/>
        <v>0</v>
      </c>
      <c r="DZ14" s="461" t="e">
        <f t="shared" si="84"/>
        <v>#DIV/0!</v>
      </c>
      <c r="EA14" s="101"/>
      <c r="EB14" s="91" t="e">
        <f t="shared" si="85"/>
        <v>#DIV/0!</v>
      </c>
      <c r="EC14" s="91">
        <f t="shared" si="86"/>
        <v>0</v>
      </c>
      <c r="ED14" s="91" t="e">
        <f t="shared" si="87"/>
        <v>#DIV/0!</v>
      </c>
      <c r="EE14" s="91">
        <f t="shared" si="48"/>
        <v>0</v>
      </c>
      <c r="EF14" s="91" t="e">
        <f t="shared" si="88"/>
        <v>#DIV/0!</v>
      </c>
      <c r="EG14" s="91">
        <f t="shared" si="89"/>
        <v>0</v>
      </c>
      <c r="EH14" s="91" t="e">
        <f t="shared" si="90"/>
        <v>#DIV/0!</v>
      </c>
      <c r="EI14" s="101"/>
      <c r="EJ14" s="91" t="e">
        <f t="shared" si="91"/>
        <v>#DIV/0!</v>
      </c>
      <c r="EK14" s="91">
        <f t="shared" si="92"/>
        <v>0</v>
      </c>
      <c r="EL14" s="91" t="e">
        <f t="shared" si="93"/>
        <v>#DIV/0!</v>
      </c>
      <c r="EM14" s="101"/>
      <c r="EN14" s="91" t="e">
        <f t="shared" si="94"/>
        <v>#DIV/0!</v>
      </c>
      <c r="EO14" s="91">
        <f t="shared" si="95"/>
        <v>0</v>
      </c>
      <c r="EP14" s="91" t="e">
        <f t="shared" si="96"/>
        <v>#DIV/0!</v>
      </c>
      <c r="EQ14" s="101"/>
      <c r="ER14" s="91" t="e">
        <f t="shared" si="97"/>
        <v>#DIV/0!</v>
      </c>
      <c r="ES14" s="91">
        <f t="shared" si="98"/>
        <v>0</v>
      </c>
      <c r="ET14" s="91" t="e">
        <f t="shared" si="99"/>
        <v>#DIV/0!</v>
      </c>
      <c r="EU14" s="101"/>
      <c r="EV14" s="91" t="e">
        <f t="shared" si="100"/>
        <v>#DIV/0!</v>
      </c>
      <c r="EW14" s="91">
        <f t="shared" si="101"/>
        <v>0</v>
      </c>
      <c r="EX14" s="91" t="e">
        <f t="shared" si="102"/>
        <v>#DIV/0!</v>
      </c>
      <c r="EY14" s="91">
        <f t="shared" si="103"/>
        <v>0</v>
      </c>
      <c r="EZ14" s="91" t="e">
        <f t="shared" si="104"/>
        <v>#DIV/0!</v>
      </c>
      <c r="FA14" s="91">
        <f t="shared" si="105"/>
        <v>0</v>
      </c>
      <c r="FB14" s="91" t="e">
        <f t="shared" si="106"/>
        <v>#DIV/0!</v>
      </c>
      <c r="FC14" s="91">
        <f t="shared" ref="FC14:FC40" si="111">+EE14+DK14+BW14+EY14</f>
        <v>0</v>
      </c>
      <c r="FD14" s="91">
        <f t="shared" si="108"/>
        <v>0</v>
      </c>
      <c r="FE14" s="91" t="e">
        <f t="shared" si="49"/>
        <v>#DIV/0!</v>
      </c>
      <c r="FF14" s="91">
        <f t="shared" si="50"/>
        <v>0</v>
      </c>
      <c r="FG14" s="6"/>
      <c r="FH14" s="460" t="e">
        <f t="shared" si="109"/>
        <v>#DIV/0!</v>
      </c>
      <c r="FI14" s="460" t="e">
        <f>(SUM($FG$10:FG14))/(SUM($EE$10:EE14))</f>
        <v>#DIV/0!</v>
      </c>
      <c r="FJ14" s="3"/>
    </row>
    <row r="15" spans="1:166">
      <c r="A15" s="16">
        <f>+Chem!A15</f>
        <v>45936</v>
      </c>
      <c r="B15" s="6" t="str">
        <f>+Chem!B15</f>
        <v>STOP</v>
      </c>
      <c r="C15" s="16" t="str">
        <f>+Chem!C15</f>
        <v>17</v>
      </c>
      <c r="D15" s="8">
        <f>+Chem!D15</f>
        <v>0</v>
      </c>
      <c r="E15" s="7">
        <f>+Chem!E15</f>
        <v>0</v>
      </c>
      <c r="F15" s="7">
        <f t="shared" si="110"/>
        <v>3.3639999999999999</v>
      </c>
      <c r="G15" s="101"/>
      <c r="H15" s="461" t="e">
        <f t="shared" si="0"/>
        <v>#DIV/0!</v>
      </c>
      <c r="I15" s="8">
        <f t="shared" si="51"/>
        <v>0</v>
      </c>
      <c r="J15" s="461" t="e">
        <f t="shared" si="1"/>
        <v>#DIV/0!</v>
      </c>
      <c r="K15" s="101"/>
      <c r="L15" s="461" t="e">
        <f t="shared" si="2"/>
        <v>#DIV/0!</v>
      </c>
      <c r="M15" s="91">
        <f t="shared" si="52"/>
        <v>0</v>
      </c>
      <c r="N15" s="91" t="e">
        <f t="shared" si="3"/>
        <v>#DIV/0!</v>
      </c>
      <c r="O15" s="101"/>
      <c r="P15" s="91" t="e">
        <f t="shared" si="4"/>
        <v>#DIV/0!</v>
      </c>
      <c r="Q15" s="91">
        <f t="shared" si="53"/>
        <v>0</v>
      </c>
      <c r="R15" s="91" t="e">
        <f t="shared" si="5"/>
        <v>#DIV/0!</v>
      </c>
      <c r="S15" s="101"/>
      <c r="T15" s="91" t="e">
        <f t="shared" si="6"/>
        <v>#DIV/0!</v>
      </c>
      <c r="U15" s="91">
        <f t="shared" si="54"/>
        <v>0</v>
      </c>
      <c r="V15" s="91" t="e">
        <f t="shared" si="7"/>
        <v>#DIV/0!</v>
      </c>
      <c r="W15" s="101"/>
      <c r="X15" s="91" t="e">
        <f t="shared" si="8"/>
        <v>#DIV/0!</v>
      </c>
      <c r="Y15" s="91">
        <f t="shared" si="55"/>
        <v>0</v>
      </c>
      <c r="Z15" s="91" t="e">
        <f t="shared" si="9"/>
        <v>#DIV/0!</v>
      </c>
      <c r="AA15" s="101"/>
      <c r="AB15" s="91" t="e">
        <f t="shared" si="10"/>
        <v>#DIV/0!</v>
      </c>
      <c r="AC15" s="91">
        <f t="shared" si="56"/>
        <v>0</v>
      </c>
      <c r="AD15" s="91" t="e">
        <f t="shared" si="11"/>
        <v>#DIV/0!</v>
      </c>
      <c r="AE15" s="101"/>
      <c r="AF15" s="91" t="e">
        <f t="shared" si="12"/>
        <v>#DIV/0!</v>
      </c>
      <c r="AG15" s="91">
        <f t="shared" si="57"/>
        <v>0</v>
      </c>
      <c r="AH15" s="91" t="e">
        <f t="shared" si="13"/>
        <v>#DIV/0!</v>
      </c>
      <c r="AI15" s="101"/>
      <c r="AJ15" s="91" t="e">
        <f t="shared" si="14"/>
        <v>#DIV/0!</v>
      </c>
      <c r="AK15" s="91">
        <f t="shared" si="58"/>
        <v>0</v>
      </c>
      <c r="AL15" s="91" t="e">
        <f t="shared" si="15"/>
        <v>#DIV/0!</v>
      </c>
      <c r="AM15" s="101"/>
      <c r="AN15" s="91" t="e">
        <f t="shared" si="16"/>
        <v>#DIV/0!</v>
      </c>
      <c r="AO15" s="91">
        <f t="shared" si="59"/>
        <v>0</v>
      </c>
      <c r="AP15" s="91" t="e">
        <f t="shared" si="17"/>
        <v>#DIV/0!</v>
      </c>
      <c r="AQ15" s="101"/>
      <c r="AR15" s="91" t="e">
        <f t="shared" si="18"/>
        <v>#DIV/0!</v>
      </c>
      <c r="AS15" s="91">
        <f t="shared" si="60"/>
        <v>0</v>
      </c>
      <c r="AT15" s="91" t="e">
        <f t="shared" si="19"/>
        <v>#DIV/0!</v>
      </c>
      <c r="AU15" s="252"/>
      <c r="AV15" s="91" t="e">
        <f t="shared" si="20"/>
        <v>#DIV/0!</v>
      </c>
      <c r="AW15" s="8">
        <f t="shared" si="61"/>
        <v>0</v>
      </c>
      <c r="AX15" s="91" t="e">
        <f t="shared" si="21"/>
        <v>#DIV/0!</v>
      </c>
      <c r="AY15" s="101"/>
      <c r="AZ15" s="91" t="e">
        <f t="shared" si="22"/>
        <v>#DIV/0!</v>
      </c>
      <c r="BA15" s="91">
        <f t="shared" si="62"/>
        <v>0</v>
      </c>
      <c r="BB15" s="91" t="e">
        <f t="shared" si="23"/>
        <v>#DIV/0!</v>
      </c>
      <c r="BC15" s="101"/>
      <c r="BD15" s="91" t="e">
        <f t="shared" si="24"/>
        <v>#DIV/0!</v>
      </c>
      <c r="BE15" s="91">
        <f t="shared" si="63"/>
        <v>0</v>
      </c>
      <c r="BF15" s="91" t="e">
        <f t="shared" si="25"/>
        <v>#DIV/0!</v>
      </c>
      <c r="BG15" s="101"/>
      <c r="BH15" s="91" t="e">
        <f t="shared" si="26"/>
        <v>#DIV/0!</v>
      </c>
      <c r="BI15" s="91">
        <f t="shared" si="64"/>
        <v>0</v>
      </c>
      <c r="BJ15" s="91" t="e">
        <f t="shared" si="27"/>
        <v>#DIV/0!</v>
      </c>
      <c r="BK15" s="101"/>
      <c r="BL15" s="91"/>
      <c r="BM15" s="91"/>
      <c r="BN15" s="91"/>
      <c r="BO15" s="101"/>
      <c r="BP15" s="91"/>
      <c r="BQ15" s="91"/>
      <c r="BR15" s="91"/>
      <c r="BS15" s="101"/>
      <c r="BT15" s="91"/>
      <c r="BU15" s="91"/>
      <c r="BV15" s="91"/>
      <c r="BW15" s="91">
        <f t="shared" si="65"/>
        <v>0</v>
      </c>
      <c r="BX15" s="91" t="e">
        <f t="shared" si="28"/>
        <v>#DIV/0!</v>
      </c>
      <c r="BY15" s="91">
        <f t="shared" si="66"/>
        <v>0</v>
      </c>
      <c r="BZ15" s="91" t="e">
        <f t="shared" si="29"/>
        <v>#DIV/0!</v>
      </c>
      <c r="CA15" s="101"/>
      <c r="CB15" s="10" t="e">
        <f t="shared" si="30"/>
        <v>#DIV/0!</v>
      </c>
      <c r="CC15" s="91"/>
      <c r="CD15" s="10" t="e">
        <f t="shared" si="31"/>
        <v>#DIV/0!</v>
      </c>
      <c r="CE15" s="101"/>
      <c r="CF15" s="91" t="e">
        <f t="shared" si="32"/>
        <v>#DIV/0!</v>
      </c>
      <c r="CG15" s="91">
        <f t="shared" si="67"/>
        <v>0</v>
      </c>
      <c r="CH15" s="91" t="e">
        <f t="shared" si="33"/>
        <v>#DIV/0!</v>
      </c>
      <c r="CI15" s="101"/>
      <c r="CJ15" s="91" t="e">
        <f t="shared" si="34"/>
        <v>#DIV/0!</v>
      </c>
      <c r="CK15" s="91">
        <f t="shared" si="68"/>
        <v>0</v>
      </c>
      <c r="CL15" s="91" t="e">
        <f t="shared" si="35"/>
        <v>#DIV/0!</v>
      </c>
      <c r="CM15" s="101"/>
      <c r="CN15" s="91" t="e">
        <f t="shared" si="36"/>
        <v>#DIV/0!</v>
      </c>
      <c r="CO15" s="91">
        <f t="shared" si="69"/>
        <v>0</v>
      </c>
      <c r="CP15" s="91" t="e">
        <f t="shared" si="37"/>
        <v>#DIV/0!</v>
      </c>
      <c r="CQ15" s="101"/>
      <c r="CR15" s="91" t="e">
        <f t="shared" si="38"/>
        <v>#DIV/0!</v>
      </c>
      <c r="CS15" s="91">
        <f t="shared" si="70"/>
        <v>0</v>
      </c>
      <c r="CT15" s="91" t="e">
        <f t="shared" si="39"/>
        <v>#DIV/0!</v>
      </c>
      <c r="CU15" s="101"/>
      <c r="CV15" s="91" t="e">
        <f t="shared" si="40"/>
        <v>#DIV/0!</v>
      </c>
      <c r="CW15" s="91">
        <f t="shared" si="71"/>
        <v>0</v>
      </c>
      <c r="CX15" s="91" t="e">
        <f t="shared" si="41"/>
        <v>#DIV/0!</v>
      </c>
      <c r="CY15" s="101"/>
      <c r="CZ15" s="91" t="e">
        <f t="shared" si="42"/>
        <v>#DIV/0!</v>
      </c>
      <c r="DA15" s="91">
        <f t="shared" si="72"/>
        <v>0</v>
      </c>
      <c r="DB15" s="91" t="e">
        <f t="shared" si="43"/>
        <v>#DIV/0!</v>
      </c>
      <c r="DC15" s="101"/>
      <c r="DD15" s="91" t="e">
        <f t="shared" si="44"/>
        <v>#DIV/0!</v>
      </c>
      <c r="DE15" s="91">
        <f t="shared" si="73"/>
        <v>0</v>
      </c>
      <c r="DF15" s="91" t="e">
        <f t="shared" si="45"/>
        <v>#DIV/0!</v>
      </c>
      <c r="DG15" s="101"/>
      <c r="DH15" s="91"/>
      <c r="DI15" s="91"/>
      <c r="DJ15" s="91"/>
      <c r="DK15" s="10">
        <f t="shared" si="74"/>
        <v>0</v>
      </c>
      <c r="DL15" s="91" t="e">
        <f t="shared" si="46"/>
        <v>#DIV/0!</v>
      </c>
      <c r="DM15" s="91">
        <f t="shared" si="75"/>
        <v>0</v>
      </c>
      <c r="DN15" s="91" t="e">
        <f t="shared" si="47"/>
        <v>#DIV/0!</v>
      </c>
      <c r="DO15" s="101"/>
      <c r="DP15" s="10" t="e">
        <f t="shared" si="76"/>
        <v>#DIV/0!</v>
      </c>
      <c r="DQ15" s="91">
        <f t="shared" si="77"/>
        <v>0</v>
      </c>
      <c r="DR15" s="10" t="e">
        <f t="shared" si="78"/>
        <v>#DIV/0!</v>
      </c>
      <c r="DS15" s="101"/>
      <c r="DT15" s="15" t="e">
        <f t="shared" si="79"/>
        <v>#DIV/0!</v>
      </c>
      <c r="DU15" s="91">
        <f t="shared" si="80"/>
        <v>0</v>
      </c>
      <c r="DV15" s="10" t="e">
        <f t="shared" si="81"/>
        <v>#DIV/0!</v>
      </c>
      <c r="DW15" s="101"/>
      <c r="DX15" s="15" t="e">
        <f t="shared" si="82"/>
        <v>#DIV/0!</v>
      </c>
      <c r="DY15" s="10">
        <f t="shared" si="83"/>
        <v>0</v>
      </c>
      <c r="DZ15" s="459" t="e">
        <f t="shared" si="84"/>
        <v>#DIV/0!</v>
      </c>
      <c r="EA15" s="101"/>
      <c r="EB15" s="10" t="e">
        <f t="shared" si="85"/>
        <v>#DIV/0!</v>
      </c>
      <c r="EC15" s="91">
        <f t="shared" si="86"/>
        <v>0</v>
      </c>
      <c r="ED15" s="10" t="e">
        <f t="shared" si="87"/>
        <v>#DIV/0!</v>
      </c>
      <c r="EE15" s="10">
        <f t="shared" si="48"/>
        <v>0</v>
      </c>
      <c r="EF15" s="10" t="e">
        <f t="shared" si="88"/>
        <v>#DIV/0!</v>
      </c>
      <c r="EG15" s="91">
        <f t="shared" si="89"/>
        <v>0</v>
      </c>
      <c r="EH15" s="10" t="e">
        <f t="shared" si="90"/>
        <v>#DIV/0!</v>
      </c>
      <c r="EI15" s="101"/>
      <c r="EJ15" s="91" t="e">
        <f t="shared" si="91"/>
        <v>#DIV/0!</v>
      </c>
      <c r="EK15" s="91">
        <f t="shared" si="92"/>
        <v>0</v>
      </c>
      <c r="EL15" s="91" t="e">
        <f t="shared" si="93"/>
        <v>#DIV/0!</v>
      </c>
      <c r="EM15" s="101"/>
      <c r="EN15" s="91" t="e">
        <f t="shared" si="94"/>
        <v>#DIV/0!</v>
      </c>
      <c r="EO15" s="91">
        <f t="shared" si="95"/>
        <v>0</v>
      </c>
      <c r="EP15" s="91" t="e">
        <f t="shared" si="96"/>
        <v>#DIV/0!</v>
      </c>
      <c r="EQ15" s="101"/>
      <c r="ER15" s="91" t="e">
        <f t="shared" si="97"/>
        <v>#DIV/0!</v>
      </c>
      <c r="ES15" s="91">
        <f t="shared" si="98"/>
        <v>0</v>
      </c>
      <c r="ET15" s="91" t="e">
        <f t="shared" si="99"/>
        <v>#DIV/0!</v>
      </c>
      <c r="EU15" s="101"/>
      <c r="EV15" s="91" t="e">
        <f t="shared" si="100"/>
        <v>#DIV/0!</v>
      </c>
      <c r="EW15" s="91">
        <f t="shared" si="101"/>
        <v>0</v>
      </c>
      <c r="EX15" s="91" t="e">
        <f t="shared" si="102"/>
        <v>#DIV/0!</v>
      </c>
      <c r="EY15" s="91">
        <f t="shared" si="103"/>
        <v>0</v>
      </c>
      <c r="EZ15" s="91" t="e">
        <f t="shared" si="104"/>
        <v>#DIV/0!</v>
      </c>
      <c r="FA15" s="91">
        <f t="shared" si="105"/>
        <v>0</v>
      </c>
      <c r="FB15" s="91" t="e">
        <f t="shared" si="106"/>
        <v>#DIV/0!</v>
      </c>
      <c r="FC15" s="91">
        <f t="shared" si="111"/>
        <v>0</v>
      </c>
      <c r="FD15" s="91">
        <f t="shared" si="108"/>
        <v>0</v>
      </c>
      <c r="FE15" s="91" t="e">
        <f t="shared" si="49"/>
        <v>#DIV/0!</v>
      </c>
      <c r="FF15" s="91">
        <f t="shared" si="50"/>
        <v>0</v>
      </c>
      <c r="FG15" s="6"/>
      <c r="FH15" s="460" t="e">
        <f t="shared" si="109"/>
        <v>#DIV/0!</v>
      </c>
      <c r="FI15" s="460" t="e">
        <f>(SUM($FG$10:FG15))/(SUM($EE$10:EE15))</f>
        <v>#DIV/0!</v>
      </c>
      <c r="FJ15" s="3"/>
    </row>
    <row r="16" spans="1:166">
      <c r="A16" s="16">
        <f>+Chem!A16</f>
        <v>45937</v>
      </c>
      <c r="B16" s="6" t="str">
        <f>+Chem!B16</f>
        <v>STOP</v>
      </c>
      <c r="C16" s="16" t="str">
        <f>+Chem!C16</f>
        <v>17</v>
      </c>
      <c r="D16" s="8">
        <f>+Chem!D16</f>
        <v>0</v>
      </c>
      <c r="E16" s="7">
        <f>+Chem!E16</f>
        <v>0</v>
      </c>
      <c r="F16" s="7">
        <f t="shared" si="110"/>
        <v>3.3639999999999999</v>
      </c>
      <c r="G16" s="101"/>
      <c r="H16" s="461" t="e">
        <f t="shared" si="0"/>
        <v>#DIV/0!</v>
      </c>
      <c r="I16" s="8">
        <f t="shared" si="51"/>
        <v>0</v>
      </c>
      <c r="J16" s="461" t="e">
        <f t="shared" si="1"/>
        <v>#DIV/0!</v>
      </c>
      <c r="K16" s="101"/>
      <c r="L16" s="461" t="e">
        <f t="shared" si="2"/>
        <v>#DIV/0!</v>
      </c>
      <c r="M16" s="91">
        <f t="shared" si="52"/>
        <v>0</v>
      </c>
      <c r="N16" s="91" t="e">
        <f t="shared" si="3"/>
        <v>#DIV/0!</v>
      </c>
      <c r="O16" s="101"/>
      <c r="P16" s="91" t="e">
        <f t="shared" si="4"/>
        <v>#DIV/0!</v>
      </c>
      <c r="Q16" s="91">
        <f t="shared" si="53"/>
        <v>0</v>
      </c>
      <c r="R16" s="91" t="e">
        <f t="shared" si="5"/>
        <v>#DIV/0!</v>
      </c>
      <c r="S16" s="101"/>
      <c r="T16" s="91" t="e">
        <f t="shared" si="6"/>
        <v>#DIV/0!</v>
      </c>
      <c r="U16" s="91">
        <f t="shared" si="54"/>
        <v>0</v>
      </c>
      <c r="V16" s="91" t="e">
        <f t="shared" si="7"/>
        <v>#DIV/0!</v>
      </c>
      <c r="W16" s="101"/>
      <c r="X16" s="91" t="e">
        <f t="shared" si="8"/>
        <v>#DIV/0!</v>
      </c>
      <c r="Y16" s="91">
        <f t="shared" si="55"/>
        <v>0</v>
      </c>
      <c r="Z16" s="91" t="e">
        <f t="shared" si="9"/>
        <v>#DIV/0!</v>
      </c>
      <c r="AA16" s="101"/>
      <c r="AB16" s="91" t="e">
        <f t="shared" si="10"/>
        <v>#DIV/0!</v>
      </c>
      <c r="AC16" s="91">
        <f t="shared" si="56"/>
        <v>0</v>
      </c>
      <c r="AD16" s="91" t="e">
        <f t="shared" si="11"/>
        <v>#DIV/0!</v>
      </c>
      <c r="AE16" s="101"/>
      <c r="AF16" s="91" t="e">
        <f t="shared" si="12"/>
        <v>#DIV/0!</v>
      </c>
      <c r="AG16" s="91">
        <f t="shared" si="57"/>
        <v>0</v>
      </c>
      <c r="AH16" s="91" t="e">
        <f t="shared" si="13"/>
        <v>#DIV/0!</v>
      </c>
      <c r="AI16" s="101"/>
      <c r="AJ16" s="91" t="e">
        <f t="shared" si="14"/>
        <v>#DIV/0!</v>
      </c>
      <c r="AK16" s="91">
        <f t="shared" si="58"/>
        <v>0</v>
      </c>
      <c r="AL16" s="91" t="e">
        <f t="shared" si="15"/>
        <v>#DIV/0!</v>
      </c>
      <c r="AM16" s="101"/>
      <c r="AN16" s="91" t="e">
        <f t="shared" si="16"/>
        <v>#DIV/0!</v>
      </c>
      <c r="AO16" s="91">
        <f t="shared" si="59"/>
        <v>0</v>
      </c>
      <c r="AP16" s="91" t="e">
        <f t="shared" si="17"/>
        <v>#DIV/0!</v>
      </c>
      <c r="AQ16" s="101"/>
      <c r="AR16" s="91" t="e">
        <f t="shared" si="18"/>
        <v>#DIV/0!</v>
      </c>
      <c r="AS16" s="91">
        <f t="shared" si="60"/>
        <v>0</v>
      </c>
      <c r="AT16" s="91" t="e">
        <f t="shared" si="19"/>
        <v>#DIV/0!</v>
      </c>
      <c r="AU16" s="252"/>
      <c r="AV16" s="91" t="e">
        <f t="shared" si="20"/>
        <v>#DIV/0!</v>
      </c>
      <c r="AW16" s="8">
        <f t="shared" si="61"/>
        <v>0</v>
      </c>
      <c r="AX16" s="91" t="e">
        <f t="shared" si="21"/>
        <v>#DIV/0!</v>
      </c>
      <c r="AY16" s="101"/>
      <c r="AZ16" s="91" t="e">
        <f t="shared" si="22"/>
        <v>#DIV/0!</v>
      </c>
      <c r="BA16" s="91">
        <f t="shared" si="62"/>
        <v>0</v>
      </c>
      <c r="BB16" s="91" t="e">
        <f t="shared" si="23"/>
        <v>#DIV/0!</v>
      </c>
      <c r="BC16" s="101"/>
      <c r="BD16" s="91" t="e">
        <f t="shared" si="24"/>
        <v>#DIV/0!</v>
      </c>
      <c r="BE16" s="91">
        <f t="shared" si="63"/>
        <v>0</v>
      </c>
      <c r="BF16" s="91" t="e">
        <f t="shared" si="25"/>
        <v>#DIV/0!</v>
      </c>
      <c r="BG16" s="101"/>
      <c r="BH16" s="91" t="e">
        <f t="shared" si="26"/>
        <v>#DIV/0!</v>
      </c>
      <c r="BI16" s="91">
        <f t="shared" si="64"/>
        <v>0</v>
      </c>
      <c r="BJ16" s="91" t="e">
        <f t="shared" si="27"/>
        <v>#DIV/0!</v>
      </c>
      <c r="BK16" s="101"/>
      <c r="BL16" s="91"/>
      <c r="BM16" s="91"/>
      <c r="BN16" s="91"/>
      <c r="BO16" s="101"/>
      <c r="BP16" s="91"/>
      <c r="BQ16" s="91"/>
      <c r="BR16" s="91"/>
      <c r="BS16" s="101"/>
      <c r="BT16" s="91"/>
      <c r="BU16" s="91"/>
      <c r="BV16" s="91"/>
      <c r="BW16" s="91">
        <f t="shared" si="65"/>
        <v>0</v>
      </c>
      <c r="BX16" s="91" t="e">
        <f t="shared" si="28"/>
        <v>#DIV/0!</v>
      </c>
      <c r="BY16" s="91">
        <f t="shared" si="66"/>
        <v>0</v>
      </c>
      <c r="BZ16" s="91" t="e">
        <f t="shared" si="29"/>
        <v>#DIV/0!</v>
      </c>
      <c r="CA16" s="101"/>
      <c r="CB16" s="10" t="e">
        <f t="shared" si="30"/>
        <v>#DIV/0!</v>
      </c>
      <c r="CC16" s="91"/>
      <c r="CD16" s="10" t="e">
        <f t="shared" si="31"/>
        <v>#DIV/0!</v>
      </c>
      <c r="CE16" s="101"/>
      <c r="CF16" s="91" t="e">
        <f t="shared" si="32"/>
        <v>#DIV/0!</v>
      </c>
      <c r="CG16" s="91">
        <f t="shared" si="67"/>
        <v>0</v>
      </c>
      <c r="CH16" s="91" t="e">
        <f t="shared" si="33"/>
        <v>#DIV/0!</v>
      </c>
      <c r="CI16" s="101"/>
      <c r="CJ16" s="91" t="e">
        <f t="shared" si="34"/>
        <v>#DIV/0!</v>
      </c>
      <c r="CK16" s="91">
        <f t="shared" si="68"/>
        <v>0</v>
      </c>
      <c r="CL16" s="91" t="e">
        <f t="shared" si="35"/>
        <v>#DIV/0!</v>
      </c>
      <c r="CM16" s="101"/>
      <c r="CN16" s="91" t="e">
        <f t="shared" si="36"/>
        <v>#DIV/0!</v>
      </c>
      <c r="CO16" s="91">
        <f t="shared" si="69"/>
        <v>0</v>
      </c>
      <c r="CP16" s="91" t="e">
        <f t="shared" si="37"/>
        <v>#DIV/0!</v>
      </c>
      <c r="CQ16" s="101"/>
      <c r="CR16" s="91" t="e">
        <f t="shared" si="38"/>
        <v>#DIV/0!</v>
      </c>
      <c r="CS16" s="91">
        <f t="shared" si="70"/>
        <v>0</v>
      </c>
      <c r="CT16" s="91" t="e">
        <f t="shared" si="39"/>
        <v>#DIV/0!</v>
      </c>
      <c r="CU16" s="101"/>
      <c r="CV16" s="91" t="e">
        <f t="shared" si="40"/>
        <v>#DIV/0!</v>
      </c>
      <c r="CW16" s="91">
        <f t="shared" si="71"/>
        <v>0</v>
      </c>
      <c r="CX16" s="91" t="e">
        <f t="shared" si="41"/>
        <v>#DIV/0!</v>
      </c>
      <c r="CY16" s="101"/>
      <c r="CZ16" s="91" t="e">
        <f t="shared" si="42"/>
        <v>#DIV/0!</v>
      </c>
      <c r="DA16" s="91">
        <f t="shared" si="72"/>
        <v>0</v>
      </c>
      <c r="DB16" s="91" t="e">
        <f t="shared" si="43"/>
        <v>#DIV/0!</v>
      </c>
      <c r="DC16" s="101"/>
      <c r="DD16" s="91" t="e">
        <f t="shared" si="44"/>
        <v>#DIV/0!</v>
      </c>
      <c r="DE16" s="91">
        <f t="shared" si="73"/>
        <v>0</v>
      </c>
      <c r="DF16" s="91" t="e">
        <f t="shared" si="45"/>
        <v>#DIV/0!</v>
      </c>
      <c r="DG16" s="101"/>
      <c r="DH16" s="91"/>
      <c r="DI16" s="91"/>
      <c r="DJ16" s="91"/>
      <c r="DK16" s="10">
        <f t="shared" si="74"/>
        <v>0</v>
      </c>
      <c r="DL16" s="91" t="e">
        <f t="shared" si="46"/>
        <v>#DIV/0!</v>
      </c>
      <c r="DM16" s="91">
        <f t="shared" si="75"/>
        <v>0</v>
      </c>
      <c r="DN16" s="91" t="e">
        <f t="shared" si="47"/>
        <v>#DIV/0!</v>
      </c>
      <c r="DO16" s="101"/>
      <c r="DP16" s="10" t="e">
        <f t="shared" si="76"/>
        <v>#DIV/0!</v>
      </c>
      <c r="DQ16" s="91">
        <f t="shared" si="77"/>
        <v>0</v>
      </c>
      <c r="DR16" s="10" t="e">
        <f t="shared" si="78"/>
        <v>#DIV/0!</v>
      </c>
      <c r="DS16" s="101"/>
      <c r="DT16" s="15" t="e">
        <f t="shared" si="79"/>
        <v>#DIV/0!</v>
      </c>
      <c r="DU16" s="91">
        <f t="shared" si="80"/>
        <v>0</v>
      </c>
      <c r="DV16" s="10" t="e">
        <f t="shared" si="81"/>
        <v>#DIV/0!</v>
      </c>
      <c r="DW16" s="101"/>
      <c r="DX16" s="15" t="e">
        <f t="shared" si="82"/>
        <v>#DIV/0!</v>
      </c>
      <c r="DY16" s="10">
        <f t="shared" si="83"/>
        <v>0</v>
      </c>
      <c r="DZ16" s="459" t="e">
        <f t="shared" si="84"/>
        <v>#DIV/0!</v>
      </c>
      <c r="EA16" s="101"/>
      <c r="EB16" s="10" t="e">
        <f t="shared" si="85"/>
        <v>#DIV/0!</v>
      </c>
      <c r="EC16" s="91">
        <f t="shared" si="86"/>
        <v>0</v>
      </c>
      <c r="ED16" s="10" t="e">
        <f t="shared" si="87"/>
        <v>#DIV/0!</v>
      </c>
      <c r="EE16" s="10">
        <f t="shared" si="48"/>
        <v>0</v>
      </c>
      <c r="EF16" s="10" t="e">
        <f t="shared" si="88"/>
        <v>#DIV/0!</v>
      </c>
      <c r="EG16" s="91">
        <f t="shared" si="89"/>
        <v>0</v>
      </c>
      <c r="EH16" s="10" t="e">
        <f t="shared" si="90"/>
        <v>#DIV/0!</v>
      </c>
      <c r="EI16" s="101"/>
      <c r="EJ16" s="91" t="e">
        <f t="shared" si="91"/>
        <v>#DIV/0!</v>
      </c>
      <c r="EK16" s="91">
        <f t="shared" si="92"/>
        <v>0</v>
      </c>
      <c r="EL16" s="91" t="e">
        <f t="shared" si="93"/>
        <v>#DIV/0!</v>
      </c>
      <c r="EM16" s="101"/>
      <c r="EN16" s="91" t="e">
        <f t="shared" si="94"/>
        <v>#DIV/0!</v>
      </c>
      <c r="EO16" s="91">
        <f t="shared" si="95"/>
        <v>0</v>
      </c>
      <c r="EP16" s="91" t="e">
        <f t="shared" si="96"/>
        <v>#DIV/0!</v>
      </c>
      <c r="EQ16" s="101"/>
      <c r="ER16" s="91" t="e">
        <f t="shared" si="97"/>
        <v>#DIV/0!</v>
      </c>
      <c r="ES16" s="91">
        <f t="shared" si="98"/>
        <v>0</v>
      </c>
      <c r="ET16" s="91" t="e">
        <f t="shared" si="99"/>
        <v>#DIV/0!</v>
      </c>
      <c r="EU16" s="101"/>
      <c r="EV16" s="91" t="e">
        <f t="shared" si="100"/>
        <v>#DIV/0!</v>
      </c>
      <c r="EW16" s="91">
        <f t="shared" si="101"/>
        <v>0</v>
      </c>
      <c r="EX16" s="91" t="e">
        <f t="shared" si="102"/>
        <v>#DIV/0!</v>
      </c>
      <c r="EY16" s="91">
        <f t="shared" si="103"/>
        <v>0</v>
      </c>
      <c r="EZ16" s="91" t="e">
        <f t="shared" si="104"/>
        <v>#DIV/0!</v>
      </c>
      <c r="FA16" s="91">
        <f t="shared" si="105"/>
        <v>0</v>
      </c>
      <c r="FB16" s="91" t="e">
        <f t="shared" si="106"/>
        <v>#DIV/0!</v>
      </c>
      <c r="FC16" s="91">
        <f t="shared" si="111"/>
        <v>0</v>
      </c>
      <c r="FD16" s="91">
        <f t="shared" si="108"/>
        <v>0</v>
      </c>
      <c r="FE16" s="91" t="e">
        <f t="shared" si="49"/>
        <v>#DIV/0!</v>
      </c>
      <c r="FF16" s="91">
        <f t="shared" si="50"/>
        <v>0</v>
      </c>
      <c r="FG16" s="6"/>
      <c r="FH16" s="460" t="e">
        <f t="shared" si="109"/>
        <v>#DIV/0!</v>
      </c>
      <c r="FI16" s="460" t="e">
        <f>(SUM($FG$10:FG16))/(SUM($EE$10:EE16))</f>
        <v>#DIV/0!</v>
      </c>
      <c r="FJ16" s="3"/>
    </row>
    <row r="17" spans="1:171">
      <c r="A17" s="16">
        <f>+Chem!A17</f>
        <v>45938</v>
      </c>
      <c r="B17" s="6" t="str">
        <f>+Chem!B17</f>
        <v>STOP</v>
      </c>
      <c r="C17" s="16" t="str">
        <f>+Chem!C17</f>
        <v>17</v>
      </c>
      <c r="D17" s="8">
        <f>+Chem!D17</f>
        <v>0</v>
      </c>
      <c r="E17" s="7">
        <f>+Chem!E17</f>
        <v>0</v>
      </c>
      <c r="F17" s="7">
        <f t="shared" si="110"/>
        <v>3.3639999999999999</v>
      </c>
      <c r="G17" s="101"/>
      <c r="H17" s="91">
        <f t="shared" si="0"/>
        <v>0</v>
      </c>
      <c r="I17" s="8">
        <f t="shared" si="51"/>
        <v>0</v>
      </c>
      <c r="J17" s="91">
        <f t="shared" si="1"/>
        <v>0</v>
      </c>
      <c r="K17" s="101">
        <f>2*K7</f>
        <v>500</v>
      </c>
      <c r="L17" s="91">
        <f t="shared" si="2"/>
        <v>14.285714285714285</v>
      </c>
      <c r="M17" s="91">
        <f>+K17+M16</f>
        <v>500</v>
      </c>
      <c r="N17" s="91">
        <f t="shared" si="3"/>
        <v>14.285714285714285</v>
      </c>
      <c r="O17" s="101"/>
      <c r="P17" s="91">
        <f t="shared" si="4"/>
        <v>0</v>
      </c>
      <c r="Q17" s="91">
        <f t="shared" si="53"/>
        <v>0</v>
      </c>
      <c r="R17" s="91">
        <f t="shared" si="5"/>
        <v>0</v>
      </c>
      <c r="S17" s="101"/>
      <c r="T17" s="91">
        <f t="shared" si="6"/>
        <v>0</v>
      </c>
      <c r="U17" s="91">
        <f t="shared" si="54"/>
        <v>0</v>
      </c>
      <c r="V17" s="91">
        <f t="shared" si="7"/>
        <v>0</v>
      </c>
      <c r="W17" s="101"/>
      <c r="X17" s="91">
        <f t="shared" si="8"/>
        <v>0</v>
      </c>
      <c r="Y17" s="91">
        <f t="shared" si="55"/>
        <v>0</v>
      </c>
      <c r="Z17" s="91">
        <f t="shared" si="9"/>
        <v>0</v>
      </c>
      <c r="AA17" s="101"/>
      <c r="AB17" s="91">
        <f t="shared" si="10"/>
        <v>0</v>
      </c>
      <c r="AC17" s="91">
        <f t="shared" si="56"/>
        <v>0</v>
      </c>
      <c r="AD17" s="91">
        <f t="shared" si="11"/>
        <v>0</v>
      </c>
      <c r="AE17" s="101"/>
      <c r="AF17" s="91">
        <f t="shared" si="12"/>
        <v>0</v>
      </c>
      <c r="AG17" s="91">
        <f t="shared" si="57"/>
        <v>0</v>
      </c>
      <c r="AH17" s="91">
        <f t="shared" si="13"/>
        <v>0</v>
      </c>
      <c r="AI17" s="101"/>
      <c r="AJ17" s="91">
        <f t="shared" si="14"/>
        <v>0</v>
      </c>
      <c r="AK17" s="91">
        <f t="shared" si="58"/>
        <v>0</v>
      </c>
      <c r="AL17" s="91">
        <f t="shared" si="15"/>
        <v>0</v>
      </c>
      <c r="AM17" s="101"/>
      <c r="AN17" s="91">
        <f t="shared" si="16"/>
        <v>0</v>
      </c>
      <c r="AO17" s="91">
        <f t="shared" si="59"/>
        <v>0</v>
      </c>
      <c r="AP17" s="91">
        <f t="shared" si="17"/>
        <v>0</v>
      </c>
      <c r="AQ17" s="101"/>
      <c r="AR17" s="91">
        <f t="shared" si="18"/>
        <v>0</v>
      </c>
      <c r="AS17" s="91">
        <f t="shared" si="60"/>
        <v>0</v>
      </c>
      <c r="AT17" s="91">
        <f t="shared" si="19"/>
        <v>0</v>
      </c>
      <c r="AU17" s="252"/>
      <c r="AV17" s="91">
        <f t="shared" si="20"/>
        <v>0</v>
      </c>
      <c r="AW17" s="8">
        <f t="shared" si="61"/>
        <v>0</v>
      </c>
      <c r="AX17" s="91">
        <f t="shared" si="21"/>
        <v>0</v>
      </c>
      <c r="AY17" s="101"/>
      <c r="AZ17" s="91">
        <f t="shared" si="22"/>
        <v>0</v>
      </c>
      <c r="BA17" s="91">
        <f t="shared" si="62"/>
        <v>0</v>
      </c>
      <c r="BB17" s="91">
        <f t="shared" si="23"/>
        <v>0</v>
      </c>
      <c r="BC17" s="101"/>
      <c r="BD17" s="91">
        <f t="shared" si="24"/>
        <v>0</v>
      </c>
      <c r="BE17" s="91">
        <f t="shared" si="63"/>
        <v>0</v>
      </c>
      <c r="BF17" s="91">
        <f t="shared" si="25"/>
        <v>0</v>
      </c>
      <c r="BG17" s="101"/>
      <c r="BH17" s="91">
        <f t="shared" si="26"/>
        <v>0</v>
      </c>
      <c r="BI17" s="91">
        <f t="shared" si="64"/>
        <v>0</v>
      </c>
      <c r="BJ17" s="91">
        <f t="shared" si="27"/>
        <v>0</v>
      </c>
      <c r="BK17" s="101"/>
      <c r="BL17" s="91"/>
      <c r="BM17" s="91"/>
      <c r="BN17" s="91"/>
      <c r="BO17" s="101"/>
      <c r="BP17" s="91"/>
      <c r="BQ17" s="91"/>
      <c r="BR17" s="91"/>
      <c r="BS17" s="101"/>
      <c r="BT17" s="91"/>
      <c r="BU17" s="91"/>
      <c r="BV17" s="91"/>
      <c r="BW17" s="91">
        <f t="shared" si="65"/>
        <v>500</v>
      </c>
      <c r="BX17" s="91">
        <f t="shared" si="28"/>
        <v>14.285714285714285</v>
      </c>
      <c r="BY17" s="91">
        <f t="shared" si="66"/>
        <v>500</v>
      </c>
      <c r="BZ17" s="91">
        <f t="shared" si="29"/>
        <v>14.285714285714285</v>
      </c>
      <c r="CA17" s="101"/>
      <c r="CB17" s="10">
        <f t="shared" si="30"/>
        <v>0</v>
      </c>
      <c r="CC17" s="91"/>
      <c r="CD17" s="10">
        <f t="shared" si="31"/>
        <v>0</v>
      </c>
      <c r="CE17" s="101">
        <f>12*CE7</f>
        <v>3000</v>
      </c>
      <c r="CF17" s="91">
        <f t="shared" si="32"/>
        <v>85.714285714285708</v>
      </c>
      <c r="CG17" s="91">
        <f t="shared" si="67"/>
        <v>3000</v>
      </c>
      <c r="CH17" s="91">
        <f t="shared" si="33"/>
        <v>85.714285714285708</v>
      </c>
      <c r="CI17" s="101"/>
      <c r="CJ17" s="91">
        <f t="shared" si="34"/>
        <v>0</v>
      </c>
      <c r="CK17" s="91">
        <f t="shared" si="68"/>
        <v>0</v>
      </c>
      <c r="CL17" s="91">
        <f t="shared" si="35"/>
        <v>0</v>
      </c>
      <c r="CM17" s="101"/>
      <c r="CN17" s="91">
        <f t="shared" si="36"/>
        <v>0</v>
      </c>
      <c r="CO17" s="91">
        <f t="shared" si="69"/>
        <v>0</v>
      </c>
      <c r="CP17" s="91">
        <f t="shared" si="37"/>
        <v>0</v>
      </c>
      <c r="CQ17" s="101"/>
      <c r="CR17" s="91">
        <f t="shared" si="38"/>
        <v>0</v>
      </c>
      <c r="CS17" s="91">
        <f t="shared" si="70"/>
        <v>0</v>
      </c>
      <c r="CT17" s="91">
        <f t="shared" si="39"/>
        <v>0</v>
      </c>
      <c r="CU17" s="101"/>
      <c r="CV17" s="91">
        <f t="shared" si="40"/>
        <v>0</v>
      </c>
      <c r="CW17" s="91">
        <f t="shared" si="71"/>
        <v>0</v>
      </c>
      <c r="CX17" s="91">
        <f t="shared" si="41"/>
        <v>0</v>
      </c>
      <c r="CY17" s="101"/>
      <c r="CZ17" s="91">
        <f t="shared" si="42"/>
        <v>0</v>
      </c>
      <c r="DA17" s="91">
        <f t="shared" si="72"/>
        <v>0</v>
      </c>
      <c r="DB17" s="91">
        <f t="shared" si="43"/>
        <v>0</v>
      </c>
      <c r="DC17" s="101"/>
      <c r="DD17" s="91">
        <f t="shared" si="44"/>
        <v>0</v>
      </c>
      <c r="DE17" s="91">
        <f t="shared" si="73"/>
        <v>0</v>
      </c>
      <c r="DF17" s="91">
        <f t="shared" si="45"/>
        <v>0</v>
      </c>
      <c r="DG17" s="101"/>
      <c r="DH17" s="91"/>
      <c r="DI17" s="91"/>
      <c r="DJ17" s="91"/>
      <c r="DK17" s="10">
        <f t="shared" si="74"/>
        <v>3000</v>
      </c>
      <c r="DL17" s="91">
        <f t="shared" si="46"/>
        <v>85.714285714285708</v>
      </c>
      <c r="DM17" s="91">
        <f t="shared" si="75"/>
        <v>3000</v>
      </c>
      <c r="DN17" s="91">
        <f t="shared" si="47"/>
        <v>85.714285714285708</v>
      </c>
      <c r="DO17" s="101"/>
      <c r="DP17" s="10">
        <f t="shared" si="76"/>
        <v>0</v>
      </c>
      <c r="DQ17" s="91">
        <f t="shared" si="77"/>
        <v>0</v>
      </c>
      <c r="DR17" s="10">
        <f t="shared" si="78"/>
        <v>0</v>
      </c>
      <c r="DS17" s="101"/>
      <c r="DT17" s="15">
        <f t="shared" si="79"/>
        <v>0</v>
      </c>
      <c r="DU17" s="91">
        <f t="shared" si="80"/>
        <v>0</v>
      </c>
      <c r="DV17" s="10">
        <f t="shared" si="81"/>
        <v>0</v>
      </c>
      <c r="DW17" s="101"/>
      <c r="DX17" s="15">
        <f t="shared" si="82"/>
        <v>0</v>
      </c>
      <c r="DY17" s="10">
        <f t="shared" si="83"/>
        <v>0</v>
      </c>
      <c r="DZ17" s="459">
        <f t="shared" si="84"/>
        <v>0</v>
      </c>
      <c r="EA17" s="101"/>
      <c r="EB17" s="10">
        <f t="shared" si="85"/>
        <v>0</v>
      </c>
      <c r="EC17" s="91">
        <f t="shared" si="86"/>
        <v>0</v>
      </c>
      <c r="ED17" s="10">
        <f t="shared" si="87"/>
        <v>0</v>
      </c>
      <c r="EE17" s="10">
        <f t="shared" si="48"/>
        <v>0</v>
      </c>
      <c r="EF17" s="10">
        <f t="shared" si="88"/>
        <v>0</v>
      </c>
      <c r="EG17" s="91">
        <f t="shared" si="89"/>
        <v>0</v>
      </c>
      <c r="EH17" s="10">
        <f t="shared" si="90"/>
        <v>0</v>
      </c>
      <c r="EI17" s="101"/>
      <c r="EJ17" s="91">
        <f t="shared" si="91"/>
        <v>0</v>
      </c>
      <c r="EK17" s="91">
        <f t="shared" si="92"/>
        <v>0</v>
      </c>
      <c r="EL17" s="91">
        <f t="shared" si="93"/>
        <v>0</v>
      </c>
      <c r="EM17" s="101"/>
      <c r="EN17" s="91">
        <f t="shared" si="94"/>
        <v>0</v>
      </c>
      <c r="EO17" s="91">
        <f t="shared" si="95"/>
        <v>0</v>
      </c>
      <c r="EP17" s="91">
        <f t="shared" si="96"/>
        <v>0</v>
      </c>
      <c r="EQ17" s="101"/>
      <c r="ER17" s="91">
        <f t="shared" si="97"/>
        <v>0</v>
      </c>
      <c r="ES17" s="91">
        <f t="shared" si="98"/>
        <v>0</v>
      </c>
      <c r="ET17" s="91">
        <f t="shared" si="99"/>
        <v>0</v>
      </c>
      <c r="EU17" s="101"/>
      <c r="EV17" s="91">
        <f t="shared" si="100"/>
        <v>0</v>
      </c>
      <c r="EW17" s="91">
        <f t="shared" si="101"/>
        <v>0</v>
      </c>
      <c r="EX17" s="91">
        <f t="shared" si="102"/>
        <v>0</v>
      </c>
      <c r="EY17" s="91">
        <f t="shared" si="103"/>
        <v>0</v>
      </c>
      <c r="EZ17" s="91">
        <f t="shared" si="104"/>
        <v>0</v>
      </c>
      <c r="FA17" s="91">
        <f t="shared" si="105"/>
        <v>0</v>
      </c>
      <c r="FB17" s="91">
        <f t="shared" si="106"/>
        <v>0</v>
      </c>
      <c r="FC17" s="91">
        <f t="shared" si="111"/>
        <v>3500</v>
      </c>
      <c r="FD17" s="91">
        <f t="shared" si="108"/>
        <v>3500</v>
      </c>
      <c r="FE17" s="91" t="e">
        <f t="shared" si="49"/>
        <v>#DIV/0!</v>
      </c>
      <c r="FF17" s="91">
        <f t="shared" si="50"/>
        <v>1.0404280618311534</v>
      </c>
      <c r="FG17" s="6"/>
      <c r="FH17" s="460" t="e">
        <f t="shared" si="109"/>
        <v>#DIV/0!</v>
      </c>
      <c r="FI17" s="460" t="e">
        <f>(SUM($FG$10:FG17))/(SUM($EE$10:EE17))</f>
        <v>#DIV/0!</v>
      </c>
      <c r="FJ17" s="3"/>
    </row>
    <row r="18" spans="1:171">
      <c r="A18" s="16">
        <f>+Chem!A18</f>
        <v>45939</v>
      </c>
      <c r="B18" s="6" t="str">
        <f>+Chem!B18</f>
        <v>Toilet</v>
      </c>
      <c r="C18" s="16" t="str">
        <f>+Chem!C18</f>
        <v>14/14,5</v>
      </c>
      <c r="D18" s="8">
        <f>+Chem!D18</f>
        <v>22.434999999999999</v>
      </c>
      <c r="E18" s="7">
        <f>+Chem!E18</f>
        <v>17.867000000000001</v>
      </c>
      <c r="F18" s="7">
        <f t="shared" si="110"/>
        <v>21.231000000000002</v>
      </c>
      <c r="G18" s="100"/>
      <c r="H18" s="10">
        <f t="shared" si="0"/>
        <v>0</v>
      </c>
      <c r="I18" s="8">
        <f t="shared" si="51"/>
        <v>0</v>
      </c>
      <c r="J18" s="10">
        <f t="shared" si="1"/>
        <v>0</v>
      </c>
      <c r="K18" s="100">
        <f>15.5*K7</f>
        <v>3875</v>
      </c>
      <c r="L18" s="10">
        <f t="shared" si="2"/>
        <v>14.285714285714285</v>
      </c>
      <c r="M18" s="10">
        <f t="shared" si="52"/>
        <v>4375</v>
      </c>
      <c r="N18" s="10">
        <f t="shared" si="3"/>
        <v>14.285714285714285</v>
      </c>
      <c r="O18" s="100"/>
      <c r="P18" s="10">
        <f t="shared" si="4"/>
        <v>0</v>
      </c>
      <c r="Q18" s="10">
        <f t="shared" si="53"/>
        <v>0</v>
      </c>
      <c r="R18" s="10">
        <f t="shared" si="5"/>
        <v>0</v>
      </c>
      <c r="S18" s="100"/>
      <c r="T18" s="10">
        <f t="shared" si="6"/>
        <v>0</v>
      </c>
      <c r="U18" s="10">
        <f t="shared" si="54"/>
        <v>0</v>
      </c>
      <c r="V18" s="10">
        <f t="shared" si="7"/>
        <v>0</v>
      </c>
      <c r="W18" s="100"/>
      <c r="X18" s="10">
        <f t="shared" si="8"/>
        <v>0</v>
      </c>
      <c r="Y18" s="10">
        <f t="shared" si="55"/>
        <v>0</v>
      </c>
      <c r="Z18" s="10">
        <f t="shared" si="9"/>
        <v>0</v>
      </c>
      <c r="AA18" s="100"/>
      <c r="AB18" s="10">
        <f t="shared" si="10"/>
        <v>0</v>
      </c>
      <c r="AC18" s="10">
        <f t="shared" si="56"/>
        <v>0</v>
      </c>
      <c r="AD18" s="10">
        <f t="shared" si="11"/>
        <v>0</v>
      </c>
      <c r="AE18" s="100"/>
      <c r="AF18" s="10">
        <f t="shared" si="12"/>
        <v>0</v>
      </c>
      <c r="AG18" s="10">
        <f t="shared" si="57"/>
        <v>0</v>
      </c>
      <c r="AH18" s="10">
        <f t="shared" si="13"/>
        <v>0</v>
      </c>
      <c r="AI18" s="100"/>
      <c r="AJ18" s="10">
        <f t="shared" si="14"/>
        <v>0</v>
      </c>
      <c r="AK18" s="10">
        <f t="shared" si="58"/>
        <v>0</v>
      </c>
      <c r="AL18" s="10">
        <f t="shared" si="15"/>
        <v>0</v>
      </c>
      <c r="AM18" s="100"/>
      <c r="AN18" s="10">
        <f t="shared" si="16"/>
        <v>0</v>
      </c>
      <c r="AO18" s="10">
        <f t="shared" si="59"/>
        <v>0</v>
      </c>
      <c r="AP18" s="10">
        <f t="shared" si="17"/>
        <v>0</v>
      </c>
      <c r="AQ18" s="100"/>
      <c r="AR18" s="10">
        <f t="shared" si="18"/>
        <v>0</v>
      </c>
      <c r="AS18" s="10">
        <f t="shared" si="60"/>
        <v>0</v>
      </c>
      <c r="AT18" s="10">
        <f t="shared" si="19"/>
        <v>0</v>
      </c>
      <c r="AU18" s="252"/>
      <c r="AV18" s="10">
        <f t="shared" si="20"/>
        <v>0</v>
      </c>
      <c r="AW18" s="8">
        <f t="shared" si="61"/>
        <v>0</v>
      </c>
      <c r="AX18" s="10">
        <f t="shared" si="21"/>
        <v>0</v>
      </c>
      <c r="AY18" s="100"/>
      <c r="AZ18" s="10">
        <f t="shared" si="22"/>
        <v>0</v>
      </c>
      <c r="BA18" s="10">
        <f t="shared" si="62"/>
        <v>0</v>
      </c>
      <c r="BB18" s="10">
        <f t="shared" si="23"/>
        <v>0</v>
      </c>
      <c r="BC18" s="100"/>
      <c r="BD18" s="10">
        <f t="shared" si="24"/>
        <v>0</v>
      </c>
      <c r="BE18" s="10">
        <f t="shared" si="63"/>
        <v>0</v>
      </c>
      <c r="BF18" s="10">
        <f t="shared" si="25"/>
        <v>0</v>
      </c>
      <c r="BG18" s="100"/>
      <c r="BH18" s="10">
        <f t="shared" si="26"/>
        <v>0</v>
      </c>
      <c r="BI18" s="10">
        <f t="shared" si="64"/>
        <v>0</v>
      </c>
      <c r="BJ18" s="10">
        <f t="shared" si="27"/>
        <v>0</v>
      </c>
      <c r="BK18" s="100"/>
      <c r="BL18" s="10"/>
      <c r="BM18" s="10"/>
      <c r="BN18" s="10"/>
      <c r="BO18" s="100"/>
      <c r="BP18" s="10"/>
      <c r="BQ18" s="10"/>
      <c r="BR18" s="10"/>
      <c r="BS18" s="100"/>
      <c r="BT18" s="10"/>
      <c r="BU18" s="10"/>
      <c r="BV18" s="10"/>
      <c r="BW18" s="10">
        <f t="shared" si="65"/>
        <v>3875</v>
      </c>
      <c r="BX18" s="10">
        <f t="shared" si="28"/>
        <v>14.285714285714285</v>
      </c>
      <c r="BY18" s="10">
        <f t="shared" si="66"/>
        <v>4375</v>
      </c>
      <c r="BZ18" s="10">
        <f t="shared" si="29"/>
        <v>14.285714285714285</v>
      </c>
      <c r="CA18" s="100"/>
      <c r="CB18" s="10">
        <f t="shared" si="30"/>
        <v>0</v>
      </c>
      <c r="CC18" s="10"/>
      <c r="CD18" s="10">
        <f t="shared" si="31"/>
        <v>0</v>
      </c>
      <c r="CE18" s="100">
        <f>93*CE7</f>
        <v>23250</v>
      </c>
      <c r="CF18" s="10">
        <f t="shared" si="32"/>
        <v>85.714285714285708</v>
      </c>
      <c r="CG18" s="10">
        <f t="shared" si="67"/>
        <v>26250</v>
      </c>
      <c r="CH18" s="10">
        <f t="shared" si="33"/>
        <v>85.714285714285708</v>
      </c>
      <c r="CI18" s="100"/>
      <c r="CJ18" s="10">
        <f t="shared" si="34"/>
        <v>0</v>
      </c>
      <c r="CK18" s="10">
        <f t="shared" si="68"/>
        <v>0</v>
      </c>
      <c r="CL18" s="10">
        <f t="shared" si="35"/>
        <v>0</v>
      </c>
      <c r="CM18" s="100"/>
      <c r="CN18" s="10">
        <f t="shared" si="36"/>
        <v>0</v>
      </c>
      <c r="CO18" s="10">
        <f t="shared" si="69"/>
        <v>0</v>
      </c>
      <c r="CP18" s="10">
        <f t="shared" si="37"/>
        <v>0</v>
      </c>
      <c r="CQ18" s="100"/>
      <c r="CR18" s="10">
        <f t="shared" si="38"/>
        <v>0</v>
      </c>
      <c r="CS18" s="10">
        <f t="shared" si="70"/>
        <v>0</v>
      </c>
      <c r="CT18" s="10">
        <f t="shared" si="39"/>
        <v>0</v>
      </c>
      <c r="CU18" s="100"/>
      <c r="CV18" s="10">
        <f t="shared" si="40"/>
        <v>0</v>
      </c>
      <c r="CW18" s="10">
        <f t="shared" si="71"/>
        <v>0</v>
      </c>
      <c r="CX18" s="10">
        <f t="shared" si="41"/>
        <v>0</v>
      </c>
      <c r="CY18" s="100"/>
      <c r="CZ18" s="10">
        <f t="shared" si="42"/>
        <v>0</v>
      </c>
      <c r="DA18" s="10">
        <f t="shared" si="72"/>
        <v>0</v>
      </c>
      <c r="DB18" s="10">
        <f t="shared" si="43"/>
        <v>0</v>
      </c>
      <c r="DC18" s="100"/>
      <c r="DD18" s="10">
        <f t="shared" si="44"/>
        <v>0</v>
      </c>
      <c r="DE18" s="10">
        <f t="shared" si="73"/>
        <v>0</v>
      </c>
      <c r="DF18" s="10">
        <f t="shared" si="45"/>
        <v>0</v>
      </c>
      <c r="DG18" s="100"/>
      <c r="DH18" s="10"/>
      <c r="DI18" s="10"/>
      <c r="DJ18" s="10"/>
      <c r="DK18" s="10">
        <f t="shared" si="74"/>
        <v>23250</v>
      </c>
      <c r="DL18" s="91">
        <f t="shared" si="46"/>
        <v>85.714285714285708</v>
      </c>
      <c r="DM18" s="10">
        <f t="shared" si="75"/>
        <v>26250</v>
      </c>
      <c r="DN18" s="10">
        <f t="shared" si="47"/>
        <v>85.714285714285708</v>
      </c>
      <c r="DO18" s="100"/>
      <c r="DP18" s="10">
        <f t="shared" si="76"/>
        <v>0</v>
      </c>
      <c r="DQ18" s="10">
        <f t="shared" si="77"/>
        <v>0</v>
      </c>
      <c r="DR18" s="10">
        <f t="shared" si="78"/>
        <v>0</v>
      </c>
      <c r="DS18" s="100"/>
      <c r="DT18" s="15">
        <f t="shared" si="79"/>
        <v>0</v>
      </c>
      <c r="DU18" s="10">
        <f t="shared" si="80"/>
        <v>0</v>
      </c>
      <c r="DV18" s="10">
        <f t="shared" si="81"/>
        <v>0</v>
      </c>
      <c r="DW18" s="100"/>
      <c r="DX18" s="15">
        <f t="shared" si="82"/>
        <v>0</v>
      </c>
      <c r="DY18" s="10">
        <f t="shared" si="83"/>
        <v>0</v>
      </c>
      <c r="DZ18" s="459">
        <f t="shared" si="84"/>
        <v>0</v>
      </c>
      <c r="EA18" s="100"/>
      <c r="EB18" s="10">
        <f t="shared" si="85"/>
        <v>0</v>
      </c>
      <c r="EC18" s="10">
        <f t="shared" si="86"/>
        <v>0</v>
      </c>
      <c r="ED18" s="10">
        <f t="shared" si="87"/>
        <v>0</v>
      </c>
      <c r="EE18" s="10">
        <f t="shared" si="48"/>
        <v>0</v>
      </c>
      <c r="EF18" s="10">
        <f t="shared" si="88"/>
        <v>0</v>
      </c>
      <c r="EG18" s="10">
        <f t="shared" si="89"/>
        <v>0</v>
      </c>
      <c r="EH18" s="10">
        <f t="shared" si="90"/>
        <v>0</v>
      </c>
      <c r="EI18" s="100"/>
      <c r="EJ18" s="91">
        <f t="shared" si="91"/>
        <v>0</v>
      </c>
      <c r="EK18" s="10">
        <f t="shared" si="92"/>
        <v>0</v>
      </c>
      <c r="EL18" s="91">
        <f t="shared" si="93"/>
        <v>0</v>
      </c>
      <c r="EM18" s="100"/>
      <c r="EN18" s="91">
        <f t="shared" si="94"/>
        <v>0</v>
      </c>
      <c r="EO18" s="10">
        <f t="shared" si="95"/>
        <v>0</v>
      </c>
      <c r="EP18" s="91">
        <f t="shared" si="96"/>
        <v>0</v>
      </c>
      <c r="EQ18" s="100"/>
      <c r="ER18" s="91">
        <f t="shared" si="97"/>
        <v>0</v>
      </c>
      <c r="ES18" s="10">
        <f t="shared" si="98"/>
        <v>0</v>
      </c>
      <c r="ET18" s="91">
        <f t="shared" si="99"/>
        <v>0</v>
      </c>
      <c r="EU18" s="100"/>
      <c r="EV18" s="91">
        <f t="shared" si="100"/>
        <v>0</v>
      </c>
      <c r="EW18" s="10">
        <f t="shared" si="101"/>
        <v>0</v>
      </c>
      <c r="EX18" s="91">
        <f t="shared" si="102"/>
        <v>0</v>
      </c>
      <c r="EY18" s="91">
        <f t="shared" si="103"/>
        <v>0</v>
      </c>
      <c r="EZ18" s="91">
        <f t="shared" si="104"/>
        <v>0</v>
      </c>
      <c r="FA18" s="10">
        <f t="shared" si="105"/>
        <v>0</v>
      </c>
      <c r="FB18" s="91">
        <f t="shared" si="106"/>
        <v>0</v>
      </c>
      <c r="FC18" s="91">
        <f t="shared" si="111"/>
        <v>27125</v>
      </c>
      <c r="FD18" s="10">
        <f t="shared" si="108"/>
        <v>30625</v>
      </c>
      <c r="FE18" s="10">
        <f t="shared" si="49"/>
        <v>1.5181619745900263</v>
      </c>
      <c r="FF18" s="10">
        <f t="shared" si="50"/>
        <v>1.442466205077481</v>
      </c>
      <c r="FG18" s="6"/>
      <c r="FH18" s="460" t="e">
        <f t="shared" si="109"/>
        <v>#DIV/0!</v>
      </c>
      <c r="FI18" s="460" t="e">
        <f>(SUM($FG$10:FG18))/(SUM($EE$10:EE18))</f>
        <v>#DIV/0!</v>
      </c>
      <c r="FJ18" s="3"/>
    </row>
    <row r="19" spans="1:171">
      <c r="A19" s="16">
        <f>+Chem!A19</f>
        <v>45940</v>
      </c>
      <c r="B19" s="6" t="str">
        <f>+Chem!B19</f>
        <v>Toilet</v>
      </c>
      <c r="C19" s="16" t="str">
        <f>+Chem!C19</f>
        <v>14,5</v>
      </c>
      <c r="D19" s="8">
        <f>+Chem!D19</f>
        <v>42.66</v>
      </c>
      <c r="E19" s="7">
        <f>+Chem!E19</f>
        <v>38.145000000000003</v>
      </c>
      <c r="F19" s="7">
        <f t="shared" si="110"/>
        <v>59.376000000000005</v>
      </c>
      <c r="G19" s="100"/>
      <c r="H19" s="10">
        <f t="shared" si="0"/>
        <v>0</v>
      </c>
      <c r="I19" s="8">
        <f t="shared" si="51"/>
        <v>0</v>
      </c>
      <c r="J19" s="10">
        <f t="shared" si="1"/>
        <v>0</v>
      </c>
      <c r="K19" s="100">
        <f>26.5*K7</f>
        <v>6625</v>
      </c>
      <c r="L19" s="10">
        <f t="shared" si="2"/>
        <v>14.285714285714285</v>
      </c>
      <c r="M19" s="10">
        <f t="shared" si="52"/>
        <v>11000</v>
      </c>
      <c r="N19" s="10">
        <f t="shared" si="3"/>
        <v>14.285714285714285</v>
      </c>
      <c r="O19" s="100"/>
      <c r="P19" s="10">
        <f t="shared" si="4"/>
        <v>0</v>
      </c>
      <c r="Q19" s="10">
        <f t="shared" si="53"/>
        <v>0</v>
      </c>
      <c r="R19" s="10">
        <f t="shared" si="5"/>
        <v>0</v>
      </c>
      <c r="S19" s="100"/>
      <c r="T19" s="10">
        <f t="shared" si="6"/>
        <v>0</v>
      </c>
      <c r="U19" s="10">
        <f t="shared" si="54"/>
        <v>0</v>
      </c>
      <c r="V19" s="10">
        <f t="shared" si="7"/>
        <v>0</v>
      </c>
      <c r="W19" s="100"/>
      <c r="X19" s="10">
        <f t="shared" si="8"/>
        <v>0</v>
      </c>
      <c r="Y19" s="10">
        <f t="shared" si="55"/>
        <v>0</v>
      </c>
      <c r="Z19" s="10">
        <f t="shared" si="9"/>
        <v>0</v>
      </c>
      <c r="AA19" s="100"/>
      <c r="AB19" s="10">
        <f t="shared" si="10"/>
        <v>0</v>
      </c>
      <c r="AC19" s="10">
        <f t="shared" si="56"/>
        <v>0</v>
      </c>
      <c r="AD19" s="10">
        <f t="shared" si="11"/>
        <v>0</v>
      </c>
      <c r="AE19" s="100"/>
      <c r="AF19" s="10">
        <f t="shared" si="12"/>
        <v>0</v>
      </c>
      <c r="AG19" s="10">
        <f t="shared" si="57"/>
        <v>0</v>
      </c>
      <c r="AH19" s="10">
        <f t="shared" si="13"/>
        <v>0</v>
      </c>
      <c r="AI19" s="100"/>
      <c r="AJ19" s="10">
        <f t="shared" si="14"/>
        <v>0</v>
      </c>
      <c r="AK19" s="10">
        <f t="shared" si="58"/>
        <v>0</v>
      </c>
      <c r="AL19" s="10">
        <f t="shared" si="15"/>
        <v>0</v>
      </c>
      <c r="AM19" s="100"/>
      <c r="AN19" s="10">
        <f t="shared" si="16"/>
        <v>0</v>
      </c>
      <c r="AO19" s="10">
        <f t="shared" si="59"/>
        <v>0</v>
      </c>
      <c r="AP19" s="10">
        <f t="shared" si="17"/>
        <v>0</v>
      </c>
      <c r="AQ19" s="100"/>
      <c r="AR19" s="10">
        <f t="shared" si="18"/>
        <v>0</v>
      </c>
      <c r="AS19" s="10">
        <f t="shared" si="60"/>
        <v>0</v>
      </c>
      <c r="AT19" s="10">
        <f t="shared" si="19"/>
        <v>0</v>
      </c>
      <c r="AU19" s="252"/>
      <c r="AV19" s="10">
        <f t="shared" si="20"/>
        <v>0</v>
      </c>
      <c r="AW19" s="8">
        <f t="shared" si="61"/>
        <v>0</v>
      </c>
      <c r="AX19" s="10">
        <f t="shared" si="21"/>
        <v>0</v>
      </c>
      <c r="AY19" s="100"/>
      <c r="AZ19" s="10">
        <f t="shared" si="22"/>
        <v>0</v>
      </c>
      <c r="BA19" s="10">
        <f t="shared" si="62"/>
        <v>0</v>
      </c>
      <c r="BB19" s="10">
        <f t="shared" si="23"/>
        <v>0</v>
      </c>
      <c r="BC19" s="100"/>
      <c r="BD19" s="10">
        <f t="shared" si="24"/>
        <v>0</v>
      </c>
      <c r="BE19" s="10">
        <f t="shared" si="63"/>
        <v>0</v>
      </c>
      <c r="BF19" s="10">
        <f t="shared" si="25"/>
        <v>0</v>
      </c>
      <c r="BG19" s="100"/>
      <c r="BH19" s="10">
        <f t="shared" si="26"/>
        <v>0</v>
      </c>
      <c r="BI19" s="10">
        <f t="shared" si="64"/>
        <v>0</v>
      </c>
      <c r="BJ19" s="10">
        <f t="shared" si="27"/>
        <v>0</v>
      </c>
      <c r="BK19" s="100"/>
      <c r="BL19" s="10"/>
      <c r="BM19" s="10"/>
      <c r="BN19" s="10"/>
      <c r="BO19" s="100"/>
      <c r="BP19" s="10"/>
      <c r="BQ19" s="10"/>
      <c r="BR19" s="10"/>
      <c r="BS19" s="100"/>
      <c r="BT19" s="10"/>
      <c r="BU19" s="10"/>
      <c r="BV19" s="10"/>
      <c r="BW19" s="10">
        <f t="shared" si="65"/>
        <v>6625</v>
      </c>
      <c r="BX19" s="10">
        <f t="shared" si="28"/>
        <v>14.285714285714285</v>
      </c>
      <c r="BY19" s="10">
        <f t="shared" si="66"/>
        <v>11000</v>
      </c>
      <c r="BZ19" s="10">
        <f t="shared" si="29"/>
        <v>14.285714285714285</v>
      </c>
      <c r="CA19" s="100"/>
      <c r="CB19" s="10">
        <f t="shared" si="30"/>
        <v>0</v>
      </c>
      <c r="CC19" s="10"/>
      <c r="CD19" s="10">
        <f t="shared" si="31"/>
        <v>0</v>
      </c>
      <c r="CE19" s="100">
        <f>159*CE7</f>
        <v>39750</v>
      </c>
      <c r="CF19" s="10">
        <f t="shared" si="32"/>
        <v>85.714285714285708</v>
      </c>
      <c r="CG19" s="10">
        <f t="shared" si="67"/>
        <v>66000</v>
      </c>
      <c r="CH19" s="10">
        <f t="shared" si="33"/>
        <v>85.714285714285708</v>
      </c>
      <c r="CI19" s="100"/>
      <c r="CJ19" s="10">
        <f t="shared" si="34"/>
        <v>0</v>
      </c>
      <c r="CK19" s="10">
        <f t="shared" si="68"/>
        <v>0</v>
      </c>
      <c r="CL19" s="10">
        <f t="shared" si="35"/>
        <v>0</v>
      </c>
      <c r="CM19" s="100"/>
      <c r="CN19" s="10">
        <f t="shared" si="36"/>
        <v>0</v>
      </c>
      <c r="CO19" s="10">
        <f t="shared" si="69"/>
        <v>0</v>
      </c>
      <c r="CP19" s="10">
        <f t="shared" si="37"/>
        <v>0</v>
      </c>
      <c r="CQ19" s="100"/>
      <c r="CR19" s="10">
        <f t="shared" si="38"/>
        <v>0</v>
      </c>
      <c r="CS19" s="10">
        <f t="shared" si="70"/>
        <v>0</v>
      </c>
      <c r="CT19" s="10">
        <f t="shared" si="39"/>
        <v>0</v>
      </c>
      <c r="CU19" s="100"/>
      <c r="CV19" s="10">
        <f t="shared" si="40"/>
        <v>0</v>
      </c>
      <c r="CW19" s="10">
        <f t="shared" si="71"/>
        <v>0</v>
      </c>
      <c r="CX19" s="10">
        <f t="shared" si="41"/>
        <v>0</v>
      </c>
      <c r="CY19" s="100"/>
      <c r="CZ19" s="10">
        <f t="shared" si="42"/>
        <v>0</v>
      </c>
      <c r="DA19" s="10">
        <f t="shared" si="72"/>
        <v>0</v>
      </c>
      <c r="DB19" s="10">
        <f t="shared" si="43"/>
        <v>0</v>
      </c>
      <c r="DC19" s="100"/>
      <c r="DD19" s="10">
        <f t="shared" si="44"/>
        <v>0</v>
      </c>
      <c r="DE19" s="10">
        <f t="shared" si="73"/>
        <v>0</v>
      </c>
      <c r="DF19" s="10">
        <f t="shared" si="45"/>
        <v>0</v>
      </c>
      <c r="DG19" s="100"/>
      <c r="DH19" s="10"/>
      <c r="DI19" s="10"/>
      <c r="DJ19" s="10"/>
      <c r="DK19" s="10">
        <f t="shared" si="74"/>
        <v>39750</v>
      </c>
      <c r="DL19" s="91">
        <f t="shared" si="46"/>
        <v>85.714285714285708</v>
      </c>
      <c r="DM19" s="10">
        <f t="shared" si="75"/>
        <v>66000</v>
      </c>
      <c r="DN19" s="10">
        <f t="shared" si="47"/>
        <v>85.714285714285708</v>
      </c>
      <c r="DO19" s="100"/>
      <c r="DP19" s="10">
        <f t="shared" si="76"/>
        <v>0</v>
      </c>
      <c r="DQ19" s="10">
        <f t="shared" si="77"/>
        <v>0</v>
      </c>
      <c r="DR19" s="10">
        <f t="shared" si="78"/>
        <v>0</v>
      </c>
      <c r="DS19" s="100"/>
      <c r="DT19" s="15">
        <f t="shared" si="79"/>
        <v>0</v>
      </c>
      <c r="DU19" s="10">
        <f t="shared" si="80"/>
        <v>0</v>
      </c>
      <c r="DV19" s="10">
        <f t="shared" si="81"/>
        <v>0</v>
      </c>
      <c r="DW19" s="100"/>
      <c r="DX19" s="15">
        <f t="shared" si="82"/>
        <v>0</v>
      </c>
      <c r="DY19" s="10">
        <f t="shared" si="83"/>
        <v>0</v>
      </c>
      <c r="DZ19" s="459">
        <f t="shared" si="84"/>
        <v>0</v>
      </c>
      <c r="EA19" s="100"/>
      <c r="EB19" s="10">
        <f t="shared" si="85"/>
        <v>0</v>
      </c>
      <c r="EC19" s="10">
        <f t="shared" si="86"/>
        <v>0</v>
      </c>
      <c r="ED19" s="10">
        <f t="shared" si="87"/>
        <v>0</v>
      </c>
      <c r="EE19" s="10">
        <f t="shared" si="48"/>
        <v>0</v>
      </c>
      <c r="EF19" s="10">
        <f t="shared" si="88"/>
        <v>0</v>
      </c>
      <c r="EG19" s="10">
        <f t="shared" si="89"/>
        <v>0</v>
      </c>
      <c r="EH19" s="10">
        <f t="shared" si="90"/>
        <v>0</v>
      </c>
      <c r="EI19" s="100"/>
      <c r="EJ19" s="91">
        <f t="shared" si="91"/>
        <v>0</v>
      </c>
      <c r="EK19" s="10">
        <f t="shared" si="92"/>
        <v>0</v>
      </c>
      <c r="EL19" s="91">
        <f t="shared" si="93"/>
        <v>0</v>
      </c>
      <c r="EM19" s="100"/>
      <c r="EN19" s="91">
        <f t="shared" si="94"/>
        <v>0</v>
      </c>
      <c r="EO19" s="10">
        <f t="shared" si="95"/>
        <v>0</v>
      </c>
      <c r="EP19" s="91">
        <f t="shared" si="96"/>
        <v>0</v>
      </c>
      <c r="EQ19" s="100"/>
      <c r="ER19" s="91">
        <f t="shared" si="97"/>
        <v>0</v>
      </c>
      <c r="ES19" s="10">
        <f t="shared" si="98"/>
        <v>0</v>
      </c>
      <c r="ET19" s="91">
        <f t="shared" si="99"/>
        <v>0</v>
      </c>
      <c r="EU19" s="100"/>
      <c r="EV19" s="91">
        <f t="shared" si="100"/>
        <v>0</v>
      </c>
      <c r="EW19" s="10">
        <f t="shared" si="101"/>
        <v>0</v>
      </c>
      <c r="EX19" s="91">
        <f t="shared" si="102"/>
        <v>0</v>
      </c>
      <c r="EY19" s="91">
        <f t="shared" si="103"/>
        <v>0</v>
      </c>
      <c r="EZ19" s="91">
        <f t="shared" si="104"/>
        <v>0</v>
      </c>
      <c r="FA19" s="10">
        <f t="shared" si="105"/>
        <v>0</v>
      </c>
      <c r="FB19" s="91">
        <f t="shared" si="106"/>
        <v>0</v>
      </c>
      <c r="FC19" s="91">
        <f t="shared" si="111"/>
        <v>46375</v>
      </c>
      <c r="FD19" s="10">
        <f t="shared" si="108"/>
        <v>77000</v>
      </c>
      <c r="FE19" s="10">
        <f t="shared" si="49"/>
        <v>1.2157556691571634</v>
      </c>
      <c r="FF19" s="10">
        <f t="shared" si="50"/>
        <v>1.2968202640797628</v>
      </c>
      <c r="FG19" s="6"/>
      <c r="FH19" s="460" t="e">
        <f t="shared" si="109"/>
        <v>#DIV/0!</v>
      </c>
      <c r="FI19" s="460" t="e">
        <f>(SUM($FG$10:FG19))/(SUM($EE$10:EE19))</f>
        <v>#DIV/0!</v>
      </c>
      <c r="FJ19" s="3"/>
    </row>
    <row r="20" spans="1:171">
      <c r="A20" s="16">
        <f>+Chem!A20</f>
        <v>45941</v>
      </c>
      <c r="B20" s="6" t="str">
        <f>+Chem!B20</f>
        <v>Toilet</v>
      </c>
      <c r="C20" s="16" t="str">
        <f>+Chem!C20</f>
        <v>14,5</v>
      </c>
      <c r="D20" s="8">
        <f>+Chem!D20</f>
        <v>45.096000000000004</v>
      </c>
      <c r="E20" s="7">
        <f>+Chem!E20</f>
        <v>35.463999999999999</v>
      </c>
      <c r="F20" s="7">
        <f t="shared" si="110"/>
        <v>94.84</v>
      </c>
      <c r="G20" s="100"/>
      <c r="H20" s="10">
        <f t="shared" si="0"/>
        <v>0</v>
      </c>
      <c r="I20" s="8">
        <f t="shared" si="51"/>
        <v>0</v>
      </c>
      <c r="J20" s="10">
        <f t="shared" si="1"/>
        <v>0</v>
      </c>
      <c r="K20" s="100">
        <f>27.99*K7</f>
        <v>6997.5</v>
      </c>
      <c r="L20" s="10">
        <f t="shared" si="2"/>
        <v>14.281340884739016</v>
      </c>
      <c r="M20" s="10">
        <f t="shared" si="52"/>
        <v>17997.5</v>
      </c>
      <c r="N20" s="10">
        <f t="shared" si="3"/>
        <v>14.284013571697852</v>
      </c>
      <c r="O20" s="100"/>
      <c r="P20" s="10">
        <f t="shared" si="4"/>
        <v>0</v>
      </c>
      <c r="Q20" s="10">
        <f t="shared" si="53"/>
        <v>0</v>
      </c>
      <c r="R20" s="10">
        <f t="shared" si="5"/>
        <v>0</v>
      </c>
      <c r="S20" s="100"/>
      <c r="T20" s="10">
        <f t="shared" si="6"/>
        <v>0</v>
      </c>
      <c r="U20" s="10">
        <f t="shared" si="54"/>
        <v>0</v>
      </c>
      <c r="V20" s="10">
        <f t="shared" si="7"/>
        <v>0</v>
      </c>
      <c r="W20" s="100"/>
      <c r="X20" s="10">
        <f t="shared" si="8"/>
        <v>0</v>
      </c>
      <c r="Y20" s="10">
        <f t="shared" si="55"/>
        <v>0</v>
      </c>
      <c r="Z20" s="10">
        <f t="shared" si="9"/>
        <v>0</v>
      </c>
      <c r="AA20" s="100"/>
      <c r="AB20" s="10">
        <f t="shared" si="10"/>
        <v>0</v>
      </c>
      <c r="AC20" s="10">
        <f t="shared" si="56"/>
        <v>0</v>
      </c>
      <c r="AD20" s="10">
        <f t="shared" si="11"/>
        <v>0</v>
      </c>
      <c r="AE20" s="100"/>
      <c r="AF20" s="10">
        <f t="shared" si="12"/>
        <v>0</v>
      </c>
      <c r="AG20" s="10">
        <f t="shared" si="57"/>
        <v>0</v>
      </c>
      <c r="AH20" s="10">
        <f t="shared" si="13"/>
        <v>0</v>
      </c>
      <c r="AI20" s="100"/>
      <c r="AJ20" s="10">
        <f t="shared" si="14"/>
        <v>0</v>
      </c>
      <c r="AK20" s="10">
        <f t="shared" si="58"/>
        <v>0</v>
      </c>
      <c r="AL20" s="10">
        <f t="shared" si="15"/>
        <v>0</v>
      </c>
      <c r="AM20" s="100"/>
      <c r="AN20" s="10">
        <f t="shared" si="16"/>
        <v>0</v>
      </c>
      <c r="AO20" s="10">
        <f t="shared" si="59"/>
        <v>0</v>
      </c>
      <c r="AP20" s="10">
        <f t="shared" si="17"/>
        <v>0</v>
      </c>
      <c r="AQ20" s="100"/>
      <c r="AR20" s="10">
        <f t="shared" si="18"/>
        <v>0</v>
      </c>
      <c r="AS20" s="10">
        <f t="shared" si="60"/>
        <v>0</v>
      </c>
      <c r="AT20" s="10">
        <f t="shared" si="19"/>
        <v>0</v>
      </c>
      <c r="AU20" s="252"/>
      <c r="AV20" s="10">
        <f t="shared" si="20"/>
        <v>0</v>
      </c>
      <c r="AW20" s="8">
        <f t="shared" si="61"/>
        <v>0</v>
      </c>
      <c r="AX20" s="10">
        <f t="shared" si="21"/>
        <v>0</v>
      </c>
      <c r="AY20" s="100"/>
      <c r="AZ20" s="10">
        <f t="shared" si="22"/>
        <v>0</v>
      </c>
      <c r="BA20" s="10">
        <f t="shared" si="62"/>
        <v>0</v>
      </c>
      <c r="BB20" s="10">
        <f t="shared" si="23"/>
        <v>0</v>
      </c>
      <c r="BC20" s="100"/>
      <c r="BD20" s="10">
        <f t="shared" si="24"/>
        <v>0</v>
      </c>
      <c r="BE20" s="10">
        <f t="shared" si="63"/>
        <v>0</v>
      </c>
      <c r="BF20" s="10">
        <f t="shared" si="25"/>
        <v>0</v>
      </c>
      <c r="BG20" s="100"/>
      <c r="BH20" s="10">
        <f t="shared" si="26"/>
        <v>0</v>
      </c>
      <c r="BI20" s="10">
        <f t="shared" si="64"/>
        <v>0</v>
      </c>
      <c r="BJ20" s="10">
        <f t="shared" si="27"/>
        <v>0</v>
      </c>
      <c r="BK20" s="100"/>
      <c r="BL20" s="10"/>
      <c r="BM20" s="10"/>
      <c r="BN20" s="10"/>
      <c r="BO20" s="100"/>
      <c r="BP20" s="10"/>
      <c r="BQ20" s="10"/>
      <c r="BR20" s="10"/>
      <c r="BS20" s="100"/>
      <c r="BT20" s="10"/>
      <c r="BU20" s="10"/>
      <c r="BV20" s="10"/>
      <c r="BW20" s="10">
        <f t="shared" si="65"/>
        <v>6997.5</v>
      </c>
      <c r="BX20" s="10">
        <f t="shared" si="28"/>
        <v>14.281340884739016</v>
      </c>
      <c r="BY20" s="10">
        <f t="shared" si="66"/>
        <v>17997.5</v>
      </c>
      <c r="BZ20" s="10">
        <f t="shared" si="29"/>
        <v>14.284013571697852</v>
      </c>
      <c r="CA20" s="100"/>
      <c r="CB20" s="10">
        <f t="shared" si="30"/>
        <v>0</v>
      </c>
      <c r="CC20" s="10"/>
      <c r="CD20" s="10">
        <f t="shared" si="31"/>
        <v>0</v>
      </c>
      <c r="CE20" s="100">
        <f>168*CE7</f>
        <v>42000</v>
      </c>
      <c r="CF20" s="10">
        <f t="shared" si="32"/>
        <v>85.718659115260991</v>
      </c>
      <c r="CG20" s="10">
        <f t="shared" si="67"/>
        <v>108000</v>
      </c>
      <c r="CH20" s="10">
        <f t="shared" si="33"/>
        <v>85.715986428302145</v>
      </c>
      <c r="CI20" s="100"/>
      <c r="CJ20" s="10">
        <f t="shared" si="34"/>
        <v>0</v>
      </c>
      <c r="CK20" s="10">
        <f t="shared" si="68"/>
        <v>0</v>
      </c>
      <c r="CL20" s="10">
        <f t="shared" si="35"/>
        <v>0</v>
      </c>
      <c r="CM20" s="100"/>
      <c r="CN20" s="10">
        <f t="shared" si="36"/>
        <v>0</v>
      </c>
      <c r="CO20" s="10">
        <f t="shared" si="69"/>
        <v>0</v>
      </c>
      <c r="CP20" s="10">
        <f t="shared" si="37"/>
        <v>0</v>
      </c>
      <c r="CQ20" s="100"/>
      <c r="CR20" s="10">
        <f t="shared" si="38"/>
        <v>0</v>
      </c>
      <c r="CS20" s="10">
        <f t="shared" si="70"/>
        <v>0</v>
      </c>
      <c r="CT20" s="10">
        <f t="shared" si="39"/>
        <v>0</v>
      </c>
      <c r="CU20" s="100"/>
      <c r="CV20" s="10">
        <f t="shared" si="40"/>
        <v>0</v>
      </c>
      <c r="CW20" s="10">
        <f t="shared" si="71"/>
        <v>0</v>
      </c>
      <c r="CX20" s="10">
        <f t="shared" si="41"/>
        <v>0</v>
      </c>
      <c r="CY20" s="100"/>
      <c r="CZ20" s="10">
        <f t="shared" si="42"/>
        <v>0</v>
      </c>
      <c r="DA20" s="10">
        <f t="shared" si="72"/>
        <v>0</v>
      </c>
      <c r="DB20" s="10">
        <f t="shared" si="43"/>
        <v>0</v>
      </c>
      <c r="DC20" s="100"/>
      <c r="DD20" s="10">
        <f t="shared" si="44"/>
        <v>0</v>
      </c>
      <c r="DE20" s="10">
        <f t="shared" si="73"/>
        <v>0</v>
      </c>
      <c r="DF20" s="10">
        <f t="shared" si="45"/>
        <v>0</v>
      </c>
      <c r="DG20" s="100"/>
      <c r="DH20" s="10"/>
      <c r="DI20" s="10"/>
      <c r="DJ20" s="10"/>
      <c r="DK20" s="10">
        <f t="shared" si="74"/>
        <v>42000</v>
      </c>
      <c r="DL20" s="91">
        <f t="shared" si="46"/>
        <v>85.718659115260991</v>
      </c>
      <c r="DM20" s="10">
        <f t="shared" si="75"/>
        <v>108000</v>
      </c>
      <c r="DN20" s="10">
        <f t="shared" si="47"/>
        <v>85.715986428302145</v>
      </c>
      <c r="DO20" s="100"/>
      <c r="DP20" s="10">
        <f t="shared" si="76"/>
        <v>0</v>
      </c>
      <c r="DQ20" s="10">
        <f t="shared" si="77"/>
        <v>0</v>
      </c>
      <c r="DR20" s="10">
        <f t="shared" si="78"/>
        <v>0</v>
      </c>
      <c r="DS20" s="100"/>
      <c r="DT20" s="15">
        <f t="shared" si="79"/>
        <v>0</v>
      </c>
      <c r="DU20" s="10">
        <f t="shared" si="80"/>
        <v>0</v>
      </c>
      <c r="DV20" s="10">
        <f t="shared" si="81"/>
        <v>0</v>
      </c>
      <c r="DW20" s="100"/>
      <c r="DX20" s="15">
        <f t="shared" si="82"/>
        <v>0</v>
      </c>
      <c r="DY20" s="10">
        <f t="shared" si="83"/>
        <v>0</v>
      </c>
      <c r="DZ20" s="459">
        <f t="shared" si="84"/>
        <v>0</v>
      </c>
      <c r="EA20" s="100"/>
      <c r="EB20" s="10">
        <f t="shared" si="85"/>
        <v>0</v>
      </c>
      <c r="EC20" s="10">
        <f t="shared" si="86"/>
        <v>0</v>
      </c>
      <c r="ED20" s="10">
        <f t="shared" si="87"/>
        <v>0</v>
      </c>
      <c r="EE20" s="10">
        <f t="shared" si="48"/>
        <v>0</v>
      </c>
      <c r="EF20" s="10">
        <f t="shared" si="88"/>
        <v>0</v>
      </c>
      <c r="EG20" s="10">
        <f t="shared" si="89"/>
        <v>0</v>
      </c>
      <c r="EH20" s="10">
        <f t="shared" si="90"/>
        <v>0</v>
      </c>
      <c r="EI20" s="100"/>
      <c r="EJ20" s="91">
        <f t="shared" si="91"/>
        <v>0</v>
      </c>
      <c r="EK20" s="10">
        <f t="shared" si="92"/>
        <v>0</v>
      </c>
      <c r="EL20" s="91">
        <f t="shared" si="93"/>
        <v>0</v>
      </c>
      <c r="EM20" s="100"/>
      <c r="EN20" s="91">
        <f t="shared" si="94"/>
        <v>0</v>
      </c>
      <c r="EO20" s="10">
        <f t="shared" si="95"/>
        <v>0</v>
      </c>
      <c r="EP20" s="91">
        <f t="shared" si="96"/>
        <v>0</v>
      </c>
      <c r="EQ20" s="100"/>
      <c r="ER20" s="91">
        <f t="shared" si="97"/>
        <v>0</v>
      </c>
      <c r="ES20" s="10">
        <f t="shared" si="98"/>
        <v>0</v>
      </c>
      <c r="ET20" s="91">
        <f t="shared" si="99"/>
        <v>0</v>
      </c>
      <c r="EU20" s="100"/>
      <c r="EV20" s="91">
        <f t="shared" si="100"/>
        <v>0</v>
      </c>
      <c r="EW20" s="10">
        <f t="shared" si="101"/>
        <v>0</v>
      </c>
      <c r="EX20" s="91">
        <f t="shared" si="102"/>
        <v>0</v>
      </c>
      <c r="EY20" s="91">
        <f t="shared" si="103"/>
        <v>0</v>
      </c>
      <c r="EZ20" s="91">
        <f t="shared" si="104"/>
        <v>0</v>
      </c>
      <c r="FA20" s="10">
        <f t="shared" si="105"/>
        <v>0</v>
      </c>
      <c r="FB20" s="91">
        <f t="shared" si="106"/>
        <v>0</v>
      </c>
      <c r="FC20" s="91">
        <f t="shared" si="111"/>
        <v>48997.5</v>
      </c>
      <c r="FD20" s="10">
        <f t="shared" si="108"/>
        <v>125997.5</v>
      </c>
      <c r="FE20" s="10">
        <f t="shared" si="49"/>
        <v>1.3816123392736297</v>
      </c>
      <c r="FF20" s="10">
        <f t="shared" si="50"/>
        <v>1.3285269928300294</v>
      </c>
      <c r="FG20" s="6"/>
      <c r="FH20" s="460" t="e">
        <f t="shared" si="109"/>
        <v>#DIV/0!</v>
      </c>
      <c r="FI20" s="460" t="e">
        <f>(SUM($FG$10:FG20))/(SUM($EE$10:EE20))</f>
        <v>#DIV/0!</v>
      </c>
      <c r="FJ20" s="3"/>
    </row>
    <row r="21" spans="1:171">
      <c r="A21" s="16">
        <f>+Chem!A21</f>
        <v>45942</v>
      </c>
      <c r="B21" s="6" t="str">
        <f>+Chem!B21</f>
        <v>Toilet</v>
      </c>
      <c r="C21" s="16" t="str">
        <f>+Chem!C21</f>
        <v>14,5</v>
      </c>
      <c r="D21" s="8">
        <f>+Chem!D21</f>
        <v>42.670999999999999</v>
      </c>
      <c r="E21" s="7">
        <f>+Chem!E21</f>
        <v>44.765000000000001</v>
      </c>
      <c r="F21" s="7">
        <f t="shared" si="110"/>
        <v>139.60500000000002</v>
      </c>
      <c r="G21" s="100"/>
      <c r="H21" s="10">
        <f t="shared" si="0"/>
        <v>0</v>
      </c>
      <c r="I21" s="8">
        <f t="shared" si="51"/>
        <v>0</v>
      </c>
      <c r="J21" s="10">
        <f t="shared" si="1"/>
        <v>0</v>
      </c>
      <c r="K21" s="100">
        <f>25.99*K7</f>
        <v>6497.5</v>
      </c>
      <c r="L21" s="10">
        <f t="shared" si="2"/>
        <v>14.281004450793999</v>
      </c>
      <c r="M21" s="10">
        <f t="shared" si="52"/>
        <v>24495</v>
      </c>
      <c r="N21" s="10">
        <f t="shared" si="3"/>
        <v>14.28321525408904</v>
      </c>
      <c r="O21" s="100"/>
      <c r="P21" s="10">
        <f t="shared" si="4"/>
        <v>0</v>
      </c>
      <c r="Q21" s="10">
        <f t="shared" si="53"/>
        <v>0</v>
      </c>
      <c r="R21" s="10">
        <f t="shared" si="5"/>
        <v>0</v>
      </c>
      <c r="S21" s="100"/>
      <c r="T21" s="10">
        <f t="shared" si="6"/>
        <v>0</v>
      </c>
      <c r="U21" s="10">
        <f t="shared" si="54"/>
        <v>0</v>
      </c>
      <c r="V21" s="10">
        <f t="shared" si="7"/>
        <v>0</v>
      </c>
      <c r="W21" s="100"/>
      <c r="X21" s="10">
        <f t="shared" si="8"/>
        <v>0</v>
      </c>
      <c r="Y21" s="10">
        <f t="shared" si="55"/>
        <v>0</v>
      </c>
      <c r="Z21" s="10">
        <f t="shared" si="9"/>
        <v>0</v>
      </c>
      <c r="AA21" s="100"/>
      <c r="AB21" s="10">
        <f t="shared" si="10"/>
        <v>0</v>
      </c>
      <c r="AC21" s="10">
        <f t="shared" si="56"/>
        <v>0</v>
      </c>
      <c r="AD21" s="10">
        <f t="shared" si="11"/>
        <v>0</v>
      </c>
      <c r="AE21" s="100"/>
      <c r="AF21" s="10">
        <f t="shared" si="12"/>
        <v>0</v>
      </c>
      <c r="AG21" s="10">
        <f t="shared" si="57"/>
        <v>0</v>
      </c>
      <c r="AH21" s="10">
        <f t="shared" si="13"/>
        <v>0</v>
      </c>
      <c r="AI21" s="100"/>
      <c r="AJ21" s="10">
        <f t="shared" si="14"/>
        <v>0</v>
      </c>
      <c r="AK21" s="10">
        <f t="shared" si="58"/>
        <v>0</v>
      </c>
      <c r="AL21" s="10">
        <f t="shared" si="15"/>
        <v>0</v>
      </c>
      <c r="AM21" s="100"/>
      <c r="AN21" s="10">
        <f t="shared" si="16"/>
        <v>0</v>
      </c>
      <c r="AO21" s="10">
        <f t="shared" si="59"/>
        <v>0</v>
      </c>
      <c r="AP21" s="10">
        <f t="shared" si="17"/>
        <v>0</v>
      </c>
      <c r="AQ21" s="100"/>
      <c r="AR21" s="10">
        <f t="shared" si="18"/>
        <v>0</v>
      </c>
      <c r="AS21" s="10">
        <f t="shared" si="60"/>
        <v>0</v>
      </c>
      <c r="AT21" s="10">
        <f t="shared" si="19"/>
        <v>0</v>
      </c>
      <c r="AU21" s="252"/>
      <c r="AV21" s="10">
        <f t="shared" si="20"/>
        <v>0</v>
      </c>
      <c r="AW21" s="8">
        <f t="shared" si="61"/>
        <v>0</v>
      </c>
      <c r="AX21" s="10">
        <f t="shared" si="21"/>
        <v>0</v>
      </c>
      <c r="AY21" s="100"/>
      <c r="AZ21" s="10">
        <f t="shared" si="22"/>
        <v>0</v>
      </c>
      <c r="BA21" s="10">
        <f t="shared" si="62"/>
        <v>0</v>
      </c>
      <c r="BB21" s="10">
        <f t="shared" si="23"/>
        <v>0</v>
      </c>
      <c r="BC21" s="100"/>
      <c r="BD21" s="10">
        <f t="shared" si="24"/>
        <v>0</v>
      </c>
      <c r="BE21" s="10">
        <f t="shared" si="63"/>
        <v>0</v>
      </c>
      <c r="BF21" s="10">
        <f t="shared" si="25"/>
        <v>0</v>
      </c>
      <c r="BG21" s="100"/>
      <c r="BH21" s="10">
        <f t="shared" si="26"/>
        <v>0</v>
      </c>
      <c r="BI21" s="10">
        <f t="shared" si="64"/>
        <v>0</v>
      </c>
      <c r="BJ21" s="10">
        <f t="shared" si="27"/>
        <v>0</v>
      </c>
      <c r="BK21" s="100"/>
      <c r="BL21" s="10"/>
      <c r="BM21" s="10"/>
      <c r="BN21" s="10"/>
      <c r="BO21" s="100"/>
      <c r="BP21" s="10"/>
      <c r="BQ21" s="10"/>
      <c r="BR21" s="10"/>
      <c r="BS21" s="100"/>
      <c r="BT21" s="10"/>
      <c r="BU21" s="10"/>
      <c r="BV21" s="10"/>
      <c r="BW21" s="10">
        <f t="shared" si="65"/>
        <v>6497.5</v>
      </c>
      <c r="BX21" s="10">
        <f t="shared" si="28"/>
        <v>14.281004450793999</v>
      </c>
      <c r="BY21" s="10">
        <f t="shared" si="66"/>
        <v>24495</v>
      </c>
      <c r="BZ21" s="10">
        <f t="shared" si="29"/>
        <v>14.28321525408904</v>
      </c>
      <c r="CA21" s="100"/>
      <c r="CB21" s="10">
        <f t="shared" si="30"/>
        <v>0</v>
      </c>
      <c r="CC21" s="10"/>
      <c r="CD21" s="10">
        <f t="shared" si="31"/>
        <v>0</v>
      </c>
      <c r="CE21" s="100">
        <f>156*CE7</f>
        <v>39000</v>
      </c>
      <c r="CF21" s="10">
        <f t="shared" si="32"/>
        <v>85.718995549205999</v>
      </c>
      <c r="CG21" s="10">
        <f t="shared" si="67"/>
        <v>147000</v>
      </c>
      <c r="CH21" s="10">
        <f t="shared" si="33"/>
        <v>85.716784745910957</v>
      </c>
      <c r="CI21" s="100"/>
      <c r="CJ21" s="10">
        <f t="shared" si="34"/>
        <v>0</v>
      </c>
      <c r="CK21" s="10">
        <f t="shared" si="68"/>
        <v>0</v>
      </c>
      <c r="CL21" s="10">
        <f t="shared" si="35"/>
        <v>0</v>
      </c>
      <c r="CM21" s="100"/>
      <c r="CN21" s="10">
        <f t="shared" si="36"/>
        <v>0</v>
      </c>
      <c r="CO21" s="10">
        <f t="shared" si="69"/>
        <v>0</v>
      </c>
      <c r="CP21" s="10">
        <f t="shared" si="37"/>
        <v>0</v>
      </c>
      <c r="CQ21" s="100"/>
      <c r="CR21" s="10">
        <f t="shared" si="38"/>
        <v>0</v>
      </c>
      <c r="CS21" s="10">
        <f t="shared" si="70"/>
        <v>0</v>
      </c>
      <c r="CT21" s="10">
        <f t="shared" si="39"/>
        <v>0</v>
      </c>
      <c r="CU21" s="100"/>
      <c r="CV21" s="10">
        <f t="shared" si="40"/>
        <v>0</v>
      </c>
      <c r="CW21" s="10">
        <f t="shared" si="71"/>
        <v>0</v>
      </c>
      <c r="CX21" s="10">
        <f t="shared" si="41"/>
        <v>0</v>
      </c>
      <c r="CY21" s="100"/>
      <c r="CZ21" s="10">
        <f t="shared" si="42"/>
        <v>0</v>
      </c>
      <c r="DA21" s="10">
        <f t="shared" si="72"/>
        <v>0</v>
      </c>
      <c r="DB21" s="10">
        <f t="shared" si="43"/>
        <v>0</v>
      </c>
      <c r="DC21" s="100"/>
      <c r="DD21" s="10">
        <f t="shared" si="44"/>
        <v>0</v>
      </c>
      <c r="DE21" s="10">
        <f t="shared" si="73"/>
        <v>0</v>
      </c>
      <c r="DF21" s="10">
        <f t="shared" si="45"/>
        <v>0</v>
      </c>
      <c r="DG21" s="100"/>
      <c r="DH21" s="10"/>
      <c r="DI21" s="10"/>
      <c r="DJ21" s="10"/>
      <c r="DK21" s="10">
        <f t="shared" si="74"/>
        <v>39000</v>
      </c>
      <c r="DL21" s="91">
        <f t="shared" si="46"/>
        <v>85.718995549205999</v>
      </c>
      <c r="DM21" s="10">
        <f t="shared" si="75"/>
        <v>147000</v>
      </c>
      <c r="DN21" s="10">
        <f t="shared" si="47"/>
        <v>85.716784745910957</v>
      </c>
      <c r="DO21" s="100"/>
      <c r="DP21" s="10">
        <f t="shared" si="76"/>
        <v>0</v>
      </c>
      <c r="DQ21" s="10">
        <f t="shared" si="77"/>
        <v>0</v>
      </c>
      <c r="DR21" s="10">
        <f t="shared" si="78"/>
        <v>0</v>
      </c>
      <c r="DS21" s="100"/>
      <c r="DT21" s="15">
        <f t="shared" si="79"/>
        <v>0</v>
      </c>
      <c r="DU21" s="10">
        <f t="shared" si="80"/>
        <v>0</v>
      </c>
      <c r="DV21" s="10">
        <f t="shared" si="81"/>
        <v>0</v>
      </c>
      <c r="DW21" s="100"/>
      <c r="DX21" s="15">
        <f t="shared" si="82"/>
        <v>0</v>
      </c>
      <c r="DY21" s="10">
        <f t="shared" si="83"/>
        <v>0</v>
      </c>
      <c r="DZ21" s="459">
        <f t="shared" si="84"/>
        <v>0</v>
      </c>
      <c r="EA21" s="100"/>
      <c r="EB21" s="10">
        <f t="shared" si="85"/>
        <v>0</v>
      </c>
      <c r="EC21" s="10">
        <f t="shared" si="86"/>
        <v>0</v>
      </c>
      <c r="ED21" s="10">
        <f t="shared" si="87"/>
        <v>0</v>
      </c>
      <c r="EE21" s="10">
        <f t="shared" si="48"/>
        <v>0</v>
      </c>
      <c r="EF21" s="10">
        <f t="shared" si="88"/>
        <v>0</v>
      </c>
      <c r="EG21" s="10">
        <f t="shared" si="89"/>
        <v>0</v>
      </c>
      <c r="EH21" s="10">
        <f t="shared" si="90"/>
        <v>0</v>
      </c>
      <c r="EI21" s="100"/>
      <c r="EJ21" s="91">
        <f t="shared" si="91"/>
        <v>0</v>
      </c>
      <c r="EK21" s="10">
        <f t="shared" si="92"/>
        <v>0</v>
      </c>
      <c r="EL21" s="91">
        <f t="shared" si="93"/>
        <v>0</v>
      </c>
      <c r="EM21" s="100"/>
      <c r="EN21" s="91">
        <f t="shared" si="94"/>
        <v>0</v>
      </c>
      <c r="EO21" s="10">
        <f t="shared" si="95"/>
        <v>0</v>
      </c>
      <c r="EP21" s="91">
        <f t="shared" si="96"/>
        <v>0</v>
      </c>
      <c r="EQ21" s="100"/>
      <c r="ER21" s="91">
        <f t="shared" si="97"/>
        <v>0</v>
      </c>
      <c r="ES21" s="10">
        <f t="shared" si="98"/>
        <v>0</v>
      </c>
      <c r="ET21" s="91">
        <f t="shared" si="99"/>
        <v>0</v>
      </c>
      <c r="EU21" s="100"/>
      <c r="EV21" s="91">
        <f t="shared" si="100"/>
        <v>0</v>
      </c>
      <c r="EW21" s="10">
        <f t="shared" si="101"/>
        <v>0</v>
      </c>
      <c r="EX21" s="91">
        <f t="shared" si="102"/>
        <v>0</v>
      </c>
      <c r="EY21" s="91">
        <f t="shared" si="103"/>
        <v>0</v>
      </c>
      <c r="EZ21" s="91">
        <f t="shared" si="104"/>
        <v>0</v>
      </c>
      <c r="FA21" s="10">
        <f t="shared" si="105"/>
        <v>0</v>
      </c>
      <c r="FB21" s="91">
        <f t="shared" si="106"/>
        <v>0</v>
      </c>
      <c r="FC21" s="91">
        <f t="shared" si="111"/>
        <v>45497.5</v>
      </c>
      <c r="FD21" s="10">
        <f t="shared" si="108"/>
        <v>171495</v>
      </c>
      <c r="FE21" s="10">
        <f t="shared" si="49"/>
        <v>1.016363230202167</v>
      </c>
      <c r="FF21" s="10">
        <f t="shared" si="50"/>
        <v>1.2284302138175565</v>
      </c>
      <c r="FG21" s="6"/>
      <c r="FH21" s="460" t="e">
        <f t="shared" si="109"/>
        <v>#DIV/0!</v>
      </c>
      <c r="FI21" s="460" t="e">
        <f>(SUM($FG$10:FG21))/(SUM($EE$10:EE21))</f>
        <v>#DIV/0!</v>
      </c>
      <c r="FJ21" s="3"/>
      <c r="FK21" s="14"/>
      <c r="FN21" s="14"/>
      <c r="FO21" s="14"/>
    </row>
    <row r="22" spans="1:171">
      <c r="A22" s="16">
        <f>+Chem!A22</f>
        <v>45943</v>
      </c>
      <c r="B22" s="6" t="str">
        <f>+Chem!B22</f>
        <v>Toilet</v>
      </c>
      <c r="C22" s="16" t="str">
        <f>+Chem!C22</f>
        <v>14,5</v>
      </c>
      <c r="D22" s="8">
        <f>+Chem!D22</f>
        <v>43.638999999999996</v>
      </c>
      <c r="E22" s="7">
        <f>+Chem!E22</f>
        <v>42.232999999999997</v>
      </c>
      <c r="F22" s="7">
        <f t="shared" si="110"/>
        <v>181.83800000000002</v>
      </c>
      <c r="G22" s="100"/>
      <c r="H22" s="10">
        <f t="shared" si="0"/>
        <v>0</v>
      </c>
      <c r="I22" s="8">
        <f t="shared" si="51"/>
        <v>0</v>
      </c>
      <c r="J22" s="10">
        <f t="shared" si="1"/>
        <v>0</v>
      </c>
      <c r="K22" s="100">
        <f>29.42*K7</f>
        <v>7355</v>
      </c>
      <c r="L22" s="10">
        <f t="shared" si="2"/>
        <v>14.978108135627735</v>
      </c>
      <c r="M22" s="10">
        <f t="shared" si="52"/>
        <v>31850</v>
      </c>
      <c r="N22" s="10">
        <f t="shared" si="3"/>
        <v>14.437896645512238</v>
      </c>
      <c r="O22" s="100"/>
      <c r="P22" s="10">
        <f t="shared" si="4"/>
        <v>0</v>
      </c>
      <c r="Q22" s="10">
        <f t="shared" si="53"/>
        <v>0</v>
      </c>
      <c r="R22" s="10">
        <f t="shared" si="5"/>
        <v>0</v>
      </c>
      <c r="S22" s="100"/>
      <c r="T22" s="10">
        <f t="shared" si="6"/>
        <v>0</v>
      </c>
      <c r="U22" s="10">
        <f t="shared" si="54"/>
        <v>0</v>
      </c>
      <c r="V22" s="10">
        <f t="shared" si="7"/>
        <v>0</v>
      </c>
      <c r="W22" s="100"/>
      <c r="X22" s="10">
        <f t="shared" si="8"/>
        <v>0</v>
      </c>
      <c r="Y22" s="10">
        <f t="shared" si="55"/>
        <v>0</v>
      </c>
      <c r="Z22" s="10">
        <f t="shared" si="9"/>
        <v>0</v>
      </c>
      <c r="AA22" s="100"/>
      <c r="AB22" s="10">
        <f t="shared" si="10"/>
        <v>0</v>
      </c>
      <c r="AC22" s="10">
        <f t="shared" si="56"/>
        <v>0</v>
      </c>
      <c r="AD22" s="10">
        <f t="shared" si="11"/>
        <v>0</v>
      </c>
      <c r="AE22" s="100"/>
      <c r="AF22" s="10">
        <f t="shared" si="12"/>
        <v>0</v>
      </c>
      <c r="AG22" s="10">
        <f t="shared" si="57"/>
        <v>0</v>
      </c>
      <c r="AH22" s="10">
        <f t="shared" si="13"/>
        <v>0</v>
      </c>
      <c r="AI22" s="100"/>
      <c r="AJ22" s="10">
        <f t="shared" si="14"/>
        <v>0</v>
      </c>
      <c r="AK22" s="10">
        <f t="shared" si="58"/>
        <v>0</v>
      </c>
      <c r="AL22" s="10">
        <f t="shared" si="15"/>
        <v>0</v>
      </c>
      <c r="AM22" s="100"/>
      <c r="AN22" s="10">
        <f t="shared" si="16"/>
        <v>0</v>
      </c>
      <c r="AO22" s="10">
        <f t="shared" si="59"/>
        <v>0</v>
      </c>
      <c r="AP22" s="10">
        <f t="shared" si="17"/>
        <v>0</v>
      </c>
      <c r="AQ22" s="100"/>
      <c r="AR22" s="10">
        <f t="shared" si="18"/>
        <v>0</v>
      </c>
      <c r="AS22" s="10">
        <f t="shared" si="60"/>
        <v>0</v>
      </c>
      <c r="AT22" s="10">
        <f t="shared" si="19"/>
        <v>0</v>
      </c>
      <c r="AU22" s="252"/>
      <c r="AV22" s="10">
        <f t="shared" si="20"/>
        <v>0</v>
      </c>
      <c r="AW22" s="8">
        <f t="shared" si="61"/>
        <v>0</v>
      </c>
      <c r="AX22" s="10">
        <f t="shared" si="21"/>
        <v>0</v>
      </c>
      <c r="AY22" s="100"/>
      <c r="AZ22" s="10">
        <f t="shared" si="22"/>
        <v>0</v>
      </c>
      <c r="BA22" s="10">
        <f t="shared" si="62"/>
        <v>0</v>
      </c>
      <c r="BB22" s="10">
        <f t="shared" si="23"/>
        <v>0</v>
      </c>
      <c r="BC22" s="100"/>
      <c r="BD22" s="10">
        <f t="shared" si="24"/>
        <v>0</v>
      </c>
      <c r="BE22" s="10">
        <f t="shared" si="63"/>
        <v>0</v>
      </c>
      <c r="BF22" s="10">
        <f t="shared" si="25"/>
        <v>0</v>
      </c>
      <c r="BG22" s="100"/>
      <c r="BH22" s="10">
        <f t="shared" si="26"/>
        <v>0</v>
      </c>
      <c r="BI22" s="10">
        <f t="shared" si="64"/>
        <v>0</v>
      </c>
      <c r="BJ22" s="10">
        <f t="shared" si="27"/>
        <v>0</v>
      </c>
      <c r="BK22" s="100"/>
      <c r="BL22" s="10"/>
      <c r="BM22" s="10"/>
      <c r="BN22" s="10"/>
      <c r="BO22" s="100"/>
      <c r="BP22" s="10"/>
      <c r="BQ22" s="10"/>
      <c r="BR22" s="10"/>
      <c r="BS22" s="100"/>
      <c r="BT22" s="10"/>
      <c r="BU22" s="10"/>
      <c r="BV22" s="10"/>
      <c r="BW22" s="10">
        <f t="shared" si="65"/>
        <v>7355</v>
      </c>
      <c r="BX22" s="10">
        <f t="shared" si="28"/>
        <v>14.978108135627735</v>
      </c>
      <c r="BY22" s="10">
        <f t="shared" si="66"/>
        <v>31850</v>
      </c>
      <c r="BZ22" s="10">
        <f t="shared" si="29"/>
        <v>14.437896645512238</v>
      </c>
      <c r="CA22" s="100"/>
      <c r="CB22" s="10">
        <f t="shared" si="30"/>
        <v>0</v>
      </c>
      <c r="CC22" s="10"/>
      <c r="CD22" s="10">
        <f t="shared" si="31"/>
        <v>0</v>
      </c>
      <c r="CE22" s="100">
        <f>167*CE7</f>
        <v>41750</v>
      </c>
      <c r="CF22" s="10">
        <f t="shared" si="32"/>
        <v>85.021891864372265</v>
      </c>
      <c r="CG22" s="10">
        <f t="shared" si="67"/>
        <v>188750</v>
      </c>
      <c r="CH22" s="10">
        <f t="shared" si="33"/>
        <v>85.56210335448776</v>
      </c>
      <c r="CI22" s="100"/>
      <c r="CJ22" s="10">
        <f t="shared" si="34"/>
        <v>0</v>
      </c>
      <c r="CK22" s="10">
        <f t="shared" si="68"/>
        <v>0</v>
      </c>
      <c r="CL22" s="10">
        <f t="shared" si="35"/>
        <v>0</v>
      </c>
      <c r="CM22" s="100"/>
      <c r="CN22" s="10">
        <f t="shared" si="36"/>
        <v>0</v>
      </c>
      <c r="CO22" s="10">
        <f t="shared" si="69"/>
        <v>0</v>
      </c>
      <c r="CP22" s="10">
        <f t="shared" si="37"/>
        <v>0</v>
      </c>
      <c r="CQ22" s="100"/>
      <c r="CR22" s="10">
        <f t="shared" si="38"/>
        <v>0</v>
      </c>
      <c r="CS22" s="10">
        <f t="shared" si="70"/>
        <v>0</v>
      </c>
      <c r="CT22" s="10">
        <f t="shared" si="39"/>
        <v>0</v>
      </c>
      <c r="CU22" s="100"/>
      <c r="CV22" s="10">
        <f t="shared" si="40"/>
        <v>0</v>
      </c>
      <c r="CW22" s="10">
        <f t="shared" si="71"/>
        <v>0</v>
      </c>
      <c r="CX22" s="10">
        <f t="shared" si="41"/>
        <v>0</v>
      </c>
      <c r="CY22" s="100"/>
      <c r="CZ22" s="10">
        <f t="shared" si="42"/>
        <v>0</v>
      </c>
      <c r="DA22" s="10">
        <f t="shared" si="72"/>
        <v>0</v>
      </c>
      <c r="DB22" s="10">
        <f t="shared" si="43"/>
        <v>0</v>
      </c>
      <c r="DC22" s="100"/>
      <c r="DD22" s="10">
        <f t="shared" si="44"/>
        <v>0</v>
      </c>
      <c r="DE22" s="10">
        <f t="shared" si="73"/>
        <v>0</v>
      </c>
      <c r="DF22" s="10">
        <f t="shared" si="45"/>
        <v>0</v>
      </c>
      <c r="DG22" s="100"/>
      <c r="DH22" s="10"/>
      <c r="DI22" s="10"/>
      <c r="DJ22" s="10"/>
      <c r="DK22" s="10">
        <f t="shared" si="74"/>
        <v>41750</v>
      </c>
      <c r="DL22" s="91">
        <f t="shared" si="46"/>
        <v>85.021891864372265</v>
      </c>
      <c r="DM22" s="10">
        <f t="shared" si="75"/>
        <v>188750</v>
      </c>
      <c r="DN22" s="10">
        <f t="shared" si="47"/>
        <v>85.56210335448776</v>
      </c>
      <c r="DO22" s="100"/>
      <c r="DP22" s="10">
        <f t="shared" si="76"/>
        <v>0</v>
      </c>
      <c r="DQ22" s="10">
        <f t="shared" si="77"/>
        <v>0</v>
      </c>
      <c r="DR22" s="10">
        <f t="shared" si="78"/>
        <v>0</v>
      </c>
      <c r="DS22" s="100"/>
      <c r="DT22" s="15">
        <f t="shared" si="79"/>
        <v>0</v>
      </c>
      <c r="DU22" s="10">
        <f t="shared" si="80"/>
        <v>0</v>
      </c>
      <c r="DV22" s="10">
        <f t="shared" si="81"/>
        <v>0</v>
      </c>
      <c r="DW22" s="100"/>
      <c r="DX22" s="15">
        <f t="shared" si="82"/>
        <v>0</v>
      </c>
      <c r="DY22" s="10">
        <f t="shared" si="83"/>
        <v>0</v>
      </c>
      <c r="DZ22" s="459">
        <f t="shared" si="84"/>
        <v>0</v>
      </c>
      <c r="EA22" s="100"/>
      <c r="EB22" s="10">
        <f t="shared" si="85"/>
        <v>0</v>
      </c>
      <c r="EC22" s="10">
        <f t="shared" si="86"/>
        <v>0</v>
      </c>
      <c r="ED22" s="10">
        <f t="shared" si="87"/>
        <v>0</v>
      </c>
      <c r="EE22" s="10">
        <f t="shared" si="48"/>
        <v>0</v>
      </c>
      <c r="EF22" s="10">
        <f t="shared" si="88"/>
        <v>0</v>
      </c>
      <c r="EG22" s="10">
        <f t="shared" si="89"/>
        <v>0</v>
      </c>
      <c r="EH22" s="10">
        <f t="shared" si="90"/>
        <v>0</v>
      </c>
      <c r="EI22" s="100"/>
      <c r="EJ22" s="91">
        <f t="shared" si="91"/>
        <v>0</v>
      </c>
      <c r="EK22" s="10">
        <f t="shared" si="92"/>
        <v>0</v>
      </c>
      <c r="EL22" s="91">
        <f t="shared" si="93"/>
        <v>0</v>
      </c>
      <c r="EM22" s="100"/>
      <c r="EN22" s="91">
        <f t="shared" si="94"/>
        <v>0</v>
      </c>
      <c r="EO22" s="10">
        <f t="shared" si="95"/>
        <v>0</v>
      </c>
      <c r="EP22" s="91">
        <f t="shared" si="96"/>
        <v>0</v>
      </c>
      <c r="EQ22" s="100"/>
      <c r="ER22" s="91">
        <f t="shared" si="97"/>
        <v>0</v>
      </c>
      <c r="ES22" s="10">
        <f t="shared" si="98"/>
        <v>0</v>
      </c>
      <c r="ET22" s="91">
        <f t="shared" si="99"/>
        <v>0</v>
      </c>
      <c r="EU22" s="100"/>
      <c r="EV22" s="91">
        <f t="shared" si="100"/>
        <v>0</v>
      </c>
      <c r="EW22" s="10">
        <f t="shared" si="101"/>
        <v>0</v>
      </c>
      <c r="EX22" s="91">
        <f t="shared" si="102"/>
        <v>0</v>
      </c>
      <c r="EY22" s="91">
        <f t="shared" si="103"/>
        <v>0</v>
      </c>
      <c r="EZ22" s="91">
        <f t="shared" si="104"/>
        <v>0</v>
      </c>
      <c r="FA22" s="10">
        <f t="shared" si="105"/>
        <v>0</v>
      </c>
      <c r="FB22" s="91">
        <f t="shared" si="106"/>
        <v>0</v>
      </c>
      <c r="FC22" s="91">
        <f t="shared" si="111"/>
        <v>49105</v>
      </c>
      <c r="FD22" s="10">
        <f t="shared" si="108"/>
        <v>220600</v>
      </c>
      <c r="FE22" s="10">
        <f t="shared" si="49"/>
        <v>1.1627163592451402</v>
      </c>
      <c r="FF22" s="10">
        <f t="shared" si="50"/>
        <v>1.2131677647136461</v>
      </c>
      <c r="FG22" s="6"/>
      <c r="FH22" s="460" t="e">
        <f t="shared" si="109"/>
        <v>#DIV/0!</v>
      </c>
      <c r="FI22" s="460" t="e">
        <f>(SUM($FG$10:FG22))/(SUM($EE$10:EE22))</f>
        <v>#DIV/0!</v>
      </c>
      <c r="FJ22" s="3"/>
      <c r="FK22" s="14"/>
      <c r="FN22" s="14"/>
      <c r="FO22" s="14"/>
    </row>
    <row r="23" spans="1:171">
      <c r="A23" s="16">
        <f>+Chem!A23</f>
        <v>45944</v>
      </c>
      <c r="B23" s="6" t="str">
        <f>+Chem!B23</f>
        <v>Toilet</v>
      </c>
      <c r="C23" s="16" t="str">
        <f>+Chem!C23</f>
        <v>14,5/13,5</v>
      </c>
      <c r="D23" s="8">
        <f>+Chem!D23</f>
        <v>45.567000000000007</v>
      </c>
      <c r="E23" s="7">
        <f>+Chem!E23</f>
        <v>39.456000000000003</v>
      </c>
      <c r="F23" s="7">
        <f t="shared" si="110"/>
        <v>221.29400000000004</v>
      </c>
      <c r="G23" s="100"/>
      <c r="H23" s="10">
        <f t="shared" si="0"/>
        <v>0</v>
      </c>
      <c r="I23" s="8">
        <f t="shared" si="51"/>
        <v>0</v>
      </c>
      <c r="J23" s="10">
        <f t="shared" si="1"/>
        <v>0</v>
      </c>
      <c r="K23" s="100">
        <f>29*K7</f>
        <v>7250</v>
      </c>
      <c r="L23" s="10">
        <f t="shared" si="2"/>
        <v>14.427860696517413</v>
      </c>
      <c r="M23" s="10">
        <f t="shared" si="52"/>
        <v>39100</v>
      </c>
      <c r="N23" s="10">
        <f t="shared" si="3"/>
        <v>14.43603470555658</v>
      </c>
      <c r="O23" s="100"/>
      <c r="P23" s="10">
        <f t="shared" si="4"/>
        <v>0</v>
      </c>
      <c r="Q23" s="10">
        <f t="shared" si="53"/>
        <v>0</v>
      </c>
      <c r="R23" s="10">
        <f t="shared" si="5"/>
        <v>0</v>
      </c>
      <c r="S23" s="100"/>
      <c r="T23" s="10">
        <f t="shared" si="6"/>
        <v>0</v>
      </c>
      <c r="U23" s="10">
        <f t="shared" si="54"/>
        <v>0</v>
      </c>
      <c r="V23" s="10">
        <f t="shared" si="7"/>
        <v>0</v>
      </c>
      <c r="W23" s="100"/>
      <c r="X23" s="10">
        <f t="shared" si="8"/>
        <v>0</v>
      </c>
      <c r="Y23" s="10">
        <f t="shared" si="55"/>
        <v>0</v>
      </c>
      <c r="Z23" s="10">
        <f t="shared" si="9"/>
        <v>0</v>
      </c>
      <c r="AA23" s="100"/>
      <c r="AB23" s="10">
        <f t="shared" si="10"/>
        <v>0</v>
      </c>
      <c r="AC23" s="10">
        <f t="shared" si="56"/>
        <v>0</v>
      </c>
      <c r="AD23" s="10">
        <f t="shared" si="11"/>
        <v>0</v>
      </c>
      <c r="AE23" s="100"/>
      <c r="AF23" s="10">
        <f t="shared" si="12"/>
        <v>0</v>
      </c>
      <c r="AG23" s="10">
        <f t="shared" si="57"/>
        <v>0</v>
      </c>
      <c r="AH23" s="10">
        <f t="shared" si="13"/>
        <v>0</v>
      </c>
      <c r="AI23" s="100"/>
      <c r="AJ23" s="10">
        <f t="shared" si="14"/>
        <v>0</v>
      </c>
      <c r="AK23" s="10">
        <f t="shared" si="58"/>
        <v>0</v>
      </c>
      <c r="AL23" s="10">
        <f t="shared" si="15"/>
        <v>0</v>
      </c>
      <c r="AM23" s="100"/>
      <c r="AN23" s="10">
        <f t="shared" si="16"/>
        <v>0</v>
      </c>
      <c r="AO23" s="10">
        <f t="shared" si="59"/>
        <v>0</v>
      </c>
      <c r="AP23" s="10">
        <f t="shared" si="17"/>
        <v>0</v>
      </c>
      <c r="AQ23" s="100"/>
      <c r="AR23" s="10">
        <f t="shared" si="18"/>
        <v>0</v>
      </c>
      <c r="AS23" s="10">
        <f t="shared" si="60"/>
        <v>0</v>
      </c>
      <c r="AT23" s="10">
        <f t="shared" si="19"/>
        <v>0</v>
      </c>
      <c r="AU23" s="252"/>
      <c r="AV23" s="10">
        <f t="shared" si="20"/>
        <v>0</v>
      </c>
      <c r="AW23" s="8">
        <f t="shared" si="61"/>
        <v>0</v>
      </c>
      <c r="AX23" s="10">
        <f t="shared" si="21"/>
        <v>0</v>
      </c>
      <c r="AY23" s="100"/>
      <c r="AZ23" s="10">
        <f t="shared" si="22"/>
        <v>0</v>
      </c>
      <c r="BA23" s="10">
        <f t="shared" si="62"/>
        <v>0</v>
      </c>
      <c r="BB23" s="10">
        <f t="shared" si="23"/>
        <v>0</v>
      </c>
      <c r="BC23" s="100"/>
      <c r="BD23" s="10">
        <f t="shared" si="24"/>
        <v>0</v>
      </c>
      <c r="BE23" s="10">
        <f t="shared" si="63"/>
        <v>0</v>
      </c>
      <c r="BF23" s="10">
        <f t="shared" si="25"/>
        <v>0</v>
      </c>
      <c r="BG23" s="100"/>
      <c r="BH23" s="10">
        <f t="shared" si="26"/>
        <v>0</v>
      </c>
      <c r="BI23" s="10">
        <f t="shared" si="64"/>
        <v>0</v>
      </c>
      <c r="BJ23" s="10">
        <f t="shared" si="27"/>
        <v>0</v>
      </c>
      <c r="BK23" s="100"/>
      <c r="BL23" s="10"/>
      <c r="BM23" s="10"/>
      <c r="BN23" s="10"/>
      <c r="BO23" s="100"/>
      <c r="BP23" s="10"/>
      <c r="BQ23" s="10"/>
      <c r="BR23" s="10"/>
      <c r="BS23" s="100"/>
      <c r="BT23" s="10"/>
      <c r="BU23" s="10"/>
      <c r="BV23" s="10"/>
      <c r="BW23" s="10">
        <f t="shared" si="65"/>
        <v>7250</v>
      </c>
      <c r="BX23" s="10">
        <f t="shared" si="28"/>
        <v>14.427860696517413</v>
      </c>
      <c r="BY23" s="10">
        <f t="shared" si="66"/>
        <v>39100</v>
      </c>
      <c r="BZ23" s="10">
        <f t="shared" si="29"/>
        <v>14.43603470555658</v>
      </c>
      <c r="CA23" s="100"/>
      <c r="CB23" s="10">
        <f t="shared" si="30"/>
        <v>0</v>
      </c>
      <c r="CC23" s="10"/>
      <c r="CD23" s="10">
        <f t="shared" si="31"/>
        <v>0</v>
      </c>
      <c r="CE23" s="100">
        <f>172*CE7</f>
        <v>43000</v>
      </c>
      <c r="CF23" s="10">
        <f t="shared" si="32"/>
        <v>85.572139303482587</v>
      </c>
      <c r="CG23" s="10">
        <f t="shared" si="67"/>
        <v>231750</v>
      </c>
      <c r="CH23" s="10">
        <f t="shared" si="33"/>
        <v>85.56396529444342</v>
      </c>
      <c r="CI23" s="100"/>
      <c r="CJ23" s="10">
        <f t="shared" si="34"/>
        <v>0</v>
      </c>
      <c r="CK23" s="10">
        <f t="shared" si="68"/>
        <v>0</v>
      </c>
      <c r="CL23" s="10">
        <f t="shared" si="35"/>
        <v>0</v>
      </c>
      <c r="CM23" s="100"/>
      <c r="CN23" s="10">
        <f t="shared" si="36"/>
        <v>0</v>
      </c>
      <c r="CO23" s="10">
        <f t="shared" si="69"/>
        <v>0</v>
      </c>
      <c r="CP23" s="10">
        <f t="shared" si="37"/>
        <v>0</v>
      </c>
      <c r="CQ23" s="100"/>
      <c r="CR23" s="10">
        <f t="shared" si="38"/>
        <v>0</v>
      </c>
      <c r="CS23" s="10">
        <f t="shared" si="70"/>
        <v>0</v>
      </c>
      <c r="CT23" s="10">
        <f t="shared" si="39"/>
        <v>0</v>
      </c>
      <c r="CU23" s="100"/>
      <c r="CV23" s="10">
        <f t="shared" si="40"/>
        <v>0</v>
      </c>
      <c r="CW23" s="10">
        <f t="shared" si="71"/>
        <v>0</v>
      </c>
      <c r="CX23" s="10">
        <f t="shared" si="41"/>
        <v>0</v>
      </c>
      <c r="CY23" s="100"/>
      <c r="CZ23" s="10">
        <f t="shared" si="42"/>
        <v>0</v>
      </c>
      <c r="DA23" s="10">
        <f t="shared" si="72"/>
        <v>0</v>
      </c>
      <c r="DB23" s="10">
        <f t="shared" si="43"/>
        <v>0</v>
      </c>
      <c r="DC23" s="100"/>
      <c r="DD23" s="10">
        <f t="shared" si="44"/>
        <v>0</v>
      </c>
      <c r="DE23" s="10">
        <f t="shared" si="73"/>
        <v>0</v>
      </c>
      <c r="DF23" s="10">
        <f t="shared" si="45"/>
        <v>0</v>
      </c>
      <c r="DG23" s="100"/>
      <c r="DH23" s="10"/>
      <c r="DI23" s="10"/>
      <c r="DJ23" s="10"/>
      <c r="DK23" s="10">
        <f t="shared" si="74"/>
        <v>43000</v>
      </c>
      <c r="DL23" s="91">
        <f t="shared" si="46"/>
        <v>85.572139303482587</v>
      </c>
      <c r="DM23" s="10">
        <f t="shared" si="75"/>
        <v>231750</v>
      </c>
      <c r="DN23" s="10">
        <f t="shared" si="47"/>
        <v>85.56396529444342</v>
      </c>
      <c r="DO23" s="100"/>
      <c r="DP23" s="10">
        <f t="shared" si="76"/>
        <v>0</v>
      </c>
      <c r="DQ23" s="10">
        <f t="shared" si="77"/>
        <v>0</v>
      </c>
      <c r="DR23" s="10">
        <f t="shared" si="78"/>
        <v>0</v>
      </c>
      <c r="DS23" s="100"/>
      <c r="DT23" s="15">
        <f t="shared" si="79"/>
        <v>0</v>
      </c>
      <c r="DU23" s="10">
        <f t="shared" si="80"/>
        <v>0</v>
      </c>
      <c r="DV23" s="10">
        <f t="shared" si="81"/>
        <v>0</v>
      </c>
      <c r="DW23" s="100"/>
      <c r="DX23" s="15">
        <f t="shared" si="82"/>
        <v>0</v>
      </c>
      <c r="DY23" s="10">
        <f t="shared" si="83"/>
        <v>0</v>
      </c>
      <c r="DZ23" s="459">
        <f t="shared" si="84"/>
        <v>0</v>
      </c>
      <c r="EA23" s="100"/>
      <c r="EB23" s="10">
        <f t="shared" si="85"/>
        <v>0</v>
      </c>
      <c r="EC23" s="10">
        <f t="shared" si="86"/>
        <v>0</v>
      </c>
      <c r="ED23" s="10">
        <f t="shared" si="87"/>
        <v>0</v>
      </c>
      <c r="EE23" s="10">
        <f t="shared" si="48"/>
        <v>0</v>
      </c>
      <c r="EF23" s="10">
        <f t="shared" si="88"/>
        <v>0</v>
      </c>
      <c r="EG23" s="10">
        <f t="shared" si="89"/>
        <v>0</v>
      </c>
      <c r="EH23" s="10">
        <f t="shared" si="90"/>
        <v>0</v>
      </c>
      <c r="EI23" s="100"/>
      <c r="EJ23" s="91">
        <f t="shared" si="91"/>
        <v>0</v>
      </c>
      <c r="EK23" s="10">
        <f t="shared" si="92"/>
        <v>0</v>
      </c>
      <c r="EL23" s="91">
        <f t="shared" si="93"/>
        <v>0</v>
      </c>
      <c r="EM23" s="100"/>
      <c r="EN23" s="91">
        <f t="shared" si="94"/>
        <v>0</v>
      </c>
      <c r="EO23" s="10">
        <f t="shared" si="95"/>
        <v>0</v>
      </c>
      <c r="EP23" s="91">
        <f t="shared" si="96"/>
        <v>0</v>
      </c>
      <c r="EQ23" s="100"/>
      <c r="ER23" s="91">
        <f t="shared" si="97"/>
        <v>0</v>
      </c>
      <c r="ES23" s="10">
        <f t="shared" si="98"/>
        <v>0</v>
      </c>
      <c r="ET23" s="91">
        <f t="shared" si="99"/>
        <v>0</v>
      </c>
      <c r="EU23" s="100"/>
      <c r="EV23" s="91">
        <f t="shared" si="100"/>
        <v>0</v>
      </c>
      <c r="EW23" s="10">
        <f t="shared" si="101"/>
        <v>0</v>
      </c>
      <c r="EX23" s="91">
        <f t="shared" si="102"/>
        <v>0</v>
      </c>
      <c r="EY23" s="91">
        <f t="shared" si="103"/>
        <v>0</v>
      </c>
      <c r="EZ23" s="91">
        <f t="shared" si="104"/>
        <v>0</v>
      </c>
      <c r="FA23" s="10">
        <f t="shared" si="105"/>
        <v>0</v>
      </c>
      <c r="FB23" s="91">
        <f t="shared" si="106"/>
        <v>0</v>
      </c>
      <c r="FC23" s="91">
        <f t="shared" si="111"/>
        <v>50250</v>
      </c>
      <c r="FD23" s="10">
        <f t="shared" si="108"/>
        <v>270850</v>
      </c>
      <c r="FE23" s="10">
        <f t="shared" si="49"/>
        <v>1.2735705596107054</v>
      </c>
      <c r="FF23" s="10">
        <f t="shared" si="50"/>
        <v>1.223937386463257</v>
      </c>
      <c r="FG23" s="6"/>
      <c r="FH23" s="460" t="e">
        <f t="shared" si="109"/>
        <v>#DIV/0!</v>
      </c>
      <c r="FI23" s="460" t="e">
        <f>(SUM($FG$10:FG23))/(SUM($EE$10:EE23))</f>
        <v>#DIV/0!</v>
      </c>
      <c r="FJ23" s="3"/>
      <c r="FN23" s="14"/>
      <c r="FO23" s="14"/>
    </row>
    <row r="24" spans="1:171">
      <c r="A24" s="16">
        <f>+Chem!A24</f>
        <v>45945</v>
      </c>
      <c r="B24" s="6" t="str">
        <f>+Chem!B24</f>
        <v>Toilet</v>
      </c>
      <c r="C24" s="16" t="str">
        <f>+Chem!C24</f>
        <v>13,5/16,5/12,5</v>
      </c>
      <c r="D24" s="8">
        <f>+Chem!D24</f>
        <v>46.075000000000003</v>
      </c>
      <c r="E24" s="7">
        <f>+Chem!E24</f>
        <v>39.707000000000001</v>
      </c>
      <c r="F24" s="7">
        <f t="shared" si="110"/>
        <v>261.00100000000003</v>
      </c>
      <c r="G24" s="100"/>
      <c r="H24" s="10">
        <f t="shared" si="0"/>
        <v>0</v>
      </c>
      <c r="I24" s="8">
        <f t="shared" si="51"/>
        <v>0</v>
      </c>
      <c r="J24" s="10">
        <f t="shared" si="1"/>
        <v>0</v>
      </c>
      <c r="K24" s="100">
        <f>33.3*K7</f>
        <v>8325</v>
      </c>
      <c r="L24" s="10">
        <f t="shared" si="2"/>
        <v>17.970858067997842</v>
      </c>
      <c r="M24" s="10">
        <f t="shared" si="52"/>
        <v>47425</v>
      </c>
      <c r="N24" s="10">
        <f t="shared" si="3"/>
        <v>14.952313391660754</v>
      </c>
      <c r="O24" s="100"/>
      <c r="P24" s="10">
        <f t="shared" si="4"/>
        <v>0</v>
      </c>
      <c r="Q24" s="10">
        <f t="shared" si="53"/>
        <v>0</v>
      </c>
      <c r="R24" s="10">
        <f t="shared" si="5"/>
        <v>0</v>
      </c>
      <c r="S24" s="100"/>
      <c r="T24" s="10">
        <f t="shared" si="6"/>
        <v>0</v>
      </c>
      <c r="U24" s="10">
        <f t="shared" si="54"/>
        <v>0</v>
      </c>
      <c r="V24" s="10">
        <f t="shared" si="7"/>
        <v>0</v>
      </c>
      <c r="W24" s="100"/>
      <c r="X24" s="10">
        <f t="shared" si="8"/>
        <v>0</v>
      </c>
      <c r="Y24" s="10">
        <f t="shared" si="55"/>
        <v>0</v>
      </c>
      <c r="Z24" s="10">
        <f t="shared" si="9"/>
        <v>0</v>
      </c>
      <c r="AA24" s="100"/>
      <c r="AB24" s="10">
        <f t="shared" si="10"/>
        <v>0</v>
      </c>
      <c r="AC24" s="10">
        <f t="shared" si="56"/>
        <v>0</v>
      </c>
      <c r="AD24" s="10">
        <f t="shared" si="11"/>
        <v>0</v>
      </c>
      <c r="AE24" s="100"/>
      <c r="AF24" s="10">
        <f t="shared" si="12"/>
        <v>0</v>
      </c>
      <c r="AG24" s="10">
        <f t="shared" si="57"/>
        <v>0</v>
      </c>
      <c r="AH24" s="10">
        <f t="shared" si="13"/>
        <v>0</v>
      </c>
      <c r="AI24" s="100"/>
      <c r="AJ24" s="10">
        <f t="shared" si="14"/>
        <v>0</v>
      </c>
      <c r="AK24" s="10">
        <f t="shared" si="58"/>
        <v>0</v>
      </c>
      <c r="AL24" s="10">
        <f t="shared" si="15"/>
        <v>0</v>
      </c>
      <c r="AM24" s="100"/>
      <c r="AN24" s="10">
        <f t="shared" si="16"/>
        <v>0</v>
      </c>
      <c r="AO24" s="10">
        <f t="shared" si="59"/>
        <v>0</v>
      </c>
      <c r="AP24" s="10">
        <f t="shared" si="17"/>
        <v>0</v>
      </c>
      <c r="AQ24" s="100"/>
      <c r="AR24" s="10">
        <f t="shared" si="18"/>
        <v>0</v>
      </c>
      <c r="AS24" s="10">
        <f t="shared" si="60"/>
        <v>0</v>
      </c>
      <c r="AT24" s="10">
        <f t="shared" si="19"/>
        <v>0</v>
      </c>
      <c r="AU24" s="252"/>
      <c r="AV24" s="10">
        <f t="shared" si="20"/>
        <v>0</v>
      </c>
      <c r="AW24" s="8">
        <f t="shared" si="61"/>
        <v>0</v>
      </c>
      <c r="AX24" s="10">
        <f t="shared" si="21"/>
        <v>0</v>
      </c>
      <c r="AY24" s="100"/>
      <c r="AZ24" s="10">
        <f t="shared" si="22"/>
        <v>0</v>
      </c>
      <c r="BA24" s="10">
        <f t="shared" si="62"/>
        <v>0</v>
      </c>
      <c r="BB24" s="10">
        <f t="shared" si="23"/>
        <v>0</v>
      </c>
      <c r="BC24" s="100"/>
      <c r="BD24" s="10">
        <f t="shared" si="24"/>
        <v>0</v>
      </c>
      <c r="BE24" s="10">
        <f t="shared" si="63"/>
        <v>0</v>
      </c>
      <c r="BF24" s="10">
        <f t="shared" si="25"/>
        <v>0</v>
      </c>
      <c r="BG24" s="100"/>
      <c r="BH24" s="10">
        <f t="shared" si="26"/>
        <v>0</v>
      </c>
      <c r="BI24" s="10">
        <f t="shared" si="64"/>
        <v>0</v>
      </c>
      <c r="BJ24" s="10">
        <f t="shared" si="27"/>
        <v>0</v>
      </c>
      <c r="BK24" s="100"/>
      <c r="BL24" s="10"/>
      <c r="BM24" s="10"/>
      <c r="BN24" s="10"/>
      <c r="BO24" s="100"/>
      <c r="BP24" s="10"/>
      <c r="BQ24" s="10"/>
      <c r="BR24" s="10"/>
      <c r="BS24" s="100"/>
      <c r="BT24" s="10"/>
      <c r="BU24" s="10"/>
      <c r="BV24" s="10"/>
      <c r="BW24" s="10">
        <f t="shared" si="65"/>
        <v>8325</v>
      </c>
      <c r="BX24" s="10">
        <f t="shared" si="28"/>
        <v>17.970858067997842</v>
      </c>
      <c r="BY24" s="10">
        <f t="shared" si="66"/>
        <v>47425</v>
      </c>
      <c r="BZ24" s="10">
        <f t="shared" si="29"/>
        <v>14.952313391660754</v>
      </c>
      <c r="CA24" s="100"/>
      <c r="CB24" s="10">
        <f t="shared" si="30"/>
        <v>0</v>
      </c>
      <c r="CC24" s="10"/>
      <c r="CD24" s="10">
        <f t="shared" si="31"/>
        <v>0</v>
      </c>
      <c r="CE24" s="100">
        <f>96*CE7</f>
        <v>24000</v>
      </c>
      <c r="CF24" s="10">
        <f t="shared" si="32"/>
        <v>51.807879114948733</v>
      </c>
      <c r="CG24" s="10">
        <f t="shared" si="67"/>
        <v>255750</v>
      </c>
      <c r="CH24" s="10">
        <f t="shared" si="33"/>
        <v>80.633719555450455</v>
      </c>
      <c r="CI24" s="100"/>
      <c r="CJ24" s="10">
        <f t="shared" si="34"/>
        <v>0</v>
      </c>
      <c r="CK24" s="10">
        <f t="shared" si="68"/>
        <v>0</v>
      </c>
      <c r="CL24" s="10">
        <f t="shared" si="35"/>
        <v>0</v>
      </c>
      <c r="CM24" s="100"/>
      <c r="CN24" s="10">
        <f t="shared" si="36"/>
        <v>0</v>
      </c>
      <c r="CO24" s="10">
        <f t="shared" si="69"/>
        <v>0</v>
      </c>
      <c r="CP24" s="10">
        <f t="shared" si="37"/>
        <v>0</v>
      </c>
      <c r="CQ24" s="100"/>
      <c r="CR24" s="10">
        <f t="shared" si="38"/>
        <v>0</v>
      </c>
      <c r="CS24" s="10">
        <f t="shared" si="70"/>
        <v>0</v>
      </c>
      <c r="CT24" s="10">
        <f t="shared" si="39"/>
        <v>0</v>
      </c>
      <c r="CU24" s="100"/>
      <c r="CV24" s="10">
        <f t="shared" si="40"/>
        <v>0</v>
      </c>
      <c r="CW24" s="10">
        <f t="shared" si="71"/>
        <v>0</v>
      </c>
      <c r="CX24" s="10">
        <f t="shared" si="41"/>
        <v>0</v>
      </c>
      <c r="CY24" s="100"/>
      <c r="CZ24" s="10">
        <f t="shared" si="42"/>
        <v>0</v>
      </c>
      <c r="DA24" s="10">
        <f t="shared" si="72"/>
        <v>0</v>
      </c>
      <c r="DB24" s="10">
        <f t="shared" si="43"/>
        <v>0</v>
      </c>
      <c r="DC24" s="100"/>
      <c r="DD24" s="10">
        <f t="shared" si="44"/>
        <v>0</v>
      </c>
      <c r="DE24" s="10">
        <f t="shared" si="73"/>
        <v>0</v>
      </c>
      <c r="DF24" s="10">
        <f t="shared" si="45"/>
        <v>0</v>
      </c>
      <c r="DG24" s="100"/>
      <c r="DH24" s="10"/>
      <c r="DI24" s="10"/>
      <c r="DJ24" s="10"/>
      <c r="DK24" s="10">
        <f t="shared" si="74"/>
        <v>24000</v>
      </c>
      <c r="DL24" s="91">
        <f t="shared" si="46"/>
        <v>51.807879114948733</v>
      </c>
      <c r="DM24" s="10">
        <f t="shared" si="75"/>
        <v>255750</v>
      </c>
      <c r="DN24" s="10">
        <f t="shared" si="47"/>
        <v>80.633719555450455</v>
      </c>
      <c r="DO24" s="100"/>
      <c r="DP24" s="10">
        <f t="shared" si="76"/>
        <v>0</v>
      </c>
      <c r="DQ24" s="10">
        <f t="shared" si="77"/>
        <v>0</v>
      </c>
      <c r="DR24" s="10">
        <f t="shared" si="78"/>
        <v>0</v>
      </c>
      <c r="DS24" s="100"/>
      <c r="DT24" s="15">
        <f t="shared" si="79"/>
        <v>0</v>
      </c>
      <c r="DU24" s="10">
        <f t="shared" si="80"/>
        <v>0</v>
      </c>
      <c r="DV24" s="10">
        <f t="shared" si="81"/>
        <v>0</v>
      </c>
      <c r="DW24" s="100"/>
      <c r="DX24" s="15">
        <f t="shared" si="82"/>
        <v>0</v>
      </c>
      <c r="DY24" s="10">
        <f t="shared" si="83"/>
        <v>0</v>
      </c>
      <c r="DZ24" s="459">
        <f t="shared" si="84"/>
        <v>0</v>
      </c>
      <c r="EA24" s="100">
        <f>56*EA7</f>
        <v>14000</v>
      </c>
      <c r="EB24" s="10">
        <f t="shared" si="85"/>
        <v>30.221262817053429</v>
      </c>
      <c r="EC24" s="10">
        <f t="shared" si="86"/>
        <v>14000</v>
      </c>
      <c r="ED24" s="10">
        <f t="shared" si="87"/>
        <v>4.4139670528887835</v>
      </c>
      <c r="EE24" s="10">
        <f t="shared" si="48"/>
        <v>14000</v>
      </c>
      <c r="EF24" s="10">
        <f t="shared" si="88"/>
        <v>30.221262817053429</v>
      </c>
      <c r="EG24" s="10">
        <f t="shared" si="89"/>
        <v>14000</v>
      </c>
      <c r="EH24" s="10">
        <f t="shared" si="90"/>
        <v>4.4139670528887835</v>
      </c>
      <c r="EI24" s="100"/>
      <c r="EJ24" s="91">
        <f t="shared" si="91"/>
        <v>0</v>
      </c>
      <c r="EK24" s="10">
        <f t="shared" si="92"/>
        <v>0</v>
      </c>
      <c r="EL24" s="91">
        <f t="shared" si="93"/>
        <v>0</v>
      </c>
      <c r="EM24" s="100"/>
      <c r="EN24" s="91">
        <f t="shared" si="94"/>
        <v>0</v>
      </c>
      <c r="EO24" s="10">
        <f t="shared" si="95"/>
        <v>0</v>
      </c>
      <c r="EP24" s="91">
        <f t="shared" si="96"/>
        <v>0</v>
      </c>
      <c r="EQ24" s="100"/>
      <c r="ER24" s="91">
        <f t="shared" si="97"/>
        <v>0</v>
      </c>
      <c r="ES24" s="10">
        <f t="shared" si="98"/>
        <v>0</v>
      </c>
      <c r="ET24" s="91">
        <f t="shared" si="99"/>
        <v>0</v>
      </c>
      <c r="EU24" s="100"/>
      <c r="EV24" s="91">
        <f t="shared" si="100"/>
        <v>0</v>
      </c>
      <c r="EW24" s="10">
        <f t="shared" si="101"/>
        <v>0</v>
      </c>
      <c r="EX24" s="91">
        <f t="shared" si="102"/>
        <v>0</v>
      </c>
      <c r="EY24" s="91">
        <f t="shared" si="103"/>
        <v>0</v>
      </c>
      <c r="EZ24" s="91">
        <f t="shared" si="104"/>
        <v>0</v>
      </c>
      <c r="FA24" s="10">
        <f t="shared" si="105"/>
        <v>0</v>
      </c>
      <c r="FB24" s="91">
        <f t="shared" si="106"/>
        <v>0</v>
      </c>
      <c r="FC24" s="91">
        <f t="shared" si="111"/>
        <v>46325</v>
      </c>
      <c r="FD24" s="10">
        <f t="shared" si="108"/>
        <v>317175</v>
      </c>
      <c r="FE24" s="10">
        <f t="shared" si="49"/>
        <v>1.1666708640793815</v>
      </c>
      <c r="FF24" s="10">
        <f t="shared" si="50"/>
        <v>1.2152252290221108</v>
      </c>
      <c r="FG24" s="6"/>
      <c r="FH24" s="460">
        <f t="shared" si="109"/>
        <v>0</v>
      </c>
      <c r="FI24" s="460">
        <f>(SUM($FG$10:FG24))/(SUM($EE$10:EE24))</f>
        <v>0</v>
      </c>
      <c r="FJ24" s="3"/>
      <c r="FN24" s="14"/>
      <c r="FO24" s="14"/>
    </row>
    <row r="25" spans="1:171">
      <c r="A25" s="16">
        <f>+Chem!A25</f>
        <v>45946</v>
      </c>
      <c r="B25" s="6" t="str">
        <f>+Chem!B25</f>
        <v>Toilet/Towel</v>
      </c>
      <c r="C25" s="16" t="str">
        <f>+Chem!C25</f>
        <v>12,5/16,5/18</v>
      </c>
      <c r="D25" s="8">
        <f>+Chem!D25</f>
        <v>48.201999999999998</v>
      </c>
      <c r="E25" s="7">
        <f>+Chem!E25</f>
        <v>43.972000000000001</v>
      </c>
      <c r="F25" s="7">
        <f t="shared" si="110"/>
        <v>304.97300000000001</v>
      </c>
      <c r="G25" s="100"/>
      <c r="H25" s="10">
        <f t="shared" si="0"/>
        <v>0</v>
      </c>
      <c r="I25" s="8">
        <f t="shared" si="51"/>
        <v>0</v>
      </c>
      <c r="J25" s="10">
        <f t="shared" si="1"/>
        <v>0</v>
      </c>
      <c r="K25" s="100">
        <f>57*K7</f>
        <v>14250</v>
      </c>
      <c r="L25" s="10">
        <f t="shared" si="2"/>
        <v>29.176904176904177</v>
      </c>
      <c r="M25" s="10">
        <f t="shared" si="52"/>
        <v>61675</v>
      </c>
      <c r="N25" s="10">
        <f t="shared" si="3"/>
        <v>16.850402305916422</v>
      </c>
      <c r="O25" s="100"/>
      <c r="P25" s="10">
        <f t="shared" si="4"/>
        <v>0</v>
      </c>
      <c r="Q25" s="10">
        <f t="shared" si="53"/>
        <v>0</v>
      </c>
      <c r="R25" s="10">
        <f t="shared" si="5"/>
        <v>0</v>
      </c>
      <c r="S25" s="100"/>
      <c r="T25" s="10">
        <f t="shared" si="6"/>
        <v>0</v>
      </c>
      <c r="U25" s="10">
        <f t="shared" si="54"/>
        <v>0</v>
      </c>
      <c r="V25" s="10">
        <f t="shared" si="7"/>
        <v>0</v>
      </c>
      <c r="W25" s="100"/>
      <c r="X25" s="10">
        <f t="shared" si="8"/>
        <v>0</v>
      </c>
      <c r="Y25" s="10">
        <f t="shared" si="55"/>
        <v>0</v>
      </c>
      <c r="Z25" s="10">
        <f t="shared" si="9"/>
        <v>0</v>
      </c>
      <c r="AA25" s="100"/>
      <c r="AB25" s="10">
        <f t="shared" si="10"/>
        <v>0</v>
      </c>
      <c r="AC25" s="10">
        <f t="shared" si="56"/>
        <v>0</v>
      </c>
      <c r="AD25" s="10">
        <f t="shared" si="11"/>
        <v>0</v>
      </c>
      <c r="AE25" s="100"/>
      <c r="AF25" s="10">
        <f t="shared" si="12"/>
        <v>0</v>
      </c>
      <c r="AG25" s="10">
        <f t="shared" si="57"/>
        <v>0</v>
      </c>
      <c r="AH25" s="10">
        <f t="shared" si="13"/>
        <v>0</v>
      </c>
      <c r="AI25" s="100"/>
      <c r="AJ25" s="10">
        <f t="shared" si="14"/>
        <v>0</v>
      </c>
      <c r="AK25" s="10">
        <f t="shared" si="58"/>
        <v>0</v>
      </c>
      <c r="AL25" s="10">
        <f t="shared" si="15"/>
        <v>0</v>
      </c>
      <c r="AM25" s="100"/>
      <c r="AN25" s="10">
        <f t="shared" si="16"/>
        <v>0</v>
      </c>
      <c r="AO25" s="10">
        <f t="shared" si="59"/>
        <v>0</v>
      </c>
      <c r="AP25" s="10">
        <f t="shared" si="17"/>
        <v>0</v>
      </c>
      <c r="AQ25" s="100"/>
      <c r="AR25" s="10">
        <f t="shared" si="18"/>
        <v>0</v>
      </c>
      <c r="AS25" s="10">
        <f t="shared" si="60"/>
        <v>0</v>
      </c>
      <c r="AT25" s="10">
        <f t="shared" si="19"/>
        <v>0</v>
      </c>
      <c r="AU25" s="252"/>
      <c r="AV25" s="10">
        <f t="shared" si="20"/>
        <v>0</v>
      </c>
      <c r="AW25" s="8">
        <f t="shared" si="61"/>
        <v>0</v>
      </c>
      <c r="AX25" s="10">
        <f t="shared" si="21"/>
        <v>0</v>
      </c>
      <c r="AY25" s="100"/>
      <c r="AZ25" s="10">
        <f t="shared" si="22"/>
        <v>0</v>
      </c>
      <c r="BA25" s="10">
        <f t="shared" si="62"/>
        <v>0</v>
      </c>
      <c r="BB25" s="10">
        <f t="shared" si="23"/>
        <v>0</v>
      </c>
      <c r="BC25" s="100"/>
      <c r="BD25" s="10">
        <f t="shared" si="24"/>
        <v>0</v>
      </c>
      <c r="BE25" s="10">
        <f t="shared" si="63"/>
        <v>0</v>
      </c>
      <c r="BF25" s="10">
        <f t="shared" si="25"/>
        <v>0</v>
      </c>
      <c r="BG25" s="100"/>
      <c r="BH25" s="10">
        <f t="shared" si="26"/>
        <v>0</v>
      </c>
      <c r="BI25" s="10">
        <f t="shared" si="64"/>
        <v>0</v>
      </c>
      <c r="BJ25" s="10">
        <f t="shared" si="27"/>
        <v>0</v>
      </c>
      <c r="BK25" s="100"/>
      <c r="BL25" s="10"/>
      <c r="BM25" s="10"/>
      <c r="BN25" s="10"/>
      <c r="BO25" s="100"/>
      <c r="BP25" s="10"/>
      <c r="BQ25" s="10"/>
      <c r="BR25" s="10"/>
      <c r="BS25" s="100"/>
      <c r="BT25" s="10"/>
      <c r="BU25" s="10"/>
      <c r="BV25" s="10"/>
      <c r="BW25" s="10">
        <f t="shared" si="65"/>
        <v>14250</v>
      </c>
      <c r="BX25" s="10">
        <f t="shared" si="28"/>
        <v>29.176904176904177</v>
      </c>
      <c r="BY25" s="10">
        <f t="shared" si="66"/>
        <v>61675</v>
      </c>
      <c r="BZ25" s="10">
        <f t="shared" si="29"/>
        <v>16.850402305916422</v>
      </c>
      <c r="CA25" s="100"/>
      <c r="CB25" s="10">
        <f t="shared" si="30"/>
        <v>0</v>
      </c>
      <c r="CC25" s="10"/>
      <c r="CD25" s="10">
        <f t="shared" si="31"/>
        <v>0</v>
      </c>
      <c r="CE25" s="100">
        <f>110.5*CE7</f>
        <v>27625</v>
      </c>
      <c r="CF25" s="10">
        <f t="shared" si="32"/>
        <v>56.562244062244062</v>
      </c>
      <c r="CG25" s="10">
        <f t="shared" si="67"/>
        <v>283375</v>
      </c>
      <c r="CH25" s="10">
        <f t="shared" si="33"/>
        <v>77.421690367881098</v>
      </c>
      <c r="CI25" s="100"/>
      <c r="CJ25" s="10">
        <f t="shared" si="34"/>
        <v>0</v>
      </c>
      <c r="CK25" s="10">
        <f t="shared" si="68"/>
        <v>0</v>
      </c>
      <c r="CL25" s="10">
        <f t="shared" si="35"/>
        <v>0</v>
      </c>
      <c r="CM25" s="100"/>
      <c r="CN25" s="10">
        <f t="shared" si="36"/>
        <v>0</v>
      </c>
      <c r="CO25" s="10">
        <f t="shared" si="69"/>
        <v>0</v>
      </c>
      <c r="CP25" s="10">
        <f t="shared" si="37"/>
        <v>0</v>
      </c>
      <c r="CQ25" s="100"/>
      <c r="CR25" s="10">
        <f t="shared" si="38"/>
        <v>0</v>
      </c>
      <c r="CS25" s="10">
        <f t="shared" si="70"/>
        <v>0</v>
      </c>
      <c r="CT25" s="10">
        <f t="shared" si="39"/>
        <v>0</v>
      </c>
      <c r="CU25" s="100"/>
      <c r="CV25" s="10">
        <f t="shared" si="40"/>
        <v>0</v>
      </c>
      <c r="CW25" s="10">
        <f t="shared" si="71"/>
        <v>0</v>
      </c>
      <c r="CX25" s="10">
        <f t="shared" si="41"/>
        <v>0</v>
      </c>
      <c r="CY25" s="100"/>
      <c r="CZ25" s="10">
        <f t="shared" si="42"/>
        <v>0</v>
      </c>
      <c r="DA25" s="10">
        <f t="shared" si="72"/>
        <v>0</v>
      </c>
      <c r="DB25" s="10">
        <f t="shared" si="43"/>
        <v>0</v>
      </c>
      <c r="DC25" s="100">
        <v>6965</v>
      </c>
      <c r="DD25" s="10">
        <f t="shared" si="44"/>
        <v>14.260851760851761</v>
      </c>
      <c r="DE25" s="10">
        <f t="shared" si="73"/>
        <v>6965</v>
      </c>
      <c r="DF25" s="10">
        <f t="shared" si="45"/>
        <v>1.9029274756499051</v>
      </c>
      <c r="DG25" s="100"/>
      <c r="DH25" s="10"/>
      <c r="DI25" s="10"/>
      <c r="DJ25" s="10"/>
      <c r="DK25" s="10">
        <f t="shared" si="74"/>
        <v>34590</v>
      </c>
      <c r="DL25" s="91">
        <f t="shared" si="46"/>
        <v>70.823095823095827</v>
      </c>
      <c r="DM25" s="10">
        <f t="shared" si="75"/>
        <v>290340</v>
      </c>
      <c r="DN25" s="10">
        <f t="shared" si="47"/>
        <v>79.324617843531001</v>
      </c>
      <c r="DO25" s="100"/>
      <c r="DP25" s="10">
        <f t="shared" si="76"/>
        <v>0</v>
      </c>
      <c r="DQ25" s="10">
        <f t="shared" si="77"/>
        <v>0</v>
      </c>
      <c r="DR25" s="10">
        <f t="shared" si="78"/>
        <v>0</v>
      </c>
      <c r="DS25" s="100"/>
      <c r="DT25" s="15">
        <f t="shared" si="79"/>
        <v>0</v>
      </c>
      <c r="DU25" s="10">
        <f t="shared" si="80"/>
        <v>0</v>
      </c>
      <c r="DV25" s="10">
        <f t="shared" si="81"/>
        <v>0</v>
      </c>
      <c r="DW25" s="100"/>
      <c r="DX25" s="15">
        <f t="shared" si="82"/>
        <v>0</v>
      </c>
      <c r="DY25" s="10">
        <f t="shared" si="83"/>
        <v>0</v>
      </c>
      <c r="DZ25" s="459">
        <f t="shared" si="84"/>
        <v>0</v>
      </c>
      <c r="EA25" s="100"/>
      <c r="EB25" s="10">
        <f t="shared" si="85"/>
        <v>0</v>
      </c>
      <c r="EC25" s="10">
        <f t="shared" si="86"/>
        <v>14000</v>
      </c>
      <c r="ED25" s="10">
        <f t="shared" si="87"/>
        <v>3.8249798505525727</v>
      </c>
      <c r="EE25" s="10">
        <f t="shared" si="48"/>
        <v>0</v>
      </c>
      <c r="EF25" s="10">
        <f t="shared" si="88"/>
        <v>0</v>
      </c>
      <c r="EG25" s="10">
        <f t="shared" si="89"/>
        <v>14000</v>
      </c>
      <c r="EH25" s="10">
        <f t="shared" si="90"/>
        <v>3.8249798505525727</v>
      </c>
      <c r="EI25" s="100"/>
      <c r="EJ25" s="91">
        <f t="shared" si="91"/>
        <v>0</v>
      </c>
      <c r="EK25" s="10">
        <f t="shared" si="92"/>
        <v>0</v>
      </c>
      <c r="EL25" s="91">
        <f t="shared" si="93"/>
        <v>0</v>
      </c>
      <c r="EM25" s="100"/>
      <c r="EN25" s="91">
        <f t="shared" si="94"/>
        <v>0</v>
      </c>
      <c r="EO25" s="10">
        <f t="shared" si="95"/>
        <v>0</v>
      </c>
      <c r="EP25" s="91">
        <f t="shared" si="96"/>
        <v>0</v>
      </c>
      <c r="EQ25" s="100"/>
      <c r="ER25" s="91">
        <f t="shared" si="97"/>
        <v>0</v>
      </c>
      <c r="ES25" s="10">
        <f t="shared" si="98"/>
        <v>0</v>
      </c>
      <c r="ET25" s="91">
        <f t="shared" si="99"/>
        <v>0</v>
      </c>
      <c r="EU25" s="100"/>
      <c r="EV25" s="91">
        <f t="shared" si="100"/>
        <v>0</v>
      </c>
      <c r="EW25" s="10">
        <f t="shared" si="101"/>
        <v>0</v>
      </c>
      <c r="EX25" s="91">
        <f t="shared" si="102"/>
        <v>0</v>
      </c>
      <c r="EY25" s="91">
        <f t="shared" si="103"/>
        <v>0</v>
      </c>
      <c r="EZ25" s="91">
        <f t="shared" si="104"/>
        <v>0</v>
      </c>
      <c r="FA25" s="10">
        <f t="shared" si="105"/>
        <v>0</v>
      </c>
      <c r="FB25" s="91">
        <f t="shared" si="106"/>
        <v>0</v>
      </c>
      <c r="FC25" s="91">
        <f t="shared" si="111"/>
        <v>48840</v>
      </c>
      <c r="FD25" s="10">
        <f t="shared" si="108"/>
        <v>366015</v>
      </c>
      <c r="FE25" s="10">
        <f t="shared" si="49"/>
        <v>1.1107068134267262</v>
      </c>
      <c r="FF25" s="10">
        <f t="shared" si="50"/>
        <v>1.2001554235948755</v>
      </c>
      <c r="FG25" s="6"/>
      <c r="FH25" s="460" t="e">
        <f t="shared" si="109"/>
        <v>#DIV/0!</v>
      </c>
      <c r="FI25" s="460">
        <f>(SUM($FG$10:FG25))/(SUM($EE$10:EE25))</f>
        <v>0</v>
      </c>
      <c r="FJ25" s="3"/>
      <c r="FN25" s="14"/>
      <c r="FO25" s="14"/>
    </row>
    <row r="26" spans="1:171">
      <c r="A26" s="16">
        <f>+Chem!A26</f>
        <v>45947</v>
      </c>
      <c r="B26" s="6" t="str">
        <f>+Chem!B26</f>
        <v>Towel</v>
      </c>
      <c r="C26" s="16" t="str">
        <f>+Chem!C26</f>
        <v>18</v>
      </c>
      <c r="D26" s="8">
        <f>+Chem!D26</f>
        <v>50.909000000000006</v>
      </c>
      <c r="E26" s="7">
        <f>+Chem!E26</f>
        <v>55.052999999999997</v>
      </c>
      <c r="F26" s="7">
        <f t="shared" si="110"/>
        <v>360.02600000000001</v>
      </c>
      <c r="G26" s="100"/>
      <c r="H26" s="10">
        <f t="shared" si="0"/>
        <v>0</v>
      </c>
      <c r="I26" s="8">
        <f t="shared" si="51"/>
        <v>0</v>
      </c>
      <c r="J26" s="10">
        <f t="shared" si="1"/>
        <v>0</v>
      </c>
      <c r="K26" s="100">
        <f>63*K7</f>
        <v>15750</v>
      </c>
      <c r="L26" s="10">
        <f t="shared" si="2"/>
        <v>33.382789317507417</v>
      </c>
      <c r="M26" s="10">
        <f t="shared" si="52"/>
        <v>77425</v>
      </c>
      <c r="N26" s="10">
        <f t="shared" si="3"/>
        <v>18.738126066385121</v>
      </c>
      <c r="O26" s="100"/>
      <c r="P26" s="10">
        <f t="shared" si="4"/>
        <v>0</v>
      </c>
      <c r="Q26" s="10">
        <f t="shared" si="53"/>
        <v>0</v>
      </c>
      <c r="R26" s="10">
        <f t="shared" si="5"/>
        <v>0</v>
      </c>
      <c r="S26" s="100"/>
      <c r="T26" s="10">
        <f t="shared" si="6"/>
        <v>0</v>
      </c>
      <c r="U26" s="10">
        <f t="shared" si="54"/>
        <v>0</v>
      </c>
      <c r="V26" s="10">
        <f t="shared" si="7"/>
        <v>0</v>
      </c>
      <c r="W26" s="100"/>
      <c r="X26" s="10">
        <f t="shared" si="8"/>
        <v>0</v>
      </c>
      <c r="Y26" s="10">
        <f t="shared" si="55"/>
        <v>0</v>
      </c>
      <c r="Z26" s="10">
        <f t="shared" si="9"/>
        <v>0</v>
      </c>
      <c r="AA26" s="100"/>
      <c r="AB26" s="10">
        <f t="shared" si="10"/>
        <v>0</v>
      </c>
      <c r="AC26" s="10">
        <f t="shared" si="56"/>
        <v>0</v>
      </c>
      <c r="AD26" s="10">
        <f t="shared" si="11"/>
        <v>0</v>
      </c>
      <c r="AE26" s="100"/>
      <c r="AF26" s="10">
        <f t="shared" si="12"/>
        <v>0</v>
      </c>
      <c r="AG26" s="10">
        <f t="shared" si="57"/>
        <v>0</v>
      </c>
      <c r="AH26" s="10">
        <f t="shared" si="13"/>
        <v>0</v>
      </c>
      <c r="AI26" s="100"/>
      <c r="AJ26" s="10">
        <f t="shared" si="14"/>
        <v>0</v>
      </c>
      <c r="AK26" s="10">
        <f t="shared" si="58"/>
        <v>0</v>
      </c>
      <c r="AL26" s="10">
        <f t="shared" si="15"/>
        <v>0</v>
      </c>
      <c r="AM26" s="100"/>
      <c r="AN26" s="10">
        <f t="shared" si="16"/>
        <v>0</v>
      </c>
      <c r="AO26" s="10">
        <f t="shared" si="59"/>
        <v>0</v>
      </c>
      <c r="AP26" s="10">
        <f t="shared" si="17"/>
        <v>0</v>
      </c>
      <c r="AQ26" s="100"/>
      <c r="AR26" s="10">
        <f t="shared" si="18"/>
        <v>0</v>
      </c>
      <c r="AS26" s="10">
        <f t="shared" si="60"/>
        <v>0</v>
      </c>
      <c r="AT26" s="10">
        <f t="shared" si="19"/>
        <v>0</v>
      </c>
      <c r="AU26" s="252"/>
      <c r="AV26" s="10">
        <f t="shared" si="20"/>
        <v>0</v>
      </c>
      <c r="AW26" s="8">
        <f t="shared" si="61"/>
        <v>0</v>
      </c>
      <c r="AX26" s="10">
        <f t="shared" si="21"/>
        <v>0</v>
      </c>
      <c r="AY26" s="100"/>
      <c r="AZ26" s="10">
        <f t="shared" si="22"/>
        <v>0</v>
      </c>
      <c r="BA26" s="10">
        <f t="shared" si="62"/>
        <v>0</v>
      </c>
      <c r="BB26" s="10">
        <f t="shared" si="23"/>
        <v>0</v>
      </c>
      <c r="BC26" s="100"/>
      <c r="BD26" s="10">
        <f t="shared" si="24"/>
        <v>0</v>
      </c>
      <c r="BE26" s="10">
        <f t="shared" si="63"/>
        <v>0</v>
      </c>
      <c r="BF26" s="10">
        <f t="shared" si="25"/>
        <v>0</v>
      </c>
      <c r="BG26" s="100"/>
      <c r="BH26" s="10">
        <f t="shared" si="26"/>
        <v>0</v>
      </c>
      <c r="BI26" s="10">
        <f t="shared" si="64"/>
        <v>0</v>
      </c>
      <c r="BJ26" s="10">
        <f t="shared" si="27"/>
        <v>0</v>
      </c>
      <c r="BK26" s="100"/>
      <c r="BL26" s="10"/>
      <c r="BM26" s="10"/>
      <c r="BN26" s="10"/>
      <c r="BO26" s="100"/>
      <c r="BP26" s="10"/>
      <c r="BQ26" s="10"/>
      <c r="BR26" s="10"/>
      <c r="BS26" s="100"/>
      <c r="BT26" s="10"/>
      <c r="BU26" s="10"/>
      <c r="BV26" s="10"/>
      <c r="BW26" s="10">
        <f t="shared" si="65"/>
        <v>15750</v>
      </c>
      <c r="BX26" s="10">
        <f t="shared" si="28"/>
        <v>33.382789317507417</v>
      </c>
      <c r="BY26" s="10">
        <f t="shared" si="66"/>
        <v>77425</v>
      </c>
      <c r="BZ26" s="10">
        <f t="shared" si="29"/>
        <v>18.738126066385121</v>
      </c>
      <c r="CA26" s="100"/>
      <c r="CB26" s="10">
        <f t="shared" si="30"/>
        <v>0</v>
      </c>
      <c r="CC26" s="10"/>
      <c r="CD26" s="10">
        <f t="shared" si="31"/>
        <v>0</v>
      </c>
      <c r="CE26" s="100">
        <f>70*CE7</f>
        <v>17500</v>
      </c>
      <c r="CF26" s="10">
        <f t="shared" si="32"/>
        <v>37.091988130563799</v>
      </c>
      <c r="CG26" s="10">
        <f t="shared" si="67"/>
        <v>300875</v>
      </c>
      <c r="CH26" s="10">
        <f t="shared" si="33"/>
        <v>72.816708817870506</v>
      </c>
      <c r="CI26" s="100"/>
      <c r="CJ26" s="10">
        <f t="shared" si="34"/>
        <v>0</v>
      </c>
      <c r="CK26" s="10">
        <f t="shared" si="68"/>
        <v>0</v>
      </c>
      <c r="CL26" s="10">
        <f t="shared" si="35"/>
        <v>0</v>
      </c>
      <c r="CM26" s="100"/>
      <c r="CN26" s="10">
        <f t="shared" si="36"/>
        <v>0</v>
      </c>
      <c r="CO26" s="10">
        <f t="shared" si="69"/>
        <v>0</v>
      </c>
      <c r="CP26" s="10">
        <f t="shared" si="37"/>
        <v>0</v>
      </c>
      <c r="CQ26" s="100"/>
      <c r="CR26" s="10">
        <f t="shared" si="38"/>
        <v>0</v>
      </c>
      <c r="CS26" s="10">
        <f t="shared" si="70"/>
        <v>0</v>
      </c>
      <c r="CT26" s="10">
        <f t="shared" si="39"/>
        <v>0</v>
      </c>
      <c r="CU26" s="100"/>
      <c r="CV26" s="10">
        <f t="shared" si="40"/>
        <v>0</v>
      </c>
      <c r="CW26" s="10">
        <f t="shared" si="71"/>
        <v>0</v>
      </c>
      <c r="CX26" s="10">
        <f t="shared" si="41"/>
        <v>0</v>
      </c>
      <c r="CY26" s="100"/>
      <c r="CZ26" s="10">
        <f t="shared" si="42"/>
        <v>0</v>
      </c>
      <c r="DA26" s="10">
        <f t="shared" si="72"/>
        <v>0</v>
      </c>
      <c r="DB26" s="10">
        <f t="shared" si="43"/>
        <v>0</v>
      </c>
      <c r="DC26" s="100">
        <v>13930</v>
      </c>
      <c r="DD26" s="10">
        <f t="shared" si="44"/>
        <v>29.525222551928781</v>
      </c>
      <c r="DE26" s="10">
        <f t="shared" si="73"/>
        <v>20895</v>
      </c>
      <c r="DF26" s="10">
        <f t="shared" si="45"/>
        <v>5.0569343772310891</v>
      </c>
      <c r="DG26" s="100"/>
      <c r="DH26" s="10"/>
      <c r="DI26" s="10"/>
      <c r="DJ26" s="10"/>
      <c r="DK26" s="10">
        <f>CA26+CE26+CI26+CM26+CQ26+CU26+CY26+DC26</f>
        <v>31430</v>
      </c>
      <c r="DL26" s="91">
        <f t="shared" si="46"/>
        <v>66.617210682492583</v>
      </c>
      <c r="DM26" s="10">
        <f t="shared" si="75"/>
        <v>321770</v>
      </c>
      <c r="DN26" s="10">
        <f t="shared" si="47"/>
        <v>77.873643195101579</v>
      </c>
      <c r="DO26" s="100"/>
      <c r="DP26" s="10">
        <f t="shared" si="76"/>
        <v>0</v>
      </c>
      <c r="DQ26" s="10">
        <f t="shared" si="77"/>
        <v>0</v>
      </c>
      <c r="DR26" s="10">
        <f t="shared" si="78"/>
        <v>0</v>
      </c>
      <c r="DS26" s="100"/>
      <c r="DT26" s="15">
        <f t="shared" si="79"/>
        <v>0</v>
      </c>
      <c r="DU26" s="10">
        <f t="shared" si="80"/>
        <v>0</v>
      </c>
      <c r="DV26" s="10">
        <f t="shared" si="81"/>
        <v>0</v>
      </c>
      <c r="DW26" s="100"/>
      <c r="DX26" s="15">
        <f t="shared" si="82"/>
        <v>0</v>
      </c>
      <c r="DY26" s="10">
        <f t="shared" si="83"/>
        <v>0</v>
      </c>
      <c r="DZ26" s="459">
        <f t="shared" si="84"/>
        <v>0</v>
      </c>
      <c r="EA26" s="100"/>
      <c r="EB26" s="10">
        <f t="shared" si="85"/>
        <v>0</v>
      </c>
      <c r="EC26" s="10">
        <f t="shared" si="86"/>
        <v>14000</v>
      </c>
      <c r="ED26" s="10">
        <f t="shared" si="87"/>
        <v>3.3882307385132924</v>
      </c>
      <c r="EE26" s="10">
        <f t="shared" si="48"/>
        <v>0</v>
      </c>
      <c r="EF26" s="10">
        <f t="shared" si="88"/>
        <v>0</v>
      </c>
      <c r="EG26" s="10">
        <f t="shared" si="89"/>
        <v>14000</v>
      </c>
      <c r="EH26" s="10">
        <f t="shared" si="90"/>
        <v>3.3882307385132924</v>
      </c>
      <c r="EI26" s="100"/>
      <c r="EJ26" s="91">
        <f t="shared" si="91"/>
        <v>0</v>
      </c>
      <c r="EK26" s="10">
        <f t="shared" si="92"/>
        <v>0</v>
      </c>
      <c r="EL26" s="91">
        <f t="shared" si="93"/>
        <v>0</v>
      </c>
      <c r="EM26" s="100"/>
      <c r="EN26" s="91">
        <f t="shared" si="94"/>
        <v>0</v>
      </c>
      <c r="EO26" s="10">
        <f t="shared" si="95"/>
        <v>0</v>
      </c>
      <c r="EP26" s="91">
        <f t="shared" si="96"/>
        <v>0</v>
      </c>
      <c r="EQ26" s="100"/>
      <c r="ER26" s="91">
        <f t="shared" si="97"/>
        <v>0</v>
      </c>
      <c r="ES26" s="10">
        <f t="shared" si="98"/>
        <v>0</v>
      </c>
      <c r="ET26" s="91">
        <f t="shared" si="99"/>
        <v>0</v>
      </c>
      <c r="EU26" s="100"/>
      <c r="EV26" s="91">
        <f t="shared" si="100"/>
        <v>0</v>
      </c>
      <c r="EW26" s="10">
        <f t="shared" si="101"/>
        <v>0</v>
      </c>
      <c r="EX26" s="91">
        <f t="shared" si="102"/>
        <v>0</v>
      </c>
      <c r="EY26" s="91">
        <f t="shared" si="103"/>
        <v>0</v>
      </c>
      <c r="EZ26" s="91">
        <f t="shared" si="104"/>
        <v>0</v>
      </c>
      <c r="FA26" s="10">
        <f t="shared" si="105"/>
        <v>0</v>
      </c>
      <c r="FB26" s="91">
        <f t="shared" si="106"/>
        <v>0</v>
      </c>
      <c r="FC26" s="91">
        <f t="shared" si="111"/>
        <v>47180</v>
      </c>
      <c r="FD26" s="10">
        <f t="shared" si="108"/>
        <v>413195</v>
      </c>
      <c r="FE26" s="10">
        <f t="shared" si="49"/>
        <v>0.85699235282364272</v>
      </c>
      <c r="FF26" s="10">
        <f t="shared" si="50"/>
        <v>1.1476810008166076</v>
      </c>
      <c r="FG26" s="6"/>
      <c r="FH26" s="460" t="e">
        <f t="shared" si="109"/>
        <v>#DIV/0!</v>
      </c>
      <c r="FI26" s="460">
        <f>(SUM($FG$10:FG26))/(SUM($EE$10:EE26))</f>
        <v>0</v>
      </c>
      <c r="FJ26" s="3"/>
      <c r="FN26" s="14"/>
    </row>
    <row r="27" spans="1:171">
      <c r="A27" s="16">
        <f>+Chem!A27</f>
        <v>45948</v>
      </c>
      <c r="B27" s="6" t="str">
        <f>+Chem!B27</f>
        <v>Towel</v>
      </c>
      <c r="C27" s="16" t="str">
        <f>+Chem!C27</f>
        <v>18</v>
      </c>
      <c r="D27" s="8">
        <f>+Chem!D27</f>
        <v>46.412999999999997</v>
      </c>
      <c r="E27" s="7">
        <f>+Chem!E27</f>
        <v>48.03</v>
      </c>
      <c r="F27" s="7">
        <f t="shared" si="110"/>
        <v>408.05600000000004</v>
      </c>
      <c r="G27" s="100"/>
      <c r="H27" s="10">
        <f t="shared" si="0"/>
        <v>0</v>
      </c>
      <c r="I27" s="8">
        <f t="shared" si="51"/>
        <v>0</v>
      </c>
      <c r="J27" s="10">
        <f t="shared" si="1"/>
        <v>0</v>
      </c>
      <c r="K27" s="100">
        <f>63*K7</f>
        <v>15750</v>
      </c>
      <c r="L27" s="10">
        <f t="shared" si="2"/>
        <v>30.481904393264951</v>
      </c>
      <c r="M27" s="10">
        <f t="shared" si="52"/>
        <v>93175</v>
      </c>
      <c r="N27" s="10">
        <f t="shared" si="3"/>
        <v>20.043453475740268</v>
      </c>
      <c r="O27" s="100"/>
      <c r="P27" s="10">
        <f t="shared" si="4"/>
        <v>0</v>
      </c>
      <c r="Q27" s="10">
        <f t="shared" si="53"/>
        <v>0</v>
      </c>
      <c r="R27" s="10">
        <f t="shared" si="5"/>
        <v>0</v>
      </c>
      <c r="S27" s="100"/>
      <c r="T27" s="10">
        <f t="shared" si="6"/>
        <v>0</v>
      </c>
      <c r="U27" s="10">
        <f t="shared" si="54"/>
        <v>0</v>
      </c>
      <c r="V27" s="10">
        <f t="shared" si="7"/>
        <v>0</v>
      </c>
      <c r="W27" s="100"/>
      <c r="X27" s="10">
        <f t="shared" si="8"/>
        <v>0</v>
      </c>
      <c r="Y27" s="10">
        <f t="shared" si="55"/>
        <v>0</v>
      </c>
      <c r="Z27" s="10">
        <f t="shared" si="9"/>
        <v>0</v>
      </c>
      <c r="AA27" s="100"/>
      <c r="AB27" s="10">
        <f t="shared" si="10"/>
        <v>0</v>
      </c>
      <c r="AC27" s="10">
        <f t="shared" si="56"/>
        <v>0</v>
      </c>
      <c r="AD27" s="10">
        <f t="shared" si="11"/>
        <v>0</v>
      </c>
      <c r="AE27" s="100"/>
      <c r="AF27" s="10">
        <f t="shared" si="12"/>
        <v>0</v>
      </c>
      <c r="AG27" s="10">
        <f t="shared" si="57"/>
        <v>0</v>
      </c>
      <c r="AH27" s="10">
        <f t="shared" si="13"/>
        <v>0</v>
      </c>
      <c r="AI27" s="100"/>
      <c r="AJ27" s="10">
        <f t="shared" si="14"/>
        <v>0</v>
      </c>
      <c r="AK27" s="10">
        <f t="shared" si="58"/>
        <v>0</v>
      </c>
      <c r="AL27" s="10">
        <f t="shared" si="15"/>
        <v>0</v>
      </c>
      <c r="AM27" s="100"/>
      <c r="AN27" s="10">
        <f t="shared" si="16"/>
        <v>0</v>
      </c>
      <c r="AO27" s="10">
        <f t="shared" si="59"/>
        <v>0</v>
      </c>
      <c r="AP27" s="10">
        <f t="shared" si="17"/>
        <v>0</v>
      </c>
      <c r="AQ27" s="100"/>
      <c r="AR27" s="10">
        <f t="shared" si="18"/>
        <v>0</v>
      </c>
      <c r="AS27" s="10">
        <f t="shared" si="60"/>
        <v>0</v>
      </c>
      <c r="AT27" s="10">
        <f t="shared" si="19"/>
        <v>0</v>
      </c>
      <c r="AU27" s="252"/>
      <c r="AV27" s="10">
        <f t="shared" si="20"/>
        <v>0</v>
      </c>
      <c r="AW27" s="8">
        <f t="shared" si="61"/>
        <v>0</v>
      </c>
      <c r="AX27" s="10">
        <f t="shared" si="21"/>
        <v>0</v>
      </c>
      <c r="AY27" s="100"/>
      <c r="AZ27" s="10">
        <f t="shared" si="22"/>
        <v>0</v>
      </c>
      <c r="BA27" s="10">
        <f t="shared" si="62"/>
        <v>0</v>
      </c>
      <c r="BB27" s="10">
        <f t="shared" si="23"/>
        <v>0</v>
      </c>
      <c r="BC27" s="100"/>
      <c r="BD27" s="10">
        <f t="shared" si="24"/>
        <v>0</v>
      </c>
      <c r="BE27" s="10">
        <f t="shared" si="63"/>
        <v>0</v>
      </c>
      <c r="BF27" s="10">
        <f t="shared" si="25"/>
        <v>0</v>
      </c>
      <c r="BG27" s="100"/>
      <c r="BH27" s="10">
        <f t="shared" si="26"/>
        <v>0</v>
      </c>
      <c r="BI27" s="10">
        <f t="shared" si="64"/>
        <v>0</v>
      </c>
      <c r="BJ27" s="10">
        <f t="shared" si="27"/>
        <v>0</v>
      </c>
      <c r="BK27" s="100"/>
      <c r="BL27" s="10"/>
      <c r="BM27" s="10"/>
      <c r="BN27" s="10"/>
      <c r="BO27" s="100"/>
      <c r="BP27" s="10"/>
      <c r="BQ27" s="10"/>
      <c r="BR27" s="10"/>
      <c r="BS27" s="100"/>
      <c r="BT27" s="10"/>
      <c r="BU27" s="10"/>
      <c r="BV27" s="10"/>
      <c r="BW27" s="10">
        <f t="shared" si="65"/>
        <v>15750</v>
      </c>
      <c r="BX27" s="10">
        <f t="shared" si="28"/>
        <v>30.481904393264951</v>
      </c>
      <c r="BY27" s="10">
        <f t="shared" si="66"/>
        <v>93175</v>
      </c>
      <c r="BZ27" s="10">
        <f t="shared" si="29"/>
        <v>20.043453475740268</v>
      </c>
      <c r="CA27" s="100"/>
      <c r="CB27" s="10">
        <f t="shared" si="30"/>
        <v>0</v>
      </c>
      <c r="CC27" s="10"/>
      <c r="CD27" s="10">
        <f t="shared" si="31"/>
        <v>0</v>
      </c>
      <c r="CE27" s="100">
        <f>80*CE7</f>
        <v>20000</v>
      </c>
      <c r="CF27" s="10">
        <f t="shared" si="32"/>
        <v>38.707180181923746</v>
      </c>
      <c r="CG27" s="10">
        <f t="shared" si="67"/>
        <v>320875</v>
      </c>
      <c r="CH27" s="10">
        <f t="shared" si="33"/>
        <v>69.025415980983723</v>
      </c>
      <c r="CI27" s="100"/>
      <c r="CJ27" s="10">
        <f t="shared" si="34"/>
        <v>0</v>
      </c>
      <c r="CK27" s="10">
        <f t="shared" si="68"/>
        <v>0</v>
      </c>
      <c r="CL27" s="10">
        <f t="shared" si="35"/>
        <v>0</v>
      </c>
      <c r="CM27" s="100"/>
      <c r="CN27" s="10">
        <f t="shared" si="36"/>
        <v>0</v>
      </c>
      <c r="CO27" s="10">
        <f t="shared" si="69"/>
        <v>0</v>
      </c>
      <c r="CP27" s="10">
        <f t="shared" si="37"/>
        <v>0</v>
      </c>
      <c r="CQ27" s="100"/>
      <c r="CR27" s="10">
        <f t="shared" si="38"/>
        <v>0</v>
      </c>
      <c r="CS27" s="10">
        <f t="shared" si="70"/>
        <v>0</v>
      </c>
      <c r="CT27" s="10">
        <f t="shared" si="39"/>
        <v>0</v>
      </c>
      <c r="CU27" s="100"/>
      <c r="CV27" s="10">
        <f t="shared" si="40"/>
        <v>0</v>
      </c>
      <c r="CW27" s="10">
        <f t="shared" si="71"/>
        <v>0</v>
      </c>
      <c r="CX27" s="10">
        <f t="shared" si="41"/>
        <v>0</v>
      </c>
      <c r="CY27" s="100"/>
      <c r="CZ27" s="10">
        <f t="shared" si="42"/>
        <v>0</v>
      </c>
      <c r="DA27" s="10">
        <f t="shared" si="72"/>
        <v>0</v>
      </c>
      <c r="DB27" s="10">
        <f t="shared" si="43"/>
        <v>0</v>
      </c>
      <c r="DC27" s="100">
        <v>15920</v>
      </c>
      <c r="DD27" s="10">
        <f t="shared" si="44"/>
        <v>30.810915424811302</v>
      </c>
      <c r="DE27" s="10">
        <f t="shared" si="73"/>
        <v>36815</v>
      </c>
      <c r="DF27" s="10">
        <f t="shared" si="45"/>
        <v>7.9195035117722341</v>
      </c>
      <c r="DG27" s="100"/>
      <c r="DH27" s="10"/>
      <c r="DI27" s="10"/>
      <c r="DJ27" s="10"/>
      <c r="DK27" s="10">
        <f t="shared" si="74"/>
        <v>35920</v>
      </c>
      <c r="DL27" s="91">
        <f t="shared" si="46"/>
        <v>69.518095606735059</v>
      </c>
      <c r="DM27" s="10">
        <f t="shared" si="75"/>
        <v>357690</v>
      </c>
      <c r="DN27" s="10">
        <f t="shared" si="47"/>
        <v>76.944919492755957</v>
      </c>
      <c r="DO27" s="100"/>
      <c r="DP27" s="10">
        <f t="shared" si="76"/>
        <v>0</v>
      </c>
      <c r="DQ27" s="10">
        <f t="shared" si="77"/>
        <v>0</v>
      </c>
      <c r="DR27" s="10">
        <f t="shared" si="78"/>
        <v>0</v>
      </c>
      <c r="DS27" s="100"/>
      <c r="DT27" s="15">
        <f t="shared" si="79"/>
        <v>0</v>
      </c>
      <c r="DU27" s="10">
        <f t="shared" si="80"/>
        <v>0</v>
      </c>
      <c r="DV27" s="10">
        <f t="shared" si="81"/>
        <v>0</v>
      </c>
      <c r="DW27" s="100"/>
      <c r="DX27" s="15">
        <f t="shared" si="82"/>
        <v>0</v>
      </c>
      <c r="DY27" s="10">
        <f t="shared" si="83"/>
        <v>0</v>
      </c>
      <c r="DZ27" s="459">
        <f t="shared" si="84"/>
        <v>0</v>
      </c>
      <c r="EA27" s="100"/>
      <c r="EB27" s="10">
        <f t="shared" si="85"/>
        <v>0</v>
      </c>
      <c r="EC27" s="10">
        <f t="shared" si="86"/>
        <v>14000</v>
      </c>
      <c r="ED27" s="10">
        <f t="shared" si="87"/>
        <v>3.0116270315037696</v>
      </c>
      <c r="EE27" s="10">
        <f t="shared" si="48"/>
        <v>0</v>
      </c>
      <c r="EF27" s="10">
        <f t="shared" si="88"/>
        <v>0</v>
      </c>
      <c r="EG27" s="10">
        <f t="shared" si="89"/>
        <v>14000</v>
      </c>
      <c r="EH27" s="10">
        <f t="shared" si="90"/>
        <v>3.0116270315037696</v>
      </c>
      <c r="EI27" s="100"/>
      <c r="EJ27" s="91">
        <f t="shared" si="91"/>
        <v>0</v>
      </c>
      <c r="EK27" s="10">
        <f t="shared" si="92"/>
        <v>0</v>
      </c>
      <c r="EL27" s="91">
        <f t="shared" si="93"/>
        <v>0</v>
      </c>
      <c r="EM27" s="100"/>
      <c r="EN27" s="91">
        <f t="shared" si="94"/>
        <v>0</v>
      </c>
      <c r="EO27" s="10">
        <f t="shared" si="95"/>
        <v>0</v>
      </c>
      <c r="EP27" s="91">
        <f t="shared" si="96"/>
        <v>0</v>
      </c>
      <c r="EQ27" s="100"/>
      <c r="ER27" s="91">
        <f t="shared" si="97"/>
        <v>0</v>
      </c>
      <c r="ES27" s="10">
        <f t="shared" si="98"/>
        <v>0</v>
      </c>
      <c r="ET27" s="91">
        <f t="shared" si="99"/>
        <v>0</v>
      </c>
      <c r="EU27" s="100"/>
      <c r="EV27" s="91">
        <f t="shared" si="100"/>
        <v>0</v>
      </c>
      <c r="EW27" s="10">
        <f t="shared" si="101"/>
        <v>0</v>
      </c>
      <c r="EX27" s="91">
        <f t="shared" si="102"/>
        <v>0</v>
      </c>
      <c r="EY27" s="91">
        <f t="shared" si="103"/>
        <v>0</v>
      </c>
      <c r="EZ27" s="91">
        <f t="shared" si="104"/>
        <v>0</v>
      </c>
      <c r="FA27" s="10">
        <f t="shared" si="105"/>
        <v>0</v>
      </c>
      <c r="FB27" s="91">
        <f t="shared" si="106"/>
        <v>0</v>
      </c>
      <c r="FC27" s="91">
        <f t="shared" si="111"/>
        <v>51670</v>
      </c>
      <c r="FD27" s="10">
        <f t="shared" si="108"/>
        <v>464865</v>
      </c>
      <c r="FE27" s="10">
        <f t="shared" si="49"/>
        <v>1.0757859671038934</v>
      </c>
      <c r="FF27" s="10">
        <f t="shared" si="50"/>
        <v>1.1392186366577135</v>
      </c>
      <c r="FG27" s="6"/>
      <c r="FH27" s="460" t="e">
        <f t="shared" si="109"/>
        <v>#DIV/0!</v>
      </c>
      <c r="FI27" s="460">
        <f>(SUM($FG$10:FG27))/(SUM($EE$10:EE27))</f>
        <v>0</v>
      </c>
      <c r="FJ27" s="3"/>
      <c r="FN27" s="14"/>
    </row>
    <row r="28" spans="1:171">
      <c r="A28" s="16">
        <f>+Chem!A28</f>
        <v>45949</v>
      </c>
      <c r="B28" s="6" t="str">
        <f>+Chem!B28</f>
        <v>Towel</v>
      </c>
      <c r="C28" s="16" t="str">
        <f>+Chem!C28</f>
        <v>18</v>
      </c>
      <c r="D28" s="8">
        <f>+Chem!D28</f>
        <v>48.748999999999995</v>
      </c>
      <c r="E28" s="7">
        <f>+Chem!E28</f>
        <v>45.658000000000001</v>
      </c>
      <c r="F28" s="7">
        <f t="shared" si="110"/>
        <v>453.71400000000006</v>
      </c>
      <c r="G28" s="100"/>
      <c r="H28" s="10">
        <f t="shared" si="0"/>
        <v>0</v>
      </c>
      <c r="I28" s="8">
        <f t="shared" si="51"/>
        <v>0</v>
      </c>
      <c r="J28" s="10">
        <f t="shared" si="1"/>
        <v>0</v>
      </c>
      <c r="K28" s="100">
        <f>63*K7</f>
        <v>15750</v>
      </c>
      <c r="L28" s="10">
        <f t="shared" si="2"/>
        <v>31.786074672048436</v>
      </c>
      <c r="M28" s="10">
        <f t="shared" si="52"/>
        <v>108925</v>
      </c>
      <c r="N28" s="10">
        <f t="shared" si="3"/>
        <v>21.174538067513584</v>
      </c>
      <c r="O28" s="100"/>
      <c r="P28" s="10">
        <f t="shared" si="4"/>
        <v>0</v>
      </c>
      <c r="Q28" s="10">
        <f t="shared" si="53"/>
        <v>0</v>
      </c>
      <c r="R28" s="10">
        <f t="shared" si="5"/>
        <v>0</v>
      </c>
      <c r="S28" s="100"/>
      <c r="T28" s="10">
        <f t="shared" si="6"/>
        <v>0</v>
      </c>
      <c r="U28" s="10">
        <f t="shared" si="54"/>
        <v>0</v>
      </c>
      <c r="V28" s="10">
        <f t="shared" si="7"/>
        <v>0</v>
      </c>
      <c r="W28" s="100"/>
      <c r="X28" s="10">
        <f t="shared" si="8"/>
        <v>0</v>
      </c>
      <c r="Y28" s="10">
        <f t="shared" si="55"/>
        <v>0</v>
      </c>
      <c r="Z28" s="10">
        <f t="shared" si="9"/>
        <v>0</v>
      </c>
      <c r="AA28" s="100"/>
      <c r="AB28" s="10">
        <f t="shared" si="10"/>
        <v>0</v>
      </c>
      <c r="AC28" s="10">
        <f t="shared" si="56"/>
        <v>0</v>
      </c>
      <c r="AD28" s="10">
        <f t="shared" si="11"/>
        <v>0</v>
      </c>
      <c r="AE28" s="100"/>
      <c r="AF28" s="10">
        <f t="shared" si="12"/>
        <v>0</v>
      </c>
      <c r="AG28" s="10">
        <f t="shared" si="57"/>
        <v>0</v>
      </c>
      <c r="AH28" s="10">
        <f t="shared" si="13"/>
        <v>0</v>
      </c>
      <c r="AI28" s="100"/>
      <c r="AJ28" s="10">
        <f t="shared" si="14"/>
        <v>0</v>
      </c>
      <c r="AK28" s="10">
        <f t="shared" si="58"/>
        <v>0</v>
      </c>
      <c r="AL28" s="10">
        <f t="shared" si="15"/>
        <v>0</v>
      </c>
      <c r="AM28" s="100"/>
      <c r="AN28" s="10">
        <f t="shared" si="16"/>
        <v>0</v>
      </c>
      <c r="AO28" s="10">
        <f t="shared" si="59"/>
        <v>0</v>
      </c>
      <c r="AP28" s="10">
        <f t="shared" si="17"/>
        <v>0</v>
      </c>
      <c r="AQ28" s="100"/>
      <c r="AR28" s="10">
        <f t="shared" si="18"/>
        <v>0</v>
      </c>
      <c r="AS28" s="10">
        <f t="shared" si="60"/>
        <v>0</v>
      </c>
      <c r="AT28" s="10">
        <f t="shared" si="19"/>
        <v>0</v>
      </c>
      <c r="AU28" s="252"/>
      <c r="AV28" s="10">
        <f t="shared" si="20"/>
        <v>0</v>
      </c>
      <c r="AW28" s="8">
        <f t="shared" si="61"/>
        <v>0</v>
      </c>
      <c r="AX28" s="10">
        <f t="shared" si="21"/>
        <v>0</v>
      </c>
      <c r="AY28" s="100"/>
      <c r="AZ28" s="10">
        <f t="shared" si="22"/>
        <v>0</v>
      </c>
      <c r="BA28" s="10">
        <f t="shared" si="62"/>
        <v>0</v>
      </c>
      <c r="BB28" s="10">
        <f t="shared" si="23"/>
        <v>0</v>
      </c>
      <c r="BC28" s="100"/>
      <c r="BD28" s="10">
        <f t="shared" si="24"/>
        <v>0</v>
      </c>
      <c r="BE28" s="10">
        <f t="shared" si="63"/>
        <v>0</v>
      </c>
      <c r="BF28" s="10">
        <f t="shared" si="25"/>
        <v>0</v>
      </c>
      <c r="BG28" s="100"/>
      <c r="BH28" s="10">
        <f t="shared" si="26"/>
        <v>0</v>
      </c>
      <c r="BI28" s="10">
        <f t="shared" si="64"/>
        <v>0</v>
      </c>
      <c r="BJ28" s="10">
        <f t="shared" si="27"/>
        <v>0</v>
      </c>
      <c r="BK28" s="100"/>
      <c r="BL28" s="10"/>
      <c r="BM28" s="10"/>
      <c r="BN28" s="10"/>
      <c r="BO28" s="100"/>
      <c r="BP28" s="10"/>
      <c r="BQ28" s="10"/>
      <c r="BR28" s="10"/>
      <c r="BS28" s="100"/>
      <c r="BT28" s="10"/>
      <c r="BU28" s="10"/>
      <c r="BV28" s="10"/>
      <c r="BW28" s="10">
        <f t="shared" si="65"/>
        <v>15750</v>
      </c>
      <c r="BX28" s="10">
        <f t="shared" si="28"/>
        <v>31.786074672048436</v>
      </c>
      <c r="BY28" s="10">
        <f t="shared" si="66"/>
        <v>108925</v>
      </c>
      <c r="BZ28" s="10">
        <f t="shared" si="29"/>
        <v>21.174538067513584</v>
      </c>
      <c r="CA28" s="100"/>
      <c r="CB28" s="10">
        <f t="shared" si="30"/>
        <v>0</v>
      </c>
      <c r="CC28" s="10"/>
      <c r="CD28" s="10">
        <f t="shared" si="31"/>
        <v>0</v>
      </c>
      <c r="CE28" s="100">
        <f>75.5*CE7</f>
        <v>18875</v>
      </c>
      <c r="CF28" s="10">
        <f t="shared" si="32"/>
        <v>38.092835519677095</v>
      </c>
      <c r="CG28" s="10">
        <f t="shared" si="67"/>
        <v>339750</v>
      </c>
      <c r="CH28" s="10">
        <f t="shared" si="33"/>
        <v>66.045896795388941</v>
      </c>
      <c r="CI28" s="100"/>
      <c r="CJ28" s="10">
        <f t="shared" si="34"/>
        <v>0</v>
      </c>
      <c r="CK28" s="10">
        <f t="shared" si="68"/>
        <v>0</v>
      </c>
      <c r="CL28" s="10">
        <f t="shared" si="35"/>
        <v>0</v>
      </c>
      <c r="CM28" s="100"/>
      <c r="CN28" s="10">
        <f t="shared" si="36"/>
        <v>0</v>
      </c>
      <c r="CO28" s="10">
        <f t="shared" si="69"/>
        <v>0</v>
      </c>
      <c r="CP28" s="10">
        <f t="shared" si="37"/>
        <v>0</v>
      </c>
      <c r="CQ28" s="100"/>
      <c r="CR28" s="10">
        <f t="shared" si="38"/>
        <v>0</v>
      </c>
      <c r="CS28" s="10">
        <f t="shared" si="70"/>
        <v>0</v>
      </c>
      <c r="CT28" s="10">
        <f t="shared" si="39"/>
        <v>0</v>
      </c>
      <c r="CU28" s="100"/>
      <c r="CV28" s="10">
        <f t="shared" si="40"/>
        <v>0</v>
      </c>
      <c r="CW28" s="10">
        <f t="shared" si="71"/>
        <v>0</v>
      </c>
      <c r="CX28" s="10">
        <f t="shared" si="41"/>
        <v>0</v>
      </c>
      <c r="CY28" s="100"/>
      <c r="CZ28" s="10">
        <f t="shared" si="42"/>
        <v>0</v>
      </c>
      <c r="DA28" s="10">
        <f t="shared" si="72"/>
        <v>0</v>
      </c>
      <c r="DB28" s="10">
        <f t="shared" si="43"/>
        <v>0</v>
      </c>
      <c r="DC28" s="100">
        <v>14925</v>
      </c>
      <c r="DD28" s="10">
        <f t="shared" si="44"/>
        <v>30.121089808274469</v>
      </c>
      <c r="DE28" s="10">
        <f t="shared" si="73"/>
        <v>51740</v>
      </c>
      <c r="DF28" s="10">
        <f t="shared" si="45"/>
        <v>10.058027079303674</v>
      </c>
      <c r="DG28" s="100"/>
      <c r="DH28" s="10"/>
      <c r="DI28" s="10"/>
      <c r="DJ28" s="10"/>
      <c r="DK28" s="10">
        <f t="shared" si="74"/>
        <v>33800</v>
      </c>
      <c r="DL28" s="91">
        <f t="shared" si="46"/>
        <v>68.213925327951557</v>
      </c>
      <c r="DM28" s="10">
        <f t="shared" si="75"/>
        <v>391490</v>
      </c>
      <c r="DN28" s="10">
        <f t="shared" si="47"/>
        <v>76.103923874692612</v>
      </c>
      <c r="DO28" s="100"/>
      <c r="DP28" s="10">
        <f t="shared" si="76"/>
        <v>0</v>
      </c>
      <c r="DQ28" s="10">
        <f t="shared" si="77"/>
        <v>0</v>
      </c>
      <c r="DR28" s="10">
        <f t="shared" si="78"/>
        <v>0</v>
      </c>
      <c r="DS28" s="100"/>
      <c r="DT28" s="15">
        <f t="shared" si="79"/>
        <v>0</v>
      </c>
      <c r="DU28" s="10">
        <f t="shared" si="80"/>
        <v>0</v>
      </c>
      <c r="DV28" s="10">
        <f t="shared" si="81"/>
        <v>0</v>
      </c>
      <c r="DW28" s="100"/>
      <c r="DX28" s="15">
        <f t="shared" si="82"/>
        <v>0</v>
      </c>
      <c r="DY28" s="10">
        <f t="shared" si="83"/>
        <v>0</v>
      </c>
      <c r="DZ28" s="459">
        <f t="shared" si="84"/>
        <v>0</v>
      </c>
      <c r="EA28" s="100"/>
      <c r="EB28" s="10">
        <f t="shared" si="85"/>
        <v>0</v>
      </c>
      <c r="EC28" s="10">
        <f t="shared" si="86"/>
        <v>14000</v>
      </c>
      <c r="ED28" s="10">
        <f t="shared" si="87"/>
        <v>2.7215380577938046</v>
      </c>
      <c r="EE28" s="10">
        <f t="shared" si="48"/>
        <v>0</v>
      </c>
      <c r="EF28" s="10">
        <f t="shared" si="88"/>
        <v>0</v>
      </c>
      <c r="EG28" s="10">
        <f t="shared" si="89"/>
        <v>14000</v>
      </c>
      <c r="EH28" s="10">
        <f t="shared" si="90"/>
        <v>2.7215380577938046</v>
      </c>
      <c r="EI28" s="100"/>
      <c r="EJ28" s="91">
        <f t="shared" si="91"/>
        <v>0</v>
      </c>
      <c r="EK28" s="10">
        <f t="shared" si="92"/>
        <v>0</v>
      </c>
      <c r="EL28" s="91">
        <f t="shared" si="93"/>
        <v>0</v>
      </c>
      <c r="EM28" s="100"/>
      <c r="EN28" s="91">
        <f t="shared" si="94"/>
        <v>0</v>
      </c>
      <c r="EO28" s="10">
        <f t="shared" si="95"/>
        <v>0</v>
      </c>
      <c r="EP28" s="91">
        <f t="shared" si="96"/>
        <v>0</v>
      </c>
      <c r="EQ28" s="100"/>
      <c r="ER28" s="91">
        <f t="shared" si="97"/>
        <v>0</v>
      </c>
      <c r="ES28" s="10">
        <f t="shared" si="98"/>
        <v>0</v>
      </c>
      <c r="ET28" s="91">
        <f t="shared" si="99"/>
        <v>0</v>
      </c>
      <c r="EU28" s="100"/>
      <c r="EV28" s="91">
        <f t="shared" si="100"/>
        <v>0</v>
      </c>
      <c r="EW28" s="10">
        <f t="shared" si="101"/>
        <v>0</v>
      </c>
      <c r="EX28" s="91">
        <f t="shared" si="102"/>
        <v>0</v>
      </c>
      <c r="EY28" s="91">
        <f t="shared" si="103"/>
        <v>0</v>
      </c>
      <c r="EZ28" s="91">
        <f t="shared" si="104"/>
        <v>0</v>
      </c>
      <c r="FA28" s="10">
        <f t="shared" si="105"/>
        <v>0</v>
      </c>
      <c r="FB28" s="91">
        <f t="shared" si="106"/>
        <v>0</v>
      </c>
      <c r="FC28" s="91">
        <f t="shared" si="111"/>
        <v>49550</v>
      </c>
      <c r="FD28" s="10">
        <f t="shared" si="108"/>
        <v>514415</v>
      </c>
      <c r="FE28" s="10">
        <f t="shared" si="49"/>
        <v>1.0852424547724384</v>
      </c>
      <c r="FF28" s="10">
        <f t="shared" si="50"/>
        <v>1.1337869230396238</v>
      </c>
      <c r="FG28" s="6"/>
      <c r="FH28" s="460" t="e">
        <f t="shared" si="109"/>
        <v>#DIV/0!</v>
      </c>
      <c r="FI28" s="460">
        <f>(SUM($FG$10:FG28))/(SUM($EE$10:EE28))</f>
        <v>0</v>
      </c>
      <c r="FJ28" s="3"/>
      <c r="FN28" s="14"/>
    </row>
    <row r="29" spans="1:171">
      <c r="A29" s="16">
        <f>+Chem!A29</f>
        <v>45950</v>
      </c>
      <c r="B29" s="6" t="str">
        <f>+Chem!B29</f>
        <v>Towel</v>
      </c>
      <c r="C29" s="16" t="str">
        <f>+Chem!C29</f>
        <v>18</v>
      </c>
      <c r="D29" s="8">
        <f>+Chem!D29</f>
        <v>49.451000000000008</v>
      </c>
      <c r="E29" s="7">
        <f>+Chem!E29</f>
        <v>48.939</v>
      </c>
      <c r="F29" s="7">
        <f t="shared" si="110"/>
        <v>502.65300000000008</v>
      </c>
      <c r="G29" s="100"/>
      <c r="H29" s="10">
        <f t="shared" si="0"/>
        <v>0</v>
      </c>
      <c r="I29" s="8">
        <f t="shared" si="51"/>
        <v>0</v>
      </c>
      <c r="J29" s="10">
        <f t="shared" si="1"/>
        <v>0</v>
      </c>
      <c r="K29" s="100">
        <f>54*K7</f>
        <v>13500</v>
      </c>
      <c r="L29" s="10">
        <f t="shared" si="2"/>
        <v>28.616852146263909</v>
      </c>
      <c r="M29" s="10">
        <f t="shared" si="52"/>
        <v>122425</v>
      </c>
      <c r="N29" s="10">
        <f t="shared" si="3"/>
        <v>21.799711533325024</v>
      </c>
      <c r="O29" s="100"/>
      <c r="P29" s="10">
        <f t="shared" si="4"/>
        <v>0</v>
      </c>
      <c r="Q29" s="10">
        <f t="shared" si="53"/>
        <v>0</v>
      </c>
      <c r="R29" s="10">
        <f t="shared" si="5"/>
        <v>0</v>
      </c>
      <c r="S29" s="100"/>
      <c r="T29" s="10">
        <f t="shared" si="6"/>
        <v>0</v>
      </c>
      <c r="U29" s="10">
        <f t="shared" si="54"/>
        <v>0</v>
      </c>
      <c r="V29" s="10">
        <f t="shared" si="7"/>
        <v>0</v>
      </c>
      <c r="W29" s="100"/>
      <c r="X29" s="10">
        <f t="shared" si="8"/>
        <v>0</v>
      </c>
      <c r="Y29" s="10">
        <f t="shared" si="55"/>
        <v>0</v>
      </c>
      <c r="Z29" s="10">
        <f t="shared" si="9"/>
        <v>0</v>
      </c>
      <c r="AA29" s="100"/>
      <c r="AB29" s="10">
        <f t="shared" si="10"/>
        <v>0</v>
      </c>
      <c r="AC29" s="10">
        <f t="shared" si="56"/>
        <v>0</v>
      </c>
      <c r="AD29" s="10">
        <f t="shared" si="11"/>
        <v>0</v>
      </c>
      <c r="AE29" s="100"/>
      <c r="AF29" s="10">
        <f t="shared" si="12"/>
        <v>0</v>
      </c>
      <c r="AG29" s="10">
        <f t="shared" si="57"/>
        <v>0</v>
      </c>
      <c r="AH29" s="10">
        <f t="shared" si="13"/>
        <v>0</v>
      </c>
      <c r="AI29" s="100"/>
      <c r="AJ29" s="10">
        <f t="shared" si="14"/>
        <v>0</v>
      </c>
      <c r="AK29" s="10">
        <f t="shared" si="58"/>
        <v>0</v>
      </c>
      <c r="AL29" s="10">
        <f t="shared" si="15"/>
        <v>0</v>
      </c>
      <c r="AM29" s="100"/>
      <c r="AN29" s="10">
        <f t="shared" si="16"/>
        <v>0</v>
      </c>
      <c r="AO29" s="10">
        <f t="shared" si="59"/>
        <v>0</v>
      </c>
      <c r="AP29" s="10">
        <f t="shared" si="17"/>
        <v>0</v>
      </c>
      <c r="AQ29" s="100"/>
      <c r="AR29" s="10">
        <f t="shared" si="18"/>
        <v>0</v>
      </c>
      <c r="AS29" s="10">
        <f t="shared" si="60"/>
        <v>0</v>
      </c>
      <c r="AT29" s="10">
        <f t="shared" si="19"/>
        <v>0</v>
      </c>
      <c r="AU29" s="252"/>
      <c r="AV29" s="10">
        <f t="shared" si="20"/>
        <v>0</v>
      </c>
      <c r="AW29" s="8">
        <f t="shared" si="61"/>
        <v>0</v>
      </c>
      <c r="AX29" s="10">
        <f t="shared" si="21"/>
        <v>0</v>
      </c>
      <c r="AY29" s="100"/>
      <c r="AZ29" s="10">
        <f t="shared" si="22"/>
        <v>0</v>
      </c>
      <c r="BA29" s="10">
        <f t="shared" si="62"/>
        <v>0</v>
      </c>
      <c r="BB29" s="10">
        <f t="shared" si="23"/>
        <v>0</v>
      </c>
      <c r="BC29" s="100"/>
      <c r="BD29" s="10">
        <f t="shared" si="24"/>
        <v>0</v>
      </c>
      <c r="BE29" s="10">
        <f t="shared" si="63"/>
        <v>0</v>
      </c>
      <c r="BF29" s="10">
        <f t="shared" si="25"/>
        <v>0</v>
      </c>
      <c r="BG29" s="100"/>
      <c r="BH29" s="10">
        <f t="shared" si="26"/>
        <v>0</v>
      </c>
      <c r="BI29" s="10">
        <f t="shared" si="64"/>
        <v>0</v>
      </c>
      <c r="BJ29" s="10">
        <f t="shared" si="27"/>
        <v>0</v>
      </c>
      <c r="BK29" s="100"/>
      <c r="BL29" s="10"/>
      <c r="BM29" s="10"/>
      <c r="BN29" s="10"/>
      <c r="BO29" s="100"/>
      <c r="BP29" s="10"/>
      <c r="BQ29" s="10"/>
      <c r="BR29" s="10"/>
      <c r="BS29" s="100"/>
      <c r="BT29" s="10"/>
      <c r="BU29" s="10"/>
      <c r="BV29" s="10"/>
      <c r="BW29" s="10">
        <f t="shared" si="65"/>
        <v>13500</v>
      </c>
      <c r="BX29" s="10">
        <f t="shared" si="28"/>
        <v>28.616852146263909</v>
      </c>
      <c r="BY29" s="10">
        <f t="shared" si="66"/>
        <v>122425</v>
      </c>
      <c r="BZ29" s="10">
        <f t="shared" si="29"/>
        <v>21.799711533325024</v>
      </c>
      <c r="CA29" s="100"/>
      <c r="CB29" s="10">
        <f t="shared" si="30"/>
        <v>0</v>
      </c>
      <c r="CC29" s="10"/>
      <c r="CD29" s="10">
        <f t="shared" si="31"/>
        <v>0</v>
      </c>
      <c r="CE29" s="100">
        <f>75*CE7</f>
        <v>18750</v>
      </c>
      <c r="CF29" s="10">
        <f t="shared" si="32"/>
        <v>39.745627980922102</v>
      </c>
      <c r="CG29" s="10">
        <f t="shared" si="67"/>
        <v>358500</v>
      </c>
      <c r="CH29" s="10">
        <f t="shared" si="33"/>
        <v>63.836606777186198</v>
      </c>
      <c r="CI29" s="100"/>
      <c r="CJ29" s="10">
        <f t="shared" si="34"/>
        <v>0</v>
      </c>
      <c r="CK29" s="10">
        <f t="shared" si="68"/>
        <v>0</v>
      </c>
      <c r="CL29" s="10">
        <f t="shared" si="35"/>
        <v>0</v>
      </c>
      <c r="CM29" s="100"/>
      <c r="CN29" s="10">
        <f t="shared" si="36"/>
        <v>0</v>
      </c>
      <c r="CO29" s="10">
        <f t="shared" si="69"/>
        <v>0</v>
      </c>
      <c r="CP29" s="10">
        <f t="shared" si="37"/>
        <v>0</v>
      </c>
      <c r="CQ29" s="100"/>
      <c r="CR29" s="10">
        <f t="shared" si="38"/>
        <v>0</v>
      </c>
      <c r="CS29" s="10">
        <f t="shared" si="70"/>
        <v>0</v>
      </c>
      <c r="CT29" s="10">
        <f t="shared" si="39"/>
        <v>0</v>
      </c>
      <c r="CU29" s="100"/>
      <c r="CV29" s="10">
        <f t="shared" si="40"/>
        <v>0</v>
      </c>
      <c r="CW29" s="10">
        <f t="shared" si="71"/>
        <v>0</v>
      </c>
      <c r="CX29" s="10">
        <f t="shared" si="41"/>
        <v>0</v>
      </c>
      <c r="CY29" s="100"/>
      <c r="CZ29" s="10">
        <f t="shared" si="42"/>
        <v>0</v>
      </c>
      <c r="DA29" s="10">
        <f t="shared" si="72"/>
        <v>0</v>
      </c>
      <c r="DB29" s="10">
        <f t="shared" si="43"/>
        <v>0</v>
      </c>
      <c r="DC29" s="100">
        <v>14925</v>
      </c>
      <c r="DD29" s="10">
        <f t="shared" si="44"/>
        <v>31.637519872813989</v>
      </c>
      <c r="DE29" s="10">
        <f t="shared" si="73"/>
        <v>66665</v>
      </c>
      <c r="DF29" s="10">
        <f t="shared" si="45"/>
        <v>11.87075980697662</v>
      </c>
      <c r="DG29" s="100"/>
      <c r="DH29" s="10"/>
      <c r="DI29" s="10"/>
      <c r="DJ29" s="10"/>
      <c r="DK29" s="10">
        <f t="shared" si="74"/>
        <v>33675</v>
      </c>
      <c r="DL29" s="91">
        <f t="shared" si="46"/>
        <v>71.383147853736091</v>
      </c>
      <c r="DM29" s="10">
        <f t="shared" si="75"/>
        <v>425165</v>
      </c>
      <c r="DN29" s="10">
        <f t="shared" si="47"/>
        <v>75.707366584162827</v>
      </c>
      <c r="DO29" s="100"/>
      <c r="DP29" s="10">
        <f t="shared" si="76"/>
        <v>0</v>
      </c>
      <c r="DQ29" s="10">
        <f t="shared" si="77"/>
        <v>0</v>
      </c>
      <c r="DR29" s="10">
        <f t="shared" si="78"/>
        <v>0</v>
      </c>
      <c r="DS29" s="100"/>
      <c r="DT29" s="15">
        <f t="shared" si="79"/>
        <v>0</v>
      </c>
      <c r="DU29" s="10">
        <f t="shared" si="80"/>
        <v>0</v>
      </c>
      <c r="DV29" s="10">
        <f t="shared" si="81"/>
        <v>0</v>
      </c>
      <c r="DW29" s="100"/>
      <c r="DX29" s="15">
        <f t="shared" si="82"/>
        <v>0</v>
      </c>
      <c r="DY29" s="10">
        <f t="shared" si="83"/>
        <v>0</v>
      </c>
      <c r="DZ29" s="459">
        <f t="shared" si="84"/>
        <v>0</v>
      </c>
      <c r="EA29" s="100"/>
      <c r="EB29" s="10">
        <f t="shared" si="85"/>
        <v>0</v>
      </c>
      <c r="EC29" s="10">
        <f t="shared" si="86"/>
        <v>14000</v>
      </c>
      <c r="ED29" s="10">
        <f t="shared" si="87"/>
        <v>2.4929218825121531</v>
      </c>
      <c r="EE29" s="10">
        <f t="shared" si="48"/>
        <v>0</v>
      </c>
      <c r="EF29" s="10">
        <f t="shared" si="88"/>
        <v>0</v>
      </c>
      <c r="EG29" s="10">
        <f t="shared" si="89"/>
        <v>14000</v>
      </c>
      <c r="EH29" s="10">
        <f t="shared" si="90"/>
        <v>2.4929218825121531</v>
      </c>
      <c r="EI29" s="100"/>
      <c r="EJ29" s="91">
        <f t="shared" si="91"/>
        <v>0</v>
      </c>
      <c r="EK29" s="10">
        <f t="shared" si="92"/>
        <v>0</v>
      </c>
      <c r="EL29" s="91">
        <f t="shared" si="93"/>
        <v>0</v>
      </c>
      <c r="EM29" s="100"/>
      <c r="EN29" s="91">
        <f t="shared" si="94"/>
        <v>0</v>
      </c>
      <c r="EO29" s="10">
        <f t="shared" si="95"/>
        <v>0</v>
      </c>
      <c r="EP29" s="91">
        <f t="shared" si="96"/>
        <v>0</v>
      </c>
      <c r="EQ29" s="100"/>
      <c r="ER29" s="91">
        <f t="shared" si="97"/>
        <v>0</v>
      </c>
      <c r="ES29" s="10">
        <f t="shared" si="98"/>
        <v>0</v>
      </c>
      <c r="ET29" s="91">
        <f t="shared" si="99"/>
        <v>0</v>
      </c>
      <c r="EU29" s="100"/>
      <c r="EV29" s="91">
        <f t="shared" si="100"/>
        <v>0</v>
      </c>
      <c r="EW29" s="10">
        <f t="shared" si="101"/>
        <v>0</v>
      </c>
      <c r="EX29" s="91">
        <f t="shared" si="102"/>
        <v>0</v>
      </c>
      <c r="EY29" s="91">
        <f t="shared" si="103"/>
        <v>0</v>
      </c>
      <c r="EZ29" s="91">
        <f t="shared" si="104"/>
        <v>0</v>
      </c>
      <c r="FA29" s="10">
        <f t="shared" si="105"/>
        <v>0</v>
      </c>
      <c r="FB29" s="91">
        <f t="shared" si="106"/>
        <v>0</v>
      </c>
      <c r="FC29" s="91">
        <f t="shared" si="111"/>
        <v>47175</v>
      </c>
      <c r="FD29" s="10">
        <f t="shared" si="108"/>
        <v>561590</v>
      </c>
      <c r="FE29" s="10">
        <f t="shared" si="49"/>
        <v>0.96395512781217429</v>
      </c>
      <c r="FF29" s="10">
        <f t="shared" si="50"/>
        <v>1.1172518616222322</v>
      </c>
      <c r="FG29" s="6"/>
      <c r="FH29" s="460" t="e">
        <f t="shared" si="109"/>
        <v>#DIV/0!</v>
      </c>
      <c r="FI29" s="460">
        <f>(SUM($FG$10:FG29))/(SUM($EE$10:EE29))</f>
        <v>0</v>
      </c>
      <c r="FJ29" s="3"/>
      <c r="FN29" s="14"/>
    </row>
    <row r="30" spans="1:171">
      <c r="A30" s="16">
        <f>+Chem!A30</f>
        <v>45951</v>
      </c>
      <c r="B30" s="6" t="str">
        <f>+Chem!B30</f>
        <v>Towel/Facial/Toilet</v>
      </c>
      <c r="C30" s="16" t="str">
        <f>+Chem!C30</f>
        <v>18/15/12</v>
      </c>
      <c r="D30" s="8">
        <f>+Chem!D30</f>
        <v>40.53</v>
      </c>
      <c r="E30" s="7">
        <f>+Chem!E30</f>
        <v>38.347000000000001</v>
      </c>
      <c r="F30" s="7">
        <f t="shared" si="110"/>
        <v>541.00000000000011</v>
      </c>
      <c r="G30" s="100"/>
      <c r="H30" s="10">
        <f t="shared" si="0"/>
        <v>0</v>
      </c>
      <c r="I30" s="8">
        <f t="shared" si="51"/>
        <v>0</v>
      </c>
      <c r="J30" s="10">
        <f t="shared" si="1"/>
        <v>0</v>
      </c>
      <c r="K30" s="100">
        <f>15.5*K7</f>
        <v>3875</v>
      </c>
      <c r="L30" s="10">
        <f t="shared" si="2"/>
        <v>11.055634807417974</v>
      </c>
      <c r="M30" s="10">
        <f t="shared" si="52"/>
        <v>126300</v>
      </c>
      <c r="N30" s="10">
        <f t="shared" si="3"/>
        <v>21.168543845534995</v>
      </c>
      <c r="O30" s="100"/>
      <c r="P30" s="10">
        <f t="shared" si="4"/>
        <v>0</v>
      </c>
      <c r="Q30" s="10">
        <f t="shared" si="53"/>
        <v>0</v>
      </c>
      <c r="R30" s="10">
        <f t="shared" si="5"/>
        <v>0</v>
      </c>
      <c r="S30" s="100"/>
      <c r="T30" s="10">
        <f t="shared" si="6"/>
        <v>0</v>
      </c>
      <c r="U30" s="10">
        <f t="shared" si="54"/>
        <v>0</v>
      </c>
      <c r="V30" s="10">
        <f t="shared" si="7"/>
        <v>0</v>
      </c>
      <c r="W30" s="100"/>
      <c r="X30" s="10">
        <f t="shared" si="8"/>
        <v>0</v>
      </c>
      <c r="Y30" s="10">
        <f t="shared" si="55"/>
        <v>0</v>
      </c>
      <c r="Z30" s="10">
        <f t="shared" si="9"/>
        <v>0</v>
      </c>
      <c r="AA30" s="100"/>
      <c r="AB30" s="10">
        <f t="shared" si="10"/>
        <v>0</v>
      </c>
      <c r="AC30" s="10">
        <f t="shared" si="56"/>
        <v>0</v>
      </c>
      <c r="AD30" s="10">
        <f t="shared" si="11"/>
        <v>0</v>
      </c>
      <c r="AE30" s="100"/>
      <c r="AF30" s="10">
        <f t="shared" si="12"/>
        <v>0</v>
      </c>
      <c r="AG30" s="10">
        <f t="shared" si="57"/>
        <v>0</v>
      </c>
      <c r="AH30" s="10">
        <f t="shared" si="13"/>
        <v>0</v>
      </c>
      <c r="AI30" s="100"/>
      <c r="AJ30" s="10">
        <f t="shared" si="14"/>
        <v>0</v>
      </c>
      <c r="AK30" s="10">
        <f t="shared" si="58"/>
        <v>0</v>
      </c>
      <c r="AL30" s="10">
        <f t="shared" si="15"/>
        <v>0</v>
      </c>
      <c r="AM30" s="100"/>
      <c r="AN30" s="10">
        <f t="shared" si="16"/>
        <v>0</v>
      </c>
      <c r="AO30" s="10">
        <f t="shared" si="59"/>
        <v>0</v>
      </c>
      <c r="AP30" s="10">
        <f t="shared" si="17"/>
        <v>0</v>
      </c>
      <c r="AQ30" s="100"/>
      <c r="AR30" s="10">
        <f t="shared" si="18"/>
        <v>0</v>
      </c>
      <c r="AS30" s="10">
        <f t="shared" si="60"/>
        <v>0</v>
      </c>
      <c r="AT30" s="10">
        <f t="shared" si="19"/>
        <v>0</v>
      </c>
      <c r="AU30" s="252"/>
      <c r="AV30" s="10">
        <f t="shared" si="20"/>
        <v>0</v>
      </c>
      <c r="AW30" s="8">
        <f t="shared" si="61"/>
        <v>0</v>
      </c>
      <c r="AX30" s="10">
        <f t="shared" si="21"/>
        <v>0</v>
      </c>
      <c r="AY30" s="100"/>
      <c r="AZ30" s="10">
        <f t="shared" si="22"/>
        <v>0</v>
      </c>
      <c r="BA30" s="10">
        <f t="shared" si="62"/>
        <v>0</v>
      </c>
      <c r="BB30" s="10">
        <f t="shared" si="23"/>
        <v>0</v>
      </c>
      <c r="BC30" s="100"/>
      <c r="BD30" s="10">
        <f t="shared" si="24"/>
        <v>0</v>
      </c>
      <c r="BE30" s="10">
        <f t="shared" si="63"/>
        <v>0</v>
      </c>
      <c r="BF30" s="10">
        <f t="shared" si="25"/>
        <v>0</v>
      </c>
      <c r="BG30" s="100">
        <v>0</v>
      </c>
      <c r="BH30" s="10">
        <f t="shared" si="26"/>
        <v>0</v>
      </c>
      <c r="BI30" s="10">
        <f t="shared" si="64"/>
        <v>0</v>
      </c>
      <c r="BJ30" s="10">
        <f t="shared" si="27"/>
        <v>0</v>
      </c>
      <c r="BK30" s="100"/>
      <c r="BL30" s="10"/>
      <c r="BM30" s="10"/>
      <c r="BN30" s="10"/>
      <c r="BO30" s="100"/>
      <c r="BP30" s="10"/>
      <c r="BQ30" s="10"/>
      <c r="BR30" s="10"/>
      <c r="BS30" s="100"/>
      <c r="BT30" s="10"/>
      <c r="BU30" s="10"/>
      <c r="BV30" s="10"/>
      <c r="BW30" s="10">
        <f t="shared" si="65"/>
        <v>3875</v>
      </c>
      <c r="BX30" s="10">
        <f t="shared" si="28"/>
        <v>11.055634807417974</v>
      </c>
      <c r="BY30" s="10">
        <f t="shared" si="66"/>
        <v>126300</v>
      </c>
      <c r="BZ30" s="10">
        <f t="shared" si="29"/>
        <v>21.168543845534995</v>
      </c>
      <c r="CA30" s="100"/>
      <c r="CB30" s="10">
        <f t="shared" si="30"/>
        <v>0</v>
      </c>
      <c r="CC30" s="10"/>
      <c r="CD30" s="10">
        <f t="shared" si="31"/>
        <v>0</v>
      </c>
      <c r="CE30" s="100">
        <f>65*CE7</f>
        <v>16250</v>
      </c>
      <c r="CF30" s="10">
        <f t="shared" si="32"/>
        <v>46.362339514978601</v>
      </c>
      <c r="CG30" s="10">
        <f t="shared" si="67"/>
        <v>374750</v>
      </c>
      <c r="CH30" s="10">
        <f t="shared" si="33"/>
        <v>62.810069723786533</v>
      </c>
      <c r="CI30" s="100"/>
      <c r="CJ30" s="10">
        <f t="shared" si="34"/>
        <v>0</v>
      </c>
      <c r="CK30" s="10">
        <f t="shared" si="68"/>
        <v>0</v>
      </c>
      <c r="CL30" s="10">
        <f t="shared" si="35"/>
        <v>0</v>
      </c>
      <c r="CM30" s="100"/>
      <c r="CN30" s="10">
        <f t="shared" si="36"/>
        <v>0</v>
      </c>
      <c r="CO30" s="10">
        <f t="shared" si="69"/>
        <v>0</v>
      </c>
      <c r="CP30" s="10">
        <f t="shared" si="37"/>
        <v>0</v>
      </c>
      <c r="CQ30" s="100"/>
      <c r="CR30" s="10">
        <f t="shared" si="38"/>
        <v>0</v>
      </c>
      <c r="CS30" s="10">
        <f t="shared" si="70"/>
        <v>0</v>
      </c>
      <c r="CT30" s="10">
        <f t="shared" si="39"/>
        <v>0</v>
      </c>
      <c r="CU30" s="100"/>
      <c r="CV30" s="10">
        <f t="shared" si="40"/>
        <v>0</v>
      </c>
      <c r="CW30" s="10">
        <f t="shared" si="71"/>
        <v>0</v>
      </c>
      <c r="CX30" s="10">
        <f t="shared" si="41"/>
        <v>0</v>
      </c>
      <c r="CY30" s="100"/>
      <c r="CZ30" s="10">
        <f t="shared" si="42"/>
        <v>0</v>
      </c>
      <c r="DA30" s="10">
        <f t="shared" si="72"/>
        <v>0</v>
      </c>
      <c r="DB30" s="10">
        <f t="shared" si="43"/>
        <v>0</v>
      </c>
      <c r="DC30" s="100">
        <f>60*DC7</f>
        <v>14925</v>
      </c>
      <c r="DD30" s="10">
        <f t="shared" si="44"/>
        <v>42.582025677603426</v>
      </c>
      <c r="DE30" s="10">
        <f t="shared" si="73"/>
        <v>81590</v>
      </c>
      <c r="DF30" s="10">
        <f t="shared" si="45"/>
        <v>13.674912845266828</v>
      </c>
      <c r="DG30" s="100"/>
      <c r="DH30" s="10"/>
      <c r="DI30" s="10"/>
      <c r="DJ30" s="10"/>
      <c r="DK30" s="10">
        <f t="shared" si="74"/>
        <v>31175</v>
      </c>
      <c r="DL30" s="91">
        <f t="shared" si="46"/>
        <v>88.944365192582026</v>
      </c>
      <c r="DM30" s="10">
        <f t="shared" si="75"/>
        <v>456340</v>
      </c>
      <c r="DN30" s="10">
        <f t="shared" si="47"/>
        <v>76.484982569053358</v>
      </c>
      <c r="DO30" s="100"/>
      <c r="DP30" s="10">
        <f t="shared" si="76"/>
        <v>0</v>
      </c>
      <c r="DQ30" s="10">
        <f t="shared" si="77"/>
        <v>0</v>
      </c>
      <c r="DR30" s="10">
        <f t="shared" si="78"/>
        <v>0</v>
      </c>
      <c r="DS30" s="100"/>
      <c r="DT30" s="15">
        <f t="shared" si="79"/>
        <v>0</v>
      </c>
      <c r="DU30" s="10">
        <f t="shared" si="80"/>
        <v>0</v>
      </c>
      <c r="DV30" s="10">
        <f t="shared" si="81"/>
        <v>0</v>
      </c>
      <c r="DW30" s="100"/>
      <c r="DX30" s="15">
        <f t="shared" si="82"/>
        <v>0</v>
      </c>
      <c r="DY30" s="10">
        <f t="shared" si="83"/>
        <v>0</v>
      </c>
      <c r="DZ30" s="459">
        <f t="shared" si="84"/>
        <v>0</v>
      </c>
      <c r="EA30" s="100"/>
      <c r="EB30" s="10">
        <f t="shared" si="85"/>
        <v>0</v>
      </c>
      <c r="EC30" s="10">
        <f t="shared" si="86"/>
        <v>14000</v>
      </c>
      <c r="ED30" s="10">
        <f t="shared" si="87"/>
        <v>2.3464735854116388</v>
      </c>
      <c r="EE30" s="10">
        <f t="shared" si="48"/>
        <v>0</v>
      </c>
      <c r="EF30" s="10">
        <f t="shared" si="88"/>
        <v>0</v>
      </c>
      <c r="EG30" s="10">
        <f t="shared" si="89"/>
        <v>14000</v>
      </c>
      <c r="EH30" s="10">
        <f t="shared" si="90"/>
        <v>2.3464735854116388</v>
      </c>
      <c r="EI30" s="100"/>
      <c r="EJ30" s="91">
        <f t="shared" si="91"/>
        <v>0</v>
      </c>
      <c r="EK30" s="10">
        <f t="shared" si="92"/>
        <v>0</v>
      </c>
      <c r="EL30" s="91">
        <f t="shared" si="93"/>
        <v>0</v>
      </c>
      <c r="EM30" s="100"/>
      <c r="EN30" s="91">
        <f t="shared" si="94"/>
        <v>0</v>
      </c>
      <c r="EO30" s="10">
        <f t="shared" si="95"/>
        <v>0</v>
      </c>
      <c r="EP30" s="91">
        <f t="shared" si="96"/>
        <v>0</v>
      </c>
      <c r="EQ30" s="100"/>
      <c r="ER30" s="91">
        <f t="shared" si="97"/>
        <v>0</v>
      </c>
      <c r="ES30" s="10">
        <f t="shared" si="98"/>
        <v>0</v>
      </c>
      <c r="ET30" s="91">
        <f t="shared" si="99"/>
        <v>0</v>
      </c>
      <c r="EU30" s="100"/>
      <c r="EV30" s="91">
        <f t="shared" si="100"/>
        <v>0</v>
      </c>
      <c r="EW30" s="10">
        <f t="shared" si="101"/>
        <v>0</v>
      </c>
      <c r="EX30" s="91">
        <f t="shared" si="102"/>
        <v>0</v>
      </c>
      <c r="EY30" s="91">
        <f t="shared" si="103"/>
        <v>0</v>
      </c>
      <c r="EZ30" s="91">
        <f t="shared" si="104"/>
        <v>0</v>
      </c>
      <c r="FA30" s="10">
        <f t="shared" si="105"/>
        <v>0</v>
      </c>
      <c r="FB30" s="91">
        <f t="shared" si="106"/>
        <v>0</v>
      </c>
      <c r="FC30" s="91">
        <f t="shared" si="111"/>
        <v>35050</v>
      </c>
      <c r="FD30" s="10">
        <f t="shared" si="108"/>
        <v>596640</v>
      </c>
      <c r="FE30" s="10">
        <f t="shared" si="49"/>
        <v>0.91402195738910463</v>
      </c>
      <c r="FF30" s="10">
        <f t="shared" si="50"/>
        <v>1.1028465804066541</v>
      </c>
      <c r="FG30" s="6"/>
      <c r="FH30" s="460" t="e">
        <f t="shared" si="109"/>
        <v>#DIV/0!</v>
      </c>
      <c r="FI30" s="460">
        <f>(SUM($FG$10:FG30))/(SUM($EE$10:EE30))</f>
        <v>0</v>
      </c>
      <c r="FJ30" s="3"/>
    </row>
    <row r="31" spans="1:171">
      <c r="A31" s="16">
        <f>+Chem!A31</f>
        <v>45952</v>
      </c>
      <c r="B31" s="6" t="str">
        <f>+Chem!B31</f>
        <v>Toilet/Facial</v>
      </c>
      <c r="C31" s="16" t="str">
        <f>+Chem!C31</f>
        <v>12/12/12,5</v>
      </c>
      <c r="D31" s="8">
        <f>+Chem!D31</f>
        <v>40.959000000000003</v>
      </c>
      <c r="E31" s="7">
        <f>+Chem!E31</f>
        <v>37.927999999999997</v>
      </c>
      <c r="F31" s="7">
        <f t="shared" si="110"/>
        <v>578.92800000000011</v>
      </c>
      <c r="G31" s="101"/>
      <c r="H31" s="91">
        <f t="shared" si="0"/>
        <v>0</v>
      </c>
      <c r="I31" s="8">
        <f t="shared" si="51"/>
        <v>0</v>
      </c>
      <c r="J31" s="91">
        <f t="shared" si="1"/>
        <v>0</v>
      </c>
      <c r="K31" s="101">
        <f>26.9*K7</f>
        <v>6725</v>
      </c>
      <c r="L31" s="91">
        <f t="shared" si="2"/>
        <v>14.42127271752533</v>
      </c>
      <c r="M31" s="91">
        <f t="shared" si="52"/>
        <v>133025</v>
      </c>
      <c r="N31" s="91">
        <f t="shared" si="3"/>
        <v>20.679416576956111</v>
      </c>
      <c r="O31" s="101"/>
      <c r="P31" s="91">
        <f t="shared" si="4"/>
        <v>0</v>
      </c>
      <c r="Q31" s="91">
        <f t="shared" si="53"/>
        <v>0</v>
      </c>
      <c r="R31" s="91">
        <f t="shared" si="5"/>
        <v>0</v>
      </c>
      <c r="S31" s="101"/>
      <c r="T31" s="91">
        <f t="shared" si="6"/>
        <v>0</v>
      </c>
      <c r="U31" s="91">
        <f t="shared" si="54"/>
        <v>0</v>
      </c>
      <c r="V31" s="91">
        <f t="shared" si="7"/>
        <v>0</v>
      </c>
      <c r="W31" s="101"/>
      <c r="X31" s="91">
        <f t="shared" si="8"/>
        <v>0</v>
      </c>
      <c r="Y31" s="91">
        <f t="shared" si="55"/>
        <v>0</v>
      </c>
      <c r="Z31" s="91">
        <f t="shared" si="9"/>
        <v>0</v>
      </c>
      <c r="AA31" s="101"/>
      <c r="AB31" s="91">
        <f t="shared" si="10"/>
        <v>0</v>
      </c>
      <c r="AC31" s="91">
        <f t="shared" si="56"/>
        <v>0</v>
      </c>
      <c r="AD31" s="91">
        <f t="shared" si="11"/>
        <v>0</v>
      </c>
      <c r="AE31" s="101"/>
      <c r="AF31" s="91">
        <f t="shared" si="12"/>
        <v>0</v>
      </c>
      <c r="AG31" s="91">
        <f t="shared" si="57"/>
        <v>0</v>
      </c>
      <c r="AH31" s="91">
        <f t="shared" si="13"/>
        <v>0</v>
      </c>
      <c r="AI31" s="101"/>
      <c r="AJ31" s="91">
        <f t="shared" si="14"/>
        <v>0</v>
      </c>
      <c r="AK31" s="91">
        <f t="shared" si="58"/>
        <v>0</v>
      </c>
      <c r="AL31" s="91">
        <f t="shared" si="15"/>
        <v>0</v>
      </c>
      <c r="AM31" s="101"/>
      <c r="AN31" s="91">
        <f t="shared" si="16"/>
        <v>0</v>
      </c>
      <c r="AO31" s="91">
        <f t="shared" si="59"/>
        <v>0</v>
      </c>
      <c r="AP31" s="91">
        <f t="shared" si="17"/>
        <v>0</v>
      </c>
      <c r="AQ31" s="101"/>
      <c r="AR31" s="91">
        <f t="shared" si="18"/>
        <v>0</v>
      </c>
      <c r="AS31" s="91">
        <f t="shared" si="60"/>
        <v>0</v>
      </c>
      <c r="AT31" s="91">
        <f t="shared" si="19"/>
        <v>0</v>
      </c>
      <c r="AU31" s="252"/>
      <c r="AV31" s="91">
        <f t="shared" si="20"/>
        <v>0</v>
      </c>
      <c r="AW31" s="8">
        <f t="shared" si="61"/>
        <v>0</v>
      </c>
      <c r="AX31" s="91">
        <f t="shared" si="21"/>
        <v>0</v>
      </c>
      <c r="AY31" s="101"/>
      <c r="AZ31" s="91">
        <f t="shared" si="22"/>
        <v>0</v>
      </c>
      <c r="BA31" s="91">
        <f t="shared" si="62"/>
        <v>0</v>
      </c>
      <c r="BB31" s="91">
        <f t="shared" si="23"/>
        <v>0</v>
      </c>
      <c r="BC31" s="101"/>
      <c r="BD31" s="91">
        <f t="shared" si="24"/>
        <v>0</v>
      </c>
      <c r="BE31" s="91">
        <f t="shared" si="63"/>
        <v>0</v>
      </c>
      <c r="BF31" s="91">
        <f t="shared" si="25"/>
        <v>0</v>
      </c>
      <c r="BG31" s="101"/>
      <c r="BH31" s="91">
        <f t="shared" si="26"/>
        <v>0</v>
      </c>
      <c r="BI31" s="91">
        <f t="shared" si="64"/>
        <v>0</v>
      </c>
      <c r="BJ31" s="91">
        <f t="shared" si="27"/>
        <v>0</v>
      </c>
      <c r="BK31" s="101"/>
      <c r="BL31" s="91"/>
      <c r="BM31" s="91"/>
      <c r="BN31" s="91"/>
      <c r="BO31" s="101"/>
      <c r="BP31" s="91"/>
      <c r="BQ31" s="91"/>
      <c r="BR31" s="91"/>
      <c r="BS31" s="101"/>
      <c r="BT31" s="91"/>
      <c r="BU31" s="91"/>
      <c r="BV31" s="91"/>
      <c r="BW31" s="91">
        <f t="shared" si="65"/>
        <v>6725</v>
      </c>
      <c r="BX31" s="91">
        <f t="shared" si="28"/>
        <v>14.42127271752533</v>
      </c>
      <c r="BY31" s="91">
        <f t="shared" si="66"/>
        <v>133025</v>
      </c>
      <c r="BZ31" s="91">
        <f t="shared" si="29"/>
        <v>20.679416576956111</v>
      </c>
      <c r="CA31" s="101"/>
      <c r="CB31" s="91">
        <f t="shared" si="30"/>
        <v>0</v>
      </c>
      <c r="CC31" s="91"/>
      <c r="CD31" s="91">
        <f t="shared" si="31"/>
        <v>0</v>
      </c>
      <c r="CE31" s="101">
        <f>86*CE7</f>
        <v>21500</v>
      </c>
      <c r="CF31" s="91">
        <f t="shared" si="32"/>
        <v>46.105184152683215</v>
      </c>
      <c r="CG31" s="91">
        <f t="shared" si="67"/>
        <v>396250</v>
      </c>
      <c r="CH31" s="91">
        <f t="shared" si="33"/>
        <v>61.599089033030332</v>
      </c>
      <c r="CI31" s="101"/>
      <c r="CJ31" s="91">
        <f t="shared" si="34"/>
        <v>0</v>
      </c>
      <c r="CK31" s="91">
        <f t="shared" si="68"/>
        <v>0</v>
      </c>
      <c r="CL31" s="91">
        <f t="shared" si="35"/>
        <v>0</v>
      </c>
      <c r="CM31" s="101"/>
      <c r="CN31" s="91">
        <f t="shared" si="36"/>
        <v>0</v>
      </c>
      <c r="CO31" s="91">
        <f t="shared" si="69"/>
        <v>0</v>
      </c>
      <c r="CP31" s="91">
        <f t="shared" si="37"/>
        <v>0</v>
      </c>
      <c r="CQ31" s="101"/>
      <c r="CR31" s="91">
        <f t="shared" si="38"/>
        <v>0</v>
      </c>
      <c r="CS31" s="91">
        <f t="shared" si="70"/>
        <v>0</v>
      </c>
      <c r="CT31" s="91">
        <f t="shared" si="39"/>
        <v>0</v>
      </c>
      <c r="CU31" s="101"/>
      <c r="CV31" s="91">
        <f t="shared" si="40"/>
        <v>0</v>
      </c>
      <c r="CW31" s="91">
        <f t="shared" si="71"/>
        <v>0</v>
      </c>
      <c r="CX31" s="91">
        <f t="shared" si="41"/>
        <v>0</v>
      </c>
      <c r="CY31" s="101"/>
      <c r="CZ31" s="91">
        <f t="shared" si="42"/>
        <v>0</v>
      </c>
      <c r="DA31" s="91">
        <f t="shared" si="72"/>
        <v>0</v>
      </c>
      <c r="DB31" s="91">
        <f t="shared" si="43"/>
        <v>0</v>
      </c>
      <c r="DC31" s="101">
        <f>74*DC7</f>
        <v>18407.5</v>
      </c>
      <c r="DD31" s="91">
        <f t="shared" si="44"/>
        <v>39.473543129791452</v>
      </c>
      <c r="DE31" s="91">
        <f t="shared" si="73"/>
        <v>99997.5</v>
      </c>
      <c r="DF31" s="91">
        <f t="shared" si="45"/>
        <v>15.54512279010839</v>
      </c>
      <c r="DG31" s="101"/>
      <c r="DH31" s="91"/>
      <c r="DI31" s="91"/>
      <c r="DJ31" s="91"/>
      <c r="DK31" s="91">
        <f t="shared" si="74"/>
        <v>39907.5</v>
      </c>
      <c r="DL31" s="91">
        <f t="shared" si="46"/>
        <v>85.578727282474659</v>
      </c>
      <c r="DM31" s="91">
        <f t="shared" si="75"/>
        <v>496247.5</v>
      </c>
      <c r="DN31" s="91">
        <f t="shared" si="47"/>
        <v>77.144211823138718</v>
      </c>
      <c r="DO31" s="101"/>
      <c r="DP31" s="91">
        <f t="shared" si="76"/>
        <v>0</v>
      </c>
      <c r="DQ31" s="91">
        <f t="shared" si="77"/>
        <v>0</v>
      </c>
      <c r="DR31" s="91">
        <f t="shared" si="78"/>
        <v>0</v>
      </c>
      <c r="DS31" s="101"/>
      <c r="DT31" s="92">
        <f t="shared" si="79"/>
        <v>0</v>
      </c>
      <c r="DU31" s="91">
        <f t="shared" si="80"/>
        <v>0</v>
      </c>
      <c r="DV31" s="91">
        <f t="shared" si="81"/>
        <v>0</v>
      </c>
      <c r="DW31" s="101"/>
      <c r="DX31" s="92">
        <f t="shared" si="82"/>
        <v>0</v>
      </c>
      <c r="DY31" s="91">
        <f t="shared" si="83"/>
        <v>0</v>
      </c>
      <c r="DZ31" s="461">
        <f t="shared" si="84"/>
        <v>0</v>
      </c>
      <c r="EA31" s="101"/>
      <c r="EB31" s="91">
        <f t="shared" si="85"/>
        <v>0</v>
      </c>
      <c r="EC31" s="91">
        <f t="shared" si="86"/>
        <v>14000</v>
      </c>
      <c r="ED31" s="91">
        <f t="shared" si="87"/>
        <v>2.1763715999051723</v>
      </c>
      <c r="EE31" s="91">
        <f t="shared" si="48"/>
        <v>0</v>
      </c>
      <c r="EF31" s="91">
        <f t="shared" si="88"/>
        <v>0</v>
      </c>
      <c r="EG31" s="91">
        <f t="shared" si="89"/>
        <v>14000</v>
      </c>
      <c r="EH31" s="91">
        <f t="shared" si="90"/>
        <v>2.1763715999051723</v>
      </c>
      <c r="EI31" s="101"/>
      <c r="EJ31" s="91">
        <f t="shared" si="91"/>
        <v>0</v>
      </c>
      <c r="EK31" s="91">
        <f t="shared" si="92"/>
        <v>0</v>
      </c>
      <c r="EL31" s="91">
        <f t="shared" si="93"/>
        <v>0</v>
      </c>
      <c r="EM31" s="101"/>
      <c r="EN31" s="91">
        <f t="shared" si="94"/>
        <v>0</v>
      </c>
      <c r="EO31" s="91">
        <f t="shared" si="95"/>
        <v>0</v>
      </c>
      <c r="EP31" s="91">
        <f t="shared" si="96"/>
        <v>0</v>
      </c>
      <c r="EQ31" s="101"/>
      <c r="ER31" s="91">
        <f t="shared" si="97"/>
        <v>0</v>
      </c>
      <c r="ES31" s="91">
        <f t="shared" si="98"/>
        <v>0</v>
      </c>
      <c r="ET31" s="91">
        <f t="shared" si="99"/>
        <v>0</v>
      </c>
      <c r="EU31" s="101"/>
      <c r="EV31" s="91">
        <f t="shared" si="100"/>
        <v>0</v>
      </c>
      <c r="EW31" s="91">
        <f t="shared" si="101"/>
        <v>0</v>
      </c>
      <c r="EX31" s="91">
        <f t="shared" si="102"/>
        <v>0</v>
      </c>
      <c r="EY31" s="91">
        <f t="shared" si="103"/>
        <v>0</v>
      </c>
      <c r="EZ31" s="91">
        <f t="shared" si="104"/>
        <v>0</v>
      </c>
      <c r="FA31" s="91">
        <f t="shared" si="105"/>
        <v>0</v>
      </c>
      <c r="FB31" s="91">
        <f t="shared" si="106"/>
        <v>0</v>
      </c>
      <c r="FC31" s="91">
        <f t="shared" si="111"/>
        <v>46632.5</v>
      </c>
      <c r="FD31" s="91">
        <f t="shared" si="108"/>
        <v>643272.5</v>
      </c>
      <c r="FE31" s="91">
        <f t="shared" si="49"/>
        <v>1.229500632777895</v>
      </c>
      <c r="FF31" s="91">
        <f t="shared" si="50"/>
        <v>1.1111442182793023</v>
      </c>
      <c r="FG31" s="6"/>
      <c r="FH31" s="460" t="e">
        <f t="shared" si="109"/>
        <v>#DIV/0!</v>
      </c>
      <c r="FI31" s="460">
        <f>(SUM($FG$10:FG31))/(SUM($EE$10:EE31))</f>
        <v>0</v>
      </c>
      <c r="FJ31" s="373"/>
    </row>
    <row r="32" spans="1:171">
      <c r="A32" s="16">
        <f>+Chem!A32</f>
        <v>45953</v>
      </c>
      <c r="B32" s="6" t="str">
        <f>+Chem!B32</f>
        <v>Toilet</v>
      </c>
      <c r="C32" s="16" t="str">
        <f>+Chem!C32</f>
        <v>12,5/13/14,5</v>
      </c>
      <c r="D32" s="8">
        <f>+Chem!D32</f>
        <v>48.402999999999999</v>
      </c>
      <c r="E32" s="7">
        <f>+Chem!E32</f>
        <v>42.213000000000001</v>
      </c>
      <c r="F32" s="7">
        <f t="shared" si="110"/>
        <v>621.14100000000008</v>
      </c>
      <c r="G32" s="101"/>
      <c r="H32" s="91">
        <f t="shared" si="0"/>
        <v>0</v>
      </c>
      <c r="I32" s="8">
        <f t="shared" si="51"/>
        <v>0</v>
      </c>
      <c r="J32" s="91">
        <f t="shared" si="1"/>
        <v>0</v>
      </c>
      <c r="K32" s="101">
        <f>28.33*K7</f>
        <v>7082.5</v>
      </c>
      <c r="L32" s="91">
        <f t="shared" si="2"/>
        <v>15.40762495241203</v>
      </c>
      <c r="M32" s="91">
        <f t="shared" si="52"/>
        <v>140107.5</v>
      </c>
      <c r="N32" s="91">
        <f t="shared" si="3"/>
        <v>20.327824850560035</v>
      </c>
      <c r="O32" s="101"/>
      <c r="P32" s="91">
        <f t="shared" si="4"/>
        <v>0</v>
      </c>
      <c r="Q32" s="91">
        <f t="shared" si="53"/>
        <v>0</v>
      </c>
      <c r="R32" s="91">
        <f t="shared" si="5"/>
        <v>0</v>
      </c>
      <c r="S32" s="101"/>
      <c r="T32" s="91">
        <f t="shared" si="6"/>
        <v>0</v>
      </c>
      <c r="U32" s="91">
        <f t="shared" si="54"/>
        <v>0</v>
      </c>
      <c r="V32" s="91">
        <f t="shared" si="7"/>
        <v>0</v>
      </c>
      <c r="W32" s="101"/>
      <c r="X32" s="91">
        <f t="shared" si="8"/>
        <v>0</v>
      </c>
      <c r="Y32" s="91">
        <f t="shared" si="55"/>
        <v>0</v>
      </c>
      <c r="Z32" s="91">
        <f t="shared" si="9"/>
        <v>0</v>
      </c>
      <c r="AA32" s="101"/>
      <c r="AB32" s="91">
        <f t="shared" si="10"/>
        <v>0</v>
      </c>
      <c r="AC32" s="91">
        <f t="shared" si="56"/>
        <v>0</v>
      </c>
      <c r="AD32" s="91">
        <f t="shared" si="11"/>
        <v>0</v>
      </c>
      <c r="AE32" s="101"/>
      <c r="AF32" s="91">
        <f t="shared" si="12"/>
        <v>0</v>
      </c>
      <c r="AG32" s="91">
        <f t="shared" si="57"/>
        <v>0</v>
      </c>
      <c r="AH32" s="91">
        <f t="shared" si="13"/>
        <v>0</v>
      </c>
      <c r="AI32" s="101"/>
      <c r="AJ32" s="91">
        <f t="shared" si="14"/>
        <v>0</v>
      </c>
      <c r="AK32" s="91">
        <f t="shared" si="58"/>
        <v>0</v>
      </c>
      <c r="AL32" s="91">
        <f t="shared" si="15"/>
        <v>0</v>
      </c>
      <c r="AM32" s="101"/>
      <c r="AN32" s="91">
        <f t="shared" si="16"/>
        <v>0</v>
      </c>
      <c r="AO32" s="91">
        <f t="shared" si="59"/>
        <v>0</v>
      </c>
      <c r="AP32" s="91">
        <f t="shared" si="17"/>
        <v>0</v>
      </c>
      <c r="AQ32" s="101"/>
      <c r="AR32" s="91">
        <f t="shared" si="18"/>
        <v>0</v>
      </c>
      <c r="AS32" s="91">
        <f t="shared" si="60"/>
        <v>0</v>
      </c>
      <c r="AT32" s="91">
        <f t="shared" si="19"/>
        <v>0</v>
      </c>
      <c r="AU32" s="252"/>
      <c r="AV32" s="91">
        <f t="shared" si="20"/>
        <v>0</v>
      </c>
      <c r="AW32" s="8">
        <f t="shared" si="61"/>
        <v>0</v>
      </c>
      <c r="AX32" s="91">
        <f t="shared" si="21"/>
        <v>0</v>
      </c>
      <c r="AY32" s="101"/>
      <c r="AZ32" s="91">
        <f t="shared" si="22"/>
        <v>0</v>
      </c>
      <c r="BA32" s="91">
        <f t="shared" si="62"/>
        <v>0</v>
      </c>
      <c r="BB32" s="91">
        <f t="shared" si="23"/>
        <v>0</v>
      </c>
      <c r="BC32" s="101"/>
      <c r="BD32" s="91">
        <f t="shared" si="24"/>
        <v>0</v>
      </c>
      <c r="BE32" s="91">
        <f t="shared" si="63"/>
        <v>0</v>
      </c>
      <c r="BF32" s="91">
        <f t="shared" si="25"/>
        <v>0</v>
      </c>
      <c r="BG32" s="101"/>
      <c r="BH32" s="91">
        <f t="shared" si="26"/>
        <v>0</v>
      </c>
      <c r="BI32" s="91">
        <f t="shared" si="64"/>
        <v>0</v>
      </c>
      <c r="BJ32" s="91">
        <f t="shared" si="27"/>
        <v>0</v>
      </c>
      <c r="BK32" s="101"/>
      <c r="BL32" s="91"/>
      <c r="BM32" s="91"/>
      <c r="BN32" s="91"/>
      <c r="BO32" s="101"/>
      <c r="BP32" s="91"/>
      <c r="BQ32" s="91"/>
      <c r="BR32" s="91"/>
      <c r="BS32" s="101"/>
      <c r="BT32" s="91"/>
      <c r="BU32" s="91"/>
      <c r="BV32" s="91"/>
      <c r="BW32" s="91">
        <f t="shared" si="65"/>
        <v>7082.5</v>
      </c>
      <c r="BX32" s="91">
        <f t="shared" si="28"/>
        <v>15.40762495241203</v>
      </c>
      <c r="BY32" s="91">
        <f t="shared" si="66"/>
        <v>140107.5</v>
      </c>
      <c r="BZ32" s="91">
        <f t="shared" si="29"/>
        <v>20.327824850560035</v>
      </c>
      <c r="CA32" s="101"/>
      <c r="CB32" s="91">
        <f t="shared" si="30"/>
        <v>0</v>
      </c>
      <c r="CC32" s="91"/>
      <c r="CD32" s="91">
        <f t="shared" si="31"/>
        <v>0</v>
      </c>
      <c r="CE32" s="101">
        <f>64*CE7</f>
        <v>16000</v>
      </c>
      <c r="CF32" s="91">
        <f t="shared" si="32"/>
        <v>34.807200739653013</v>
      </c>
      <c r="CG32" s="91">
        <f t="shared" si="67"/>
        <v>412250</v>
      </c>
      <c r="CH32" s="91">
        <f t="shared" si="33"/>
        <v>59.812256978701171</v>
      </c>
      <c r="CI32" s="101"/>
      <c r="CJ32" s="91">
        <f t="shared" si="34"/>
        <v>0</v>
      </c>
      <c r="CK32" s="91">
        <f t="shared" si="68"/>
        <v>0</v>
      </c>
      <c r="CL32" s="91">
        <f t="shared" si="35"/>
        <v>0</v>
      </c>
      <c r="CM32" s="101"/>
      <c r="CN32" s="91">
        <f t="shared" si="36"/>
        <v>0</v>
      </c>
      <c r="CO32" s="91">
        <f t="shared" si="69"/>
        <v>0</v>
      </c>
      <c r="CP32" s="91">
        <f t="shared" si="37"/>
        <v>0</v>
      </c>
      <c r="CQ32" s="101"/>
      <c r="CR32" s="91">
        <f t="shared" si="38"/>
        <v>0</v>
      </c>
      <c r="CS32" s="91">
        <f t="shared" si="70"/>
        <v>0</v>
      </c>
      <c r="CT32" s="91">
        <f t="shared" si="39"/>
        <v>0</v>
      </c>
      <c r="CU32" s="101"/>
      <c r="CV32" s="91">
        <f t="shared" si="40"/>
        <v>0</v>
      </c>
      <c r="CW32" s="91">
        <f t="shared" si="71"/>
        <v>0</v>
      </c>
      <c r="CX32" s="91">
        <f t="shared" si="41"/>
        <v>0</v>
      </c>
      <c r="CY32" s="101"/>
      <c r="CZ32" s="91">
        <f t="shared" si="42"/>
        <v>0</v>
      </c>
      <c r="DA32" s="91">
        <f t="shared" si="72"/>
        <v>0</v>
      </c>
      <c r="DB32" s="91">
        <f t="shared" si="43"/>
        <v>0</v>
      </c>
      <c r="DC32" s="101">
        <f>92*DC7</f>
        <v>22885</v>
      </c>
      <c r="DD32" s="91">
        <f t="shared" si="44"/>
        <v>49.785174307934952</v>
      </c>
      <c r="DE32" s="91">
        <f t="shared" si="73"/>
        <v>122882.5</v>
      </c>
      <c r="DF32" s="91">
        <f t="shared" si="45"/>
        <v>17.828695374615521</v>
      </c>
      <c r="DG32" s="101"/>
      <c r="DH32" s="91"/>
      <c r="DI32" s="91"/>
      <c r="DJ32" s="91"/>
      <c r="DK32" s="91">
        <f t="shared" si="74"/>
        <v>38885</v>
      </c>
      <c r="DL32" s="91">
        <f t="shared" si="46"/>
        <v>84.592375047587964</v>
      </c>
      <c r="DM32" s="91">
        <f t="shared" si="75"/>
        <v>535132.5</v>
      </c>
      <c r="DN32" s="91">
        <f t="shared" si="47"/>
        <v>77.640952353316692</v>
      </c>
      <c r="DO32" s="101"/>
      <c r="DP32" s="91">
        <f t="shared" si="76"/>
        <v>0</v>
      </c>
      <c r="DQ32" s="91">
        <f t="shared" si="77"/>
        <v>0</v>
      </c>
      <c r="DR32" s="91">
        <f t="shared" si="78"/>
        <v>0</v>
      </c>
      <c r="DS32" s="101"/>
      <c r="DT32" s="92">
        <f t="shared" si="79"/>
        <v>0</v>
      </c>
      <c r="DU32" s="91">
        <f t="shared" si="80"/>
        <v>0</v>
      </c>
      <c r="DV32" s="91">
        <f t="shared" si="81"/>
        <v>0</v>
      </c>
      <c r="DW32" s="101"/>
      <c r="DX32" s="92">
        <f t="shared" si="82"/>
        <v>0</v>
      </c>
      <c r="DY32" s="91">
        <f t="shared" si="83"/>
        <v>0</v>
      </c>
      <c r="DZ32" s="461">
        <f t="shared" si="84"/>
        <v>0</v>
      </c>
      <c r="EA32" s="101"/>
      <c r="EB32" s="91">
        <f t="shared" si="85"/>
        <v>0</v>
      </c>
      <c r="EC32" s="91">
        <f t="shared" si="86"/>
        <v>14000</v>
      </c>
      <c r="ED32" s="91">
        <f t="shared" si="87"/>
        <v>2.0312227961232661</v>
      </c>
      <c r="EE32" s="91">
        <f t="shared" si="48"/>
        <v>0</v>
      </c>
      <c r="EF32" s="91">
        <f t="shared" si="88"/>
        <v>0</v>
      </c>
      <c r="EG32" s="91">
        <f t="shared" si="89"/>
        <v>14000</v>
      </c>
      <c r="EH32" s="91">
        <f t="shared" si="90"/>
        <v>2.0312227961232661</v>
      </c>
      <c r="EI32" s="101"/>
      <c r="EJ32" s="91">
        <f t="shared" si="91"/>
        <v>0</v>
      </c>
      <c r="EK32" s="91">
        <f t="shared" si="92"/>
        <v>0</v>
      </c>
      <c r="EL32" s="91">
        <f t="shared" si="93"/>
        <v>0</v>
      </c>
      <c r="EM32" s="101"/>
      <c r="EN32" s="91">
        <f t="shared" si="94"/>
        <v>0</v>
      </c>
      <c r="EO32" s="91">
        <f t="shared" si="95"/>
        <v>0</v>
      </c>
      <c r="EP32" s="91">
        <f t="shared" si="96"/>
        <v>0</v>
      </c>
      <c r="EQ32" s="101"/>
      <c r="ER32" s="91">
        <f t="shared" si="97"/>
        <v>0</v>
      </c>
      <c r="ES32" s="91">
        <f t="shared" si="98"/>
        <v>0</v>
      </c>
      <c r="ET32" s="91">
        <f t="shared" si="99"/>
        <v>0</v>
      </c>
      <c r="EU32" s="101"/>
      <c r="EV32" s="91">
        <f t="shared" si="100"/>
        <v>0</v>
      </c>
      <c r="EW32" s="91">
        <f t="shared" si="101"/>
        <v>0</v>
      </c>
      <c r="EX32" s="91">
        <f t="shared" si="102"/>
        <v>0</v>
      </c>
      <c r="EY32" s="91">
        <f t="shared" si="103"/>
        <v>0</v>
      </c>
      <c r="EZ32" s="91">
        <f t="shared" si="104"/>
        <v>0</v>
      </c>
      <c r="FA32" s="91">
        <f t="shared" si="105"/>
        <v>0</v>
      </c>
      <c r="FB32" s="91">
        <f t="shared" si="106"/>
        <v>0</v>
      </c>
      <c r="FC32" s="91">
        <f t="shared" si="111"/>
        <v>45967.5</v>
      </c>
      <c r="FD32" s="91">
        <f t="shared" si="108"/>
        <v>689240</v>
      </c>
      <c r="FE32" s="91">
        <f t="shared" si="49"/>
        <v>1.0889417951815792</v>
      </c>
      <c r="FF32" s="91">
        <f t="shared" si="50"/>
        <v>1.1096353323963479</v>
      </c>
      <c r="FG32" s="6"/>
      <c r="FH32" s="460" t="e">
        <f t="shared" si="109"/>
        <v>#DIV/0!</v>
      </c>
      <c r="FI32" s="460">
        <f>(SUM($FG$10:FG32))/(SUM($EE$10:EE32))</f>
        <v>0</v>
      </c>
      <c r="FJ32" s="373"/>
    </row>
    <row r="33" spans="1:166">
      <c r="A33" s="16">
        <f>+Chem!A33</f>
        <v>45954</v>
      </c>
      <c r="B33" s="6" t="str">
        <f>+Chem!B33</f>
        <v>Toilet/Facial</v>
      </c>
      <c r="C33" s="16" t="str">
        <f>+Chem!C33</f>
        <v>14,5/12/16</v>
      </c>
      <c r="D33" s="8">
        <f>+Chem!D33</f>
        <v>39.926000000000002</v>
      </c>
      <c r="E33" s="7">
        <f>+Chem!E33</f>
        <v>38.56</v>
      </c>
      <c r="F33" s="7">
        <f t="shared" si="110"/>
        <v>659.70100000000002</v>
      </c>
      <c r="G33" s="101"/>
      <c r="H33" s="91">
        <f t="shared" si="0"/>
        <v>0</v>
      </c>
      <c r="I33" s="8">
        <f t="shared" si="51"/>
        <v>0</v>
      </c>
      <c r="J33" s="91">
        <f t="shared" si="1"/>
        <v>0</v>
      </c>
      <c r="K33" s="101">
        <f>27*K7</f>
        <v>6750</v>
      </c>
      <c r="L33" s="91">
        <f t="shared" si="2"/>
        <v>18.074103825685309</v>
      </c>
      <c r="M33" s="91">
        <f t="shared" si="52"/>
        <v>146857.5</v>
      </c>
      <c r="N33" s="91">
        <f t="shared" si="3"/>
        <v>20.211984468464685</v>
      </c>
      <c r="O33" s="101"/>
      <c r="P33" s="91">
        <f t="shared" si="4"/>
        <v>0</v>
      </c>
      <c r="Q33" s="91">
        <f t="shared" si="53"/>
        <v>0</v>
      </c>
      <c r="R33" s="91">
        <f t="shared" si="5"/>
        <v>0</v>
      </c>
      <c r="S33" s="101"/>
      <c r="T33" s="91">
        <f t="shared" si="6"/>
        <v>0</v>
      </c>
      <c r="U33" s="91">
        <f t="shared" si="54"/>
        <v>0</v>
      </c>
      <c r="V33" s="91">
        <f t="shared" si="7"/>
        <v>0</v>
      </c>
      <c r="W33" s="101"/>
      <c r="X33" s="91">
        <f t="shared" si="8"/>
        <v>0</v>
      </c>
      <c r="Y33" s="91">
        <f t="shared" si="55"/>
        <v>0</v>
      </c>
      <c r="Z33" s="91">
        <f t="shared" si="9"/>
        <v>0</v>
      </c>
      <c r="AA33" s="101"/>
      <c r="AB33" s="91">
        <f t="shared" si="10"/>
        <v>0</v>
      </c>
      <c r="AC33" s="91">
        <f t="shared" si="56"/>
        <v>0</v>
      </c>
      <c r="AD33" s="91">
        <f t="shared" si="11"/>
        <v>0</v>
      </c>
      <c r="AE33" s="101"/>
      <c r="AF33" s="91">
        <f t="shared" si="12"/>
        <v>0</v>
      </c>
      <c r="AG33" s="91">
        <f t="shared" si="57"/>
        <v>0</v>
      </c>
      <c r="AH33" s="91">
        <f t="shared" si="13"/>
        <v>0</v>
      </c>
      <c r="AI33" s="101"/>
      <c r="AJ33" s="91">
        <f t="shared" si="14"/>
        <v>0</v>
      </c>
      <c r="AK33" s="91">
        <f t="shared" si="58"/>
        <v>0</v>
      </c>
      <c r="AL33" s="91">
        <f t="shared" si="15"/>
        <v>0</v>
      </c>
      <c r="AM33" s="101"/>
      <c r="AN33" s="91">
        <f t="shared" si="16"/>
        <v>0</v>
      </c>
      <c r="AO33" s="91">
        <f t="shared" si="59"/>
        <v>0</v>
      </c>
      <c r="AP33" s="91">
        <f t="shared" si="17"/>
        <v>0</v>
      </c>
      <c r="AQ33" s="101"/>
      <c r="AR33" s="91">
        <f t="shared" si="18"/>
        <v>0</v>
      </c>
      <c r="AS33" s="91">
        <f t="shared" si="60"/>
        <v>0</v>
      </c>
      <c r="AT33" s="91">
        <f t="shared" si="19"/>
        <v>0</v>
      </c>
      <c r="AU33" s="252"/>
      <c r="AV33" s="91">
        <f t="shared" si="20"/>
        <v>0</v>
      </c>
      <c r="AW33" s="8">
        <f t="shared" si="61"/>
        <v>0</v>
      </c>
      <c r="AX33" s="91">
        <f t="shared" si="21"/>
        <v>0</v>
      </c>
      <c r="AY33" s="101"/>
      <c r="AZ33" s="91">
        <f t="shared" si="22"/>
        <v>0</v>
      </c>
      <c r="BA33" s="91">
        <f t="shared" si="62"/>
        <v>0</v>
      </c>
      <c r="BB33" s="91">
        <f t="shared" si="23"/>
        <v>0</v>
      </c>
      <c r="BC33" s="101"/>
      <c r="BD33" s="91">
        <f t="shared" si="24"/>
        <v>0</v>
      </c>
      <c r="BE33" s="91">
        <f t="shared" si="63"/>
        <v>0</v>
      </c>
      <c r="BF33" s="91">
        <f t="shared" si="25"/>
        <v>0</v>
      </c>
      <c r="BG33" s="101"/>
      <c r="BH33" s="91">
        <f t="shared" si="26"/>
        <v>0</v>
      </c>
      <c r="BI33" s="91">
        <f t="shared" si="64"/>
        <v>0</v>
      </c>
      <c r="BJ33" s="91">
        <f t="shared" si="27"/>
        <v>0</v>
      </c>
      <c r="BK33" s="101"/>
      <c r="BL33" s="91"/>
      <c r="BM33" s="91"/>
      <c r="BN33" s="91"/>
      <c r="BO33" s="101"/>
      <c r="BP33" s="91"/>
      <c r="BQ33" s="91"/>
      <c r="BR33" s="91"/>
      <c r="BS33" s="101"/>
      <c r="BT33" s="91"/>
      <c r="BU33" s="91"/>
      <c r="BV33" s="91"/>
      <c r="BW33" s="91">
        <f t="shared" si="65"/>
        <v>6750</v>
      </c>
      <c r="BX33" s="91">
        <f t="shared" si="28"/>
        <v>18.074103825685309</v>
      </c>
      <c r="BY33" s="91">
        <f t="shared" si="66"/>
        <v>146857.5</v>
      </c>
      <c r="BZ33" s="91">
        <f t="shared" si="29"/>
        <v>20.211984468464685</v>
      </c>
      <c r="CA33" s="101"/>
      <c r="CB33" s="91">
        <f t="shared" si="30"/>
        <v>0</v>
      </c>
      <c r="CC33" s="91"/>
      <c r="CD33" s="91">
        <f t="shared" si="31"/>
        <v>0</v>
      </c>
      <c r="CE33" s="101"/>
      <c r="CF33" s="91">
        <f t="shared" si="32"/>
        <v>0</v>
      </c>
      <c r="CG33" s="91">
        <f t="shared" si="67"/>
        <v>412250</v>
      </c>
      <c r="CH33" s="91">
        <f t="shared" si="33"/>
        <v>56.737930287009974</v>
      </c>
      <c r="CI33" s="101"/>
      <c r="CJ33" s="91">
        <f t="shared" si="34"/>
        <v>0</v>
      </c>
      <c r="CK33" s="91">
        <f t="shared" si="68"/>
        <v>0</v>
      </c>
      <c r="CL33" s="91">
        <f t="shared" si="35"/>
        <v>0</v>
      </c>
      <c r="CM33" s="101"/>
      <c r="CN33" s="91">
        <f t="shared" si="36"/>
        <v>0</v>
      </c>
      <c r="CO33" s="91">
        <f t="shared" si="69"/>
        <v>0</v>
      </c>
      <c r="CP33" s="91">
        <f t="shared" si="37"/>
        <v>0</v>
      </c>
      <c r="CQ33" s="101"/>
      <c r="CR33" s="91">
        <f t="shared" si="38"/>
        <v>0</v>
      </c>
      <c r="CS33" s="91">
        <f>CQ33+CS32</f>
        <v>0</v>
      </c>
      <c r="CT33" s="91">
        <f t="shared" si="39"/>
        <v>0</v>
      </c>
      <c r="CU33" s="101"/>
      <c r="CV33" s="91">
        <f t="shared" si="40"/>
        <v>0</v>
      </c>
      <c r="CW33" s="91">
        <f t="shared" si="71"/>
        <v>0</v>
      </c>
      <c r="CX33" s="91">
        <f t="shared" si="41"/>
        <v>0</v>
      </c>
      <c r="CY33" s="101"/>
      <c r="CZ33" s="91">
        <f t="shared" si="42"/>
        <v>0</v>
      </c>
      <c r="DA33" s="91">
        <f t="shared" si="72"/>
        <v>0</v>
      </c>
      <c r="DB33" s="91">
        <f t="shared" si="43"/>
        <v>0</v>
      </c>
      <c r="DC33" s="101">
        <f>123*DC7</f>
        <v>30596.25</v>
      </c>
      <c r="DD33" s="91">
        <f t="shared" si="44"/>
        <v>81.925896174314687</v>
      </c>
      <c r="DE33" s="91">
        <f t="shared" si="73"/>
        <v>153478.75</v>
      </c>
      <c r="DF33" s="91">
        <f t="shared" si="45"/>
        <v>21.123266508277581</v>
      </c>
      <c r="DG33" s="101"/>
      <c r="DH33" s="91"/>
      <c r="DI33" s="91"/>
      <c r="DJ33" s="91"/>
      <c r="DK33" s="91">
        <f t="shared" si="74"/>
        <v>30596.25</v>
      </c>
      <c r="DL33" s="91">
        <f t="shared" si="46"/>
        <v>81.925896174314687</v>
      </c>
      <c r="DM33" s="91">
        <f t="shared" si="75"/>
        <v>565728.75</v>
      </c>
      <c r="DN33" s="91">
        <f t="shared" si="47"/>
        <v>77.861196795287555</v>
      </c>
      <c r="DO33" s="101"/>
      <c r="DP33" s="91">
        <f t="shared" si="76"/>
        <v>0</v>
      </c>
      <c r="DQ33" s="91">
        <f t="shared" si="77"/>
        <v>0</v>
      </c>
      <c r="DR33" s="91">
        <f t="shared" si="78"/>
        <v>0</v>
      </c>
      <c r="DS33" s="101"/>
      <c r="DT33" s="92">
        <f t="shared" si="79"/>
        <v>0</v>
      </c>
      <c r="DU33" s="91">
        <f t="shared" si="80"/>
        <v>0</v>
      </c>
      <c r="DV33" s="91">
        <f t="shared" si="81"/>
        <v>0</v>
      </c>
      <c r="DW33" s="101"/>
      <c r="DX33" s="92">
        <f t="shared" si="82"/>
        <v>0</v>
      </c>
      <c r="DY33" s="91">
        <f t="shared" si="83"/>
        <v>0</v>
      </c>
      <c r="DZ33" s="461">
        <f t="shared" si="84"/>
        <v>0</v>
      </c>
      <c r="EA33" s="101"/>
      <c r="EB33" s="91">
        <f t="shared" si="85"/>
        <v>0</v>
      </c>
      <c r="EC33" s="91">
        <f t="shared" si="86"/>
        <v>14000</v>
      </c>
      <c r="ED33" s="91">
        <f t="shared" si="87"/>
        <v>1.9268187362477613</v>
      </c>
      <c r="EE33" s="91">
        <f t="shared" si="48"/>
        <v>0</v>
      </c>
      <c r="EF33" s="91">
        <f t="shared" si="88"/>
        <v>0</v>
      </c>
      <c r="EG33" s="91">
        <f t="shared" si="89"/>
        <v>14000</v>
      </c>
      <c r="EH33" s="91">
        <f t="shared" si="90"/>
        <v>1.9268187362477613</v>
      </c>
      <c r="EI33" s="101"/>
      <c r="EJ33" s="91">
        <f t="shared" si="91"/>
        <v>0</v>
      </c>
      <c r="EK33" s="91">
        <f t="shared" si="92"/>
        <v>0</v>
      </c>
      <c r="EL33" s="91">
        <f t="shared" si="93"/>
        <v>0</v>
      </c>
      <c r="EM33" s="101"/>
      <c r="EN33" s="91">
        <f t="shared" si="94"/>
        <v>0</v>
      </c>
      <c r="EO33" s="91">
        <f t="shared" si="95"/>
        <v>0</v>
      </c>
      <c r="EP33" s="91">
        <f t="shared" si="96"/>
        <v>0</v>
      </c>
      <c r="EQ33" s="101"/>
      <c r="ER33" s="91">
        <f t="shared" si="97"/>
        <v>0</v>
      </c>
      <c r="ES33" s="91">
        <f t="shared" si="98"/>
        <v>0</v>
      </c>
      <c r="ET33" s="91">
        <f t="shared" si="99"/>
        <v>0</v>
      </c>
      <c r="EU33" s="101"/>
      <c r="EV33" s="91">
        <f t="shared" si="100"/>
        <v>0</v>
      </c>
      <c r="EW33" s="91">
        <f t="shared" si="101"/>
        <v>0</v>
      </c>
      <c r="EX33" s="91">
        <f t="shared" si="102"/>
        <v>0</v>
      </c>
      <c r="EY33" s="91">
        <f t="shared" si="103"/>
        <v>0</v>
      </c>
      <c r="EZ33" s="91">
        <f t="shared" si="104"/>
        <v>0</v>
      </c>
      <c r="FA33" s="91">
        <f t="shared" si="105"/>
        <v>0</v>
      </c>
      <c r="FB33" s="91">
        <f t="shared" si="106"/>
        <v>0</v>
      </c>
      <c r="FC33" s="91">
        <f t="shared" si="111"/>
        <v>37346.25</v>
      </c>
      <c r="FD33" s="91">
        <f t="shared" si="108"/>
        <v>726586.25</v>
      </c>
      <c r="FE33" s="91">
        <f t="shared" si="49"/>
        <v>0.96852308091286299</v>
      </c>
      <c r="FF33" s="91">
        <f t="shared" si="50"/>
        <v>1.1013872193614984</v>
      </c>
      <c r="FG33" s="6"/>
      <c r="FH33" s="460" t="e">
        <f t="shared" si="109"/>
        <v>#DIV/0!</v>
      </c>
      <c r="FI33" s="460">
        <f>(SUM($FG$10:FG33))/(SUM($EE$10:EE33))</f>
        <v>0</v>
      </c>
      <c r="FJ33" s="373"/>
    </row>
    <row r="34" spans="1:166">
      <c r="A34" s="16">
        <f>+Chem!A34</f>
        <v>45955</v>
      </c>
      <c r="B34" s="6" t="str">
        <f>+Chem!B34</f>
        <v>Facial/Toilet</v>
      </c>
      <c r="C34" s="16" t="str">
        <f>+Chem!C34</f>
        <v>12/13</v>
      </c>
      <c r="D34" s="8">
        <f>+Chem!D34</f>
        <v>30.018000000000001</v>
      </c>
      <c r="E34" s="7">
        <f>+Chem!E34</f>
        <v>23.135000000000002</v>
      </c>
      <c r="F34" s="7">
        <f t="shared" si="110"/>
        <v>682.83600000000001</v>
      </c>
      <c r="G34" s="101"/>
      <c r="H34" s="91">
        <f t="shared" si="0"/>
        <v>0</v>
      </c>
      <c r="I34" s="8">
        <f t="shared" si="51"/>
        <v>0</v>
      </c>
      <c r="J34" s="91">
        <f t="shared" si="1"/>
        <v>0</v>
      </c>
      <c r="K34" s="101">
        <f>16*K7</f>
        <v>4000</v>
      </c>
      <c r="L34" s="91">
        <f t="shared" si="2"/>
        <v>14.347202295552366</v>
      </c>
      <c r="M34" s="91">
        <f t="shared" si="52"/>
        <v>150857.5</v>
      </c>
      <c r="N34" s="91">
        <f t="shared" si="3"/>
        <v>19.995261550798329</v>
      </c>
      <c r="O34" s="101"/>
      <c r="P34" s="91">
        <f t="shared" si="4"/>
        <v>0</v>
      </c>
      <c r="Q34" s="91">
        <f t="shared" si="53"/>
        <v>0</v>
      </c>
      <c r="R34" s="91">
        <f t="shared" si="5"/>
        <v>0</v>
      </c>
      <c r="S34" s="101"/>
      <c r="T34" s="91">
        <f t="shared" si="6"/>
        <v>0</v>
      </c>
      <c r="U34" s="91">
        <f t="shared" si="54"/>
        <v>0</v>
      </c>
      <c r="V34" s="91">
        <f t="shared" si="7"/>
        <v>0</v>
      </c>
      <c r="W34" s="101"/>
      <c r="X34" s="91">
        <f t="shared" si="8"/>
        <v>0</v>
      </c>
      <c r="Y34" s="91">
        <f t="shared" si="55"/>
        <v>0</v>
      </c>
      <c r="Z34" s="91">
        <f t="shared" si="9"/>
        <v>0</v>
      </c>
      <c r="AA34" s="101"/>
      <c r="AB34" s="91">
        <f t="shared" si="10"/>
        <v>0</v>
      </c>
      <c r="AC34" s="91">
        <f t="shared" si="56"/>
        <v>0</v>
      </c>
      <c r="AD34" s="91">
        <f t="shared" si="11"/>
        <v>0</v>
      </c>
      <c r="AE34" s="101"/>
      <c r="AF34" s="91">
        <f t="shared" si="12"/>
        <v>0</v>
      </c>
      <c r="AG34" s="91">
        <f t="shared" si="57"/>
        <v>0</v>
      </c>
      <c r="AH34" s="91">
        <f t="shared" si="13"/>
        <v>0</v>
      </c>
      <c r="AI34" s="101"/>
      <c r="AJ34" s="91">
        <f t="shared" si="14"/>
        <v>0</v>
      </c>
      <c r="AK34" s="91">
        <f t="shared" si="58"/>
        <v>0</v>
      </c>
      <c r="AL34" s="91">
        <f t="shared" si="15"/>
        <v>0</v>
      </c>
      <c r="AM34" s="101"/>
      <c r="AN34" s="91">
        <f t="shared" si="16"/>
        <v>0</v>
      </c>
      <c r="AO34" s="91">
        <f t="shared" si="59"/>
        <v>0</v>
      </c>
      <c r="AP34" s="91">
        <f t="shared" si="17"/>
        <v>0</v>
      </c>
      <c r="AQ34" s="101"/>
      <c r="AR34" s="91">
        <f t="shared" si="18"/>
        <v>0</v>
      </c>
      <c r="AS34" s="91">
        <f t="shared" si="60"/>
        <v>0</v>
      </c>
      <c r="AT34" s="91">
        <f t="shared" si="19"/>
        <v>0</v>
      </c>
      <c r="AU34" s="252"/>
      <c r="AV34" s="91">
        <f t="shared" si="20"/>
        <v>0</v>
      </c>
      <c r="AW34" s="8">
        <f t="shared" si="61"/>
        <v>0</v>
      </c>
      <c r="AX34" s="91">
        <f t="shared" si="21"/>
        <v>0</v>
      </c>
      <c r="AY34" s="101"/>
      <c r="AZ34" s="91">
        <f t="shared" si="22"/>
        <v>0</v>
      </c>
      <c r="BA34" s="91">
        <f t="shared" si="62"/>
        <v>0</v>
      </c>
      <c r="BB34" s="91">
        <f t="shared" si="23"/>
        <v>0</v>
      </c>
      <c r="BC34" s="101"/>
      <c r="BD34" s="91">
        <f t="shared" si="24"/>
        <v>0</v>
      </c>
      <c r="BE34" s="91">
        <f t="shared" si="63"/>
        <v>0</v>
      </c>
      <c r="BF34" s="91">
        <f t="shared" si="25"/>
        <v>0</v>
      </c>
      <c r="BG34" s="101"/>
      <c r="BH34" s="91">
        <f t="shared" si="26"/>
        <v>0</v>
      </c>
      <c r="BI34" s="91">
        <f t="shared" si="64"/>
        <v>0</v>
      </c>
      <c r="BJ34" s="91">
        <f t="shared" si="27"/>
        <v>0</v>
      </c>
      <c r="BK34" s="101"/>
      <c r="BL34" s="91"/>
      <c r="BM34" s="91"/>
      <c r="BN34" s="91"/>
      <c r="BO34" s="101"/>
      <c r="BP34" s="91"/>
      <c r="BQ34" s="91"/>
      <c r="BR34" s="91"/>
      <c r="BS34" s="101"/>
      <c r="BT34" s="91"/>
      <c r="BU34" s="91"/>
      <c r="BV34" s="91"/>
      <c r="BW34" s="91">
        <f t="shared" si="65"/>
        <v>4000</v>
      </c>
      <c r="BX34" s="91">
        <f t="shared" si="28"/>
        <v>14.347202295552366</v>
      </c>
      <c r="BY34" s="91">
        <f t="shared" si="66"/>
        <v>150857.5</v>
      </c>
      <c r="BZ34" s="91">
        <f t="shared" si="29"/>
        <v>19.995261550798329</v>
      </c>
      <c r="CA34" s="101"/>
      <c r="CB34" s="91">
        <f t="shared" si="30"/>
        <v>0</v>
      </c>
      <c r="CC34" s="91"/>
      <c r="CD34" s="91">
        <f t="shared" si="31"/>
        <v>0</v>
      </c>
      <c r="CE34" s="101"/>
      <c r="CF34" s="91">
        <f t="shared" si="32"/>
        <v>0</v>
      </c>
      <c r="CG34" s="91">
        <f t="shared" si="67"/>
        <v>412250</v>
      </c>
      <c r="CH34" s="91">
        <f t="shared" si="33"/>
        <v>54.641277857028072</v>
      </c>
      <c r="CI34" s="101"/>
      <c r="CJ34" s="91">
        <f t="shared" si="34"/>
        <v>0</v>
      </c>
      <c r="CK34" s="91">
        <f t="shared" si="68"/>
        <v>0</v>
      </c>
      <c r="CL34" s="91">
        <f t="shared" si="35"/>
        <v>0</v>
      </c>
      <c r="CM34" s="101"/>
      <c r="CN34" s="91">
        <f t="shared" si="36"/>
        <v>0</v>
      </c>
      <c r="CO34" s="91">
        <f t="shared" si="69"/>
        <v>0</v>
      </c>
      <c r="CP34" s="91">
        <f t="shared" si="37"/>
        <v>0</v>
      </c>
      <c r="CQ34" s="101"/>
      <c r="CR34" s="91">
        <f t="shared" si="38"/>
        <v>0</v>
      </c>
      <c r="CS34" s="91">
        <f>CQ34+CS33</f>
        <v>0</v>
      </c>
      <c r="CT34" s="91">
        <f t="shared" si="39"/>
        <v>0</v>
      </c>
      <c r="CU34" s="101"/>
      <c r="CV34" s="91">
        <f t="shared" si="40"/>
        <v>0</v>
      </c>
      <c r="CW34" s="91">
        <f t="shared" si="71"/>
        <v>0</v>
      </c>
      <c r="CX34" s="91">
        <f t="shared" si="41"/>
        <v>0</v>
      </c>
      <c r="CY34" s="101"/>
      <c r="CZ34" s="91">
        <f t="shared" si="42"/>
        <v>0</v>
      </c>
      <c r="DA34" s="91">
        <f t="shared" si="72"/>
        <v>0</v>
      </c>
      <c r="DB34" s="91">
        <f t="shared" si="43"/>
        <v>0</v>
      </c>
      <c r="DC34" s="101">
        <f>96*DC7</f>
        <v>23880</v>
      </c>
      <c r="DD34" s="91">
        <f t="shared" si="44"/>
        <v>85.652797704447636</v>
      </c>
      <c r="DE34" s="91">
        <f t="shared" si="73"/>
        <v>177358.75</v>
      </c>
      <c r="DF34" s="91">
        <f t="shared" si="45"/>
        <v>23.507844121589269</v>
      </c>
      <c r="DG34" s="101"/>
      <c r="DH34" s="91"/>
      <c r="DI34" s="91"/>
      <c r="DJ34" s="91"/>
      <c r="DK34" s="91">
        <f t="shared" si="74"/>
        <v>23880</v>
      </c>
      <c r="DL34" s="91">
        <f t="shared" si="46"/>
        <v>85.652797704447636</v>
      </c>
      <c r="DM34" s="91">
        <f t="shared" si="75"/>
        <v>589608.75</v>
      </c>
      <c r="DN34" s="91">
        <f t="shared" si="47"/>
        <v>78.14912197861733</v>
      </c>
      <c r="DO34" s="101"/>
      <c r="DP34" s="91">
        <f t="shared" si="76"/>
        <v>0</v>
      </c>
      <c r="DQ34" s="91">
        <f t="shared" si="77"/>
        <v>0</v>
      </c>
      <c r="DR34" s="91">
        <f t="shared" si="78"/>
        <v>0</v>
      </c>
      <c r="DS34" s="101"/>
      <c r="DT34" s="92">
        <f t="shared" si="79"/>
        <v>0</v>
      </c>
      <c r="DU34" s="91">
        <f t="shared" si="80"/>
        <v>0</v>
      </c>
      <c r="DV34" s="91">
        <f t="shared" si="81"/>
        <v>0</v>
      </c>
      <c r="DW34" s="101"/>
      <c r="DX34" s="92">
        <f t="shared" si="82"/>
        <v>0</v>
      </c>
      <c r="DY34" s="91">
        <f t="shared" si="83"/>
        <v>0</v>
      </c>
      <c r="DZ34" s="461">
        <f t="shared" si="84"/>
        <v>0</v>
      </c>
      <c r="EA34" s="462"/>
      <c r="EB34" s="91">
        <f t="shared" si="85"/>
        <v>0</v>
      </c>
      <c r="EC34" s="91">
        <f t="shared" si="86"/>
        <v>14000</v>
      </c>
      <c r="ED34" s="91">
        <f t="shared" si="87"/>
        <v>1.855616470584337</v>
      </c>
      <c r="EE34" s="91">
        <f t="shared" si="48"/>
        <v>0</v>
      </c>
      <c r="EF34" s="91">
        <f t="shared" si="88"/>
        <v>0</v>
      </c>
      <c r="EG34" s="91">
        <f t="shared" si="89"/>
        <v>14000</v>
      </c>
      <c r="EH34" s="91">
        <f t="shared" si="90"/>
        <v>1.855616470584337</v>
      </c>
      <c r="EI34" s="101"/>
      <c r="EJ34" s="91">
        <f t="shared" si="91"/>
        <v>0</v>
      </c>
      <c r="EK34" s="91">
        <f t="shared" si="92"/>
        <v>0</v>
      </c>
      <c r="EL34" s="91">
        <f t="shared" si="93"/>
        <v>0</v>
      </c>
      <c r="EM34" s="101"/>
      <c r="EN34" s="91">
        <f t="shared" si="94"/>
        <v>0</v>
      </c>
      <c r="EO34" s="91">
        <f t="shared" si="95"/>
        <v>0</v>
      </c>
      <c r="EP34" s="91">
        <f t="shared" si="96"/>
        <v>0</v>
      </c>
      <c r="EQ34" s="101"/>
      <c r="ER34" s="91">
        <f t="shared" si="97"/>
        <v>0</v>
      </c>
      <c r="ES34" s="91">
        <f t="shared" si="98"/>
        <v>0</v>
      </c>
      <c r="ET34" s="91">
        <f t="shared" si="99"/>
        <v>0</v>
      </c>
      <c r="EU34" s="101"/>
      <c r="EV34" s="91">
        <f t="shared" si="100"/>
        <v>0</v>
      </c>
      <c r="EW34" s="91">
        <f t="shared" si="101"/>
        <v>0</v>
      </c>
      <c r="EX34" s="91">
        <f t="shared" si="102"/>
        <v>0</v>
      </c>
      <c r="EY34" s="91">
        <f t="shared" si="103"/>
        <v>0</v>
      </c>
      <c r="EZ34" s="91">
        <f t="shared" si="104"/>
        <v>0</v>
      </c>
      <c r="FA34" s="91">
        <f t="shared" si="105"/>
        <v>0</v>
      </c>
      <c r="FB34" s="91">
        <f t="shared" si="106"/>
        <v>0</v>
      </c>
      <c r="FC34" s="91">
        <f t="shared" si="111"/>
        <v>27880</v>
      </c>
      <c r="FD34" s="91">
        <f t="shared" si="108"/>
        <v>754466.25</v>
      </c>
      <c r="FE34" s="91">
        <f t="shared" si="49"/>
        <v>1.2051004970823427</v>
      </c>
      <c r="FF34" s="91">
        <f t="shared" si="50"/>
        <v>1.1049011036324974</v>
      </c>
      <c r="FG34" s="6"/>
      <c r="FH34" s="460" t="e">
        <f t="shared" si="109"/>
        <v>#DIV/0!</v>
      </c>
      <c r="FI34" s="460">
        <f>(SUM($FG$10:FG34))/(SUM($EE$10:EE34))</f>
        <v>0</v>
      </c>
      <c r="FJ34" s="3"/>
    </row>
    <row r="35" spans="1:166">
      <c r="A35" s="16">
        <f>+Chem!A35</f>
        <v>45956</v>
      </c>
      <c r="B35" s="6" t="str">
        <f>+Chem!B35</f>
        <v>Toilet</v>
      </c>
      <c r="C35" s="16" t="str">
        <f>+Chem!C35</f>
        <v>13</v>
      </c>
      <c r="D35" s="8">
        <f>+Chem!D35</f>
        <v>35.652999999999999</v>
      </c>
      <c r="E35" s="7">
        <f>+Chem!E35</f>
        <v>24.103000000000002</v>
      </c>
      <c r="F35" s="7">
        <f t="shared" si="110"/>
        <v>706.93899999999996</v>
      </c>
      <c r="G35" s="101"/>
      <c r="H35" s="91">
        <f t="shared" si="0"/>
        <v>0</v>
      </c>
      <c r="I35" s="8">
        <f t="shared" si="51"/>
        <v>0</v>
      </c>
      <c r="J35" s="91">
        <f t="shared" si="1"/>
        <v>0</v>
      </c>
      <c r="K35" s="101">
        <f>14*K7</f>
        <v>3500</v>
      </c>
      <c r="L35" s="91">
        <f t="shared" si="2"/>
        <v>14.347202295552366</v>
      </c>
      <c r="M35" s="91">
        <f t="shared" si="52"/>
        <v>154357.5</v>
      </c>
      <c r="N35" s="91">
        <f t="shared" si="3"/>
        <v>19.818356607162059</v>
      </c>
      <c r="O35" s="101"/>
      <c r="P35" s="91">
        <f t="shared" si="4"/>
        <v>0</v>
      </c>
      <c r="Q35" s="91">
        <f t="shared" si="53"/>
        <v>0</v>
      </c>
      <c r="R35" s="91">
        <f t="shared" si="5"/>
        <v>0</v>
      </c>
      <c r="S35" s="101"/>
      <c r="T35" s="91">
        <f t="shared" si="6"/>
        <v>0</v>
      </c>
      <c r="U35" s="91">
        <f t="shared" si="54"/>
        <v>0</v>
      </c>
      <c r="V35" s="91">
        <f t="shared" si="7"/>
        <v>0</v>
      </c>
      <c r="W35" s="101"/>
      <c r="X35" s="91">
        <f t="shared" si="8"/>
        <v>0</v>
      </c>
      <c r="Y35" s="91">
        <f t="shared" si="55"/>
        <v>0</v>
      </c>
      <c r="Z35" s="91">
        <f t="shared" si="9"/>
        <v>0</v>
      </c>
      <c r="AA35" s="101"/>
      <c r="AB35" s="91">
        <f t="shared" si="10"/>
        <v>0</v>
      </c>
      <c r="AC35" s="91">
        <f t="shared" si="56"/>
        <v>0</v>
      </c>
      <c r="AD35" s="91">
        <f t="shared" si="11"/>
        <v>0</v>
      </c>
      <c r="AE35" s="101"/>
      <c r="AF35" s="91">
        <f t="shared" si="12"/>
        <v>0</v>
      </c>
      <c r="AG35" s="91">
        <f t="shared" si="57"/>
        <v>0</v>
      </c>
      <c r="AH35" s="91">
        <f t="shared" si="13"/>
        <v>0</v>
      </c>
      <c r="AI35" s="101"/>
      <c r="AJ35" s="91">
        <f t="shared" si="14"/>
        <v>0</v>
      </c>
      <c r="AK35" s="91">
        <f t="shared" si="58"/>
        <v>0</v>
      </c>
      <c r="AL35" s="91">
        <f t="shared" si="15"/>
        <v>0</v>
      </c>
      <c r="AM35" s="101"/>
      <c r="AN35" s="91">
        <f t="shared" si="16"/>
        <v>0</v>
      </c>
      <c r="AO35" s="91">
        <f t="shared" si="59"/>
        <v>0</v>
      </c>
      <c r="AP35" s="91">
        <f t="shared" si="17"/>
        <v>0</v>
      </c>
      <c r="AQ35" s="101"/>
      <c r="AR35" s="91">
        <f t="shared" si="18"/>
        <v>0</v>
      </c>
      <c r="AS35" s="91">
        <f t="shared" si="60"/>
        <v>0</v>
      </c>
      <c r="AT35" s="91">
        <f t="shared" si="19"/>
        <v>0</v>
      </c>
      <c r="AU35" s="252"/>
      <c r="AV35" s="91">
        <f t="shared" si="20"/>
        <v>0</v>
      </c>
      <c r="AW35" s="8">
        <f t="shared" si="61"/>
        <v>0</v>
      </c>
      <c r="AX35" s="91">
        <f t="shared" si="21"/>
        <v>0</v>
      </c>
      <c r="AY35" s="101"/>
      <c r="AZ35" s="91">
        <f t="shared" si="22"/>
        <v>0</v>
      </c>
      <c r="BA35" s="91">
        <f t="shared" si="62"/>
        <v>0</v>
      </c>
      <c r="BB35" s="91">
        <f t="shared" si="23"/>
        <v>0</v>
      </c>
      <c r="BC35" s="101"/>
      <c r="BD35" s="91">
        <f t="shared" si="24"/>
        <v>0</v>
      </c>
      <c r="BE35" s="91">
        <f t="shared" si="63"/>
        <v>0</v>
      </c>
      <c r="BF35" s="91">
        <f t="shared" si="25"/>
        <v>0</v>
      </c>
      <c r="BG35" s="101"/>
      <c r="BH35" s="91">
        <f t="shared" si="26"/>
        <v>0</v>
      </c>
      <c r="BI35" s="91">
        <f t="shared" si="64"/>
        <v>0</v>
      </c>
      <c r="BJ35" s="91">
        <f t="shared" si="27"/>
        <v>0</v>
      </c>
      <c r="BK35" s="101"/>
      <c r="BL35" s="91"/>
      <c r="BM35" s="91"/>
      <c r="BN35" s="91"/>
      <c r="BO35" s="101"/>
      <c r="BP35" s="91"/>
      <c r="BQ35" s="91"/>
      <c r="BR35" s="91"/>
      <c r="BS35" s="101"/>
      <c r="BT35" s="91"/>
      <c r="BU35" s="91"/>
      <c r="BV35" s="91"/>
      <c r="BW35" s="91">
        <f t="shared" si="65"/>
        <v>3500</v>
      </c>
      <c r="BX35" s="91">
        <f t="shared" si="28"/>
        <v>14.347202295552366</v>
      </c>
      <c r="BY35" s="91">
        <f t="shared" si="66"/>
        <v>154357.5</v>
      </c>
      <c r="BZ35" s="91">
        <f t="shared" si="29"/>
        <v>19.818356607162059</v>
      </c>
      <c r="CA35" s="101"/>
      <c r="CB35" s="91">
        <f t="shared" si="30"/>
        <v>0</v>
      </c>
      <c r="CC35" s="91"/>
      <c r="CD35" s="91">
        <f t="shared" si="31"/>
        <v>0</v>
      </c>
      <c r="CE35" s="101"/>
      <c r="CF35" s="91">
        <f t="shared" si="32"/>
        <v>0</v>
      </c>
      <c r="CG35" s="91">
        <f t="shared" si="67"/>
        <v>412250</v>
      </c>
      <c r="CH35" s="91">
        <f t="shared" si="33"/>
        <v>52.929838273505069</v>
      </c>
      <c r="CI35" s="101"/>
      <c r="CJ35" s="91">
        <f t="shared" si="34"/>
        <v>0</v>
      </c>
      <c r="CK35" s="91">
        <f t="shared" si="68"/>
        <v>0</v>
      </c>
      <c r="CL35" s="91">
        <f t="shared" si="35"/>
        <v>0</v>
      </c>
      <c r="CM35" s="101"/>
      <c r="CN35" s="91">
        <f t="shared" si="36"/>
        <v>0</v>
      </c>
      <c r="CO35" s="91">
        <f t="shared" si="69"/>
        <v>0</v>
      </c>
      <c r="CP35" s="91">
        <f t="shared" si="37"/>
        <v>0</v>
      </c>
      <c r="CQ35" s="101"/>
      <c r="CR35" s="91">
        <f t="shared" si="38"/>
        <v>0</v>
      </c>
      <c r="CS35" s="91">
        <f>CQ35+CS34</f>
        <v>0</v>
      </c>
      <c r="CT35" s="91">
        <f t="shared" si="39"/>
        <v>0</v>
      </c>
      <c r="CU35" s="101"/>
      <c r="CV35" s="91">
        <f t="shared" si="40"/>
        <v>0</v>
      </c>
      <c r="CW35" s="91">
        <f t="shared" si="71"/>
        <v>0</v>
      </c>
      <c r="CX35" s="91">
        <f t="shared" si="41"/>
        <v>0</v>
      </c>
      <c r="CY35" s="101"/>
      <c r="CZ35" s="91">
        <f t="shared" si="42"/>
        <v>0</v>
      </c>
      <c r="DA35" s="91">
        <f t="shared" si="72"/>
        <v>0</v>
      </c>
      <c r="DB35" s="91">
        <f t="shared" si="43"/>
        <v>0</v>
      </c>
      <c r="DC35" s="101">
        <f>84*DC7</f>
        <v>20895</v>
      </c>
      <c r="DD35" s="91">
        <f t="shared" si="44"/>
        <v>85.652797704447636</v>
      </c>
      <c r="DE35" s="91">
        <f t="shared" si="73"/>
        <v>198253.75</v>
      </c>
      <c r="DF35" s="91">
        <f t="shared" si="45"/>
        <v>25.454309095490373</v>
      </c>
      <c r="DG35" s="101"/>
      <c r="DH35" s="91"/>
      <c r="DI35" s="91"/>
      <c r="DJ35" s="91"/>
      <c r="DK35" s="91">
        <f t="shared" si="74"/>
        <v>20895</v>
      </c>
      <c r="DL35" s="91">
        <f t="shared" si="46"/>
        <v>85.652797704447636</v>
      </c>
      <c r="DM35" s="91">
        <f t="shared" si="75"/>
        <v>610503.75</v>
      </c>
      <c r="DN35" s="91">
        <f t="shared" si="47"/>
        <v>78.384147368995443</v>
      </c>
      <c r="DO35" s="101"/>
      <c r="DP35" s="91">
        <f t="shared" si="76"/>
        <v>0</v>
      </c>
      <c r="DQ35" s="91">
        <f t="shared" si="77"/>
        <v>0</v>
      </c>
      <c r="DR35" s="91">
        <f t="shared" si="78"/>
        <v>0</v>
      </c>
      <c r="DS35" s="101"/>
      <c r="DT35" s="92">
        <f t="shared" si="79"/>
        <v>0</v>
      </c>
      <c r="DU35" s="91">
        <f t="shared" si="80"/>
        <v>0</v>
      </c>
      <c r="DV35" s="91">
        <f t="shared" si="81"/>
        <v>0</v>
      </c>
      <c r="DW35" s="101"/>
      <c r="DX35" s="92">
        <f t="shared" si="82"/>
        <v>0</v>
      </c>
      <c r="DY35" s="91">
        <f t="shared" si="83"/>
        <v>0</v>
      </c>
      <c r="DZ35" s="461">
        <f t="shared" si="84"/>
        <v>0</v>
      </c>
      <c r="EA35" s="462"/>
      <c r="EB35" s="91">
        <f t="shared" si="85"/>
        <v>0</v>
      </c>
      <c r="EC35" s="91">
        <f t="shared" si="86"/>
        <v>14000</v>
      </c>
      <c r="ED35" s="91">
        <f t="shared" si="87"/>
        <v>1.7974960238425006</v>
      </c>
      <c r="EE35" s="91">
        <f t="shared" si="48"/>
        <v>0</v>
      </c>
      <c r="EF35" s="91">
        <f t="shared" si="88"/>
        <v>0</v>
      </c>
      <c r="EG35" s="91">
        <f t="shared" si="89"/>
        <v>14000</v>
      </c>
      <c r="EH35" s="91">
        <f t="shared" si="90"/>
        <v>1.7974960238425006</v>
      </c>
      <c r="EI35" s="101"/>
      <c r="EJ35" s="91">
        <f t="shared" si="91"/>
        <v>0</v>
      </c>
      <c r="EK35" s="91">
        <f t="shared" si="92"/>
        <v>0</v>
      </c>
      <c r="EL35" s="91">
        <f t="shared" si="93"/>
        <v>0</v>
      </c>
      <c r="EM35" s="101"/>
      <c r="EN35" s="91">
        <f t="shared" si="94"/>
        <v>0</v>
      </c>
      <c r="EO35" s="91">
        <f t="shared" si="95"/>
        <v>0</v>
      </c>
      <c r="EP35" s="91">
        <f t="shared" si="96"/>
        <v>0</v>
      </c>
      <c r="EQ35" s="101"/>
      <c r="ER35" s="91">
        <f t="shared" si="97"/>
        <v>0</v>
      </c>
      <c r="ES35" s="91">
        <f t="shared" si="98"/>
        <v>0</v>
      </c>
      <c r="ET35" s="91">
        <f t="shared" si="99"/>
        <v>0</v>
      </c>
      <c r="EU35" s="101"/>
      <c r="EV35" s="91">
        <f t="shared" si="100"/>
        <v>0</v>
      </c>
      <c r="EW35" s="91">
        <f t="shared" si="101"/>
        <v>0</v>
      </c>
      <c r="EX35" s="91">
        <f t="shared" si="102"/>
        <v>0</v>
      </c>
      <c r="EY35" s="91">
        <f t="shared" si="103"/>
        <v>0</v>
      </c>
      <c r="EZ35" s="91">
        <f t="shared" si="104"/>
        <v>0</v>
      </c>
      <c r="FA35" s="91">
        <f t="shared" si="105"/>
        <v>0</v>
      </c>
      <c r="FB35" s="91">
        <f t="shared" si="106"/>
        <v>0</v>
      </c>
      <c r="FC35" s="91">
        <f t="shared" si="111"/>
        <v>24395</v>
      </c>
      <c r="FD35" s="91">
        <f t="shared" si="108"/>
        <v>778861.25</v>
      </c>
      <c r="FE35" s="91">
        <f t="shared" si="49"/>
        <v>1.0121146745218437</v>
      </c>
      <c r="FF35" s="91">
        <f t="shared" si="50"/>
        <v>1.1017375615152087</v>
      </c>
      <c r="FG35" s="6"/>
      <c r="FH35" s="460" t="e">
        <f t="shared" si="109"/>
        <v>#DIV/0!</v>
      </c>
      <c r="FI35" s="460">
        <f>(SUM($FG$10:FG35))/(SUM($EE$10:EE35))</f>
        <v>0</v>
      </c>
      <c r="FJ35" s="373"/>
    </row>
    <row r="36" spans="1:166">
      <c r="A36" s="16">
        <f>+Chem!A36</f>
        <v>45957</v>
      </c>
      <c r="B36" s="6" t="str">
        <f>+Chem!B36</f>
        <v>Toilet</v>
      </c>
      <c r="C36" s="16" t="str">
        <f>+Chem!C36</f>
        <v>13</v>
      </c>
      <c r="D36" s="8">
        <f>+Chem!D36</f>
        <v>33.917999999999999</v>
      </c>
      <c r="E36" s="7">
        <f>+Chem!E36</f>
        <v>27.523</v>
      </c>
      <c r="F36" s="7">
        <f t="shared" si="110"/>
        <v>734.46199999999999</v>
      </c>
      <c r="G36" s="101"/>
      <c r="H36" s="91">
        <f t="shared" si="0"/>
        <v>0</v>
      </c>
      <c r="I36" s="8">
        <f t="shared" si="51"/>
        <v>0</v>
      </c>
      <c r="J36" s="91">
        <f t="shared" si="1"/>
        <v>0</v>
      </c>
      <c r="K36" s="101">
        <f>16.66*K7</f>
        <v>4165</v>
      </c>
      <c r="L36" s="91">
        <f t="shared" si="2"/>
        <v>14.34228650137741</v>
      </c>
      <c r="M36" s="91">
        <f t="shared" si="52"/>
        <v>158522.5</v>
      </c>
      <c r="N36" s="91">
        <f t="shared" si="3"/>
        <v>19.62151933791413</v>
      </c>
      <c r="O36" s="101"/>
      <c r="P36" s="91">
        <f t="shared" si="4"/>
        <v>0</v>
      </c>
      <c r="Q36" s="91">
        <f t="shared" si="53"/>
        <v>0</v>
      </c>
      <c r="R36" s="91">
        <f t="shared" si="5"/>
        <v>0</v>
      </c>
      <c r="S36" s="101"/>
      <c r="T36" s="91">
        <f t="shared" si="6"/>
        <v>0</v>
      </c>
      <c r="U36" s="91">
        <f t="shared" si="54"/>
        <v>0</v>
      </c>
      <c r="V36" s="91">
        <f t="shared" si="7"/>
        <v>0</v>
      </c>
      <c r="W36" s="101"/>
      <c r="X36" s="91">
        <f t="shared" si="8"/>
        <v>0</v>
      </c>
      <c r="Y36" s="91">
        <f t="shared" si="55"/>
        <v>0</v>
      </c>
      <c r="Z36" s="91">
        <f t="shared" si="9"/>
        <v>0</v>
      </c>
      <c r="AA36" s="101"/>
      <c r="AB36" s="91">
        <f t="shared" si="10"/>
        <v>0</v>
      </c>
      <c r="AC36" s="91">
        <f t="shared" si="56"/>
        <v>0</v>
      </c>
      <c r="AD36" s="91">
        <f t="shared" si="11"/>
        <v>0</v>
      </c>
      <c r="AE36" s="101"/>
      <c r="AF36" s="91">
        <f t="shared" si="12"/>
        <v>0</v>
      </c>
      <c r="AG36" s="91">
        <f t="shared" si="57"/>
        <v>0</v>
      </c>
      <c r="AH36" s="91">
        <f t="shared" si="13"/>
        <v>0</v>
      </c>
      <c r="AI36" s="101"/>
      <c r="AJ36" s="91">
        <f t="shared" si="14"/>
        <v>0</v>
      </c>
      <c r="AK36" s="91">
        <f t="shared" si="58"/>
        <v>0</v>
      </c>
      <c r="AL36" s="91">
        <f t="shared" si="15"/>
        <v>0</v>
      </c>
      <c r="AM36" s="101"/>
      <c r="AN36" s="91">
        <f t="shared" si="16"/>
        <v>0</v>
      </c>
      <c r="AO36" s="91">
        <f t="shared" si="59"/>
        <v>0</v>
      </c>
      <c r="AP36" s="91">
        <f t="shared" si="17"/>
        <v>0</v>
      </c>
      <c r="AQ36" s="101"/>
      <c r="AR36" s="91">
        <f t="shared" si="18"/>
        <v>0</v>
      </c>
      <c r="AS36" s="91">
        <f t="shared" si="60"/>
        <v>0</v>
      </c>
      <c r="AT36" s="91">
        <f t="shared" si="19"/>
        <v>0</v>
      </c>
      <c r="AU36" s="252"/>
      <c r="AV36" s="91">
        <f t="shared" si="20"/>
        <v>0</v>
      </c>
      <c r="AW36" s="8">
        <f t="shared" si="61"/>
        <v>0</v>
      </c>
      <c r="AX36" s="91">
        <f t="shared" si="21"/>
        <v>0</v>
      </c>
      <c r="AY36" s="101"/>
      <c r="AZ36" s="91">
        <f t="shared" si="22"/>
        <v>0</v>
      </c>
      <c r="BA36" s="91">
        <f t="shared" si="62"/>
        <v>0</v>
      </c>
      <c r="BB36" s="91">
        <f t="shared" si="23"/>
        <v>0</v>
      </c>
      <c r="BC36" s="101"/>
      <c r="BD36" s="91">
        <f t="shared" si="24"/>
        <v>0</v>
      </c>
      <c r="BE36" s="91">
        <f t="shared" si="63"/>
        <v>0</v>
      </c>
      <c r="BF36" s="91">
        <f t="shared" si="25"/>
        <v>0</v>
      </c>
      <c r="BG36" s="101"/>
      <c r="BH36" s="91">
        <f t="shared" si="26"/>
        <v>0</v>
      </c>
      <c r="BI36" s="91">
        <f t="shared" si="64"/>
        <v>0</v>
      </c>
      <c r="BJ36" s="91">
        <f t="shared" si="27"/>
        <v>0</v>
      </c>
      <c r="BK36" s="101"/>
      <c r="BL36" s="91"/>
      <c r="BM36" s="91"/>
      <c r="BN36" s="91"/>
      <c r="BO36" s="101"/>
      <c r="BP36" s="91"/>
      <c r="BQ36" s="91"/>
      <c r="BR36" s="91"/>
      <c r="BS36" s="101"/>
      <c r="BT36" s="91"/>
      <c r="BU36" s="91"/>
      <c r="BV36" s="91"/>
      <c r="BW36" s="91">
        <f t="shared" si="65"/>
        <v>4165</v>
      </c>
      <c r="BX36" s="91">
        <f t="shared" si="28"/>
        <v>14.34228650137741</v>
      </c>
      <c r="BY36" s="91">
        <f t="shared" si="66"/>
        <v>158522.5</v>
      </c>
      <c r="BZ36" s="91">
        <f t="shared" si="29"/>
        <v>19.62151933791413</v>
      </c>
      <c r="CA36" s="101"/>
      <c r="CB36" s="91">
        <f t="shared" si="30"/>
        <v>0</v>
      </c>
      <c r="CC36" s="91"/>
      <c r="CD36" s="91">
        <f t="shared" si="31"/>
        <v>0</v>
      </c>
      <c r="CE36" s="101"/>
      <c r="CF36" s="91">
        <f t="shared" si="32"/>
        <v>0</v>
      </c>
      <c r="CG36" s="91">
        <f t="shared" si="67"/>
        <v>412250</v>
      </c>
      <c r="CH36" s="91">
        <f t="shared" si="33"/>
        <v>51.0272759201697</v>
      </c>
      <c r="CI36" s="101"/>
      <c r="CJ36" s="91">
        <f t="shared" si="34"/>
        <v>0</v>
      </c>
      <c r="CK36" s="91">
        <f t="shared" si="68"/>
        <v>0</v>
      </c>
      <c r="CL36" s="91">
        <f t="shared" si="35"/>
        <v>0</v>
      </c>
      <c r="CM36" s="101"/>
      <c r="CN36" s="91">
        <f t="shared" si="36"/>
        <v>0</v>
      </c>
      <c r="CO36" s="91">
        <f t="shared" si="69"/>
        <v>0</v>
      </c>
      <c r="CP36" s="91">
        <f t="shared" si="37"/>
        <v>0</v>
      </c>
      <c r="CQ36" s="101"/>
      <c r="CR36" s="91">
        <f t="shared" si="38"/>
        <v>0</v>
      </c>
      <c r="CS36" s="91">
        <f t="shared" si="70"/>
        <v>0</v>
      </c>
      <c r="CT36" s="91">
        <f t="shared" si="39"/>
        <v>0</v>
      </c>
      <c r="CU36" s="101"/>
      <c r="CV36" s="91">
        <f t="shared" si="40"/>
        <v>0</v>
      </c>
      <c r="CW36" s="91">
        <f t="shared" si="71"/>
        <v>0</v>
      </c>
      <c r="CX36" s="91">
        <f t="shared" si="41"/>
        <v>0</v>
      </c>
      <c r="CY36" s="101"/>
      <c r="CZ36" s="91">
        <f t="shared" si="42"/>
        <v>0</v>
      </c>
      <c r="DA36" s="91">
        <f t="shared" si="72"/>
        <v>0</v>
      </c>
      <c r="DB36" s="91">
        <f t="shared" si="43"/>
        <v>0</v>
      </c>
      <c r="DC36" s="101">
        <f>100*DC7</f>
        <v>24875</v>
      </c>
      <c r="DD36" s="91">
        <f t="shared" si="44"/>
        <v>85.657713498622584</v>
      </c>
      <c r="DE36" s="91">
        <f t="shared" si="73"/>
        <v>223128.75</v>
      </c>
      <c r="DF36" s="91">
        <f t="shared" si="45"/>
        <v>27.618319689442245</v>
      </c>
      <c r="DG36" s="101"/>
      <c r="DH36" s="91"/>
      <c r="DI36" s="91"/>
      <c r="DJ36" s="91"/>
      <c r="DK36" s="91">
        <f t="shared" si="74"/>
        <v>24875</v>
      </c>
      <c r="DL36" s="91">
        <f t="shared" si="46"/>
        <v>85.657713498622584</v>
      </c>
      <c r="DM36" s="91">
        <f t="shared" si="75"/>
        <v>635378.75</v>
      </c>
      <c r="DN36" s="91">
        <f t="shared" si="47"/>
        <v>78.645595609611945</v>
      </c>
      <c r="DO36" s="101"/>
      <c r="DP36" s="91">
        <f t="shared" si="76"/>
        <v>0</v>
      </c>
      <c r="DQ36" s="91">
        <f t="shared" si="77"/>
        <v>0</v>
      </c>
      <c r="DR36" s="91">
        <f t="shared" si="78"/>
        <v>0</v>
      </c>
      <c r="DS36" s="101"/>
      <c r="DT36" s="92">
        <f t="shared" si="79"/>
        <v>0</v>
      </c>
      <c r="DU36" s="91">
        <f t="shared" si="80"/>
        <v>0</v>
      </c>
      <c r="DV36" s="91">
        <f t="shared" si="81"/>
        <v>0</v>
      </c>
      <c r="DW36" s="101"/>
      <c r="DX36" s="92">
        <f t="shared" si="82"/>
        <v>0</v>
      </c>
      <c r="DY36" s="91">
        <f t="shared" si="83"/>
        <v>0</v>
      </c>
      <c r="DZ36" s="461">
        <f t="shared" si="84"/>
        <v>0</v>
      </c>
      <c r="EA36" s="462"/>
      <c r="EB36" s="91">
        <f t="shared" si="85"/>
        <v>0</v>
      </c>
      <c r="EC36" s="91">
        <f t="shared" si="86"/>
        <v>14000</v>
      </c>
      <c r="ED36" s="91">
        <f t="shared" si="87"/>
        <v>1.7328850524739254</v>
      </c>
      <c r="EE36" s="91">
        <f t="shared" si="48"/>
        <v>0</v>
      </c>
      <c r="EF36" s="91">
        <f t="shared" si="88"/>
        <v>0</v>
      </c>
      <c r="EG36" s="91">
        <f t="shared" si="89"/>
        <v>14000</v>
      </c>
      <c r="EH36" s="91">
        <f t="shared" si="90"/>
        <v>1.7328850524739254</v>
      </c>
      <c r="EI36" s="101"/>
      <c r="EJ36" s="91">
        <f t="shared" si="91"/>
        <v>0</v>
      </c>
      <c r="EK36" s="91">
        <f t="shared" si="92"/>
        <v>0</v>
      </c>
      <c r="EL36" s="91">
        <f t="shared" si="93"/>
        <v>0</v>
      </c>
      <c r="EM36" s="101"/>
      <c r="EN36" s="91">
        <f t="shared" si="94"/>
        <v>0</v>
      </c>
      <c r="EO36" s="91">
        <f t="shared" si="95"/>
        <v>0</v>
      </c>
      <c r="EP36" s="91">
        <f t="shared" si="96"/>
        <v>0</v>
      </c>
      <c r="EQ36" s="101"/>
      <c r="ER36" s="91">
        <f t="shared" si="97"/>
        <v>0</v>
      </c>
      <c r="ES36" s="91">
        <f t="shared" si="98"/>
        <v>0</v>
      </c>
      <c r="ET36" s="91">
        <f t="shared" si="99"/>
        <v>0</v>
      </c>
      <c r="EU36" s="101"/>
      <c r="EV36" s="91">
        <f t="shared" si="100"/>
        <v>0</v>
      </c>
      <c r="EW36" s="91">
        <f t="shared" si="101"/>
        <v>0</v>
      </c>
      <c r="EX36" s="91">
        <f t="shared" si="102"/>
        <v>0</v>
      </c>
      <c r="EY36" s="91">
        <f t="shared" si="103"/>
        <v>0</v>
      </c>
      <c r="EZ36" s="91">
        <f t="shared" si="104"/>
        <v>0</v>
      </c>
      <c r="FA36" s="91">
        <f t="shared" si="105"/>
        <v>0</v>
      </c>
      <c r="FB36" s="91">
        <f t="shared" si="106"/>
        <v>0</v>
      </c>
      <c r="FC36" s="91">
        <f t="shared" si="111"/>
        <v>29040</v>
      </c>
      <c r="FD36" s="91">
        <f t="shared" si="108"/>
        <v>807901.25</v>
      </c>
      <c r="FE36" s="91">
        <f t="shared" si="49"/>
        <v>1.0551175380590778</v>
      </c>
      <c r="FF36" s="91">
        <f t="shared" si="50"/>
        <v>1.0999905372912417</v>
      </c>
      <c r="FG36" s="6"/>
      <c r="FH36" s="460" t="e">
        <f t="shared" si="109"/>
        <v>#DIV/0!</v>
      </c>
      <c r="FI36" s="460">
        <f>(SUM($FG$10:FG36))/(SUM($EE$10:EE36))</f>
        <v>0</v>
      </c>
      <c r="FJ36" s="3"/>
    </row>
    <row r="37" spans="1:166">
      <c r="A37" s="16">
        <f>+Chem!A37</f>
        <v>45958</v>
      </c>
      <c r="B37" s="6" t="str">
        <f>+Chem!B37</f>
        <v>Toilet</v>
      </c>
      <c r="C37" s="16" t="str">
        <f>+Chem!C37</f>
        <v>13</v>
      </c>
      <c r="D37" s="8">
        <f>+Chem!D37</f>
        <v>44.515000000000001</v>
      </c>
      <c r="E37" s="7">
        <f>+Chem!E37</f>
        <v>50.752000000000002</v>
      </c>
      <c r="F37" s="7">
        <f t="shared" si="110"/>
        <v>785.21399999999994</v>
      </c>
      <c r="G37" s="101"/>
      <c r="H37" s="91">
        <f t="shared" si="0"/>
        <v>0</v>
      </c>
      <c r="I37" s="8">
        <f t="shared" si="51"/>
        <v>0</v>
      </c>
      <c r="J37" s="91">
        <f t="shared" si="1"/>
        <v>0</v>
      </c>
      <c r="K37" s="101">
        <f>24.67*K7</f>
        <v>6167.5</v>
      </c>
      <c r="L37" s="91">
        <f t="shared" si="2"/>
        <v>14.348862909323563</v>
      </c>
      <c r="M37" s="91">
        <f t="shared" si="52"/>
        <v>164690</v>
      </c>
      <c r="N37" s="91">
        <f t="shared" si="3"/>
        <v>19.355170433093825</v>
      </c>
      <c r="O37" s="101"/>
      <c r="P37" s="91">
        <f t="shared" si="4"/>
        <v>0</v>
      </c>
      <c r="Q37" s="91">
        <f t="shared" si="53"/>
        <v>0</v>
      </c>
      <c r="R37" s="91">
        <f t="shared" si="5"/>
        <v>0</v>
      </c>
      <c r="S37" s="101"/>
      <c r="T37" s="91">
        <f t="shared" si="6"/>
        <v>0</v>
      </c>
      <c r="U37" s="91">
        <f t="shared" si="54"/>
        <v>0</v>
      </c>
      <c r="V37" s="91">
        <f t="shared" si="7"/>
        <v>0</v>
      </c>
      <c r="W37" s="101"/>
      <c r="X37" s="91">
        <f t="shared" si="8"/>
        <v>0</v>
      </c>
      <c r="Y37" s="91">
        <f t="shared" si="55"/>
        <v>0</v>
      </c>
      <c r="Z37" s="91">
        <f t="shared" si="9"/>
        <v>0</v>
      </c>
      <c r="AA37" s="101"/>
      <c r="AB37" s="91">
        <f t="shared" si="10"/>
        <v>0</v>
      </c>
      <c r="AC37" s="91">
        <f t="shared" si="56"/>
        <v>0</v>
      </c>
      <c r="AD37" s="91">
        <f t="shared" si="11"/>
        <v>0</v>
      </c>
      <c r="AE37" s="101"/>
      <c r="AF37" s="91">
        <f t="shared" si="12"/>
        <v>0</v>
      </c>
      <c r="AG37" s="91">
        <f t="shared" si="57"/>
        <v>0</v>
      </c>
      <c r="AH37" s="91">
        <f t="shared" si="13"/>
        <v>0</v>
      </c>
      <c r="AI37" s="101"/>
      <c r="AJ37" s="91">
        <f t="shared" si="14"/>
        <v>0</v>
      </c>
      <c r="AK37" s="91">
        <f t="shared" si="58"/>
        <v>0</v>
      </c>
      <c r="AL37" s="91">
        <f t="shared" si="15"/>
        <v>0</v>
      </c>
      <c r="AM37" s="101"/>
      <c r="AN37" s="91">
        <f t="shared" si="16"/>
        <v>0</v>
      </c>
      <c r="AO37" s="91">
        <f t="shared" si="59"/>
        <v>0</v>
      </c>
      <c r="AP37" s="91">
        <f t="shared" si="17"/>
        <v>0</v>
      </c>
      <c r="AQ37" s="101"/>
      <c r="AR37" s="91">
        <f t="shared" si="18"/>
        <v>0</v>
      </c>
      <c r="AS37" s="91">
        <f t="shared" si="60"/>
        <v>0</v>
      </c>
      <c r="AT37" s="91">
        <f t="shared" si="19"/>
        <v>0</v>
      </c>
      <c r="AU37" s="252"/>
      <c r="AV37" s="91">
        <f t="shared" si="20"/>
        <v>0</v>
      </c>
      <c r="AW37" s="8">
        <f t="shared" si="61"/>
        <v>0</v>
      </c>
      <c r="AX37" s="91">
        <f t="shared" si="21"/>
        <v>0</v>
      </c>
      <c r="AY37" s="101"/>
      <c r="AZ37" s="91">
        <f t="shared" si="22"/>
        <v>0</v>
      </c>
      <c r="BA37" s="91">
        <f t="shared" si="62"/>
        <v>0</v>
      </c>
      <c r="BB37" s="91">
        <f t="shared" si="23"/>
        <v>0</v>
      </c>
      <c r="BC37" s="101"/>
      <c r="BD37" s="91">
        <f t="shared" si="24"/>
        <v>0</v>
      </c>
      <c r="BE37" s="91">
        <f t="shared" si="63"/>
        <v>0</v>
      </c>
      <c r="BF37" s="91">
        <f t="shared" si="25"/>
        <v>0</v>
      </c>
      <c r="BG37" s="101"/>
      <c r="BH37" s="91">
        <f t="shared" si="26"/>
        <v>0</v>
      </c>
      <c r="BI37" s="91">
        <f t="shared" si="64"/>
        <v>0</v>
      </c>
      <c r="BJ37" s="91">
        <f t="shared" si="27"/>
        <v>0</v>
      </c>
      <c r="BK37" s="101"/>
      <c r="BL37" s="91"/>
      <c r="BM37" s="91"/>
      <c r="BN37" s="91"/>
      <c r="BO37" s="101"/>
      <c r="BP37" s="91"/>
      <c r="BQ37" s="91"/>
      <c r="BR37" s="91"/>
      <c r="BS37" s="101"/>
      <c r="BT37" s="91"/>
      <c r="BU37" s="91"/>
      <c r="BV37" s="91"/>
      <c r="BW37" s="91">
        <f>G37+AY37+BK37+BG37+BS37+BO37+AU37+AI37+BC37+AQ37+AA37+AM37+AE37+K37+W37+S37+O37</f>
        <v>6167.5</v>
      </c>
      <c r="BX37" s="91">
        <f t="shared" si="28"/>
        <v>14.348862909323563</v>
      </c>
      <c r="BY37" s="91">
        <f t="shared" si="66"/>
        <v>164690</v>
      </c>
      <c r="BZ37" s="91">
        <f t="shared" si="29"/>
        <v>19.355170433093825</v>
      </c>
      <c r="CA37" s="101"/>
      <c r="CB37" s="91">
        <f t="shared" si="30"/>
        <v>0</v>
      </c>
      <c r="CC37" s="91"/>
      <c r="CD37" s="91">
        <f t="shared" si="31"/>
        <v>0</v>
      </c>
      <c r="CE37" s="101"/>
      <c r="CF37" s="91">
        <f t="shared" si="32"/>
        <v>0</v>
      </c>
      <c r="CG37" s="91">
        <f t="shared" si="67"/>
        <v>412250</v>
      </c>
      <c r="CH37" s="91">
        <f t="shared" si="33"/>
        <v>48.449626638186473</v>
      </c>
      <c r="CI37" s="101"/>
      <c r="CJ37" s="91">
        <f t="shared" si="34"/>
        <v>0</v>
      </c>
      <c r="CK37" s="91">
        <f t="shared" si="68"/>
        <v>0</v>
      </c>
      <c r="CL37" s="91">
        <f t="shared" si="35"/>
        <v>0</v>
      </c>
      <c r="CM37" s="101"/>
      <c r="CN37" s="91">
        <f t="shared" si="36"/>
        <v>0</v>
      </c>
      <c r="CO37" s="91">
        <f t="shared" si="69"/>
        <v>0</v>
      </c>
      <c r="CP37" s="91">
        <f t="shared" si="37"/>
        <v>0</v>
      </c>
      <c r="CQ37" s="101"/>
      <c r="CR37" s="91">
        <f t="shared" si="38"/>
        <v>0</v>
      </c>
      <c r="CS37" s="91">
        <f t="shared" si="70"/>
        <v>0</v>
      </c>
      <c r="CT37" s="91">
        <f t="shared" si="39"/>
        <v>0</v>
      </c>
      <c r="CU37" s="101"/>
      <c r="CV37" s="91">
        <f t="shared" si="40"/>
        <v>0</v>
      </c>
      <c r="CW37" s="91">
        <f t="shared" si="71"/>
        <v>0</v>
      </c>
      <c r="CX37" s="91">
        <f t="shared" si="41"/>
        <v>0</v>
      </c>
      <c r="CY37" s="101"/>
      <c r="CZ37" s="91">
        <f t="shared" si="42"/>
        <v>0</v>
      </c>
      <c r="DA37" s="91">
        <f t="shared" si="72"/>
        <v>0</v>
      </c>
      <c r="DB37" s="91">
        <f t="shared" si="43"/>
        <v>0</v>
      </c>
      <c r="DC37" s="101">
        <f>148*DC7</f>
        <v>36815</v>
      </c>
      <c r="DD37" s="91">
        <f t="shared" si="44"/>
        <v>85.651137090676443</v>
      </c>
      <c r="DE37" s="91">
        <f t="shared" si="73"/>
        <v>259943.75</v>
      </c>
      <c r="DF37" s="91">
        <f t="shared" si="45"/>
        <v>30.549854783335562</v>
      </c>
      <c r="DG37" s="101"/>
      <c r="DH37" s="91"/>
      <c r="DI37" s="91"/>
      <c r="DJ37" s="91"/>
      <c r="DK37" s="91">
        <f t="shared" si="74"/>
        <v>36815</v>
      </c>
      <c r="DL37" s="91">
        <f t="shared" si="46"/>
        <v>85.651137090676443</v>
      </c>
      <c r="DM37" s="91">
        <f t="shared" si="75"/>
        <v>672193.75</v>
      </c>
      <c r="DN37" s="91">
        <f t="shared" si="47"/>
        <v>78.999481421522034</v>
      </c>
      <c r="DO37" s="101"/>
      <c r="DP37" s="91">
        <f t="shared" si="76"/>
        <v>0</v>
      </c>
      <c r="DQ37" s="91">
        <f t="shared" si="77"/>
        <v>0</v>
      </c>
      <c r="DR37" s="91">
        <f t="shared" si="78"/>
        <v>0</v>
      </c>
      <c r="DS37" s="101"/>
      <c r="DT37" s="92">
        <f t="shared" si="79"/>
        <v>0</v>
      </c>
      <c r="DU37" s="91">
        <f t="shared" si="80"/>
        <v>0</v>
      </c>
      <c r="DV37" s="91">
        <f t="shared" si="81"/>
        <v>0</v>
      </c>
      <c r="DW37" s="101"/>
      <c r="DX37" s="92">
        <f t="shared" si="82"/>
        <v>0</v>
      </c>
      <c r="DY37" s="91">
        <f t="shared" si="83"/>
        <v>0</v>
      </c>
      <c r="DZ37" s="461">
        <f t="shared" si="84"/>
        <v>0</v>
      </c>
      <c r="EA37" s="462"/>
      <c r="EB37" s="91">
        <f t="shared" si="85"/>
        <v>0</v>
      </c>
      <c r="EC37" s="91">
        <f t="shared" si="86"/>
        <v>14000</v>
      </c>
      <c r="ED37" s="91">
        <f t="shared" si="87"/>
        <v>1.6453481453841374</v>
      </c>
      <c r="EE37" s="91">
        <f t="shared" si="48"/>
        <v>0</v>
      </c>
      <c r="EF37" s="91">
        <f t="shared" si="88"/>
        <v>0</v>
      </c>
      <c r="EG37" s="91">
        <f t="shared" si="89"/>
        <v>14000</v>
      </c>
      <c r="EH37" s="91">
        <f t="shared" si="90"/>
        <v>1.6453481453841374</v>
      </c>
      <c r="EI37" s="101"/>
      <c r="EJ37" s="91">
        <f t="shared" si="91"/>
        <v>0</v>
      </c>
      <c r="EK37" s="91">
        <f t="shared" si="92"/>
        <v>0</v>
      </c>
      <c r="EL37" s="91">
        <f t="shared" si="93"/>
        <v>0</v>
      </c>
      <c r="EM37" s="101"/>
      <c r="EN37" s="91">
        <f t="shared" si="94"/>
        <v>0</v>
      </c>
      <c r="EO37" s="91">
        <f t="shared" si="95"/>
        <v>0</v>
      </c>
      <c r="EP37" s="91">
        <f t="shared" si="96"/>
        <v>0</v>
      </c>
      <c r="EQ37" s="101"/>
      <c r="ER37" s="91">
        <f t="shared" si="97"/>
        <v>0</v>
      </c>
      <c r="ES37" s="91">
        <f t="shared" si="98"/>
        <v>0</v>
      </c>
      <c r="ET37" s="91">
        <f t="shared" si="99"/>
        <v>0</v>
      </c>
      <c r="EU37" s="101"/>
      <c r="EV37" s="91">
        <f t="shared" si="100"/>
        <v>0</v>
      </c>
      <c r="EW37" s="91">
        <f t="shared" si="101"/>
        <v>0</v>
      </c>
      <c r="EX37" s="91">
        <f t="shared" si="102"/>
        <v>0</v>
      </c>
      <c r="EY37" s="91">
        <f t="shared" si="103"/>
        <v>0</v>
      </c>
      <c r="EZ37" s="91">
        <f t="shared" si="104"/>
        <v>0</v>
      </c>
      <c r="FA37" s="91">
        <f t="shared" si="105"/>
        <v>0</v>
      </c>
      <c r="FB37" s="91">
        <f t="shared" si="106"/>
        <v>0</v>
      </c>
      <c r="FC37" s="91">
        <f t="shared" si="111"/>
        <v>42982.5</v>
      </c>
      <c r="FD37" s="91">
        <f t="shared" si="108"/>
        <v>850883.75</v>
      </c>
      <c r="FE37" s="91">
        <f t="shared" si="49"/>
        <v>0.84691243694829754</v>
      </c>
      <c r="FF37" s="91">
        <f t="shared" si="50"/>
        <v>1.0836329331876406</v>
      </c>
      <c r="FG37" s="6"/>
      <c r="FH37" s="460" t="e">
        <f t="shared" si="109"/>
        <v>#DIV/0!</v>
      </c>
      <c r="FI37" s="460">
        <f>(SUM($FG$10:FG37))/(SUM($EE$10:EE37))</f>
        <v>0</v>
      </c>
      <c r="FJ37" s="3"/>
    </row>
    <row r="38" spans="1:166">
      <c r="A38" s="16">
        <f>+Chem!A38</f>
        <v>45959</v>
      </c>
      <c r="B38" s="6" t="str">
        <f>+Chem!B38</f>
        <v>Toilet/Facial</v>
      </c>
      <c r="C38" s="16" t="str">
        <f>+Chem!C38</f>
        <v>13/13</v>
      </c>
      <c r="D38" s="8">
        <f>+Chem!D38</f>
        <v>46.292000000000002</v>
      </c>
      <c r="E38" s="7">
        <f>+Chem!E38</f>
        <v>41.235999999999997</v>
      </c>
      <c r="F38" s="7">
        <f t="shared" si="110"/>
        <v>826.44999999999993</v>
      </c>
      <c r="G38" s="101"/>
      <c r="H38" s="91">
        <f t="shared" si="0"/>
        <v>0</v>
      </c>
      <c r="I38" s="8">
        <f t="shared" si="51"/>
        <v>0</v>
      </c>
      <c r="J38" s="91">
        <f t="shared" si="1"/>
        <v>0</v>
      </c>
      <c r="K38" s="101">
        <f>28.33*K7</f>
        <v>7082.5</v>
      </c>
      <c r="L38" s="91">
        <f t="shared" si="2"/>
        <v>18.023634946638463</v>
      </c>
      <c r="M38" s="91">
        <f t="shared" si="52"/>
        <v>171772.5</v>
      </c>
      <c r="N38" s="91">
        <f t="shared" si="3"/>
        <v>19.296391808673391</v>
      </c>
      <c r="O38" s="101"/>
      <c r="P38" s="91">
        <f t="shared" si="4"/>
        <v>0</v>
      </c>
      <c r="Q38" s="91">
        <f t="shared" si="53"/>
        <v>0</v>
      </c>
      <c r="R38" s="91">
        <f t="shared" si="5"/>
        <v>0</v>
      </c>
      <c r="S38" s="101"/>
      <c r="T38" s="91">
        <f t="shared" si="6"/>
        <v>0</v>
      </c>
      <c r="U38" s="91">
        <f t="shared" si="54"/>
        <v>0</v>
      </c>
      <c r="V38" s="91">
        <f t="shared" si="7"/>
        <v>0</v>
      </c>
      <c r="W38" s="101"/>
      <c r="X38" s="91">
        <f t="shared" si="8"/>
        <v>0</v>
      </c>
      <c r="Y38" s="91">
        <f t="shared" si="55"/>
        <v>0</v>
      </c>
      <c r="Z38" s="91">
        <f t="shared" si="9"/>
        <v>0</v>
      </c>
      <c r="AA38" s="101"/>
      <c r="AB38" s="91">
        <f t="shared" si="10"/>
        <v>0</v>
      </c>
      <c r="AC38" s="91">
        <f t="shared" si="56"/>
        <v>0</v>
      </c>
      <c r="AD38" s="91">
        <f t="shared" si="11"/>
        <v>0</v>
      </c>
      <c r="AE38" s="101"/>
      <c r="AF38" s="91">
        <f t="shared" si="12"/>
        <v>0</v>
      </c>
      <c r="AG38" s="91">
        <f t="shared" si="57"/>
        <v>0</v>
      </c>
      <c r="AH38" s="91">
        <f t="shared" si="13"/>
        <v>0</v>
      </c>
      <c r="AI38" s="101"/>
      <c r="AJ38" s="91">
        <f t="shared" si="14"/>
        <v>0</v>
      </c>
      <c r="AK38" s="91">
        <f t="shared" si="58"/>
        <v>0</v>
      </c>
      <c r="AL38" s="91">
        <f t="shared" si="15"/>
        <v>0</v>
      </c>
      <c r="AM38" s="101"/>
      <c r="AN38" s="91">
        <f t="shared" si="16"/>
        <v>0</v>
      </c>
      <c r="AO38" s="91">
        <f t="shared" si="59"/>
        <v>0</v>
      </c>
      <c r="AP38" s="91">
        <f t="shared" si="17"/>
        <v>0</v>
      </c>
      <c r="AQ38" s="101"/>
      <c r="AR38" s="91">
        <f t="shared" si="18"/>
        <v>0</v>
      </c>
      <c r="AS38" s="91">
        <f t="shared" si="60"/>
        <v>0</v>
      </c>
      <c r="AT38" s="91">
        <f t="shared" si="19"/>
        <v>0</v>
      </c>
      <c r="AU38" s="252"/>
      <c r="AV38" s="91">
        <f t="shared" si="20"/>
        <v>0</v>
      </c>
      <c r="AW38" s="8">
        <f t="shared" si="61"/>
        <v>0</v>
      </c>
      <c r="AX38" s="91">
        <f t="shared" si="21"/>
        <v>0</v>
      </c>
      <c r="AY38" s="101"/>
      <c r="AZ38" s="91">
        <f t="shared" si="22"/>
        <v>0</v>
      </c>
      <c r="BA38" s="91">
        <f t="shared" si="62"/>
        <v>0</v>
      </c>
      <c r="BB38" s="91">
        <f t="shared" si="23"/>
        <v>0</v>
      </c>
      <c r="BC38" s="101"/>
      <c r="BD38" s="91">
        <f t="shared" si="24"/>
        <v>0</v>
      </c>
      <c r="BE38" s="91">
        <f t="shared" si="63"/>
        <v>0</v>
      </c>
      <c r="BF38" s="91">
        <f t="shared" si="25"/>
        <v>0</v>
      </c>
      <c r="BG38" s="101"/>
      <c r="BH38" s="91">
        <f t="shared" si="26"/>
        <v>0</v>
      </c>
      <c r="BI38" s="91">
        <f t="shared" si="64"/>
        <v>0</v>
      </c>
      <c r="BJ38" s="91">
        <f t="shared" si="27"/>
        <v>0</v>
      </c>
      <c r="BK38" s="101"/>
      <c r="BL38" s="91"/>
      <c r="BM38" s="91"/>
      <c r="BN38" s="91"/>
      <c r="BO38" s="101"/>
      <c r="BP38" s="91"/>
      <c r="BQ38" s="91"/>
      <c r="BR38" s="91"/>
      <c r="BS38" s="101"/>
      <c r="BT38" s="91"/>
      <c r="BU38" s="91"/>
      <c r="BV38" s="91"/>
      <c r="BW38" s="91">
        <f t="shared" si="65"/>
        <v>7082.5</v>
      </c>
      <c r="BX38" s="91">
        <f t="shared" si="28"/>
        <v>18.023634946638463</v>
      </c>
      <c r="BY38" s="91">
        <f t="shared" si="66"/>
        <v>171772.5</v>
      </c>
      <c r="BZ38" s="91">
        <f t="shared" si="29"/>
        <v>19.296391808673391</v>
      </c>
      <c r="CA38" s="101"/>
      <c r="CB38" s="91">
        <f t="shared" si="30"/>
        <v>0</v>
      </c>
      <c r="CC38" s="91"/>
      <c r="CD38" s="91">
        <f t="shared" si="31"/>
        <v>0</v>
      </c>
      <c r="CE38" s="101"/>
      <c r="CF38" s="91">
        <f t="shared" si="32"/>
        <v>0</v>
      </c>
      <c r="CG38" s="91">
        <f t="shared" si="67"/>
        <v>412250</v>
      </c>
      <c r="CH38" s="91">
        <f t="shared" si="33"/>
        <v>46.310890993177637</v>
      </c>
      <c r="CI38" s="101"/>
      <c r="CJ38" s="91">
        <f t="shared" si="34"/>
        <v>0</v>
      </c>
      <c r="CK38" s="91">
        <f t="shared" si="68"/>
        <v>0</v>
      </c>
      <c r="CL38" s="91">
        <f t="shared" si="35"/>
        <v>0</v>
      </c>
      <c r="CM38" s="101"/>
      <c r="CN38" s="91">
        <f t="shared" si="36"/>
        <v>0</v>
      </c>
      <c r="CO38" s="91">
        <f t="shared" si="69"/>
        <v>0</v>
      </c>
      <c r="CP38" s="91">
        <f t="shared" si="37"/>
        <v>0</v>
      </c>
      <c r="CQ38" s="101"/>
      <c r="CR38" s="91">
        <f t="shared" si="38"/>
        <v>0</v>
      </c>
      <c r="CS38" s="91">
        <f t="shared" si="70"/>
        <v>0</v>
      </c>
      <c r="CT38" s="91">
        <f t="shared" si="39"/>
        <v>0</v>
      </c>
      <c r="CU38" s="101"/>
      <c r="CV38" s="91">
        <f t="shared" si="40"/>
        <v>0</v>
      </c>
      <c r="CW38" s="91">
        <f t="shared" si="71"/>
        <v>0</v>
      </c>
      <c r="CX38" s="91">
        <f t="shared" si="41"/>
        <v>0</v>
      </c>
      <c r="CY38" s="101"/>
      <c r="CZ38" s="91">
        <f t="shared" si="42"/>
        <v>0</v>
      </c>
      <c r="DA38" s="91">
        <f t="shared" si="72"/>
        <v>0</v>
      </c>
      <c r="DB38" s="91">
        <f t="shared" si="43"/>
        <v>0</v>
      </c>
      <c r="DC38" s="101">
        <f>129.5*DC7</f>
        <v>32213.125</v>
      </c>
      <c r="DD38" s="91">
        <f t="shared" si="44"/>
        <v>81.976365053361533</v>
      </c>
      <c r="DE38" s="91">
        <f t="shared" si="73"/>
        <v>292156.875</v>
      </c>
      <c r="DF38" s="91">
        <f t="shared" si="45"/>
        <v>32.820000463389754</v>
      </c>
      <c r="DG38" s="101"/>
      <c r="DH38" s="91"/>
      <c r="DI38" s="91"/>
      <c r="DJ38" s="91"/>
      <c r="DK38" s="91">
        <f t="shared" si="74"/>
        <v>32213.125</v>
      </c>
      <c r="DL38" s="91">
        <f t="shared" si="46"/>
        <v>81.976365053361533</v>
      </c>
      <c r="DM38" s="91">
        <f t="shared" si="75"/>
        <v>704406.875</v>
      </c>
      <c r="DN38" s="91">
        <f t="shared" si="47"/>
        <v>79.130891456567383</v>
      </c>
      <c r="DO38" s="101"/>
      <c r="DP38" s="91">
        <f t="shared" si="76"/>
        <v>0</v>
      </c>
      <c r="DQ38" s="91">
        <f t="shared" si="77"/>
        <v>0</v>
      </c>
      <c r="DR38" s="91">
        <f t="shared" si="78"/>
        <v>0</v>
      </c>
      <c r="DS38" s="101"/>
      <c r="DT38" s="92">
        <f t="shared" si="79"/>
        <v>0</v>
      </c>
      <c r="DU38" s="91">
        <f t="shared" si="80"/>
        <v>0</v>
      </c>
      <c r="DV38" s="91">
        <f t="shared" si="81"/>
        <v>0</v>
      </c>
      <c r="DW38" s="101"/>
      <c r="DX38" s="92">
        <f t="shared" si="82"/>
        <v>0</v>
      </c>
      <c r="DY38" s="91">
        <f t="shared" si="83"/>
        <v>0</v>
      </c>
      <c r="DZ38" s="461">
        <f t="shared" si="84"/>
        <v>0</v>
      </c>
      <c r="EA38" s="101"/>
      <c r="EB38" s="91">
        <f t="shared" si="85"/>
        <v>0</v>
      </c>
      <c r="EC38" s="91">
        <f t="shared" si="86"/>
        <v>14000</v>
      </c>
      <c r="ED38" s="91">
        <f t="shared" si="87"/>
        <v>1.5727167347592164</v>
      </c>
      <c r="EE38" s="91">
        <f t="shared" si="48"/>
        <v>0</v>
      </c>
      <c r="EF38" s="91">
        <f t="shared" si="88"/>
        <v>0</v>
      </c>
      <c r="EG38" s="91">
        <f t="shared" si="89"/>
        <v>14000</v>
      </c>
      <c r="EH38" s="91">
        <f t="shared" si="90"/>
        <v>1.5727167347592164</v>
      </c>
      <c r="EI38" s="101"/>
      <c r="EJ38" s="91">
        <f t="shared" si="91"/>
        <v>0</v>
      </c>
      <c r="EK38" s="91">
        <f t="shared" si="92"/>
        <v>0</v>
      </c>
      <c r="EL38" s="91">
        <f t="shared" si="93"/>
        <v>0</v>
      </c>
      <c r="EM38" s="101"/>
      <c r="EN38" s="91">
        <f t="shared" si="94"/>
        <v>0</v>
      </c>
      <c r="EO38" s="91">
        <f t="shared" si="95"/>
        <v>0</v>
      </c>
      <c r="EP38" s="91">
        <f t="shared" si="96"/>
        <v>0</v>
      </c>
      <c r="EQ38" s="101"/>
      <c r="ER38" s="91">
        <f t="shared" si="97"/>
        <v>0</v>
      </c>
      <c r="ES38" s="91">
        <f t="shared" si="98"/>
        <v>0</v>
      </c>
      <c r="ET38" s="91">
        <f t="shared" si="99"/>
        <v>0</v>
      </c>
      <c r="EU38" s="101"/>
      <c r="EV38" s="91">
        <f t="shared" si="100"/>
        <v>0</v>
      </c>
      <c r="EW38" s="91">
        <f t="shared" si="101"/>
        <v>0</v>
      </c>
      <c r="EX38" s="91">
        <f t="shared" si="102"/>
        <v>0</v>
      </c>
      <c r="EY38" s="91">
        <f t="shared" si="103"/>
        <v>0</v>
      </c>
      <c r="EZ38" s="91">
        <f t="shared" si="104"/>
        <v>0</v>
      </c>
      <c r="FA38" s="91">
        <f t="shared" si="105"/>
        <v>0</v>
      </c>
      <c r="FB38" s="91">
        <f t="shared" si="106"/>
        <v>0</v>
      </c>
      <c r="FC38" s="91">
        <f t="shared" si="111"/>
        <v>39295.625</v>
      </c>
      <c r="FD38" s="91">
        <f t="shared" si="108"/>
        <v>890179.375</v>
      </c>
      <c r="FE38" s="91">
        <f t="shared" si="49"/>
        <v>0.95294463575516553</v>
      </c>
      <c r="FF38" s="91">
        <f t="shared" si="50"/>
        <v>1.0771121967451147</v>
      </c>
      <c r="FG38" s="6"/>
      <c r="FH38" s="460" t="e">
        <f t="shared" si="109"/>
        <v>#DIV/0!</v>
      </c>
      <c r="FI38" s="460">
        <f>(SUM($FG$10:FG38))/(SUM($EE$10:EE38))</f>
        <v>0</v>
      </c>
      <c r="FJ38" s="3"/>
    </row>
    <row r="39" spans="1:166">
      <c r="A39" s="16">
        <f>+Chem!A39</f>
        <v>45960</v>
      </c>
      <c r="B39" s="6" t="str">
        <f>+Chem!B39</f>
        <v>Toilet/Facial</v>
      </c>
      <c r="C39" s="16" t="str">
        <f>+Chem!C39</f>
        <v>13/12/16/14/13,5</v>
      </c>
      <c r="D39" s="8">
        <f>+Chem!D39</f>
        <v>47.581000000000003</v>
      </c>
      <c r="E39" s="7">
        <f>+Chem!E39</f>
        <v>38.847999999999999</v>
      </c>
      <c r="F39" s="7">
        <f t="shared" si="110"/>
        <v>865.29799999999989</v>
      </c>
      <c r="G39" s="101"/>
      <c r="H39" s="91">
        <f t="shared" si="0"/>
        <v>0</v>
      </c>
      <c r="I39" s="8">
        <f t="shared" si="51"/>
        <v>0</v>
      </c>
      <c r="J39" s="91">
        <f t="shared" si="1"/>
        <v>0</v>
      </c>
      <c r="K39" s="101">
        <f>9*K7</f>
        <v>2250</v>
      </c>
      <c r="L39" s="91">
        <f t="shared" si="2"/>
        <v>7.7703905404823468</v>
      </c>
      <c r="M39" s="91">
        <f t="shared" si="52"/>
        <v>174022.5</v>
      </c>
      <c r="N39" s="91">
        <f t="shared" si="3"/>
        <v>18.933281299790124</v>
      </c>
      <c r="O39" s="101"/>
      <c r="P39" s="91">
        <f t="shared" si="4"/>
        <v>0</v>
      </c>
      <c r="Q39" s="91">
        <f t="shared" si="53"/>
        <v>0</v>
      </c>
      <c r="R39" s="91">
        <f t="shared" si="5"/>
        <v>0</v>
      </c>
      <c r="S39" s="101"/>
      <c r="T39" s="91">
        <f t="shared" si="6"/>
        <v>0</v>
      </c>
      <c r="U39" s="91">
        <f t="shared" si="54"/>
        <v>0</v>
      </c>
      <c r="V39" s="91">
        <f t="shared" si="7"/>
        <v>0</v>
      </c>
      <c r="W39" s="101"/>
      <c r="X39" s="91">
        <f t="shared" si="8"/>
        <v>0</v>
      </c>
      <c r="Y39" s="91">
        <f t="shared" si="55"/>
        <v>0</v>
      </c>
      <c r="Z39" s="91">
        <f t="shared" si="9"/>
        <v>0</v>
      </c>
      <c r="AA39" s="101"/>
      <c r="AB39" s="91">
        <f t="shared" si="10"/>
        <v>0</v>
      </c>
      <c r="AC39" s="91">
        <f t="shared" si="56"/>
        <v>0</v>
      </c>
      <c r="AD39" s="91">
        <f t="shared" si="11"/>
        <v>0</v>
      </c>
      <c r="AE39" s="101"/>
      <c r="AF39" s="91">
        <f t="shared" si="12"/>
        <v>0</v>
      </c>
      <c r="AG39" s="91">
        <f t="shared" si="57"/>
        <v>0</v>
      </c>
      <c r="AH39" s="91">
        <f t="shared" si="13"/>
        <v>0</v>
      </c>
      <c r="AI39" s="101"/>
      <c r="AJ39" s="91">
        <f t="shared" si="14"/>
        <v>0</v>
      </c>
      <c r="AK39" s="91">
        <f t="shared" si="58"/>
        <v>0</v>
      </c>
      <c r="AL39" s="91">
        <f t="shared" si="15"/>
        <v>0</v>
      </c>
      <c r="AM39" s="101"/>
      <c r="AN39" s="91">
        <f t="shared" si="16"/>
        <v>0</v>
      </c>
      <c r="AO39" s="91">
        <f t="shared" si="59"/>
        <v>0</v>
      </c>
      <c r="AP39" s="91">
        <f t="shared" si="17"/>
        <v>0</v>
      </c>
      <c r="AQ39" s="101"/>
      <c r="AR39" s="91">
        <f t="shared" si="18"/>
        <v>0</v>
      </c>
      <c r="AS39" s="91">
        <f t="shared" si="60"/>
        <v>0</v>
      </c>
      <c r="AT39" s="91">
        <f t="shared" si="19"/>
        <v>0</v>
      </c>
      <c r="AU39" s="252"/>
      <c r="AV39" s="91">
        <f t="shared" si="20"/>
        <v>0</v>
      </c>
      <c r="AW39" s="8">
        <f t="shared" si="61"/>
        <v>0</v>
      </c>
      <c r="AX39" s="91">
        <f t="shared" si="21"/>
        <v>0</v>
      </c>
      <c r="AY39" s="101"/>
      <c r="AZ39" s="91">
        <f t="shared" si="22"/>
        <v>0</v>
      </c>
      <c r="BA39" s="91">
        <f t="shared" si="62"/>
        <v>0</v>
      </c>
      <c r="BB39" s="91">
        <f t="shared" si="23"/>
        <v>0</v>
      </c>
      <c r="BC39" s="101"/>
      <c r="BD39" s="91">
        <f t="shared" si="24"/>
        <v>0</v>
      </c>
      <c r="BE39" s="91">
        <f t="shared" si="63"/>
        <v>0</v>
      </c>
      <c r="BF39" s="91">
        <f t="shared" si="25"/>
        <v>0</v>
      </c>
      <c r="BG39" s="101"/>
      <c r="BH39" s="91">
        <f t="shared" si="26"/>
        <v>0</v>
      </c>
      <c r="BI39" s="91">
        <f t="shared" si="64"/>
        <v>0</v>
      </c>
      <c r="BJ39" s="91">
        <f t="shared" si="27"/>
        <v>0</v>
      </c>
      <c r="BK39" s="101"/>
      <c r="BL39" s="91"/>
      <c r="BM39" s="91"/>
      <c r="BN39" s="91"/>
      <c r="BO39" s="101"/>
      <c r="BP39" s="91"/>
      <c r="BQ39" s="91"/>
      <c r="BR39" s="91"/>
      <c r="BS39" s="101"/>
      <c r="BT39" s="91"/>
      <c r="BU39" s="91"/>
      <c r="BV39" s="91"/>
      <c r="BW39" s="91">
        <f t="shared" si="65"/>
        <v>2250</v>
      </c>
      <c r="BX39" s="91">
        <f t="shared" si="28"/>
        <v>7.7703905404823468</v>
      </c>
      <c r="BY39" s="91">
        <f t="shared" si="66"/>
        <v>174022.5</v>
      </c>
      <c r="BZ39" s="91">
        <f t="shared" si="29"/>
        <v>18.933281299790124</v>
      </c>
      <c r="CA39" s="101"/>
      <c r="CB39" s="91">
        <f t="shared" si="30"/>
        <v>0</v>
      </c>
      <c r="CC39" s="91"/>
      <c r="CD39" s="91">
        <f t="shared" si="31"/>
        <v>0</v>
      </c>
      <c r="CE39" s="101"/>
      <c r="CF39" s="91">
        <f t="shared" si="32"/>
        <v>0</v>
      </c>
      <c r="CG39" s="91">
        <f t="shared" si="67"/>
        <v>412250</v>
      </c>
      <c r="CH39" s="91">
        <f t="shared" si="33"/>
        <v>44.851931306805035</v>
      </c>
      <c r="CI39" s="101"/>
      <c r="CJ39" s="91">
        <f t="shared" si="34"/>
        <v>0</v>
      </c>
      <c r="CK39" s="91">
        <f t="shared" si="68"/>
        <v>0</v>
      </c>
      <c r="CL39" s="91">
        <f t="shared" si="35"/>
        <v>0</v>
      </c>
      <c r="CM39" s="101"/>
      <c r="CN39" s="91">
        <f t="shared" si="36"/>
        <v>0</v>
      </c>
      <c r="CO39" s="91">
        <f t="shared" si="69"/>
        <v>0</v>
      </c>
      <c r="CP39" s="91">
        <f t="shared" si="37"/>
        <v>0</v>
      </c>
      <c r="CQ39" s="101"/>
      <c r="CR39" s="91">
        <f t="shared" si="38"/>
        <v>0</v>
      </c>
      <c r="CS39" s="91">
        <f t="shared" si="70"/>
        <v>0</v>
      </c>
      <c r="CT39" s="91">
        <f t="shared" si="39"/>
        <v>0</v>
      </c>
      <c r="CU39" s="101"/>
      <c r="CV39" s="91">
        <f t="shared" si="40"/>
        <v>0</v>
      </c>
      <c r="CW39" s="91">
        <f t="shared" si="71"/>
        <v>0</v>
      </c>
      <c r="CX39" s="91">
        <f t="shared" si="41"/>
        <v>0</v>
      </c>
      <c r="CY39" s="101"/>
      <c r="CZ39" s="91">
        <f t="shared" si="42"/>
        <v>0</v>
      </c>
      <c r="DA39" s="91">
        <f t="shared" si="72"/>
        <v>0</v>
      </c>
      <c r="DB39" s="91">
        <f t="shared" si="43"/>
        <v>0</v>
      </c>
      <c r="DC39" s="101">
        <f>54*DC7</f>
        <v>13432.5</v>
      </c>
      <c r="DD39" s="91">
        <f t="shared" si="44"/>
        <v>46.389231526679609</v>
      </c>
      <c r="DE39" s="91">
        <f t="shared" si="73"/>
        <v>305589.375</v>
      </c>
      <c r="DF39" s="91">
        <f t="shared" si="45"/>
        <v>33.247480062072732</v>
      </c>
      <c r="DG39" s="101"/>
      <c r="DH39" s="91"/>
      <c r="DI39" s="91"/>
      <c r="DJ39" s="91"/>
      <c r="DK39" s="91">
        <f t="shared" si="74"/>
        <v>13432.5</v>
      </c>
      <c r="DL39" s="91">
        <f t="shared" si="46"/>
        <v>46.389231526679609</v>
      </c>
      <c r="DM39" s="91">
        <f t="shared" si="75"/>
        <v>717839.375</v>
      </c>
      <c r="DN39" s="91">
        <f t="shared" si="47"/>
        <v>78.099411368877753</v>
      </c>
      <c r="DO39" s="101"/>
      <c r="DP39" s="91">
        <f t="shared" si="76"/>
        <v>0</v>
      </c>
      <c r="DQ39" s="91">
        <f t="shared" si="77"/>
        <v>0</v>
      </c>
      <c r="DR39" s="91">
        <f t="shared" si="78"/>
        <v>0</v>
      </c>
      <c r="DS39" s="101"/>
      <c r="DT39" s="92">
        <f t="shared" si="79"/>
        <v>0</v>
      </c>
      <c r="DU39" s="91">
        <f t="shared" si="80"/>
        <v>0</v>
      </c>
      <c r="DV39" s="91">
        <f t="shared" si="81"/>
        <v>0</v>
      </c>
      <c r="DW39" s="101"/>
      <c r="DX39" s="92">
        <f t="shared" si="82"/>
        <v>0</v>
      </c>
      <c r="DY39" s="91">
        <f t="shared" si="83"/>
        <v>0</v>
      </c>
      <c r="DZ39" s="461">
        <f t="shared" si="84"/>
        <v>0</v>
      </c>
      <c r="EA39" s="101"/>
      <c r="EB39" s="91">
        <f t="shared" si="85"/>
        <v>0</v>
      </c>
      <c r="EC39" s="91">
        <f t="shared" si="86"/>
        <v>14000</v>
      </c>
      <c r="ED39" s="91">
        <f t="shared" si="87"/>
        <v>1.5231704992001709</v>
      </c>
      <c r="EE39" s="91">
        <f t="shared" si="48"/>
        <v>0</v>
      </c>
      <c r="EF39" s="91">
        <f t="shared" si="88"/>
        <v>0</v>
      </c>
      <c r="EG39" s="91">
        <f t="shared" si="89"/>
        <v>14000</v>
      </c>
      <c r="EH39" s="91">
        <f t="shared" si="90"/>
        <v>1.5231704992001709</v>
      </c>
      <c r="EI39" s="101">
        <v>7944.874096631971</v>
      </c>
      <c r="EJ39" s="91">
        <f t="shared" si="91"/>
        <v>27.437677567018799</v>
      </c>
      <c r="EK39" s="91">
        <f t="shared" si="92"/>
        <v>7944.874096631971</v>
      </c>
      <c r="EL39" s="91">
        <f t="shared" si="93"/>
        <v>0.86438556027495905</v>
      </c>
      <c r="EM39" s="101">
        <v>3321.4043301062075</v>
      </c>
      <c r="EN39" s="91">
        <f t="shared" si="94"/>
        <v>11.470492794566391</v>
      </c>
      <c r="EO39" s="91">
        <f t="shared" si="95"/>
        <v>3321.4043301062075</v>
      </c>
      <c r="EP39" s="91">
        <f t="shared" si="96"/>
        <v>0.36136179225239151</v>
      </c>
      <c r="EQ39" s="101">
        <v>2007.295122948957</v>
      </c>
      <c r="ER39" s="91">
        <f t="shared" si="97"/>
        <v>6.9322075712528548</v>
      </c>
      <c r="ES39" s="91">
        <f t="shared" si="98"/>
        <v>2007.295122948957</v>
      </c>
      <c r="ET39" s="91">
        <f t="shared" si="99"/>
        <v>0.21838947960458793</v>
      </c>
      <c r="EU39" s="101">
        <v>0</v>
      </c>
      <c r="EV39" s="91">
        <f t="shared" si="100"/>
        <v>0</v>
      </c>
      <c r="EW39" s="91">
        <f t="shared" si="101"/>
        <v>0</v>
      </c>
      <c r="EX39" s="91">
        <f t="shared" si="102"/>
        <v>0</v>
      </c>
      <c r="EY39" s="91">
        <f t="shared" si="103"/>
        <v>13273.573549687137</v>
      </c>
      <c r="EZ39" s="91">
        <f t="shared" si="104"/>
        <v>45.840377932838052</v>
      </c>
      <c r="FA39" s="91">
        <f t="shared" si="105"/>
        <v>13273.573549687137</v>
      </c>
      <c r="FB39" s="91">
        <f t="shared" si="106"/>
        <v>1.4441368321319386</v>
      </c>
      <c r="FC39" s="91">
        <f t="shared" si="111"/>
        <v>28956.073549687135</v>
      </c>
      <c r="FD39" s="91">
        <f t="shared" si="108"/>
        <v>919135.44854968716</v>
      </c>
      <c r="FE39" s="91">
        <f t="shared" si="49"/>
        <v>0.74536845010520836</v>
      </c>
      <c r="FF39" s="91">
        <f t="shared" si="50"/>
        <v>1.0622183901380648</v>
      </c>
      <c r="FG39" s="6"/>
      <c r="FH39" s="460" t="e">
        <f t="shared" si="109"/>
        <v>#DIV/0!</v>
      </c>
      <c r="FI39" s="460">
        <f>(SUM($FG$10:FG39))/(SUM($EE$10:EE39))</f>
        <v>0</v>
      </c>
      <c r="FJ39" s="3"/>
    </row>
    <row r="40" spans="1:166">
      <c r="A40" s="16">
        <f>+Chem!A40</f>
        <v>45961</v>
      </c>
      <c r="B40" s="6" t="str">
        <f>+Chem!B40</f>
        <v>Toilet</v>
      </c>
      <c r="C40" s="16" t="str">
        <f>+Chem!C40</f>
        <v>13,5</v>
      </c>
      <c r="D40" s="8">
        <f>+Chem!D40</f>
        <v>39.597000000000001</v>
      </c>
      <c r="E40" s="7">
        <f>+Chem!E40</f>
        <v>39.340000000000003</v>
      </c>
      <c r="F40" s="7">
        <f t="shared" ref="F40" si="112">+E40+F39</f>
        <v>904.63799999999992</v>
      </c>
      <c r="G40" s="101"/>
      <c r="H40" s="91">
        <f t="shared" ref="H40" si="113">G40/FC40*100</f>
        <v>0</v>
      </c>
      <c r="I40" s="8">
        <f t="shared" ref="I40" si="114">G40+I39</f>
        <v>0</v>
      </c>
      <c r="J40" s="91">
        <f t="shared" ref="J40" si="115">I40/FD40*100</f>
        <v>0</v>
      </c>
      <c r="K40" s="101">
        <v>0</v>
      </c>
      <c r="L40" s="91">
        <f t="shared" ref="L40" si="116">+K40/FC40*100</f>
        <v>0</v>
      </c>
      <c r="M40" s="91">
        <f t="shared" ref="M40" si="117">+K40+M39</f>
        <v>174022.5</v>
      </c>
      <c r="N40" s="91">
        <f t="shared" ref="N40" si="118">+M40/FD40*100</f>
        <v>18.005640996281905</v>
      </c>
      <c r="O40" s="101"/>
      <c r="P40" s="91">
        <f t="shared" ref="P40" si="119">+O40/FC40*100</f>
        <v>0</v>
      </c>
      <c r="Q40" s="91">
        <f t="shared" ref="Q40" si="120">+O40+Q39</f>
        <v>0</v>
      </c>
      <c r="R40" s="91">
        <f t="shared" ref="R40" si="121">+Q40/FD40*100</f>
        <v>0</v>
      </c>
      <c r="S40" s="101"/>
      <c r="T40" s="91">
        <f t="shared" ref="T40" si="122">+S40/FC40*100</f>
        <v>0</v>
      </c>
      <c r="U40" s="91">
        <f t="shared" ref="U40" si="123">+S40+U39</f>
        <v>0</v>
      </c>
      <c r="V40" s="91">
        <f t="shared" ref="V40" si="124">+U40/FD40*100</f>
        <v>0</v>
      </c>
      <c r="W40" s="101"/>
      <c r="X40" s="91">
        <f t="shared" ref="X40" si="125">+W40/FC40*100</f>
        <v>0</v>
      </c>
      <c r="Y40" s="91">
        <f t="shared" ref="Y40" si="126">+W40+Y39</f>
        <v>0</v>
      </c>
      <c r="Z40" s="91">
        <f t="shared" ref="Z40" si="127">+Y40/FD40*100</f>
        <v>0</v>
      </c>
      <c r="AA40" s="101"/>
      <c r="AB40" s="91">
        <f t="shared" ref="AB40" si="128">AA40/FC40*100</f>
        <v>0</v>
      </c>
      <c r="AC40" s="91">
        <f t="shared" ref="AC40" si="129">AA40+AC39</f>
        <v>0</v>
      </c>
      <c r="AD40" s="91">
        <f t="shared" ref="AD40" si="130">AC40/FD40*100</f>
        <v>0</v>
      </c>
      <c r="AE40" s="101"/>
      <c r="AF40" s="91">
        <f t="shared" ref="AF40" si="131">+AE40/FC40*100</f>
        <v>0</v>
      </c>
      <c r="AG40" s="91">
        <f t="shared" ref="AG40" si="132">+AE40+AG39</f>
        <v>0</v>
      </c>
      <c r="AH40" s="91">
        <f t="shared" ref="AH40" si="133">+AG40/FD40*100</f>
        <v>0</v>
      </c>
      <c r="AI40" s="101"/>
      <c r="AJ40" s="91">
        <f t="shared" ref="AJ40" si="134">AI40/FC40*100</f>
        <v>0</v>
      </c>
      <c r="AK40" s="91">
        <f t="shared" ref="AK40" si="135">AI40+AK39</f>
        <v>0</v>
      </c>
      <c r="AL40" s="91">
        <f t="shared" ref="AL40" si="136">AK40/FD40*100</f>
        <v>0</v>
      </c>
      <c r="AM40" s="101"/>
      <c r="AN40" s="91">
        <f t="shared" ref="AN40" si="137">AM40/FC40*100</f>
        <v>0</v>
      </c>
      <c r="AO40" s="91">
        <f t="shared" ref="AO40" si="138">+AM40+AO39</f>
        <v>0</v>
      </c>
      <c r="AP40" s="91">
        <f t="shared" ref="AP40" si="139">+AO40/FD40*100</f>
        <v>0</v>
      </c>
      <c r="AQ40" s="101"/>
      <c r="AR40" s="91">
        <f t="shared" ref="AR40" si="140">AQ40/FC40*100</f>
        <v>0</v>
      </c>
      <c r="AS40" s="91">
        <f t="shared" ref="AS40" si="141">AQ40+AS39</f>
        <v>0</v>
      </c>
      <c r="AT40" s="91">
        <f t="shared" ref="AT40" si="142">AS40/FD40*100</f>
        <v>0</v>
      </c>
      <c r="AU40" s="252"/>
      <c r="AV40" s="91">
        <f t="shared" ref="AV40" si="143">AU40/FC40*100</f>
        <v>0</v>
      </c>
      <c r="AW40" s="8">
        <f t="shared" ref="AW40" si="144">AU40+AW39</f>
        <v>0</v>
      </c>
      <c r="AX40" s="91">
        <f t="shared" ref="AX40" si="145">AW40/FD40*100</f>
        <v>0</v>
      </c>
      <c r="AY40" s="101"/>
      <c r="AZ40" s="91">
        <f t="shared" ref="AZ40" si="146">AY40/FC40*100</f>
        <v>0</v>
      </c>
      <c r="BA40" s="91">
        <f t="shared" ref="BA40" si="147">AY40+BA39</f>
        <v>0</v>
      </c>
      <c r="BB40" s="91">
        <f t="shared" ref="BB40" si="148">BA40/FD40*100</f>
        <v>0</v>
      </c>
      <c r="BC40" s="101"/>
      <c r="BD40" s="91">
        <f t="shared" ref="BD40" si="149">BC40/FC40*100</f>
        <v>0</v>
      </c>
      <c r="BE40" s="91">
        <f t="shared" ref="BE40" si="150">BC40+BE39</f>
        <v>0</v>
      </c>
      <c r="BF40" s="91">
        <f t="shared" ref="BF40" si="151">BE40/FD40*100</f>
        <v>0</v>
      </c>
      <c r="BG40" s="101"/>
      <c r="BH40" s="91">
        <f t="shared" ref="BH40" si="152">BG40/FC40*100</f>
        <v>0</v>
      </c>
      <c r="BI40" s="91">
        <f t="shared" ref="BI40" si="153">BG40+BI39</f>
        <v>0</v>
      </c>
      <c r="BJ40" s="91">
        <f t="shared" ref="BJ40" si="154">BI40/FD40*100</f>
        <v>0</v>
      </c>
      <c r="BK40" s="101"/>
      <c r="BL40" s="91"/>
      <c r="BM40" s="91"/>
      <c r="BN40" s="91"/>
      <c r="BO40" s="101"/>
      <c r="BP40" s="91"/>
      <c r="BQ40" s="91"/>
      <c r="BR40" s="91"/>
      <c r="BS40" s="101"/>
      <c r="BT40" s="91"/>
      <c r="BU40" s="91"/>
      <c r="BV40" s="91"/>
      <c r="BW40" s="91">
        <f t="shared" ref="BW40" si="155">G40+AY40+BK40+BG40+BS40+BO40+AU40+AI40+BC40+AQ40+AA40+AM40+AE40+K40+W40+S40+O40</f>
        <v>0</v>
      </c>
      <c r="BX40" s="91">
        <f t="shared" ref="BX40" si="156">BW40/FC40*100</f>
        <v>0</v>
      </c>
      <c r="BY40" s="91">
        <f t="shared" ref="BY40" si="157">BW40+BY39</f>
        <v>174022.5</v>
      </c>
      <c r="BZ40" s="91">
        <f t="shared" ref="BZ40" si="158">BY40/FD40*100</f>
        <v>18.005640996281905</v>
      </c>
      <c r="CA40" s="101"/>
      <c r="CB40" s="91">
        <f t="shared" ref="CB40" si="159">CA40/FC40*100</f>
        <v>0</v>
      </c>
      <c r="CC40" s="91"/>
      <c r="CD40" s="91">
        <f t="shared" ref="CD40" si="160">CC40/FD40*100</f>
        <v>0</v>
      </c>
      <c r="CE40" s="101"/>
      <c r="CF40" s="91">
        <f>CE40/FC40*100</f>
        <v>0</v>
      </c>
      <c r="CG40" s="91">
        <f t="shared" ref="CG40" si="161">CE40+CG39</f>
        <v>412250</v>
      </c>
      <c r="CH40" s="91">
        <f t="shared" ref="CH40" si="162">CG40/FD40*100</f>
        <v>42.654401015484865</v>
      </c>
      <c r="CI40" s="101"/>
      <c r="CJ40" s="91">
        <f t="shared" ref="CJ40" si="163">CI40/FC40*100</f>
        <v>0</v>
      </c>
      <c r="CK40" s="91">
        <f t="shared" ref="CK40" si="164">CI40+CK39</f>
        <v>0</v>
      </c>
      <c r="CL40" s="91">
        <f t="shared" ref="CL40" si="165">CK40/FD40*100</f>
        <v>0</v>
      </c>
      <c r="CM40" s="101"/>
      <c r="CN40" s="91">
        <f t="shared" ref="CN40" si="166">CM40/FC40*100</f>
        <v>0</v>
      </c>
      <c r="CO40" s="91">
        <f t="shared" ref="CO40" si="167">CM40+CO39</f>
        <v>0</v>
      </c>
      <c r="CP40" s="91">
        <f t="shared" ref="CP40" si="168">CO40/FD40*100</f>
        <v>0</v>
      </c>
      <c r="CQ40" s="101"/>
      <c r="CR40" s="91">
        <f t="shared" ref="CR40" si="169">CQ40/FC40*100</f>
        <v>0</v>
      </c>
      <c r="CS40" s="91">
        <f t="shared" ref="CS40" si="170">CQ40+CS39</f>
        <v>0</v>
      </c>
      <c r="CT40" s="91">
        <f t="shared" ref="CT40" si="171">CS40/FD40*100</f>
        <v>0</v>
      </c>
      <c r="CU40" s="101"/>
      <c r="CV40" s="91">
        <f t="shared" ref="CV40" si="172">CU40/FC40*100</f>
        <v>0</v>
      </c>
      <c r="CW40" s="91">
        <f t="shared" ref="CW40" si="173">CU40+CW39</f>
        <v>0</v>
      </c>
      <c r="CX40" s="91">
        <f t="shared" ref="CX40" si="174">CW40/FD40*100</f>
        <v>0</v>
      </c>
      <c r="CY40" s="101"/>
      <c r="CZ40" s="91">
        <f t="shared" ref="CZ40" si="175">CY40/FC40*100</f>
        <v>0</v>
      </c>
      <c r="DA40" s="91">
        <f t="shared" ref="DA40" si="176">CY40+DA39</f>
        <v>0</v>
      </c>
      <c r="DB40" s="91">
        <f t="shared" ref="DB40" si="177">DA40/FD40</f>
        <v>0</v>
      </c>
      <c r="DC40" s="101"/>
      <c r="DD40" s="91">
        <f t="shared" ref="DD40" si="178">DC40/FC40*100</f>
        <v>0</v>
      </c>
      <c r="DE40" s="91">
        <f t="shared" ref="DE40" si="179">DC40+DE39</f>
        <v>305589.375</v>
      </c>
      <c r="DF40" s="91">
        <f t="shared" ref="DF40" si="180">DE40/FD40*100</f>
        <v>31.618512425279288</v>
      </c>
      <c r="DG40" s="101"/>
      <c r="DH40" s="91"/>
      <c r="DI40" s="91"/>
      <c r="DJ40" s="91"/>
      <c r="DK40" s="91">
        <f t="shared" ref="DK40" si="181">CA40+CE40+CI40+CM40+CQ40+CU40+CY40+DC40</f>
        <v>0</v>
      </c>
      <c r="DL40" s="91">
        <f t="shared" ref="DL40" si="182">DK40/FC40*100</f>
        <v>0</v>
      </c>
      <c r="DM40" s="91">
        <f t="shared" ref="DM40" si="183">DK40+DM39</f>
        <v>717839.375</v>
      </c>
      <c r="DN40" s="91">
        <f t="shared" ref="DN40" si="184">DM40/FD40*100</f>
        <v>74.272913440764157</v>
      </c>
      <c r="DO40" s="101"/>
      <c r="DP40" s="91">
        <f t="shared" ref="DP40" si="185">DO40/FC40*100</f>
        <v>0</v>
      </c>
      <c r="DQ40" s="91">
        <f t="shared" ref="DQ40" si="186">DO40+DQ39</f>
        <v>0</v>
      </c>
      <c r="DR40" s="91">
        <f t="shared" ref="DR40" si="187">DQ40/FD40*100</f>
        <v>0</v>
      </c>
      <c r="DS40" s="101"/>
      <c r="DT40" s="92">
        <f t="shared" ref="DT40" si="188">DS40/FC40*100</f>
        <v>0</v>
      </c>
      <c r="DU40" s="91">
        <f t="shared" ref="DU40" si="189">DS40+DU39</f>
        <v>0</v>
      </c>
      <c r="DV40" s="91">
        <f t="shared" ref="DV40" si="190">DU40/FD40*100</f>
        <v>0</v>
      </c>
      <c r="DW40" s="101"/>
      <c r="DX40" s="92">
        <f t="shared" ref="DX40" si="191">DW40/FC40*100</f>
        <v>0</v>
      </c>
      <c r="DY40" s="91">
        <f t="shared" ref="DY40" si="192">DW40</f>
        <v>0</v>
      </c>
      <c r="DZ40" s="461">
        <f t="shared" ref="DZ40" si="193">DY40/FD40*100</f>
        <v>0</v>
      </c>
      <c r="EA40" s="101"/>
      <c r="EB40" s="91">
        <f t="shared" ref="EB40" si="194">+EA40/FC40*100</f>
        <v>0</v>
      </c>
      <c r="EC40" s="91">
        <f t="shared" ref="EC40" si="195">+EA40+EC39</f>
        <v>14000</v>
      </c>
      <c r="ED40" s="91">
        <f t="shared" ref="ED40" si="196">+EC40/FD40*100</f>
        <v>1.4485424238127063</v>
      </c>
      <c r="EE40" s="91">
        <f t="shared" ref="EE40" si="197">EA40+DO40+DS40+DW40</f>
        <v>0</v>
      </c>
      <c r="EF40" s="91">
        <f t="shared" ref="EF40" si="198">EE40/FC40*100</f>
        <v>0</v>
      </c>
      <c r="EG40" s="91">
        <f t="shared" ref="EG40" si="199">EE40+EG39</f>
        <v>14000</v>
      </c>
      <c r="EH40" s="91">
        <f t="shared" ref="EH40" si="200">EG40/FD40*100</f>
        <v>1.4485424238127063</v>
      </c>
      <c r="EI40" s="101">
        <v>28407.191438214795</v>
      </c>
      <c r="EJ40" s="91">
        <f t="shared" si="91"/>
        <v>59.989847715736047</v>
      </c>
      <c r="EK40" s="91">
        <f t="shared" ref="EK40" si="201">EI40+EK39</f>
        <v>36352.06553484677</v>
      </c>
      <c r="EL40" s="91">
        <f t="shared" si="93"/>
        <v>3.7612506514603772</v>
      </c>
      <c r="EM40" s="101">
        <v>9638.9268630260049</v>
      </c>
      <c r="EN40" s="91">
        <f t="shared" si="94"/>
        <v>20.35532994923858</v>
      </c>
      <c r="EO40" s="91">
        <f t="shared" ref="EO40" si="202">EM40+EO39</f>
        <v>12960.331193132213</v>
      </c>
      <c r="EP40" s="91">
        <f t="shared" si="96"/>
        <v>1.3409706828510828</v>
      </c>
      <c r="EQ40" s="101">
        <v>7062.1364397931175</v>
      </c>
      <c r="ER40" s="91">
        <f t="shared" si="97"/>
        <v>14.913705583756343</v>
      </c>
      <c r="ES40" s="91">
        <f t="shared" ref="ES40" si="203">EQ40+ES39</f>
        <v>9069.4315627420747</v>
      </c>
      <c r="ET40" s="91">
        <f t="shared" si="99"/>
        <v>0.93838974132127617</v>
      </c>
      <c r="EU40" s="101">
        <v>2245.0767306898474</v>
      </c>
      <c r="EV40" s="91">
        <f t="shared" si="100"/>
        <v>4.7411167512690353</v>
      </c>
      <c r="EW40" s="91">
        <f t="shared" si="101"/>
        <v>2245.0767306898474</v>
      </c>
      <c r="EX40" s="91">
        <f t="shared" si="102"/>
        <v>0.23229206350849843</v>
      </c>
      <c r="EY40" s="91">
        <f>+EI40+EM40+EQ40+EU40</f>
        <v>47353.331471723766</v>
      </c>
      <c r="EZ40" s="91">
        <f t="shared" si="104"/>
        <v>100</v>
      </c>
      <c r="FA40" s="91">
        <f t="shared" ref="FA40" si="204">EY40+FA39</f>
        <v>60626.905021410901</v>
      </c>
      <c r="FB40" s="91">
        <f t="shared" si="106"/>
        <v>6.272903139141234</v>
      </c>
      <c r="FC40" s="91">
        <f t="shared" si="111"/>
        <v>47353.331471723766</v>
      </c>
      <c r="FD40" s="91">
        <f t="shared" ref="FD40" si="205">FC40+FD39</f>
        <v>966488.7800214109</v>
      </c>
      <c r="FE40" s="91">
        <f t="shared" ref="FE40" si="206">FC40/1000/E40</f>
        <v>1.2036942417825054</v>
      </c>
      <c r="FF40" s="91">
        <f t="shared" ref="FF40" si="207">(FD40/1000)/F40</f>
        <v>1.0683707516392313</v>
      </c>
      <c r="FG40" s="6"/>
      <c r="FH40" s="460" t="e">
        <f t="shared" ref="FH40" si="208">+FG40/EE40*100%</f>
        <v>#DIV/0!</v>
      </c>
      <c r="FI40" s="460">
        <f>(SUM($FG$10:FG40))/(SUM($EE$10:EE40))</f>
        <v>0</v>
      </c>
      <c r="FJ40" s="572"/>
    </row>
    <row r="41" spans="1:166">
      <c r="A41" s="16"/>
      <c r="B41" s="16"/>
      <c r="C41" s="16"/>
      <c r="D41" s="8"/>
      <c r="E41" s="7"/>
      <c r="F41" s="7"/>
      <c r="G41" s="100"/>
      <c r="H41" s="10"/>
      <c r="I41" s="8"/>
      <c r="J41" s="10"/>
      <c r="K41" s="100"/>
      <c r="L41" s="10"/>
      <c r="M41" s="10"/>
      <c r="N41" s="10"/>
      <c r="O41" s="100"/>
      <c r="P41" s="10"/>
      <c r="Q41" s="10"/>
      <c r="R41" s="10"/>
      <c r="S41" s="100"/>
      <c r="T41" s="10"/>
      <c r="U41" s="10"/>
      <c r="V41" s="10"/>
      <c r="W41" s="100"/>
      <c r="X41" s="10"/>
      <c r="Y41" s="10"/>
      <c r="Z41" s="10"/>
      <c r="AA41" s="100"/>
      <c r="AB41" s="10"/>
      <c r="AC41" s="10"/>
      <c r="AD41" s="10"/>
      <c r="AE41" s="100"/>
      <c r="AF41" s="10"/>
      <c r="AG41" s="10"/>
      <c r="AH41" s="10"/>
      <c r="AI41" s="100"/>
      <c r="AJ41" s="10"/>
      <c r="AK41" s="10"/>
      <c r="AL41" s="10"/>
      <c r="AM41" s="100"/>
      <c r="AN41" s="10"/>
      <c r="AO41" s="10"/>
      <c r="AP41" s="10"/>
      <c r="AQ41" s="100"/>
      <c r="AR41" s="10"/>
      <c r="AS41" s="10"/>
      <c r="AT41" s="10"/>
      <c r="AU41" s="252"/>
      <c r="AV41" s="10"/>
      <c r="AW41" s="8"/>
      <c r="AX41" s="10"/>
      <c r="AY41" s="100"/>
      <c r="AZ41" s="10"/>
      <c r="BA41" s="10"/>
      <c r="BB41" s="10"/>
      <c r="BC41" s="100"/>
      <c r="BD41" s="10"/>
      <c r="BE41" s="10"/>
      <c r="BF41" s="10"/>
      <c r="BG41" s="100"/>
      <c r="BH41" s="10"/>
      <c r="BI41" s="10"/>
      <c r="BJ41" s="10"/>
      <c r="BK41" s="100"/>
      <c r="BL41" s="10"/>
      <c r="BM41" s="10"/>
      <c r="BN41" s="10"/>
      <c r="BO41" s="100"/>
      <c r="BP41" s="10"/>
      <c r="BQ41" s="10"/>
      <c r="BR41" s="10"/>
      <c r="BS41" s="100"/>
      <c r="BT41" s="10"/>
      <c r="BU41" s="10"/>
      <c r="BV41" s="10"/>
      <c r="BW41" s="10"/>
      <c r="BX41" s="10"/>
      <c r="BY41" s="10"/>
      <c r="BZ41" s="10"/>
      <c r="CA41" s="100"/>
      <c r="CB41" s="10"/>
      <c r="CC41" s="10"/>
      <c r="CD41" s="10"/>
      <c r="CE41" s="100"/>
      <c r="CF41" s="10"/>
      <c r="CG41" s="10"/>
      <c r="CH41" s="10"/>
      <c r="CI41" s="100"/>
      <c r="CJ41" s="10"/>
      <c r="CK41" s="10"/>
      <c r="CL41" s="10"/>
      <c r="CM41" s="100"/>
      <c r="CN41" s="10"/>
      <c r="CO41" s="10"/>
      <c r="CP41" s="10"/>
      <c r="CQ41" s="100"/>
      <c r="CR41" s="10"/>
      <c r="CS41" s="10"/>
      <c r="CT41" s="10"/>
      <c r="CU41" s="100"/>
      <c r="CV41" s="10"/>
      <c r="CW41" s="10"/>
      <c r="CX41" s="10"/>
      <c r="CY41" s="100"/>
      <c r="CZ41" s="10"/>
      <c r="DA41" s="10"/>
      <c r="DB41" s="10"/>
      <c r="DC41" s="100"/>
      <c r="DD41" s="10"/>
      <c r="DE41" s="10"/>
      <c r="DF41" s="10"/>
      <c r="DG41" s="100"/>
      <c r="DH41" s="10"/>
      <c r="DI41" s="10"/>
      <c r="DJ41" s="10"/>
      <c r="DK41" s="10"/>
      <c r="DL41" s="10"/>
      <c r="DM41" s="10"/>
      <c r="DN41" s="10"/>
      <c r="DO41" s="100"/>
      <c r="DP41" s="10"/>
      <c r="DQ41" s="10"/>
      <c r="DR41" s="10"/>
      <c r="DS41" s="100"/>
      <c r="DT41" s="15"/>
      <c r="DU41" s="10"/>
      <c r="DV41" s="10"/>
      <c r="DW41" s="100"/>
      <c r="DX41" s="15"/>
      <c r="DY41" s="10"/>
      <c r="DZ41" s="10"/>
      <c r="EA41" s="100"/>
      <c r="EB41" s="10"/>
      <c r="EC41" s="10"/>
      <c r="ED41" s="10"/>
      <c r="EE41" s="10"/>
      <c r="EF41" s="10"/>
      <c r="EG41" s="10"/>
      <c r="EH41" s="10"/>
      <c r="EI41" s="100"/>
      <c r="EJ41" s="10"/>
      <c r="EK41" s="10"/>
      <c r="EL41" s="10"/>
      <c r="EM41" s="100"/>
      <c r="EN41" s="10"/>
      <c r="EO41" s="10"/>
      <c r="EP41" s="10"/>
      <c r="EQ41" s="100"/>
      <c r="ER41" s="10"/>
      <c r="ES41" s="10"/>
      <c r="ET41" s="10"/>
      <c r="EU41" s="100"/>
      <c r="EV41" s="10"/>
      <c r="EW41" s="10"/>
      <c r="EX41" s="10"/>
      <c r="EY41" s="91">
        <f t="shared" si="103"/>
        <v>0</v>
      </c>
      <c r="EZ41" s="10"/>
      <c r="FA41" s="10"/>
      <c r="FB41" s="10"/>
      <c r="FC41" s="10"/>
      <c r="FD41" s="10"/>
      <c r="FE41" s="10"/>
      <c r="FF41" s="10"/>
      <c r="FG41" s="6"/>
      <c r="FH41" s="6"/>
      <c r="FI41" s="460"/>
      <c r="FJ41" s="3"/>
    </row>
    <row r="42" spans="1:166" ht="13.5" thickBot="1">
      <c r="A42" s="11" t="s">
        <v>28</v>
      </c>
      <c r="B42" s="11"/>
      <c r="C42" s="12"/>
      <c r="D42" s="12">
        <f>SUM(D10:D41)</f>
        <v>979.25900000000013</v>
      </c>
      <c r="E42" s="12">
        <f>SUM(E10:E41)</f>
        <v>904.63799999999992</v>
      </c>
      <c r="F42" s="12"/>
      <c r="G42" s="12">
        <f>SUM(G10:G41)</f>
        <v>0</v>
      </c>
      <c r="H42" s="12">
        <f>G42/FC42*100</f>
        <v>0</v>
      </c>
      <c r="I42" s="12"/>
      <c r="J42" s="12"/>
      <c r="K42" s="12">
        <f>SUM(K10:K41)</f>
        <v>174022.5</v>
      </c>
      <c r="L42" s="12"/>
      <c r="M42" s="12"/>
      <c r="N42" s="12"/>
      <c r="O42" s="12"/>
      <c r="P42" s="12"/>
      <c r="Q42" s="12"/>
      <c r="R42" s="12"/>
      <c r="S42" s="12"/>
      <c r="T42" s="12"/>
      <c r="U42" s="12"/>
      <c r="V42" s="12"/>
      <c r="W42" s="12"/>
      <c r="X42" s="12"/>
      <c r="Y42" s="12"/>
      <c r="Z42" s="12"/>
      <c r="AA42" s="12">
        <f>SUM(AA10:AA41)</f>
        <v>0</v>
      </c>
      <c r="AB42" s="12">
        <f>+AA42/$FC$42*100</f>
        <v>0</v>
      </c>
      <c r="AC42" s="12"/>
      <c r="AD42" s="12"/>
      <c r="AE42" s="12">
        <f>SUM(AE10:AE41)</f>
        <v>0</v>
      </c>
      <c r="AF42" s="12"/>
      <c r="AG42" s="12"/>
      <c r="AH42" s="12"/>
      <c r="AI42" s="12">
        <f>SUM(AI10:AI41)</f>
        <v>0</v>
      </c>
      <c r="AJ42" s="12"/>
      <c r="AK42" s="12"/>
      <c r="AL42" s="12"/>
      <c r="AM42" s="12">
        <f>SUM(AM10:AM41)</f>
        <v>0</v>
      </c>
      <c r="AN42" s="12">
        <f>AM42/$FC$42*100</f>
        <v>0</v>
      </c>
      <c r="AO42" s="12"/>
      <c r="AP42" s="12"/>
      <c r="AQ42" s="12">
        <f>SUM(AQ10:AQ41)</f>
        <v>0</v>
      </c>
      <c r="AR42" s="12">
        <f>AQ42/$FC$42*100</f>
        <v>0</v>
      </c>
      <c r="AS42" s="12"/>
      <c r="AT42" s="12"/>
      <c r="AU42" s="12">
        <f>SUM(AU10:AU41)</f>
        <v>0</v>
      </c>
      <c r="AV42" s="12">
        <f>AU42/$FC$42*100</f>
        <v>0</v>
      </c>
      <c r="AW42" s="12"/>
      <c r="AX42" s="12"/>
      <c r="AY42" s="12">
        <f>SUM(AY10:AY41)</f>
        <v>0</v>
      </c>
      <c r="AZ42" s="12">
        <f>AY42/$FC$42*100</f>
        <v>0</v>
      </c>
      <c r="BA42" s="12"/>
      <c r="BB42" s="12"/>
      <c r="BC42" s="12">
        <f>SUM(BC10:BC41)</f>
        <v>0</v>
      </c>
      <c r="BD42" s="12">
        <f>BC42/$FC$42*100</f>
        <v>0</v>
      </c>
      <c r="BE42" s="12"/>
      <c r="BF42" s="12"/>
      <c r="BG42" s="12">
        <f>SUM(BG10:BG41)</f>
        <v>0</v>
      </c>
      <c r="BH42" s="12">
        <f>BG42/FC42*100</f>
        <v>0</v>
      </c>
      <c r="BI42" s="12"/>
      <c r="BJ42" s="12"/>
      <c r="BK42" s="12">
        <f>SUM(BK10:BK41)</f>
        <v>0</v>
      </c>
      <c r="BL42" s="12">
        <f>BK42/FC42*100</f>
        <v>0</v>
      </c>
      <c r="BM42" s="12"/>
      <c r="BN42" s="12"/>
      <c r="BO42" s="12"/>
      <c r="BP42" s="12"/>
      <c r="BQ42" s="12"/>
      <c r="BR42" s="12"/>
      <c r="BS42" s="12">
        <f>SUM(BS10:BS41)</f>
        <v>0</v>
      </c>
      <c r="BT42" s="12">
        <f>BS42/FC42*100</f>
        <v>0</v>
      </c>
      <c r="BU42" s="12"/>
      <c r="BV42" s="12"/>
      <c r="BW42" s="12">
        <f>SUM(BW10:BW41)</f>
        <v>174022.5</v>
      </c>
      <c r="BX42" s="19">
        <f>BW42/$FC$42*100</f>
        <v>18.005640996281905</v>
      </c>
      <c r="BY42" s="12"/>
      <c r="BZ42" s="12"/>
      <c r="CA42" s="12">
        <f>SUM(CA10:CA41)</f>
        <v>0</v>
      </c>
      <c r="CB42" s="12">
        <f>CA42/EE42*100</f>
        <v>0</v>
      </c>
      <c r="CC42" s="12"/>
      <c r="CD42" s="12"/>
      <c r="CE42" s="12">
        <f>SUM(CE10:CE41)</f>
        <v>412250</v>
      </c>
      <c r="CF42" s="12">
        <f>CE42/$FC$42*100</f>
        <v>42.654401015484865</v>
      </c>
      <c r="CG42" s="12"/>
      <c r="CH42" s="12"/>
      <c r="CI42" s="12">
        <f>SUM(CI10:CI41)</f>
        <v>0</v>
      </c>
      <c r="CJ42" s="12">
        <f>CI42/$FC$42*100</f>
        <v>0</v>
      </c>
      <c r="CK42" s="12"/>
      <c r="CL42" s="12"/>
      <c r="CM42" s="12">
        <f>SUM(CM10:CM41)</f>
        <v>0</v>
      </c>
      <c r="CN42" s="12">
        <f>CM42/$FC$42*100</f>
        <v>0</v>
      </c>
      <c r="CO42" s="12"/>
      <c r="CP42" s="12"/>
      <c r="CQ42" s="12">
        <f>SUM(CQ10:CQ41)</f>
        <v>0</v>
      </c>
      <c r="CR42" s="12">
        <f>CQ42/$FC$42*100</f>
        <v>0</v>
      </c>
      <c r="CS42" s="12"/>
      <c r="CT42" s="12"/>
      <c r="CU42" s="12">
        <f>SUM(CU10:CU41)</f>
        <v>0</v>
      </c>
      <c r="CV42" s="12">
        <f>CU42/$FC$42*100</f>
        <v>0</v>
      </c>
      <c r="CW42" s="12"/>
      <c r="CX42" s="12"/>
      <c r="CY42" s="12">
        <f>SUM(CY10:CY41)</f>
        <v>0</v>
      </c>
      <c r="CZ42" s="12">
        <f>CY42/$FC$42*100</f>
        <v>0</v>
      </c>
      <c r="DA42" s="12"/>
      <c r="DB42" s="12"/>
      <c r="DC42" s="12">
        <f>SUM(DC10:DC41)</f>
        <v>305589.375</v>
      </c>
      <c r="DD42" s="12">
        <f>DC42/$FC$42*100</f>
        <v>31.618512425279288</v>
      </c>
      <c r="DE42" s="12"/>
      <c r="DF42" s="12"/>
      <c r="DG42" s="12">
        <f>SUM(DG10:DG41)</f>
        <v>0</v>
      </c>
      <c r="DH42" s="12"/>
      <c r="DI42" s="12"/>
      <c r="DJ42" s="12"/>
      <c r="DK42" s="12">
        <f>SUM(DK10:DK41)</f>
        <v>717839.375</v>
      </c>
      <c r="DL42" s="19">
        <f>DK42/$FC$42*100</f>
        <v>74.272913440764157</v>
      </c>
      <c r="DM42" s="12"/>
      <c r="DN42" s="12"/>
      <c r="DO42" s="12">
        <f>SUM(DO10:DO41)</f>
        <v>0</v>
      </c>
      <c r="DP42" s="12">
        <f>DO42/$FC$42*100</f>
        <v>0</v>
      </c>
      <c r="DQ42" s="12"/>
      <c r="DR42" s="12"/>
      <c r="DS42" s="12">
        <f>SUM(DS10:DS41)</f>
        <v>0</v>
      </c>
      <c r="DT42" s="12">
        <f>DS42/$FC$42*100</f>
        <v>0</v>
      </c>
      <c r="DU42" s="12"/>
      <c r="DV42" s="12"/>
      <c r="DW42" s="12">
        <f>SUM(DW10:DW41)</f>
        <v>0</v>
      </c>
      <c r="DX42" s="12">
        <f>DW42/$FC$42*100</f>
        <v>0</v>
      </c>
      <c r="DY42" s="12"/>
      <c r="DZ42" s="12"/>
      <c r="EA42" s="12">
        <f>SUM(EA10:EA41)</f>
        <v>14000</v>
      </c>
      <c r="EB42" s="12">
        <f>EA42/$FC$42*100</f>
        <v>1.4485424238127063</v>
      </c>
      <c r="EC42" s="12"/>
      <c r="ED42" s="12"/>
      <c r="EE42" s="12">
        <f>SUM(EE10:EE41)</f>
        <v>14000</v>
      </c>
      <c r="EF42" s="21">
        <f>EE42/$FC$42*100</f>
        <v>1.4485424238127063</v>
      </c>
      <c r="EG42" s="12"/>
      <c r="EH42" s="12"/>
      <c r="EI42" s="12">
        <f>SUM(EI10:EI41)</f>
        <v>36352.06553484677</v>
      </c>
      <c r="EJ42" s="12">
        <f>EI42/$FC$42*100</f>
        <v>3.7612506514603772</v>
      </c>
      <c r="EK42" s="12"/>
      <c r="EL42" s="12"/>
      <c r="EM42" s="12">
        <f>SUM(EM10:EM41)</f>
        <v>12960.331193132213</v>
      </c>
      <c r="EN42" s="12">
        <f>EM42/$FC$42*100</f>
        <v>1.3409706828510828</v>
      </c>
      <c r="EO42" s="12"/>
      <c r="EP42" s="12"/>
      <c r="EQ42" s="12">
        <f>SUM(EQ10:EQ41)</f>
        <v>9069.4315627420747</v>
      </c>
      <c r="ER42" s="12">
        <f>EQ42/$FC$42*100</f>
        <v>0.93838974132127617</v>
      </c>
      <c r="ES42" s="12"/>
      <c r="ET42" s="12"/>
      <c r="EU42" s="12">
        <f>SUM(EU10:EU41)</f>
        <v>2245.0767306898474</v>
      </c>
      <c r="EV42" s="12">
        <f>EU42/$FC$42*100</f>
        <v>0.23229206350849843</v>
      </c>
      <c r="EW42" s="12"/>
      <c r="EX42" s="12"/>
      <c r="EY42" s="12">
        <f>SUM(EY10:EY41)</f>
        <v>60626.905021410901</v>
      </c>
      <c r="EZ42" s="21">
        <f>EY42/$FC$42*100</f>
        <v>6.272903139141234</v>
      </c>
      <c r="FA42" s="12"/>
      <c r="FB42" s="12"/>
      <c r="FC42" s="12">
        <f>SUM(FC10:FC41)</f>
        <v>966488.7800214109</v>
      </c>
      <c r="FD42" s="12">
        <f>FC42/$FC$42*100</f>
        <v>100</v>
      </c>
      <c r="FE42" s="12">
        <f>FC42/1000/E42</f>
        <v>1.0683707516392313</v>
      </c>
      <c r="FF42" s="12"/>
      <c r="FG42" s="6"/>
      <c r="FH42" s="6"/>
      <c r="FI42" s="460"/>
      <c r="FJ42" s="3"/>
    </row>
    <row r="43" spans="1:166" ht="13.5" thickTop="1"/>
    <row r="44" spans="1:166">
      <c r="CA44" s="14"/>
      <c r="CQ44" s="14"/>
      <c r="CU44" s="14"/>
      <c r="EA44">
        <v>25</v>
      </c>
      <c r="EB44">
        <v>17853</v>
      </c>
      <c r="EC44">
        <f>+EB44/2</f>
        <v>8926.5</v>
      </c>
      <c r="EF44" s="14"/>
      <c r="EZ44" s="14"/>
    </row>
    <row r="45" spans="1:166">
      <c r="E45" s="14"/>
      <c r="F45" s="14"/>
      <c r="G45" s="14"/>
      <c r="I45" s="14"/>
      <c r="AY45" s="14"/>
      <c r="CQ45" s="14"/>
      <c r="CU45" s="14"/>
      <c r="EA45">
        <v>26</v>
      </c>
      <c r="EB45">
        <v>2167</v>
      </c>
      <c r="EC45">
        <f>+EB45/2</f>
        <v>1083.5</v>
      </c>
    </row>
    <row r="46" spans="1:166">
      <c r="EA46">
        <v>27</v>
      </c>
      <c r="EB46">
        <v>3604</v>
      </c>
      <c r="EC46">
        <f>+EB46/2</f>
        <v>1802</v>
      </c>
    </row>
    <row r="47" spans="1:166">
      <c r="EA47">
        <v>28</v>
      </c>
      <c r="EB47">
        <v>10664</v>
      </c>
      <c r="EC47">
        <f>+EB47/2</f>
        <v>5332</v>
      </c>
    </row>
  </sheetData>
  <mergeCells count="47">
    <mergeCell ref="EI8:EL8"/>
    <mergeCell ref="EY8:FB8"/>
    <mergeCell ref="EM8:EP8"/>
    <mergeCell ref="EQ8:ET8"/>
    <mergeCell ref="FH8:FI8"/>
    <mergeCell ref="EU8:EX8"/>
    <mergeCell ref="FJ8:FJ9"/>
    <mergeCell ref="CA8:CD8"/>
    <mergeCell ref="DC8:DF8"/>
    <mergeCell ref="CE8:CH8"/>
    <mergeCell ref="CM8:CP8"/>
    <mergeCell ref="CI8:CL8"/>
    <mergeCell ref="CQ8:CT8"/>
    <mergeCell ref="CY8:DB8"/>
    <mergeCell ref="CU8:CX8"/>
    <mergeCell ref="DG8:DJ8"/>
    <mergeCell ref="FE8:FF8"/>
    <mergeCell ref="DS8:DV8"/>
    <mergeCell ref="EA8:ED8"/>
    <mergeCell ref="EE8:EH8"/>
    <mergeCell ref="FC8:FD8"/>
    <mergeCell ref="DW8:DZ8"/>
    <mergeCell ref="BC8:BF8"/>
    <mergeCell ref="AU8:AX8"/>
    <mergeCell ref="A8:A9"/>
    <mergeCell ref="B8:B9"/>
    <mergeCell ref="C8:C9"/>
    <mergeCell ref="K8:N8"/>
    <mergeCell ref="G8:J8"/>
    <mergeCell ref="D8:D9"/>
    <mergeCell ref="E8:F8"/>
    <mergeCell ref="DO8:DR8"/>
    <mergeCell ref="DK8:DN8"/>
    <mergeCell ref="O8:R8"/>
    <mergeCell ref="W8:Z8"/>
    <mergeCell ref="AI8:AL8"/>
    <mergeCell ref="BW8:BZ8"/>
    <mergeCell ref="BS8:BV8"/>
    <mergeCell ref="S8:V8"/>
    <mergeCell ref="AA8:AD8"/>
    <mergeCell ref="AM8:AP8"/>
    <mergeCell ref="AE8:AH8"/>
    <mergeCell ref="BO8:BR8"/>
    <mergeCell ref="BK8:BN8"/>
    <mergeCell ref="AY8:BB8"/>
    <mergeCell ref="AQ8:AT8"/>
    <mergeCell ref="BG8:BJ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
  <sheetViews>
    <sheetView topLeftCell="R1" workbookViewId="0">
      <selection activeCell="AA13" sqref="AA13"/>
    </sheetView>
  </sheetViews>
  <sheetFormatPr defaultRowHeight="12.75"/>
  <cols>
    <col min="1" max="1" width="21.28515625" customWidth="1"/>
    <col min="2" max="13" width="9.140625" customWidth="1"/>
    <col min="14" max="14" width="9.42578125" customWidth="1"/>
    <col min="15" max="32" width="9.140625" customWidth="1"/>
    <col min="34" max="34" width="10.85546875" bestFit="1" customWidth="1"/>
    <col min="35" max="35" width="16.28515625" bestFit="1" customWidth="1"/>
  </cols>
  <sheetData>
    <row r="1" spans="1:42">
      <c r="A1" s="365" t="s">
        <v>394</v>
      </c>
      <c r="J1">
        <v>3918</v>
      </c>
      <c r="K1">
        <v>3697</v>
      </c>
      <c r="L1">
        <v>3765</v>
      </c>
      <c r="M1">
        <v>3681</v>
      </c>
      <c r="N1">
        <v>3772</v>
      </c>
      <c r="O1">
        <v>3753</v>
      </c>
      <c r="P1">
        <v>3340</v>
      </c>
      <c r="Q1">
        <v>4425</v>
      </c>
      <c r="R1">
        <v>5056</v>
      </c>
      <c r="S1">
        <v>5781</v>
      </c>
      <c r="T1">
        <v>5269</v>
      </c>
      <c r="U1">
        <v>5482</v>
      </c>
      <c r="V1">
        <v>4582</v>
      </c>
      <c r="W1">
        <v>4698</v>
      </c>
      <c r="X1">
        <v>4786</v>
      </c>
      <c r="Y1">
        <v>4769</v>
      </c>
      <c r="Z1">
        <v>5095</v>
      </c>
      <c r="AA1">
        <v>4377</v>
      </c>
      <c r="AB1">
        <v>4784</v>
      </c>
      <c r="AC1">
        <v>4723</v>
      </c>
      <c r="AD1">
        <v>6965</v>
      </c>
      <c r="AE1">
        <v>4692</v>
      </c>
      <c r="AF1">
        <v>3830</v>
      </c>
      <c r="AK1" s="535"/>
      <c r="AL1" s="535"/>
      <c r="AM1" s="535"/>
      <c r="AN1" s="535"/>
      <c r="AO1" s="535"/>
      <c r="AP1" s="535"/>
    </row>
    <row r="2" spans="1:42" ht="15">
      <c r="A2" s="6"/>
      <c r="B2" s="6">
        <v>1</v>
      </c>
      <c r="C2" s="6">
        <v>2</v>
      </c>
      <c r="D2" s="560">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42" t="s">
        <v>280</v>
      </c>
      <c r="AH2" s="443" t="s">
        <v>281</v>
      </c>
      <c r="AI2" s="444" t="s">
        <v>282</v>
      </c>
      <c r="AK2" s="535"/>
      <c r="AL2" s="535"/>
      <c r="AM2" s="535"/>
      <c r="AN2" s="535"/>
      <c r="AO2" s="535"/>
      <c r="AP2" s="535"/>
    </row>
    <row r="3" spans="1:42">
      <c r="A3" s="408" t="s">
        <v>206</v>
      </c>
      <c r="B3" s="6"/>
      <c r="C3" s="6"/>
      <c r="D3" s="6"/>
      <c r="E3" s="6"/>
      <c r="F3" s="6"/>
      <c r="G3" s="6"/>
      <c r="H3" s="6"/>
      <c r="I3" s="6"/>
      <c r="J3" s="6">
        <f>2861/1000</f>
        <v>2.8610000000000002</v>
      </c>
      <c r="K3" s="6">
        <f>5059/1000</f>
        <v>5.0590000000000002</v>
      </c>
      <c r="L3" s="6">
        <f>2551/1000</f>
        <v>2.5510000000000002</v>
      </c>
      <c r="M3" s="6">
        <f>4237/1000</f>
        <v>4.2370000000000001</v>
      </c>
      <c r="N3" s="6">
        <f>6498/1000</f>
        <v>6.4980000000000002</v>
      </c>
      <c r="O3" s="6">
        <f>7559/1000</f>
        <v>7.5590000000000002</v>
      </c>
      <c r="P3" s="6">
        <f>8826/1000</f>
        <v>8.8260000000000005</v>
      </c>
      <c r="Q3" s="6">
        <f>11104/1000</f>
        <v>11.103999999999999</v>
      </c>
      <c r="R3" s="6">
        <f>5200/1000</f>
        <v>5.2</v>
      </c>
      <c r="S3" s="6">
        <f>2846/1000</f>
        <v>2.8460000000000001</v>
      </c>
      <c r="T3" s="6">
        <f>3701/1000</f>
        <v>3.7010000000000001</v>
      </c>
      <c r="U3" s="6">
        <f>3701/1000</f>
        <v>3.7010000000000001</v>
      </c>
      <c r="V3" s="6">
        <f>4700/1000</f>
        <v>4.7</v>
      </c>
      <c r="W3" s="6">
        <f>3917/1000</f>
        <v>3.9169999999999998</v>
      </c>
      <c r="X3" s="6">
        <f>7350/1000</f>
        <v>7.35</v>
      </c>
      <c r="Y3" s="6">
        <f>4158/1000</f>
        <v>4.1580000000000004</v>
      </c>
      <c r="Z3" s="6">
        <f>767/1000</f>
        <v>0.76700000000000002</v>
      </c>
      <c r="AA3" s="6">
        <f>12702/1000</f>
        <v>12.702</v>
      </c>
      <c r="AB3" s="6">
        <f>2320/1000</f>
        <v>2.3199999999999998</v>
      </c>
      <c r="AC3" s="6">
        <v>0</v>
      </c>
      <c r="AD3" s="6">
        <f>5122/1000</f>
        <v>5.1219999999999999</v>
      </c>
      <c r="AE3" s="6">
        <f>11743/1000</f>
        <v>11.743</v>
      </c>
      <c r="AF3" s="6">
        <f>8318/1000</f>
        <v>8.3179999999999996</v>
      </c>
      <c r="AG3" s="6">
        <f>+AF3</f>
        <v>8.3179999999999996</v>
      </c>
      <c r="AH3" s="434">
        <f>+AG3/Efficiency1!$K$180</f>
        <v>5.2324197611714595E-3</v>
      </c>
      <c r="AI3" s="771">
        <f>SUM(AH3:AH4)</f>
        <v>5.6727532347011569E-3</v>
      </c>
      <c r="AK3" s="535"/>
      <c r="AL3" s="535"/>
      <c r="AM3" s="535"/>
      <c r="AN3" s="535"/>
      <c r="AO3" s="535"/>
      <c r="AP3" s="535"/>
    </row>
    <row r="4" spans="1:42">
      <c r="A4" s="408" t="s">
        <v>207</v>
      </c>
      <c r="B4" s="6"/>
      <c r="C4" s="6"/>
      <c r="D4" s="6"/>
      <c r="E4" s="6"/>
      <c r="F4" s="6"/>
      <c r="G4" s="6"/>
      <c r="H4" s="6"/>
      <c r="I4" s="6"/>
      <c r="J4" s="6">
        <f>1400/1000</f>
        <v>1.4</v>
      </c>
      <c r="K4" s="6">
        <f>2100/1000</f>
        <v>2.1</v>
      </c>
      <c r="L4" s="6">
        <v>2.1</v>
      </c>
      <c r="M4" s="6">
        <f>327/1000</f>
        <v>0.32700000000000001</v>
      </c>
      <c r="N4" s="409">
        <f>1046/1000</f>
        <v>1.046</v>
      </c>
      <c r="O4" s="409">
        <f>1955/1000</f>
        <v>1.9550000000000001</v>
      </c>
      <c r="P4" s="6">
        <f>420/1000</f>
        <v>0.42</v>
      </c>
      <c r="Q4" s="6">
        <f>1850/1000</f>
        <v>1.85</v>
      </c>
      <c r="R4" s="6">
        <f>1020/1000</f>
        <v>1.02</v>
      </c>
      <c r="S4" s="6">
        <f>1900/1000</f>
        <v>1.9</v>
      </c>
      <c r="T4" s="6">
        <f>1480/1000</f>
        <v>1.48</v>
      </c>
      <c r="U4" s="6">
        <f>2313/1000</f>
        <v>2.3130000000000002</v>
      </c>
      <c r="V4" s="6">
        <f>370/1000</f>
        <v>0.37</v>
      </c>
      <c r="W4" s="409">
        <f>1035/1000</f>
        <v>1.0349999999999999</v>
      </c>
      <c r="X4" s="6">
        <f>651/1000</f>
        <v>0.65100000000000002</v>
      </c>
      <c r="Y4" s="6">
        <f>1295/1000</f>
        <v>1.2949999999999999</v>
      </c>
      <c r="Z4" s="6">
        <f>500/1000</f>
        <v>0.5</v>
      </c>
      <c r="AA4" s="6"/>
      <c r="AB4" s="6">
        <f>435/1000</f>
        <v>0.435</v>
      </c>
      <c r="AC4" s="6">
        <f>1334/1000</f>
        <v>1.3340000000000001</v>
      </c>
      <c r="AD4" s="6">
        <f>1002/1000</f>
        <v>1.002</v>
      </c>
      <c r="AE4" s="6">
        <f>866/1000</f>
        <v>0.86599999999999999</v>
      </c>
      <c r="AF4" s="6">
        <f>700/1000</f>
        <v>0.7</v>
      </c>
      <c r="AG4" s="6">
        <f>+AF4</f>
        <v>0.7</v>
      </c>
      <c r="AH4" s="434">
        <f>+AG4/Efficiency1!$K$180</f>
        <v>4.4033347352969722E-4</v>
      </c>
      <c r="AI4" s="772"/>
      <c r="AK4" s="535"/>
      <c r="AL4" s="535"/>
      <c r="AM4" s="535"/>
      <c r="AN4" s="535"/>
      <c r="AO4" s="535"/>
      <c r="AP4" s="535"/>
    </row>
    <row r="5" spans="1:42">
      <c r="A5" s="445"/>
      <c r="B5" s="446"/>
      <c r="C5" s="446"/>
      <c r="D5" s="446"/>
      <c r="E5" s="446"/>
      <c r="F5" s="446"/>
      <c r="G5" s="446"/>
      <c r="H5" s="446"/>
      <c r="I5" s="446"/>
      <c r="J5" s="446"/>
      <c r="K5" s="446"/>
      <c r="L5" s="446"/>
      <c r="M5" s="446"/>
      <c r="N5" s="447"/>
      <c r="O5" s="447"/>
      <c r="P5" s="446"/>
      <c r="Q5" s="446"/>
      <c r="R5" s="446"/>
      <c r="S5" s="446"/>
      <c r="T5" s="446"/>
      <c r="U5" s="446"/>
      <c r="V5" s="446"/>
      <c r="W5" s="447"/>
      <c r="X5" s="446"/>
      <c r="Y5" s="446"/>
      <c r="Z5" s="446"/>
      <c r="AA5" s="446"/>
      <c r="AB5" s="446"/>
      <c r="AC5" s="446"/>
      <c r="AD5" s="446"/>
      <c r="AE5" s="446"/>
      <c r="AF5" s="446"/>
      <c r="AG5" s="446"/>
      <c r="AH5" s="448"/>
      <c r="AK5" s="535"/>
      <c r="AL5" s="535"/>
      <c r="AM5" s="535"/>
      <c r="AN5" s="535"/>
      <c r="AO5" s="535"/>
      <c r="AP5" s="535"/>
    </row>
    <row r="6" spans="1:42">
      <c r="A6" s="408" t="s">
        <v>375</v>
      </c>
      <c r="B6" s="409"/>
      <c r="C6" s="6"/>
      <c r="D6" s="6"/>
      <c r="E6" s="6"/>
      <c r="F6" s="6"/>
      <c r="G6" s="6"/>
      <c r="H6" s="6"/>
      <c r="I6" s="6"/>
      <c r="J6" s="6">
        <v>0.87</v>
      </c>
      <c r="K6" s="6">
        <v>0.40300000000000002</v>
      </c>
      <c r="L6" s="6">
        <v>1.5229999999999999</v>
      </c>
      <c r="M6" s="6">
        <v>0.624</v>
      </c>
      <c r="N6" s="6">
        <v>0.17</v>
      </c>
      <c r="O6" s="6">
        <v>3.1819999999999999</v>
      </c>
      <c r="P6" s="6">
        <v>1.331</v>
      </c>
      <c r="Q6" s="6">
        <v>0.93899999999999995</v>
      </c>
      <c r="R6" s="6">
        <v>0.65500000000000003</v>
      </c>
      <c r="S6" s="6">
        <v>0.55300000000000005</v>
      </c>
      <c r="T6" s="6">
        <v>1.347</v>
      </c>
      <c r="U6" s="6">
        <v>0.51</v>
      </c>
      <c r="V6" s="6">
        <v>0.254</v>
      </c>
      <c r="W6" s="409">
        <v>1.3979999999999999</v>
      </c>
      <c r="X6" s="6">
        <v>1.6379999999999999</v>
      </c>
      <c r="Y6" s="6">
        <v>0.76600000000000001</v>
      </c>
      <c r="Z6" s="409">
        <v>1.948</v>
      </c>
      <c r="AA6" s="6">
        <v>1.2969999999999999</v>
      </c>
      <c r="AB6" s="6">
        <f>1065/1000</f>
        <v>1.0649999999999999</v>
      </c>
      <c r="AC6" s="6">
        <v>0.82</v>
      </c>
      <c r="AD6" s="6">
        <v>0.21</v>
      </c>
      <c r="AE6" s="6">
        <v>0.30299999999999999</v>
      </c>
      <c r="AF6" s="6">
        <v>1.2390000000000001</v>
      </c>
      <c r="AG6" s="6">
        <f>+SUM(B6:AF6)</f>
        <v>23.045000000000002</v>
      </c>
      <c r="AH6" s="449">
        <f t="shared" ref="AH6:AH36" si="0">+AG6/$AG$39</f>
        <v>0.45632759747331736</v>
      </c>
      <c r="AK6" s="535"/>
      <c r="AL6" s="535"/>
      <c r="AM6" s="535"/>
      <c r="AN6" s="535"/>
      <c r="AO6" s="535"/>
      <c r="AP6" s="535"/>
    </row>
    <row r="7" spans="1:42">
      <c r="A7" s="408" t="s">
        <v>376</v>
      </c>
      <c r="B7" s="409"/>
      <c r="C7" s="409"/>
      <c r="D7" s="6"/>
      <c r="E7" s="6"/>
      <c r="F7" s="6"/>
      <c r="G7" s="6"/>
      <c r="H7" s="6"/>
      <c r="I7" s="6"/>
      <c r="J7" s="6">
        <v>0.312</v>
      </c>
      <c r="K7" s="6">
        <v>0.86699999999999999</v>
      </c>
      <c r="L7" s="6">
        <v>0.81599999999999995</v>
      </c>
      <c r="M7" s="6">
        <v>0.54800000000000004</v>
      </c>
      <c r="N7" s="6">
        <v>0.52600000000000002</v>
      </c>
      <c r="O7" s="6">
        <v>1.7450000000000001</v>
      </c>
      <c r="P7" s="6">
        <v>1.0660000000000001</v>
      </c>
      <c r="Q7" s="6">
        <v>0.83699999999999997</v>
      </c>
      <c r="R7" s="568">
        <v>0.57599999999999996</v>
      </c>
      <c r="S7" s="6">
        <v>0.51400000000000001</v>
      </c>
      <c r="T7" s="6">
        <v>0.97499999999999998</v>
      </c>
      <c r="U7" s="6">
        <v>0.33900000000000002</v>
      </c>
      <c r="V7" s="6">
        <v>0.53400000000000003</v>
      </c>
      <c r="W7" s="6">
        <v>0.57799999999999996</v>
      </c>
      <c r="X7" s="6">
        <v>0.56000000000000005</v>
      </c>
      <c r="Y7" s="6">
        <v>0.34699999999999998</v>
      </c>
      <c r="Z7" s="6">
        <v>2.1259999999999999</v>
      </c>
      <c r="AA7" s="6"/>
      <c r="AB7" s="6">
        <f>150/1000</f>
        <v>0.15</v>
      </c>
      <c r="AC7" s="6">
        <v>0.80500000000000005</v>
      </c>
      <c r="AD7" s="6">
        <v>0.41</v>
      </c>
      <c r="AE7" s="6">
        <f>50/1000</f>
        <v>0.05</v>
      </c>
      <c r="AF7" s="6">
        <v>0.753</v>
      </c>
      <c r="AG7" s="6">
        <f t="shared" ref="AG7:AG37" si="1">+SUM(B7:AF7)</f>
        <v>15.434000000000001</v>
      </c>
      <c r="AH7" s="434">
        <f t="shared" si="0"/>
        <v>0.30561771054038533</v>
      </c>
      <c r="AK7" s="535"/>
      <c r="AL7" s="536"/>
      <c r="AM7" s="535"/>
      <c r="AN7" s="535"/>
      <c r="AO7" s="535"/>
      <c r="AP7" s="535"/>
    </row>
    <row r="8" spans="1:42">
      <c r="A8" s="410" t="s">
        <v>208</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34">
        <f t="shared" si="0"/>
        <v>0</v>
      </c>
      <c r="AK8" s="535"/>
      <c r="AL8" s="535"/>
      <c r="AM8" s="535"/>
      <c r="AN8" s="535"/>
      <c r="AO8" s="535"/>
      <c r="AP8" s="535"/>
    </row>
    <row r="9" spans="1:42">
      <c r="A9" s="408" t="s">
        <v>209</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34">
        <f t="shared" si="0"/>
        <v>0</v>
      </c>
      <c r="AK9" s="535"/>
      <c r="AL9" s="535"/>
      <c r="AM9" s="535"/>
      <c r="AN9" s="535"/>
      <c r="AO9" s="535"/>
      <c r="AP9" s="535"/>
    </row>
    <row r="10" spans="1:42">
      <c r="A10" s="408" t="s">
        <v>210</v>
      </c>
      <c r="B10" s="6"/>
      <c r="C10" s="6"/>
      <c r="D10" s="6"/>
      <c r="E10" s="6"/>
      <c r="F10" s="6"/>
      <c r="G10" s="6"/>
      <c r="H10" s="6"/>
      <c r="I10" s="6"/>
      <c r="J10" s="6"/>
      <c r="K10" s="6"/>
      <c r="L10" s="6"/>
      <c r="M10" s="6"/>
      <c r="N10" s="6"/>
      <c r="O10" s="6"/>
      <c r="P10" s="6"/>
      <c r="Q10" s="6"/>
      <c r="R10" s="6"/>
      <c r="S10" s="6"/>
      <c r="T10" s="6"/>
      <c r="U10" s="6"/>
      <c r="V10" s="6"/>
      <c r="W10" s="6"/>
      <c r="X10" s="6">
        <v>0.5</v>
      </c>
      <c r="Y10" s="6"/>
      <c r="Z10" s="6"/>
      <c r="AA10" s="6"/>
      <c r="AB10" s="6"/>
      <c r="AC10" s="6"/>
      <c r="AD10" s="6"/>
      <c r="AE10" s="6"/>
      <c r="AF10" s="6"/>
      <c r="AG10" s="6">
        <f t="shared" si="1"/>
        <v>0.5</v>
      </c>
      <c r="AH10" s="434">
        <f t="shared" si="0"/>
        <v>9.9007940436823018E-3</v>
      </c>
      <c r="AK10" s="535"/>
      <c r="AL10" s="535"/>
      <c r="AM10" s="535"/>
      <c r="AN10" s="535"/>
      <c r="AO10" s="535"/>
      <c r="AP10" s="535"/>
    </row>
    <row r="11" spans="1:42">
      <c r="A11" s="408" t="s">
        <v>14</v>
      </c>
      <c r="B11" s="6"/>
      <c r="C11" s="6"/>
      <c r="D11" s="6"/>
      <c r="E11" s="6"/>
      <c r="F11" s="6"/>
      <c r="G11" s="6"/>
      <c r="H11" s="6"/>
      <c r="I11" s="6"/>
      <c r="J11" s="6">
        <v>0.37</v>
      </c>
      <c r="K11" s="6"/>
      <c r="L11" s="6"/>
      <c r="M11" s="6">
        <v>0.63200000000000001</v>
      </c>
      <c r="N11" s="6">
        <v>0.33500000000000002</v>
      </c>
      <c r="O11" s="6">
        <v>0.125</v>
      </c>
      <c r="P11" s="6">
        <v>0.86</v>
      </c>
      <c r="Q11" s="6">
        <v>0.22500000000000001</v>
      </c>
      <c r="R11" s="6"/>
      <c r="S11" s="6"/>
      <c r="T11" s="6"/>
      <c r="U11" s="6"/>
      <c r="V11" s="6"/>
      <c r="W11" s="6"/>
      <c r="X11" s="6">
        <v>0.12</v>
      </c>
      <c r="Y11" s="6">
        <f>1210/1000</f>
        <v>1.21</v>
      </c>
      <c r="Z11" s="6"/>
      <c r="AA11" s="6"/>
      <c r="AB11" s="6"/>
      <c r="AC11" s="6"/>
      <c r="AD11" s="6"/>
      <c r="AE11" s="6">
        <v>1.25</v>
      </c>
      <c r="AF11" s="6"/>
      <c r="AG11" s="6">
        <f t="shared" si="1"/>
        <v>5.1270000000000007</v>
      </c>
      <c r="AH11" s="434">
        <f t="shared" si="0"/>
        <v>0.10152274212391835</v>
      </c>
      <c r="AK11" s="535"/>
      <c r="AL11" s="535"/>
      <c r="AM11" s="535"/>
      <c r="AN11" s="535"/>
      <c r="AO11" s="535"/>
      <c r="AP11" s="535"/>
    </row>
    <row r="12" spans="1:42">
      <c r="A12" s="408" t="s">
        <v>211</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f t="shared" si="1"/>
        <v>0</v>
      </c>
      <c r="AH12" s="434">
        <f t="shared" si="0"/>
        <v>0</v>
      </c>
      <c r="AK12" s="535"/>
      <c r="AL12" s="535"/>
      <c r="AM12" s="535"/>
      <c r="AN12" s="535"/>
      <c r="AO12" s="535"/>
      <c r="AP12" s="535"/>
    </row>
    <row r="13" spans="1:42">
      <c r="A13" s="408" t="s">
        <v>212</v>
      </c>
      <c r="B13" s="6"/>
      <c r="C13" s="6"/>
      <c r="D13" s="6"/>
      <c r="E13" s="6"/>
      <c r="F13" s="6"/>
      <c r="G13" s="6"/>
      <c r="H13" s="6"/>
      <c r="I13" s="6"/>
      <c r="J13" s="6"/>
      <c r="K13" s="6"/>
      <c r="L13" s="6"/>
      <c r="M13" s="6"/>
      <c r="N13" s="6">
        <v>0.377</v>
      </c>
      <c r="O13" s="6"/>
      <c r="P13" s="6"/>
      <c r="Q13" s="6"/>
      <c r="R13" s="6"/>
      <c r="S13" s="6"/>
      <c r="T13" s="6"/>
      <c r="U13" s="6"/>
      <c r="V13" s="6"/>
      <c r="W13" s="6"/>
      <c r="X13" s="6"/>
      <c r="Y13" s="6"/>
      <c r="Z13" s="6"/>
      <c r="AA13" s="6"/>
      <c r="AB13" s="6"/>
      <c r="AC13" s="6"/>
      <c r="AD13" s="6"/>
      <c r="AE13" s="6"/>
      <c r="AF13" s="6"/>
      <c r="AG13" s="6">
        <f t="shared" si="1"/>
        <v>0.377</v>
      </c>
      <c r="AH13" s="434">
        <f t="shared" si="0"/>
        <v>7.4651987089364557E-3</v>
      </c>
      <c r="AK13" s="535"/>
      <c r="AL13" s="535"/>
      <c r="AM13" s="536"/>
      <c r="AN13" s="535"/>
      <c r="AO13" s="535"/>
      <c r="AP13" s="535"/>
    </row>
    <row r="14" spans="1:42">
      <c r="A14" s="408" t="s">
        <v>377</v>
      </c>
      <c r="B14" s="6"/>
      <c r="C14" s="6"/>
      <c r="D14" s="6"/>
      <c r="E14" s="6"/>
      <c r="F14" s="6"/>
      <c r="G14" s="6"/>
      <c r="H14" s="6"/>
      <c r="I14" s="6"/>
      <c r="J14" s="6"/>
      <c r="K14" s="6"/>
      <c r="L14" s="6"/>
      <c r="M14" s="6"/>
      <c r="N14" s="6"/>
      <c r="O14" s="6"/>
      <c r="P14" s="6"/>
      <c r="Q14" s="6"/>
      <c r="R14" s="6"/>
      <c r="S14" s="6"/>
      <c r="T14" s="6"/>
      <c r="U14" s="6"/>
      <c r="V14" s="6"/>
      <c r="W14" s="6"/>
      <c r="X14" s="6">
        <v>0.27</v>
      </c>
      <c r="Y14" s="6"/>
      <c r="Z14" s="6"/>
      <c r="AA14" s="6"/>
      <c r="AB14" s="6"/>
      <c r="AC14" s="6"/>
      <c r="AD14" s="6"/>
      <c r="AE14" s="6"/>
      <c r="AF14" s="6"/>
      <c r="AG14" s="6">
        <f t="shared" si="1"/>
        <v>0.27</v>
      </c>
      <c r="AH14" s="434">
        <f t="shared" si="0"/>
        <v>5.3464287835884436E-3</v>
      </c>
      <c r="AK14" s="535"/>
      <c r="AL14" s="535"/>
      <c r="AM14" s="535"/>
      <c r="AN14" s="535"/>
      <c r="AO14" s="535"/>
      <c r="AP14" s="535"/>
    </row>
    <row r="15" spans="1:42">
      <c r="A15" s="408" t="s">
        <v>283</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34">
        <f t="shared" si="0"/>
        <v>0</v>
      </c>
      <c r="AK15" s="535"/>
      <c r="AL15" s="535"/>
      <c r="AM15" s="535"/>
      <c r="AN15" s="535"/>
      <c r="AO15" s="535"/>
      <c r="AP15" s="535"/>
    </row>
    <row r="16" spans="1:42">
      <c r="A16" s="408" t="s">
        <v>378</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34">
        <f t="shared" si="0"/>
        <v>0</v>
      </c>
      <c r="AK16" s="535"/>
      <c r="AL16" s="535"/>
      <c r="AM16" s="535"/>
      <c r="AN16" s="535"/>
      <c r="AO16" s="535"/>
      <c r="AP16" s="535"/>
    </row>
    <row r="17" spans="1:42">
      <c r="A17" s="408" t="s">
        <v>213</v>
      </c>
      <c r="B17" s="6"/>
      <c r="C17" s="6"/>
      <c r="D17" s="6"/>
      <c r="E17" s="6"/>
      <c r="F17" s="6"/>
      <c r="G17" s="6"/>
      <c r="H17" s="6"/>
      <c r="I17" s="6"/>
      <c r="J17" s="6"/>
      <c r="K17" s="6"/>
      <c r="L17" s="6">
        <v>0.5</v>
      </c>
      <c r="M17" s="6"/>
      <c r="N17" s="6"/>
      <c r="O17" s="6"/>
      <c r="P17" s="6"/>
      <c r="Q17" s="6"/>
      <c r="R17" s="6"/>
      <c r="S17" s="6"/>
      <c r="T17" s="6"/>
      <c r="U17" s="6"/>
      <c r="V17" s="6"/>
      <c r="W17" s="6"/>
      <c r="X17" s="6"/>
      <c r="Y17" s="6"/>
      <c r="Z17" s="6"/>
      <c r="AA17" s="6"/>
      <c r="AB17" s="6"/>
      <c r="AC17" s="6"/>
      <c r="AD17" s="6"/>
      <c r="AE17" s="6"/>
      <c r="AF17" s="6"/>
      <c r="AG17" s="6">
        <f t="shared" si="1"/>
        <v>0.5</v>
      </c>
      <c r="AH17" s="434">
        <f t="shared" si="0"/>
        <v>9.9007940436823018E-3</v>
      </c>
      <c r="AK17" s="535"/>
      <c r="AL17" s="535"/>
      <c r="AM17" s="535"/>
      <c r="AN17" s="535"/>
      <c r="AO17" s="535"/>
      <c r="AP17" s="535"/>
    </row>
    <row r="18" spans="1:42">
      <c r="A18" s="408" t="s">
        <v>214</v>
      </c>
      <c r="B18" s="6"/>
      <c r="C18" s="6"/>
      <c r="D18" s="6"/>
      <c r="E18" s="6"/>
      <c r="F18" s="6"/>
      <c r="G18" s="6"/>
      <c r="H18" s="6"/>
      <c r="I18" s="6"/>
      <c r="J18" s="6"/>
      <c r="K18" s="6"/>
      <c r="L18" s="6"/>
      <c r="M18" s="6"/>
      <c r="N18" s="6"/>
      <c r="O18" s="409"/>
      <c r="P18" s="6"/>
      <c r="Q18" s="6">
        <v>0.1</v>
      </c>
      <c r="R18" s="6"/>
      <c r="S18" s="6"/>
      <c r="T18" s="6"/>
      <c r="U18" s="6"/>
      <c r="V18" s="6">
        <f>73/1000</f>
        <v>7.2999999999999995E-2</v>
      </c>
      <c r="W18" s="6"/>
      <c r="X18" s="6"/>
      <c r="Y18" s="6">
        <v>0.68899999999999995</v>
      </c>
      <c r="Z18" s="6">
        <v>1.2889999999999999</v>
      </c>
      <c r="AA18" s="6"/>
      <c r="AB18" s="6">
        <v>0.76700000000000002</v>
      </c>
      <c r="AC18" s="6"/>
      <c r="AD18" s="6"/>
      <c r="AE18" s="6"/>
      <c r="AF18" s="6"/>
      <c r="AG18" s="6">
        <f t="shared" si="1"/>
        <v>2.9179999999999997</v>
      </c>
      <c r="AH18" s="434">
        <f t="shared" si="0"/>
        <v>5.778103403892991E-2</v>
      </c>
      <c r="AK18" s="535"/>
      <c r="AL18" s="535"/>
      <c r="AM18" s="535"/>
      <c r="AN18" s="535"/>
      <c r="AO18" s="535"/>
      <c r="AP18" s="535"/>
    </row>
    <row r="19" spans="1:42">
      <c r="A19" s="408" t="s">
        <v>284</v>
      </c>
      <c r="B19" s="6"/>
      <c r="C19" s="6"/>
      <c r="D19" s="6"/>
      <c r="E19" s="6"/>
      <c r="F19" s="6"/>
      <c r="G19" s="6"/>
      <c r="H19" s="6"/>
      <c r="I19" s="6"/>
      <c r="J19" s="6"/>
      <c r="K19" s="6">
        <v>0.33500000000000002</v>
      </c>
      <c r="L19" s="6"/>
      <c r="M19" s="6"/>
      <c r="N19" s="6"/>
      <c r="O19" s="6"/>
      <c r="P19" s="6"/>
      <c r="Q19" s="6"/>
      <c r="R19" s="6"/>
      <c r="S19" s="6"/>
      <c r="T19" s="6"/>
      <c r="U19" s="6"/>
      <c r="V19" s="6"/>
      <c r="W19" s="6"/>
      <c r="X19" s="6"/>
      <c r="Y19" s="6"/>
      <c r="Z19" s="6"/>
      <c r="AA19" s="6"/>
      <c r="AB19" s="6"/>
      <c r="AC19" s="6"/>
      <c r="AD19" s="6"/>
      <c r="AE19" s="6"/>
      <c r="AF19" s="6"/>
      <c r="AG19" s="6">
        <f t="shared" si="1"/>
        <v>0.33500000000000002</v>
      </c>
      <c r="AH19" s="434">
        <f t="shared" si="0"/>
        <v>6.6335320092671428E-3</v>
      </c>
      <c r="AK19" s="535"/>
      <c r="AL19" s="535"/>
      <c r="AM19" s="535"/>
      <c r="AN19" s="535"/>
      <c r="AO19" s="535"/>
      <c r="AP19" s="535"/>
    </row>
    <row r="20" spans="1:42">
      <c r="A20" s="408" t="s">
        <v>379</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34">
        <f t="shared" si="0"/>
        <v>0</v>
      </c>
      <c r="AK20" s="535"/>
      <c r="AL20" s="535"/>
      <c r="AM20" s="535"/>
      <c r="AN20" s="535"/>
      <c r="AO20" s="535"/>
      <c r="AP20" s="535"/>
    </row>
    <row r="21" spans="1:42">
      <c r="A21" s="408" t="s">
        <v>215</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34">
        <f t="shared" si="0"/>
        <v>0</v>
      </c>
      <c r="AK21" s="535"/>
      <c r="AL21" s="535"/>
      <c r="AM21" s="535"/>
      <c r="AN21" s="535"/>
      <c r="AO21" s="535"/>
      <c r="AP21" s="535"/>
    </row>
    <row r="22" spans="1:42">
      <c r="A22" s="408" t="s">
        <v>380</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34">
        <f t="shared" si="0"/>
        <v>0</v>
      </c>
      <c r="AK22" s="535"/>
      <c r="AL22" s="535"/>
      <c r="AM22" s="535"/>
      <c r="AN22" s="535"/>
      <c r="AO22" s="535"/>
      <c r="AP22" s="535"/>
    </row>
    <row r="23" spans="1:42">
      <c r="A23" s="408" t="s">
        <v>216</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34">
        <f t="shared" si="0"/>
        <v>0</v>
      </c>
    </row>
    <row r="24" spans="1:42">
      <c r="A24" s="408" t="s">
        <v>381</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34">
        <f t="shared" si="0"/>
        <v>0</v>
      </c>
    </row>
    <row r="25" spans="1:42">
      <c r="A25" s="408" t="s">
        <v>217</v>
      </c>
      <c r="B25" s="6"/>
      <c r="C25" s="6"/>
      <c r="D25" s="6"/>
      <c r="E25" s="6"/>
      <c r="F25" s="6"/>
      <c r="G25" s="6"/>
      <c r="H25" s="6"/>
      <c r="I25" s="6"/>
      <c r="J25" s="6"/>
      <c r="K25" s="6"/>
      <c r="L25" s="6"/>
      <c r="M25" s="6"/>
      <c r="N25" s="6"/>
      <c r="O25" s="6"/>
      <c r="P25" s="6"/>
      <c r="Q25" s="6">
        <v>0.11</v>
      </c>
      <c r="R25" s="6"/>
      <c r="S25" s="6"/>
      <c r="T25" s="6"/>
      <c r="U25" s="6"/>
      <c r="V25" s="6"/>
      <c r="W25" s="6"/>
      <c r="X25" s="6"/>
      <c r="Y25" s="6"/>
      <c r="Z25" s="6"/>
      <c r="AA25" s="6"/>
      <c r="AB25" s="6"/>
      <c r="AC25" s="6"/>
      <c r="AD25" s="6"/>
      <c r="AE25" s="6"/>
      <c r="AF25" s="6"/>
      <c r="AG25" s="6">
        <f t="shared" si="1"/>
        <v>0.11</v>
      </c>
      <c r="AH25" s="434">
        <f t="shared" si="0"/>
        <v>2.1781746896101066E-3</v>
      </c>
    </row>
    <row r="26" spans="1:42">
      <c r="A26" s="408" t="s">
        <v>382</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34">
        <f t="shared" si="0"/>
        <v>0</v>
      </c>
    </row>
    <row r="27" spans="1:42">
      <c r="A27" s="408" t="s">
        <v>383</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34">
        <f t="shared" si="0"/>
        <v>0</v>
      </c>
    </row>
    <row r="28" spans="1:42">
      <c r="A28" s="408" t="s">
        <v>384</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34">
        <f t="shared" si="0"/>
        <v>0</v>
      </c>
    </row>
    <row r="29" spans="1:42">
      <c r="A29" s="408" t="s">
        <v>218</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34">
        <f t="shared" si="0"/>
        <v>0</v>
      </c>
    </row>
    <row r="30" spans="1:42">
      <c r="A30" s="408" t="s">
        <v>285</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34">
        <f t="shared" si="0"/>
        <v>0</v>
      </c>
    </row>
    <row r="31" spans="1:42">
      <c r="A31" s="408" t="s">
        <v>385</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34">
        <f t="shared" si="0"/>
        <v>0</v>
      </c>
    </row>
    <row r="32" spans="1:42">
      <c r="A32" s="408" t="s">
        <v>219</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34">
        <f t="shared" si="0"/>
        <v>0</v>
      </c>
    </row>
    <row r="33" spans="1:34">
      <c r="A33" s="408" t="s">
        <v>220</v>
      </c>
      <c r="B33" s="6"/>
      <c r="C33" s="6"/>
      <c r="D33" s="6"/>
      <c r="E33" s="6"/>
      <c r="F33" s="6"/>
      <c r="G33" s="6"/>
      <c r="H33" s="6"/>
      <c r="I33" s="6"/>
      <c r="J33" s="6"/>
      <c r="K33" s="6"/>
      <c r="L33" s="6"/>
      <c r="M33" s="6"/>
      <c r="N33" s="6"/>
      <c r="O33" s="6"/>
      <c r="P33" s="6"/>
      <c r="Q33" s="6"/>
      <c r="R33" s="6">
        <v>1.885</v>
      </c>
      <c r="S33" s="6"/>
      <c r="T33" s="6"/>
      <c r="U33" s="6"/>
      <c r="V33" s="6"/>
      <c r="W33" s="6"/>
      <c r="X33" s="6"/>
      <c r="Y33" s="6"/>
      <c r="Z33" s="6"/>
      <c r="AA33" s="6"/>
      <c r="AB33" s="6"/>
      <c r="AC33" s="6"/>
      <c r="AD33" s="6"/>
      <c r="AE33" s="6"/>
      <c r="AF33" s="6"/>
      <c r="AG33" s="6">
        <f t="shared" si="1"/>
        <v>1.885</v>
      </c>
      <c r="AH33" s="434">
        <f t="shared" si="0"/>
        <v>3.732599354468228E-2</v>
      </c>
    </row>
    <row r="34" spans="1:34">
      <c r="A34" s="408" t="s">
        <v>221</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34">
        <f t="shared" si="0"/>
        <v>0</v>
      </c>
    </row>
    <row r="35" spans="1:34">
      <c r="A35" s="408" t="s">
        <v>386</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0</v>
      </c>
      <c r="AH35" s="434">
        <f t="shared" si="0"/>
        <v>0</v>
      </c>
    </row>
    <row r="36" spans="1:34">
      <c r="A36" s="408" t="s">
        <v>387</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34">
        <f t="shared" si="0"/>
        <v>0</v>
      </c>
    </row>
    <row r="37" spans="1:34">
      <c r="A37" s="408" t="s">
        <v>388</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34">
        <f>+AG37/$AG$39</f>
        <v>0</v>
      </c>
    </row>
    <row r="38" spans="1:34">
      <c r="A38" s="450"/>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51">
        <f>+AG39/Efficiency1!$K$180</f>
        <v>3.1767543923890348E-2</v>
      </c>
    </row>
    <row r="39" spans="1:34">
      <c r="A39" s="411" t="s">
        <v>3</v>
      </c>
      <c r="B39" s="6">
        <f t="shared" ref="B39:AF39" si="2">SUM(B3:B37)</f>
        <v>0</v>
      </c>
      <c r="C39" s="6">
        <f t="shared" si="2"/>
        <v>0</v>
      </c>
      <c r="D39" s="6">
        <f t="shared" si="2"/>
        <v>0</v>
      </c>
      <c r="E39" s="6">
        <f t="shared" si="2"/>
        <v>0</v>
      </c>
      <c r="F39" s="6">
        <f t="shared" si="2"/>
        <v>0</v>
      </c>
      <c r="G39" s="6">
        <f t="shared" si="2"/>
        <v>0</v>
      </c>
      <c r="H39" s="6">
        <f t="shared" si="2"/>
        <v>0</v>
      </c>
      <c r="I39" s="6">
        <f t="shared" si="2"/>
        <v>0</v>
      </c>
      <c r="J39" s="6">
        <f t="shared" si="2"/>
        <v>5.8130000000000006</v>
      </c>
      <c r="K39" s="6">
        <f t="shared" si="2"/>
        <v>8.7640000000000029</v>
      </c>
      <c r="L39" s="6">
        <f t="shared" si="2"/>
        <v>7.4899999999999993</v>
      </c>
      <c r="M39" s="6">
        <f t="shared" si="2"/>
        <v>6.3679999999999994</v>
      </c>
      <c r="N39" s="6">
        <f t="shared" si="2"/>
        <v>8.9520000000000017</v>
      </c>
      <c r="O39" s="7">
        <f t="shared" si="2"/>
        <v>14.565999999999999</v>
      </c>
      <c r="P39" s="6">
        <f t="shared" si="2"/>
        <v>12.503</v>
      </c>
      <c r="Q39" s="6">
        <f t="shared" si="2"/>
        <v>15.164999999999997</v>
      </c>
      <c r="R39" s="6">
        <f t="shared" si="2"/>
        <v>9.3360000000000003</v>
      </c>
      <c r="S39" s="6">
        <f t="shared" si="2"/>
        <v>5.8130000000000006</v>
      </c>
      <c r="T39" s="6">
        <f t="shared" si="2"/>
        <v>7.5030000000000001</v>
      </c>
      <c r="U39" s="6">
        <f t="shared" si="2"/>
        <v>6.8630000000000004</v>
      </c>
      <c r="V39" s="6">
        <f t="shared" si="2"/>
        <v>5.931</v>
      </c>
      <c r="W39" s="6">
        <f t="shared" si="2"/>
        <v>6.9279999999999999</v>
      </c>
      <c r="X39" s="6">
        <f t="shared" si="2"/>
        <v>11.088999999999999</v>
      </c>
      <c r="Y39" s="6">
        <f t="shared" si="2"/>
        <v>8.4649999999999999</v>
      </c>
      <c r="Z39" s="6">
        <f t="shared" si="2"/>
        <v>6.629999999999999</v>
      </c>
      <c r="AA39" s="6">
        <f t="shared" si="2"/>
        <v>13.999000000000001</v>
      </c>
      <c r="AB39" s="6">
        <f t="shared" si="2"/>
        <v>4.7370000000000001</v>
      </c>
      <c r="AC39" s="6">
        <f t="shared" si="2"/>
        <v>2.9590000000000001</v>
      </c>
      <c r="AD39" s="6">
        <f t="shared" si="2"/>
        <v>6.7439999999999998</v>
      </c>
      <c r="AE39" s="6">
        <f t="shared" si="2"/>
        <v>14.212000000000002</v>
      </c>
      <c r="AF39" s="6">
        <f t="shared" si="2"/>
        <v>11.01</v>
      </c>
      <c r="AG39" s="17">
        <f>SUM(AG6:AG38)</f>
        <v>50.501000000000005</v>
      </c>
      <c r="AH39" s="452">
        <f>SUM(AH6:AH37)</f>
        <v>0.99999999999999989</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3"/>
  <sheetViews>
    <sheetView topLeftCell="A124" workbookViewId="0">
      <selection activeCell="F147" sqref="C146:F147"/>
    </sheetView>
  </sheetViews>
  <sheetFormatPr defaultRowHeight="12.75"/>
  <cols>
    <col min="2" max="2" width="10.85546875" style="436"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36"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12" t="s">
        <v>233</v>
      </c>
      <c r="B1" s="425" t="s">
        <v>8</v>
      </c>
      <c r="C1" s="426" t="s">
        <v>240</v>
      </c>
      <c r="D1" s="427" t="s">
        <v>138</v>
      </c>
      <c r="E1" s="427" t="s">
        <v>241</v>
      </c>
      <c r="F1" s="427" t="s">
        <v>242</v>
      </c>
      <c r="H1" s="428" t="s">
        <v>243</v>
      </c>
      <c r="I1" s="429" t="s">
        <v>244</v>
      </c>
      <c r="J1" s="429" t="s">
        <v>245</v>
      </c>
      <c r="L1" s="412" t="s">
        <v>371</v>
      </c>
      <c r="M1" s="425" t="s">
        <v>8</v>
      </c>
      <c r="N1" s="426" t="s">
        <v>240</v>
      </c>
      <c r="O1" s="427" t="s">
        <v>138</v>
      </c>
      <c r="P1" s="427" t="s">
        <v>241</v>
      </c>
      <c r="Q1" s="427" t="s">
        <v>242</v>
      </c>
      <c r="S1" s="522" t="s">
        <v>243</v>
      </c>
      <c r="T1" s="429" t="s">
        <v>244</v>
      </c>
      <c r="U1" s="429" t="s">
        <v>245</v>
      </c>
    </row>
    <row r="2" spans="1:21">
      <c r="B2" s="316">
        <v>45931</v>
      </c>
      <c r="C2" s="4">
        <v>0</v>
      </c>
      <c r="D2" s="435" t="s">
        <v>418</v>
      </c>
      <c r="E2" t="s">
        <v>246</v>
      </c>
      <c r="F2" t="s">
        <v>247</v>
      </c>
      <c r="H2" s="6" t="s">
        <v>157</v>
      </c>
      <c r="I2" s="295">
        <f>+Efficiency1!Z180</f>
        <v>6.2119999999999997</v>
      </c>
      <c r="J2" s="430">
        <f t="shared" ref="J2:J3" si="0">I2/$I$8</f>
        <v>3.907645053666399E-3</v>
      </c>
      <c r="M2" s="316">
        <v>45931</v>
      </c>
      <c r="N2" s="4">
        <v>0</v>
      </c>
      <c r="O2" s="435" t="s">
        <v>418</v>
      </c>
      <c r="P2" t="s">
        <v>246</v>
      </c>
      <c r="Q2" t="s">
        <v>247</v>
      </c>
      <c r="S2" s="6" t="s">
        <v>157</v>
      </c>
      <c r="T2" s="295">
        <f>+Efficiency2!Z180</f>
        <v>6.2119999999999997</v>
      </c>
      <c r="U2" s="430">
        <f>T2/$T$8</f>
        <v>5.4793607591446239E-3</v>
      </c>
    </row>
    <row r="3" spans="1:21">
      <c r="B3" s="316"/>
      <c r="C3" s="4">
        <v>0</v>
      </c>
      <c r="D3" s="435" t="s">
        <v>419</v>
      </c>
      <c r="E3" t="s">
        <v>248</v>
      </c>
      <c r="F3" t="s">
        <v>247</v>
      </c>
      <c r="H3" s="6" t="s">
        <v>249</v>
      </c>
      <c r="I3" s="295">
        <f>+Efficiency1!Y180+Efficiency1!AA180</f>
        <v>106.59739898216615</v>
      </c>
      <c r="J3" s="430">
        <f t="shared" si="0"/>
        <v>6.7054861375783203E-2</v>
      </c>
      <c r="M3" s="316"/>
      <c r="N3" s="4">
        <v>0</v>
      </c>
      <c r="O3" s="435" t="s">
        <v>419</v>
      </c>
      <c r="P3" t="s">
        <v>248</v>
      </c>
      <c r="Q3" t="s">
        <v>247</v>
      </c>
      <c r="S3" s="6" t="s">
        <v>249</v>
      </c>
      <c r="T3" s="295">
        <f>+Efficiency2!Y180+Efficiency2!AA180</f>
        <v>106.59739898216615</v>
      </c>
      <c r="U3" s="430">
        <f t="shared" ref="U3:U5" si="1">T3/$T$8</f>
        <v>9.4025371057592455E-2</v>
      </c>
    </row>
    <row r="4" spans="1:21">
      <c r="B4" s="42"/>
      <c r="C4" s="4">
        <v>0</v>
      </c>
      <c r="D4" s="435" t="s">
        <v>420</v>
      </c>
      <c r="E4" t="s">
        <v>250</v>
      </c>
      <c r="F4" t="s">
        <v>247</v>
      </c>
      <c r="H4" s="6" t="s">
        <v>251</v>
      </c>
      <c r="I4" s="295">
        <f>+Efficiency1!AB180</f>
        <v>1.9187572534511905</v>
      </c>
      <c r="J4" s="430">
        <f>I4/$I$8</f>
        <v>1.2069900661035207E-3</v>
      </c>
      <c r="M4" s="42"/>
      <c r="N4" s="4">
        <v>0</v>
      </c>
      <c r="O4" s="435" t="s">
        <v>420</v>
      </c>
      <c r="P4" t="s">
        <v>250</v>
      </c>
      <c r="Q4" t="s">
        <v>247</v>
      </c>
      <c r="S4" s="6" t="s">
        <v>251</v>
      </c>
      <c r="T4" s="295">
        <f>+Efficiency2!AB180</f>
        <v>-3.6900345287130483</v>
      </c>
      <c r="U4" s="430">
        <f t="shared" si="1"/>
        <v>-3.2548342557178049E-3</v>
      </c>
    </row>
    <row r="5" spans="1:21" ht="15" customHeight="1">
      <c r="B5" s="42"/>
      <c r="C5" s="4">
        <v>1440</v>
      </c>
      <c r="D5" s="435" t="s">
        <v>422</v>
      </c>
      <c r="E5" s="365" t="s">
        <v>445</v>
      </c>
      <c r="F5" s="365" t="s">
        <v>263</v>
      </c>
      <c r="H5" s="6" t="s">
        <v>253</v>
      </c>
      <c r="I5" s="295">
        <f>+Efficiency1!AC180</f>
        <v>58.0596789001753</v>
      </c>
      <c r="J5" s="430">
        <f>I5/$I$8</f>
        <v>3.6522314403047235E-2</v>
      </c>
      <c r="M5" s="42"/>
      <c r="N5" s="4">
        <v>0</v>
      </c>
      <c r="O5" s="435" t="s">
        <v>422</v>
      </c>
      <c r="P5" s="365" t="s">
        <v>445</v>
      </c>
      <c r="Q5" s="365" t="s">
        <v>263</v>
      </c>
      <c r="S5" s="6" t="s">
        <v>253</v>
      </c>
      <c r="T5" s="295">
        <f>+Efficiency2!AC180</f>
        <v>34.813340745191113</v>
      </c>
      <c r="U5" s="430">
        <f t="shared" si="1"/>
        <v>3.070747797391031E-2</v>
      </c>
    </row>
    <row r="6" spans="1:21" ht="15" customHeight="1">
      <c r="B6" s="316"/>
      <c r="M6" s="316"/>
    </row>
    <row r="7" spans="1:21">
      <c r="B7" s="316">
        <v>45932</v>
      </c>
      <c r="C7" s="4">
        <v>0</v>
      </c>
      <c r="D7" s="435" t="s">
        <v>418</v>
      </c>
      <c r="E7" t="s">
        <v>246</v>
      </c>
      <c r="F7" t="s">
        <v>247</v>
      </c>
      <c r="I7" s="431"/>
      <c r="J7" s="432"/>
      <c r="M7" s="316">
        <v>45932</v>
      </c>
      <c r="N7" s="4">
        <v>0</v>
      </c>
      <c r="O7" s="435" t="s">
        <v>418</v>
      </c>
      <c r="P7" t="s">
        <v>246</v>
      </c>
      <c r="Q7" t="s">
        <v>247</v>
      </c>
      <c r="T7" s="431"/>
      <c r="U7" s="432"/>
    </row>
    <row r="8" spans="1:21">
      <c r="B8" s="316"/>
      <c r="C8" s="4">
        <v>0</v>
      </c>
      <c r="D8" s="435" t="s">
        <v>419</v>
      </c>
      <c r="E8" t="s">
        <v>248</v>
      </c>
      <c r="F8" t="s">
        <v>247</v>
      </c>
      <c r="H8" s="433" t="s">
        <v>254</v>
      </c>
      <c r="I8" s="7">
        <f>+Efficiency1!K180</f>
        <v>1589.7042629732989</v>
      </c>
      <c r="M8" s="316"/>
      <c r="N8" s="4">
        <v>0</v>
      </c>
      <c r="O8" s="435" t="s">
        <v>419</v>
      </c>
      <c r="P8" t="s">
        <v>248</v>
      </c>
      <c r="Q8" t="s">
        <v>247</v>
      </c>
      <c r="S8" s="433" t="s">
        <v>254</v>
      </c>
      <c r="T8" s="7">
        <f>+Efficiency2!K180</f>
        <v>1133.7088892408951</v>
      </c>
    </row>
    <row r="9" spans="1:21">
      <c r="B9" s="316"/>
      <c r="C9" s="4">
        <v>0</v>
      </c>
      <c r="D9" s="435" t="s">
        <v>420</v>
      </c>
      <c r="E9" t="s">
        <v>250</v>
      </c>
      <c r="F9" t="s">
        <v>247</v>
      </c>
      <c r="H9" s="433" t="s">
        <v>255</v>
      </c>
      <c r="I9" s="7">
        <f>+Efficiency1!AD180</f>
        <v>14352</v>
      </c>
      <c r="M9" s="316"/>
      <c r="N9" s="4">
        <v>0</v>
      </c>
      <c r="O9" s="435" t="s">
        <v>420</v>
      </c>
      <c r="P9" t="s">
        <v>250</v>
      </c>
      <c r="Q9" t="s">
        <v>247</v>
      </c>
      <c r="S9" s="433" t="s">
        <v>255</v>
      </c>
      <c r="T9" s="7">
        <f>+Efficiency2!AD180</f>
        <v>2447</v>
      </c>
    </row>
    <row r="10" spans="1:21" ht="15" customHeight="1">
      <c r="B10" s="42"/>
      <c r="C10" s="4">
        <v>1440</v>
      </c>
      <c r="D10" s="435" t="s">
        <v>422</v>
      </c>
      <c r="E10" s="365" t="s">
        <v>445</v>
      </c>
      <c r="F10" s="365" t="s">
        <v>263</v>
      </c>
      <c r="H10" s="433" t="s">
        <v>256</v>
      </c>
      <c r="I10" s="7">
        <f>+Efficiency1!V180</f>
        <v>512.27842783750657</v>
      </c>
      <c r="M10" s="42"/>
      <c r="N10" s="4">
        <v>0</v>
      </c>
      <c r="O10" s="435" t="s">
        <v>422</v>
      </c>
      <c r="P10" s="365" t="s">
        <v>445</v>
      </c>
      <c r="Q10" s="365" t="s">
        <v>263</v>
      </c>
      <c r="S10" s="433" t="s">
        <v>256</v>
      </c>
      <c r="T10" s="7">
        <f>+Efficiency2!V180</f>
        <v>85.138184042251396</v>
      </c>
    </row>
    <row r="11" spans="1:21">
      <c r="B11" s="316"/>
      <c r="G11" s="499">
        <f>+summary!H42</f>
        <v>1.0000000000000002</v>
      </c>
      <c r="H11" s="433" t="s">
        <v>257</v>
      </c>
      <c r="I11" s="434">
        <f>I10/I8</f>
        <v>0.32224762792003087</v>
      </c>
      <c r="M11" s="316"/>
      <c r="R11" s="499">
        <f>+summary!Q42</f>
        <v>1.0000000000000004</v>
      </c>
      <c r="S11" s="433" t="s">
        <v>257</v>
      </c>
      <c r="T11" s="434">
        <f>T10/T8</f>
        <v>7.5097041974556564E-2</v>
      </c>
    </row>
    <row r="12" spans="1:21">
      <c r="B12" s="316">
        <v>45933</v>
      </c>
      <c r="C12" s="4">
        <v>0</v>
      </c>
      <c r="D12" s="435" t="s">
        <v>418</v>
      </c>
      <c r="E12" t="s">
        <v>246</v>
      </c>
      <c r="F12" t="s">
        <v>247</v>
      </c>
      <c r="M12" s="316">
        <v>45933</v>
      </c>
      <c r="N12" s="4">
        <v>0</v>
      </c>
      <c r="O12" s="435" t="s">
        <v>418</v>
      </c>
      <c r="P12" t="s">
        <v>246</v>
      </c>
      <c r="Q12" t="s">
        <v>247</v>
      </c>
    </row>
    <row r="13" spans="1:21">
      <c r="B13" s="316"/>
      <c r="C13" s="4">
        <v>0</v>
      </c>
      <c r="D13" s="435" t="s">
        <v>419</v>
      </c>
      <c r="E13" t="s">
        <v>248</v>
      </c>
      <c r="F13" t="s">
        <v>247</v>
      </c>
      <c r="M13" s="316"/>
      <c r="N13" s="4">
        <v>0</v>
      </c>
      <c r="O13" s="435" t="s">
        <v>419</v>
      </c>
      <c r="P13" t="s">
        <v>248</v>
      </c>
      <c r="Q13" t="s">
        <v>247</v>
      </c>
    </row>
    <row r="14" spans="1:21" ht="15" customHeight="1">
      <c r="B14" s="42"/>
      <c r="C14" s="4">
        <v>0</v>
      </c>
      <c r="D14" s="435" t="s">
        <v>420</v>
      </c>
      <c r="E14" t="s">
        <v>250</v>
      </c>
      <c r="F14" t="s">
        <v>247</v>
      </c>
      <c r="M14" s="42"/>
      <c r="N14" s="4">
        <v>0</v>
      </c>
      <c r="O14" s="435" t="s">
        <v>420</v>
      </c>
      <c r="P14" t="s">
        <v>250</v>
      </c>
      <c r="Q14" t="s">
        <v>247</v>
      </c>
    </row>
    <row r="15" spans="1:21" ht="15" customHeight="1">
      <c r="B15" s="316"/>
      <c r="C15" s="4">
        <v>1440</v>
      </c>
      <c r="D15" s="435" t="s">
        <v>422</v>
      </c>
      <c r="E15" s="365" t="s">
        <v>445</v>
      </c>
      <c r="F15" s="365" t="s">
        <v>263</v>
      </c>
      <c r="M15" s="316"/>
      <c r="N15" s="4">
        <v>0</v>
      </c>
      <c r="O15" s="435" t="s">
        <v>422</v>
      </c>
      <c r="P15" s="365" t="s">
        <v>445</v>
      </c>
      <c r="Q15" s="365" t="s">
        <v>263</v>
      </c>
    </row>
    <row r="16" spans="1:21">
      <c r="B16" s="316"/>
      <c r="M16" s="316"/>
    </row>
    <row r="17" spans="2:17">
      <c r="B17" s="316">
        <v>45934</v>
      </c>
      <c r="C17" s="4">
        <v>0</v>
      </c>
      <c r="D17" s="435" t="s">
        <v>418</v>
      </c>
      <c r="E17" t="s">
        <v>246</v>
      </c>
      <c r="F17" t="s">
        <v>247</v>
      </c>
      <c r="M17" s="316">
        <v>45934</v>
      </c>
      <c r="N17" s="4">
        <v>0</v>
      </c>
      <c r="O17" s="435" t="s">
        <v>418</v>
      </c>
      <c r="P17" t="s">
        <v>246</v>
      </c>
      <c r="Q17" t="s">
        <v>247</v>
      </c>
    </row>
    <row r="18" spans="2:17">
      <c r="B18" s="316"/>
      <c r="C18" s="4">
        <v>0</v>
      </c>
      <c r="D18" s="435" t="s">
        <v>419</v>
      </c>
      <c r="E18" t="s">
        <v>248</v>
      </c>
      <c r="F18" t="s">
        <v>247</v>
      </c>
      <c r="M18" s="316"/>
      <c r="N18" s="4">
        <v>0</v>
      </c>
      <c r="O18" s="435" t="s">
        <v>419</v>
      </c>
      <c r="P18" t="s">
        <v>248</v>
      </c>
      <c r="Q18" t="s">
        <v>247</v>
      </c>
    </row>
    <row r="19" spans="2:17">
      <c r="B19" s="316"/>
      <c r="C19" s="4">
        <v>0</v>
      </c>
      <c r="D19" s="435" t="s">
        <v>420</v>
      </c>
      <c r="E19" t="s">
        <v>250</v>
      </c>
      <c r="F19" t="s">
        <v>247</v>
      </c>
      <c r="M19" s="316"/>
      <c r="N19" s="4">
        <v>0</v>
      </c>
      <c r="O19" s="435" t="s">
        <v>420</v>
      </c>
      <c r="P19" t="s">
        <v>250</v>
      </c>
      <c r="Q19" t="s">
        <v>247</v>
      </c>
    </row>
    <row r="20" spans="2:17">
      <c r="B20" s="42"/>
      <c r="C20" s="4">
        <v>1440</v>
      </c>
      <c r="D20" s="435" t="s">
        <v>422</v>
      </c>
      <c r="E20" s="365" t="s">
        <v>445</v>
      </c>
      <c r="F20" s="365" t="s">
        <v>263</v>
      </c>
      <c r="M20" s="42"/>
      <c r="N20" s="4">
        <v>0</v>
      </c>
      <c r="O20" s="435" t="s">
        <v>422</v>
      </c>
      <c r="P20" s="365" t="s">
        <v>445</v>
      </c>
      <c r="Q20" s="365" t="s">
        <v>263</v>
      </c>
    </row>
    <row r="21" spans="2:17">
      <c r="B21" s="316"/>
      <c r="M21" s="316"/>
    </row>
    <row r="22" spans="2:17">
      <c r="B22" s="316">
        <v>45935</v>
      </c>
      <c r="C22" s="4">
        <v>0</v>
      </c>
      <c r="D22" t="s">
        <v>418</v>
      </c>
      <c r="E22" t="s">
        <v>246</v>
      </c>
      <c r="F22" t="s">
        <v>247</v>
      </c>
      <c r="M22" s="316">
        <v>45935</v>
      </c>
      <c r="N22" s="4">
        <v>0</v>
      </c>
      <c r="O22" t="s">
        <v>418</v>
      </c>
      <c r="P22" t="s">
        <v>246</v>
      </c>
      <c r="Q22" t="s">
        <v>247</v>
      </c>
    </row>
    <row r="23" spans="2:17">
      <c r="B23" s="316"/>
      <c r="C23" s="4">
        <v>0</v>
      </c>
      <c r="D23" t="s">
        <v>419</v>
      </c>
      <c r="E23" t="s">
        <v>248</v>
      </c>
      <c r="F23" t="s">
        <v>247</v>
      </c>
      <c r="M23" s="316"/>
      <c r="N23" s="4">
        <v>0</v>
      </c>
      <c r="O23" t="s">
        <v>419</v>
      </c>
      <c r="P23" t="s">
        <v>248</v>
      </c>
      <c r="Q23" t="s">
        <v>247</v>
      </c>
    </row>
    <row r="24" spans="2:17">
      <c r="B24" s="316"/>
      <c r="C24" s="4">
        <v>0</v>
      </c>
      <c r="D24" t="s">
        <v>420</v>
      </c>
      <c r="E24" t="s">
        <v>250</v>
      </c>
      <c r="F24" t="s">
        <v>247</v>
      </c>
      <c r="M24" s="316"/>
      <c r="N24" s="4">
        <v>0</v>
      </c>
      <c r="O24" t="s">
        <v>420</v>
      </c>
      <c r="P24" t="s">
        <v>250</v>
      </c>
      <c r="Q24" t="s">
        <v>247</v>
      </c>
    </row>
    <row r="25" spans="2:17">
      <c r="B25" s="316"/>
      <c r="C25" s="4">
        <v>1440</v>
      </c>
      <c r="D25" t="s">
        <v>422</v>
      </c>
      <c r="E25" s="365" t="s">
        <v>445</v>
      </c>
      <c r="F25" s="365" t="s">
        <v>263</v>
      </c>
      <c r="M25" s="316"/>
      <c r="N25" s="4">
        <v>0</v>
      </c>
      <c r="O25" t="s">
        <v>422</v>
      </c>
      <c r="P25" s="365" t="s">
        <v>445</v>
      </c>
      <c r="Q25" s="365" t="s">
        <v>263</v>
      </c>
    </row>
    <row r="26" spans="2:17">
      <c r="B26" s="42"/>
      <c r="M26" s="42"/>
    </row>
    <row r="27" spans="2:17">
      <c r="B27" s="42">
        <v>45936</v>
      </c>
      <c r="C27" s="4">
        <v>0</v>
      </c>
      <c r="D27" t="s">
        <v>418</v>
      </c>
      <c r="E27" t="s">
        <v>246</v>
      </c>
      <c r="F27" t="s">
        <v>247</v>
      </c>
      <c r="M27" s="42">
        <v>45936</v>
      </c>
      <c r="N27" s="4">
        <v>0</v>
      </c>
      <c r="O27" t="s">
        <v>418</v>
      </c>
      <c r="P27" t="s">
        <v>246</v>
      </c>
      <c r="Q27" t="s">
        <v>247</v>
      </c>
    </row>
    <row r="28" spans="2:17">
      <c r="B28" s="316"/>
      <c r="C28" s="4">
        <v>0</v>
      </c>
      <c r="D28" t="s">
        <v>419</v>
      </c>
      <c r="E28" t="s">
        <v>248</v>
      </c>
      <c r="F28" t="s">
        <v>247</v>
      </c>
      <c r="M28" s="316"/>
      <c r="N28" s="4">
        <v>0</v>
      </c>
      <c r="O28" t="s">
        <v>419</v>
      </c>
      <c r="P28" t="s">
        <v>248</v>
      </c>
      <c r="Q28" t="s">
        <v>247</v>
      </c>
    </row>
    <row r="29" spans="2:17">
      <c r="B29" s="316"/>
      <c r="C29" s="4">
        <v>0</v>
      </c>
      <c r="D29" t="s">
        <v>420</v>
      </c>
      <c r="E29" t="s">
        <v>250</v>
      </c>
      <c r="F29" t="s">
        <v>247</v>
      </c>
      <c r="M29" s="316"/>
      <c r="N29" s="4">
        <v>0</v>
      </c>
      <c r="O29" t="s">
        <v>420</v>
      </c>
      <c r="P29" t="s">
        <v>250</v>
      </c>
      <c r="Q29" t="s">
        <v>247</v>
      </c>
    </row>
    <row r="30" spans="2:17">
      <c r="B30" s="316"/>
      <c r="C30" s="4">
        <v>1440</v>
      </c>
      <c r="D30" t="s">
        <v>422</v>
      </c>
      <c r="E30" s="365" t="s">
        <v>445</v>
      </c>
      <c r="F30" s="365" t="s">
        <v>263</v>
      </c>
      <c r="M30" s="316"/>
      <c r="N30" s="4">
        <v>0</v>
      </c>
      <c r="O30" t="s">
        <v>422</v>
      </c>
      <c r="P30" s="365" t="s">
        <v>445</v>
      </c>
      <c r="Q30" s="365" t="s">
        <v>263</v>
      </c>
    </row>
    <row r="31" spans="2:17">
      <c r="B31" s="42"/>
      <c r="M31" s="42"/>
    </row>
    <row r="32" spans="2:17">
      <c r="B32" s="316">
        <v>45937</v>
      </c>
      <c r="C32" s="4">
        <v>0</v>
      </c>
      <c r="D32" t="s">
        <v>418</v>
      </c>
      <c r="E32" t="s">
        <v>246</v>
      </c>
      <c r="F32" t="s">
        <v>247</v>
      </c>
      <c r="M32" s="316">
        <v>45937</v>
      </c>
      <c r="N32" s="4">
        <v>0</v>
      </c>
      <c r="O32" t="s">
        <v>418</v>
      </c>
      <c r="P32" t="s">
        <v>246</v>
      </c>
      <c r="Q32" t="s">
        <v>247</v>
      </c>
    </row>
    <row r="33" spans="2:17">
      <c r="B33" s="316"/>
      <c r="C33" s="4">
        <v>0</v>
      </c>
      <c r="D33" t="s">
        <v>419</v>
      </c>
      <c r="E33" t="s">
        <v>248</v>
      </c>
      <c r="F33" t="s">
        <v>247</v>
      </c>
      <c r="M33" s="316"/>
      <c r="N33" s="4">
        <v>0</v>
      </c>
      <c r="O33" t="s">
        <v>419</v>
      </c>
      <c r="P33" t="s">
        <v>248</v>
      </c>
      <c r="Q33" t="s">
        <v>247</v>
      </c>
    </row>
    <row r="34" spans="2:17">
      <c r="B34" s="316"/>
      <c r="C34" s="4">
        <v>0</v>
      </c>
      <c r="D34" t="s">
        <v>420</v>
      </c>
      <c r="E34" t="s">
        <v>250</v>
      </c>
      <c r="F34" t="s">
        <v>247</v>
      </c>
      <c r="M34" s="316"/>
      <c r="N34" s="4">
        <v>0</v>
      </c>
      <c r="O34" t="s">
        <v>420</v>
      </c>
      <c r="P34" t="s">
        <v>250</v>
      </c>
      <c r="Q34" t="s">
        <v>247</v>
      </c>
    </row>
    <row r="35" spans="2:17">
      <c r="B35" s="316"/>
      <c r="C35" s="4">
        <v>1440</v>
      </c>
      <c r="D35" t="s">
        <v>422</v>
      </c>
      <c r="E35" s="365" t="s">
        <v>445</v>
      </c>
      <c r="F35" s="365" t="s">
        <v>263</v>
      </c>
      <c r="M35" s="316"/>
      <c r="N35" s="4">
        <v>0</v>
      </c>
      <c r="O35" t="s">
        <v>422</v>
      </c>
      <c r="P35" s="365" t="s">
        <v>445</v>
      </c>
      <c r="Q35" s="365" t="s">
        <v>263</v>
      </c>
    </row>
    <row r="36" spans="2:17">
      <c r="B36" s="42"/>
      <c r="M36" s="42"/>
    </row>
    <row r="37" spans="2:17">
      <c r="B37" s="316">
        <v>45938</v>
      </c>
      <c r="C37" s="4">
        <v>0</v>
      </c>
      <c r="D37" t="s">
        <v>418</v>
      </c>
      <c r="E37" t="s">
        <v>246</v>
      </c>
      <c r="F37" t="s">
        <v>247</v>
      </c>
      <c r="M37" s="316">
        <v>45938</v>
      </c>
      <c r="N37" s="4">
        <v>0</v>
      </c>
      <c r="O37" t="s">
        <v>418</v>
      </c>
      <c r="P37" t="s">
        <v>246</v>
      </c>
      <c r="Q37" t="s">
        <v>247</v>
      </c>
    </row>
    <row r="38" spans="2:17">
      <c r="B38" s="316"/>
      <c r="C38" s="4">
        <v>0</v>
      </c>
      <c r="D38" t="s">
        <v>419</v>
      </c>
      <c r="E38" t="s">
        <v>248</v>
      </c>
      <c r="F38" t="s">
        <v>247</v>
      </c>
      <c r="M38" s="316"/>
      <c r="N38" s="4">
        <v>0</v>
      </c>
      <c r="O38" t="s">
        <v>419</v>
      </c>
      <c r="P38" t="s">
        <v>248</v>
      </c>
      <c r="Q38" t="s">
        <v>247</v>
      </c>
    </row>
    <row r="39" spans="2:17">
      <c r="B39" s="316"/>
      <c r="C39" s="4">
        <v>0</v>
      </c>
      <c r="D39" t="s">
        <v>420</v>
      </c>
      <c r="E39" t="s">
        <v>250</v>
      </c>
      <c r="F39" t="s">
        <v>247</v>
      </c>
      <c r="M39" s="316"/>
      <c r="N39" s="4">
        <v>0</v>
      </c>
      <c r="O39" t="s">
        <v>420</v>
      </c>
      <c r="P39" t="s">
        <v>250</v>
      </c>
      <c r="Q39" t="s">
        <v>247</v>
      </c>
    </row>
    <row r="40" spans="2:17">
      <c r="B40" s="42"/>
      <c r="C40" s="4">
        <v>1440</v>
      </c>
      <c r="D40" t="s">
        <v>422</v>
      </c>
      <c r="E40" s="365" t="s">
        <v>445</v>
      </c>
      <c r="F40" s="365" t="s">
        <v>263</v>
      </c>
      <c r="M40" s="42"/>
      <c r="N40" s="4">
        <v>0</v>
      </c>
      <c r="O40" t="s">
        <v>422</v>
      </c>
      <c r="P40" s="365" t="s">
        <v>445</v>
      </c>
      <c r="Q40" s="365" t="s">
        <v>263</v>
      </c>
    </row>
    <row r="41" spans="2:17">
      <c r="B41" s="316"/>
      <c r="M41" s="316"/>
    </row>
    <row r="42" spans="2:17">
      <c r="B42" s="42">
        <v>45939</v>
      </c>
      <c r="C42" s="4">
        <v>0</v>
      </c>
      <c r="D42" t="s">
        <v>418</v>
      </c>
      <c r="E42" t="s">
        <v>246</v>
      </c>
      <c r="F42" t="s">
        <v>247</v>
      </c>
      <c r="M42" s="42">
        <v>45939</v>
      </c>
      <c r="N42" s="4">
        <v>0</v>
      </c>
      <c r="O42" t="s">
        <v>418</v>
      </c>
      <c r="P42" t="s">
        <v>246</v>
      </c>
      <c r="Q42" t="s">
        <v>247</v>
      </c>
    </row>
    <row r="43" spans="2:17">
      <c r="B43" s="316"/>
      <c r="C43" s="4">
        <v>5</v>
      </c>
      <c r="D43" t="s">
        <v>464</v>
      </c>
      <c r="E43" t="s">
        <v>248</v>
      </c>
      <c r="F43" t="s">
        <v>247</v>
      </c>
      <c r="M43" s="316"/>
      <c r="N43" s="4">
        <v>5</v>
      </c>
      <c r="O43" t="s">
        <v>464</v>
      </c>
      <c r="P43" t="s">
        <v>248</v>
      </c>
      <c r="Q43" t="s">
        <v>247</v>
      </c>
    </row>
    <row r="44" spans="2:17">
      <c r="B44" s="316"/>
      <c r="C44" s="4">
        <v>11</v>
      </c>
      <c r="D44" t="s">
        <v>465</v>
      </c>
      <c r="E44" t="s">
        <v>250</v>
      </c>
      <c r="F44" t="s">
        <v>247</v>
      </c>
      <c r="M44" s="316"/>
      <c r="N44" s="4">
        <v>11</v>
      </c>
      <c r="O44" t="s">
        <v>465</v>
      </c>
      <c r="P44" t="s">
        <v>250</v>
      </c>
      <c r="Q44" t="s">
        <v>247</v>
      </c>
    </row>
    <row r="45" spans="2:17">
      <c r="B45" s="42"/>
      <c r="C45" s="4">
        <v>325</v>
      </c>
      <c r="D45" t="s">
        <v>422</v>
      </c>
      <c r="E45" s="365" t="s">
        <v>445</v>
      </c>
      <c r="F45" s="365" t="s">
        <v>263</v>
      </c>
      <c r="M45" s="42"/>
      <c r="N45" s="4">
        <v>0</v>
      </c>
      <c r="O45" t="s">
        <v>422</v>
      </c>
      <c r="P45" s="365" t="s">
        <v>445</v>
      </c>
      <c r="Q45" s="365" t="s">
        <v>263</v>
      </c>
    </row>
    <row r="46" spans="2:17">
      <c r="B46" s="316"/>
      <c r="C46" s="4">
        <v>190</v>
      </c>
      <c r="D46" t="s">
        <v>463</v>
      </c>
      <c r="E46" s="365" t="s">
        <v>516</v>
      </c>
      <c r="F46" s="365" t="s">
        <v>261</v>
      </c>
      <c r="M46" s="316"/>
      <c r="N46" s="4">
        <v>190</v>
      </c>
      <c r="O46" t="s">
        <v>463</v>
      </c>
      <c r="P46" s="365" t="s">
        <v>516</v>
      </c>
      <c r="Q46" s="365" t="s">
        <v>261</v>
      </c>
    </row>
    <row r="47" spans="2:17">
      <c r="B47" s="316"/>
      <c r="M47" s="316"/>
    </row>
    <row r="48" spans="2:17">
      <c r="B48" s="42">
        <v>45940</v>
      </c>
      <c r="C48" s="4">
        <v>0</v>
      </c>
      <c r="D48" t="s">
        <v>418</v>
      </c>
      <c r="E48" t="s">
        <v>246</v>
      </c>
      <c r="F48" t="s">
        <v>247</v>
      </c>
      <c r="M48" s="42">
        <v>45940</v>
      </c>
      <c r="N48" s="4">
        <v>0</v>
      </c>
      <c r="O48" t="s">
        <v>418</v>
      </c>
      <c r="P48" t="s">
        <v>246</v>
      </c>
      <c r="Q48" t="s">
        <v>247</v>
      </c>
    </row>
    <row r="49" spans="2:17">
      <c r="B49" s="316"/>
      <c r="C49" s="4">
        <v>27</v>
      </c>
      <c r="D49" t="s">
        <v>488</v>
      </c>
      <c r="E49" t="s">
        <v>248</v>
      </c>
      <c r="F49" t="s">
        <v>247</v>
      </c>
      <c r="M49" s="316"/>
      <c r="N49" s="4">
        <v>27</v>
      </c>
      <c r="O49" t="s">
        <v>488</v>
      </c>
      <c r="P49" t="s">
        <v>248</v>
      </c>
      <c r="Q49" t="s">
        <v>247</v>
      </c>
    </row>
    <row r="50" spans="2:17">
      <c r="B50" s="316"/>
      <c r="C50" s="4">
        <v>30</v>
      </c>
      <c r="D50" t="s">
        <v>489</v>
      </c>
      <c r="E50" t="s">
        <v>250</v>
      </c>
      <c r="F50" t="s">
        <v>247</v>
      </c>
      <c r="M50" s="316"/>
      <c r="N50" s="4">
        <v>30</v>
      </c>
      <c r="O50" t="s">
        <v>489</v>
      </c>
      <c r="P50" t="s">
        <v>250</v>
      </c>
      <c r="Q50" t="s">
        <v>247</v>
      </c>
    </row>
    <row r="51" spans="2:17">
      <c r="B51" s="316"/>
      <c r="C51" s="4">
        <v>60</v>
      </c>
      <c r="D51" t="s">
        <v>487</v>
      </c>
      <c r="E51" t="s">
        <v>517</v>
      </c>
      <c r="F51" t="s">
        <v>259</v>
      </c>
      <c r="M51" s="316"/>
      <c r="N51" s="4">
        <v>60</v>
      </c>
      <c r="O51" t="s">
        <v>487</v>
      </c>
      <c r="P51" t="s">
        <v>517</v>
      </c>
      <c r="Q51" t="s">
        <v>259</v>
      </c>
    </row>
    <row r="52" spans="2:17">
      <c r="B52" s="42"/>
      <c r="M52" s="42"/>
    </row>
    <row r="53" spans="2:17">
      <c r="B53" s="42">
        <v>45941</v>
      </c>
      <c r="C53" s="4">
        <v>10</v>
      </c>
      <c r="D53" t="s">
        <v>506</v>
      </c>
      <c r="E53" t="s">
        <v>246</v>
      </c>
      <c r="F53" t="s">
        <v>247</v>
      </c>
      <c r="M53" s="42">
        <v>45941</v>
      </c>
      <c r="N53" s="4">
        <v>10</v>
      </c>
      <c r="O53" t="s">
        <v>506</v>
      </c>
      <c r="P53" t="s">
        <v>246</v>
      </c>
      <c r="Q53" t="s">
        <v>247</v>
      </c>
    </row>
    <row r="54" spans="2:17">
      <c r="B54" s="316"/>
      <c r="C54" s="4">
        <v>28</v>
      </c>
      <c r="D54" t="s">
        <v>512</v>
      </c>
      <c r="E54" t="s">
        <v>248</v>
      </c>
      <c r="F54" t="s">
        <v>247</v>
      </c>
      <c r="M54" s="316"/>
      <c r="N54" s="4">
        <v>28</v>
      </c>
      <c r="O54" t="s">
        <v>512</v>
      </c>
      <c r="P54" t="s">
        <v>248</v>
      </c>
      <c r="Q54" t="s">
        <v>247</v>
      </c>
    </row>
    <row r="55" spans="2:17">
      <c r="B55" s="316"/>
      <c r="C55" s="4">
        <v>54</v>
      </c>
      <c r="D55" t="s">
        <v>513</v>
      </c>
      <c r="E55" t="s">
        <v>250</v>
      </c>
      <c r="F55" t="s">
        <v>247</v>
      </c>
      <c r="M55" s="316"/>
      <c r="N55" s="4">
        <v>54</v>
      </c>
      <c r="O55" t="s">
        <v>513</v>
      </c>
      <c r="P55" t="s">
        <v>250</v>
      </c>
      <c r="Q55" t="s">
        <v>247</v>
      </c>
    </row>
    <row r="56" spans="2:17">
      <c r="B56" s="42"/>
      <c r="M56" s="42"/>
    </row>
    <row r="57" spans="2:17">
      <c r="B57" s="316">
        <v>45942</v>
      </c>
      <c r="C57" s="4">
        <v>0</v>
      </c>
      <c r="D57" t="s">
        <v>418</v>
      </c>
      <c r="E57" t="s">
        <v>246</v>
      </c>
      <c r="F57" t="s">
        <v>247</v>
      </c>
      <c r="M57" s="316">
        <v>45942</v>
      </c>
      <c r="N57" s="4">
        <v>0</v>
      </c>
      <c r="O57" t="s">
        <v>418</v>
      </c>
      <c r="P57" t="s">
        <v>246</v>
      </c>
      <c r="Q57" t="s">
        <v>247</v>
      </c>
    </row>
    <row r="58" spans="2:17">
      <c r="B58" s="42"/>
      <c r="C58" s="4">
        <v>27</v>
      </c>
      <c r="D58" t="s">
        <v>464</v>
      </c>
      <c r="E58" t="s">
        <v>248</v>
      </c>
      <c r="F58" t="s">
        <v>247</v>
      </c>
      <c r="M58" s="42"/>
      <c r="N58" s="4">
        <v>27</v>
      </c>
      <c r="O58" t="s">
        <v>464</v>
      </c>
      <c r="P58" t="s">
        <v>248</v>
      </c>
      <c r="Q58" t="s">
        <v>247</v>
      </c>
    </row>
    <row r="59" spans="2:17">
      <c r="B59" s="316"/>
      <c r="C59" s="4">
        <v>30</v>
      </c>
      <c r="D59" t="s">
        <v>514</v>
      </c>
      <c r="E59" t="s">
        <v>250</v>
      </c>
      <c r="F59" t="s">
        <v>247</v>
      </c>
      <c r="M59" s="316"/>
      <c r="N59" s="4">
        <v>30</v>
      </c>
      <c r="O59" t="s">
        <v>514</v>
      </c>
      <c r="P59" t="s">
        <v>250</v>
      </c>
      <c r="Q59" t="s">
        <v>247</v>
      </c>
    </row>
    <row r="60" spans="2:17">
      <c r="B60" s="316"/>
      <c r="C60" s="4">
        <v>173</v>
      </c>
      <c r="D60" t="s">
        <v>515</v>
      </c>
      <c r="E60" s="365" t="s">
        <v>516</v>
      </c>
      <c r="F60" s="365" t="s">
        <v>261</v>
      </c>
      <c r="M60" s="316"/>
      <c r="N60" s="4">
        <v>173</v>
      </c>
      <c r="O60" t="s">
        <v>515</v>
      </c>
      <c r="P60" s="365" t="s">
        <v>516</v>
      </c>
      <c r="Q60" s="365" t="s">
        <v>261</v>
      </c>
    </row>
    <row r="61" spans="2:17">
      <c r="B61" s="42"/>
      <c r="M61" s="42"/>
    </row>
    <row r="62" spans="2:17">
      <c r="B62" s="316">
        <v>45943</v>
      </c>
      <c r="C62" s="4">
        <v>0</v>
      </c>
      <c r="D62" t="s">
        <v>418</v>
      </c>
      <c r="E62" t="s">
        <v>246</v>
      </c>
      <c r="F62" t="s">
        <v>247</v>
      </c>
      <c r="M62" s="316">
        <v>45943</v>
      </c>
      <c r="N62" s="4">
        <v>0</v>
      </c>
      <c r="O62" t="s">
        <v>418</v>
      </c>
      <c r="P62" t="s">
        <v>246</v>
      </c>
      <c r="Q62" t="s">
        <v>247</v>
      </c>
    </row>
    <row r="63" spans="2:17">
      <c r="B63" s="42"/>
      <c r="C63" s="4">
        <v>18</v>
      </c>
      <c r="D63" t="s">
        <v>464</v>
      </c>
      <c r="E63" t="s">
        <v>248</v>
      </c>
      <c r="F63" t="s">
        <v>247</v>
      </c>
      <c r="M63" s="42"/>
      <c r="N63" s="4">
        <v>18</v>
      </c>
      <c r="O63" t="s">
        <v>464</v>
      </c>
      <c r="P63" t="s">
        <v>248</v>
      </c>
      <c r="Q63" t="s">
        <v>247</v>
      </c>
    </row>
    <row r="64" spans="2:17">
      <c r="B64" s="316"/>
      <c r="C64" s="4">
        <v>37</v>
      </c>
      <c r="D64" t="s">
        <v>513</v>
      </c>
      <c r="E64" t="s">
        <v>250</v>
      </c>
      <c r="F64" t="s">
        <v>247</v>
      </c>
      <c r="M64" s="316"/>
      <c r="N64" s="4">
        <v>37</v>
      </c>
      <c r="O64" t="s">
        <v>513</v>
      </c>
      <c r="P64" t="s">
        <v>250</v>
      </c>
      <c r="Q64" t="s">
        <v>247</v>
      </c>
    </row>
    <row r="65" spans="2:17">
      <c r="B65" s="316"/>
      <c r="E65" s="365"/>
      <c r="F65" s="365"/>
      <c r="M65" s="316"/>
      <c r="P65" s="365"/>
      <c r="Q65" s="365"/>
    </row>
    <row r="66" spans="2:17">
      <c r="B66" s="42">
        <v>45944</v>
      </c>
      <c r="C66" s="4">
        <v>0</v>
      </c>
      <c r="D66" t="s">
        <v>418</v>
      </c>
      <c r="E66" t="s">
        <v>246</v>
      </c>
      <c r="F66" t="s">
        <v>247</v>
      </c>
      <c r="M66" s="42">
        <v>45944</v>
      </c>
      <c r="N66" s="4">
        <v>0</v>
      </c>
      <c r="O66" t="s">
        <v>418</v>
      </c>
      <c r="P66" t="s">
        <v>246</v>
      </c>
      <c r="Q66" t="s">
        <v>247</v>
      </c>
    </row>
    <row r="67" spans="2:17">
      <c r="B67" s="42"/>
      <c r="C67" s="4">
        <v>24</v>
      </c>
      <c r="D67" t="s">
        <v>464</v>
      </c>
      <c r="E67" t="s">
        <v>248</v>
      </c>
      <c r="F67" t="s">
        <v>247</v>
      </c>
      <c r="M67" s="42"/>
      <c r="N67" s="4">
        <v>24</v>
      </c>
      <c r="O67" t="s">
        <v>464</v>
      </c>
      <c r="P67" t="s">
        <v>248</v>
      </c>
      <c r="Q67" t="s">
        <v>247</v>
      </c>
    </row>
    <row r="68" spans="2:17">
      <c r="B68" s="316"/>
      <c r="C68" s="4">
        <v>49</v>
      </c>
      <c r="D68" t="s">
        <v>513</v>
      </c>
      <c r="E68" t="s">
        <v>250</v>
      </c>
      <c r="F68" t="s">
        <v>247</v>
      </c>
      <c r="M68" s="316"/>
      <c r="N68" s="4">
        <v>49</v>
      </c>
      <c r="O68" t="s">
        <v>513</v>
      </c>
      <c r="P68" t="s">
        <v>250</v>
      </c>
      <c r="Q68" t="s">
        <v>247</v>
      </c>
    </row>
    <row r="69" spans="2:17">
      <c r="B69" s="316"/>
      <c r="M69" s="316"/>
    </row>
    <row r="70" spans="2:17">
      <c r="B70" s="316">
        <v>45945</v>
      </c>
      <c r="C70" s="4">
        <v>0</v>
      </c>
      <c r="D70" t="s">
        <v>418</v>
      </c>
      <c r="E70" t="s">
        <v>246</v>
      </c>
      <c r="F70" t="s">
        <v>247</v>
      </c>
      <c r="M70" s="316">
        <v>45945</v>
      </c>
      <c r="N70" s="4">
        <v>0</v>
      </c>
      <c r="O70" t="s">
        <v>418</v>
      </c>
      <c r="P70" t="s">
        <v>246</v>
      </c>
      <c r="Q70" t="s">
        <v>247</v>
      </c>
    </row>
    <row r="71" spans="2:17">
      <c r="B71" s="42"/>
      <c r="C71" s="4">
        <v>31</v>
      </c>
      <c r="D71" t="s">
        <v>557</v>
      </c>
      <c r="E71" t="s">
        <v>248</v>
      </c>
      <c r="F71" t="s">
        <v>247</v>
      </c>
      <c r="M71" s="42"/>
      <c r="N71" s="4">
        <v>31</v>
      </c>
      <c r="O71" t="s">
        <v>557</v>
      </c>
      <c r="P71" t="s">
        <v>248</v>
      </c>
      <c r="Q71" t="s">
        <v>247</v>
      </c>
    </row>
    <row r="72" spans="2:17">
      <c r="B72" s="42"/>
      <c r="C72" s="4">
        <v>54</v>
      </c>
      <c r="D72" t="s">
        <v>489</v>
      </c>
      <c r="E72" t="s">
        <v>250</v>
      </c>
      <c r="F72" t="s">
        <v>247</v>
      </c>
      <c r="M72" s="42"/>
      <c r="N72" s="4">
        <v>54</v>
      </c>
      <c r="O72" t="s">
        <v>489</v>
      </c>
      <c r="P72" t="s">
        <v>250</v>
      </c>
      <c r="Q72" t="s">
        <v>247</v>
      </c>
    </row>
    <row r="73" spans="2:17">
      <c r="B73" s="316"/>
      <c r="E73" s="365"/>
      <c r="F73" s="365"/>
      <c r="M73" s="316"/>
      <c r="P73" s="365"/>
      <c r="Q73" s="365"/>
    </row>
    <row r="74" spans="2:17">
      <c r="B74" s="316">
        <v>45946</v>
      </c>
      <c r="C74" s="4">
        <v>0</v>
      </c>
      <c r="D74" t="s">
        <v>418</v>
      </c>
      <c r="E74" t="s">
        <v>246</v>
      </c>
      <c r="F74" t="s">
        <v>247</v>
      </c>
      <c r="M74" s="316">
        <v>45946</v>
      </c>
      <c r="N74" s="4">
        <v>0</v>
      </c>
      <c r="O74" t="s">
        <v>418</v>
      </c>
      <c r="P74" t="s">
        <v>246</v>
      </c>
      <c r="Q74" t="s">
        <v>247</v>
      </c>
    </row>
    <row r="75" spans="2:17">
      <c r="B75" s="316"/>
      <c r="C75" s="4">
        <v>10</v>
      </c>
      <c r="D75" t="s">
        <v>482</v>
      </c>
      <c r="E75" t="s">
        <v>248</v>
      </c>
      <c r="F75" t="s">
        <v>247</v>
      </c>
      <c r="M75" s="316"/>
      <c r="N75" s="4">
        <v>10</v>
      </c>
      <c r="O75" t="s">
        <v>482</v>
      </c>
      <c r="P75" t="s">
        <v>248</v>
      </c>
      <c r="Q75" t="s">
        <v>247</v>
      </c>
    </row>
    <row r="76" spans="2:17">
      <c r="B76" s="42"/>
      <c r="C76" s="4">
        <v>28</v>
      </c>
      <c r="D76" t="s">
        <v>514</v>
      </c>
      <c r="E76" t="s">
        <v>250</v>
      </c>
      <c r="F76" t="s">
        <v>247</v>
      </c>
      <c r="M76" s="42"/>
      <c r="N76" s="4">
        <v>28</v>
      </c>
      <c r="O76" t="s">
        <v>514</v>
      </c>
      <c r="P76" t="s">
        <v>250</v>
      </c>
      <c r="Q76" t="s">
        <v>247</v>
      </c>
    </row>
    <row r="77" spans="2:17">
      <c r="B77" s="42"/>
      <c r="C77" s="4">
        <v>17</v>
      </c>
      <c r="D77" t="s">
        <v>575</v>
      </c>
      <c r="E77" t="s">
        <v>611</v>
      </c>
      <c r="F77" t="s">
        <v>258</v>
      </c>
      <c r="M77" s="42"/>
      <c r="N77" s="4">
        <v>17</v>
      </c>
      <c r="O77" t="s">
        <v>575</v>
      </c>
      <c r="P77" t="s">
        <v>611</v>
      </c>
      <c r="Q77" t="s">
        <v>258</v>
      </c>
    </row>
    <row r="78" spans="2:17">
      <c r="B78" s="42"/>
      <c r="M78" s="42"/>
    </row>
    <row r="79" spans="2:17">
      <c r="B79" s="316">
        <v>45947</v>
      </c>
      <c r="C79" s="4">
        <v>0</v>
      </c>
      <c r="D79" t="s">
        <v>418</v>
      </c>
      <c r="E79" t="s">
        <v>246</v>
      </c>
      <c r="F79" t="s">
        <v>247</v>
      </c>
      <c r="M79" s="316">
        <v>45947</v>
      </c>
      <c r="N79" s="4">
        <v>0</v>
      </c>
      <c r="O79" t="s">
        <v>418</v>
      </c>
      <c r="P79" t="s">
        <v>246</v>
      </c>
      <c r="Q79" t="s">
        <v>247</v>
      </c>
    </row>
    <row r="80" spans="2:17">
      <c r="B80" s="316"/>
      <c r="C80" s="4">
        <v>7</v>
      </c>
      <c r="D80" t="s">
        <v>540</v>
      </c>
      <c r="E80" t="s">
        <v>248</v>
      </c>
      <c r="F80" t="s">
        <v>247</v>
      </c>
      <c r="M80" s="316"/>
      <c r="N80" s="4">
        <v>7</v>
      </c>
      <c r="O80" t="s">
        <v>540</v>
      </c>
      <c r="P80" t="s">
        <v>248</v>
      </c>
      <c r="Q80" t="s">
        <v>247</v>
      </c>
    </row>
    <row r="81" spans="2:17">
      <c r="B81" s="42"/>
      <c r="C81" s="4">
        <v>19</v>
      </c>
      <c r="D81" t="s">
        <v>592</v>
      </c>
      <c r="E81" t="s">
        <v>250</v>
      </c>
      <c r="F81" t="s">
        <v>247</v>
      </c>
      <c r="M81" s="42"/>
      <c r="N81" s="4">
        <v>19</v>
      </c>
      <c r="O81" t="s">
        <v>592</v>
      </c>
      <c r="P81" t="s">
        <v>250</v>
      </c>
      <c r="Q81" t="s">
        <v>247</v>
      </c>
    </row>
    <row r="82" spans="2:17">
      <c r="B82" s="42"/>
      <c r="E82" s="365"/>
      <c r="F82" s="365"/>
      <c r="M82" s="42"/>
      <c r="P82" s="365"/>
      <c r="Q82" s="365"/>
    </row>
    <row r="83" spans="2:17">
      <c r="B83" s="316">
        <v>45948</v>
      </c>
      <c r="C83" s="4">
        <v>0</v>
      </c>
      <c r="D83" t="s">
        <v>418</v>
      </c>
      <c r="E83" t="s">
        <v>246</v>
      </c>
      <c r="F83" t="s">
        <v>247</v>
      </c>
      <c r="M83" s="316">
        <v>45948</v>
      </c>
      <c r="N83" s="4">
        <v>0</v>
      </c>
      <c r="O83" t="s">
        <v>418</v>
      </c>
      <c r="P83" t="s">
        <v>246</v>
      </c>
      <c r="Q83" t="s">
        <v>247</v>
      </c>
    </row>
    <row r="84" spans="2:17">
      <c r="B84" s="316"/>
      <c r="C84" s="4">
        <v>10</v>
      </c>
      <c r="D84" t="s">
        <v>482</v>
      </c>
      <c r="E84" t="s">
        <v>248</v>
      </c>
      <c r="F84" t="s">
        <v>247</v>
      </c>
      <c r="M84" s="316"/>
      <c r="N84" s="4">
        <v>10</v>
      </c>
      <c r="O84" t="s">
        <v>482</v>
      </c>
      <c r="P84" t="s">
        <v>248</v>
      </c>
      <c r="Q84" t="s">
        <v>247</v>
      </c>
    </row>
    <row r="85" spans="2:17">
      <c r="B85" s="316"/>
      <c r="C85" s="4">
        <v>29</v>
      </c>
      <c r="D85" t="s">
        <v>592</v>
      </c>
      <c r="E85" t="s">
        <v>250</v>
      </c>
      <c r="F85" t="s">
        <v>247</v>
      </c>
      <c r="M85" s="316"/>
      <c r="N85" s="4">
        <v>29</v>
      </c>
      <c r="O85" t="s">
        <v>592</v>
      </c>
      <c r="P85" t="s">
        <v>250</v>
      </c>
      <c r="Q85" t="s">
        <v>247</v>
      </c>
    </row>
    <row r="86" spans="2:17">
      <c r="B86" s="42"/>
      <c r="M86" s="42"/>
    </row>
    <row r="87" spans="2:17">
      <c r="B87" s="316">
        <v>45949</v>
      </c>
      <c r="C87" s="4">
        <v>6</v>
      </c>
      <c r="D87" t="s">
        <v>400</v>
      </c>
      <c r="E87" t="s">
        <v>246</v>
      </c>
      <c r="F87" t="s">
        <v>247</v>
      </c>
      <c r="M87" s="316">
        <v>45949</v>
      </c>
      <c r="N87" s="4">
        <v>6</v>
      </c>
      <c r="O87" t="s">
        <v>400</v>
      </c>
      <c r="P87" t="s">
        <v>246</v>
      </c>
      <c r="Q87" t="s">
        <v>247</v>
      </c>
    </row>
    <row r="88" spans="2:17">
      <c r="B88" s="316"/>
      <c r="C88" s="4">
        <v>8</v>
      </c>
      <c r="D88" t="s">
        <v>540</v>
      </c>
      <c r="E88" t="s">
        <v>248</v>
      </c>
      <c r="F88" t="s">
        <v>247</v>
      </c>
      <c r="M88" s="316"/>
      <c r="N88" s="4">
        <v>8</v>
      </c>
      <c r="O88" t="s">
        <v>540</v>
      </c>
      <c r="P88" t="s">
        <v>248</v>
      </c>
      <c r="Q88" t="s">
        <v>247</v>
      </c>
    </row>
    <row r="89" spans="2:17">
      <c r="B89" s="316"/>
      <c r="C89" s="4">
        <v>23</v>
      </c>
      <c r="D89" t="s">
        <v>610</v>
      </c>
      <c r="E89" t="s">
        <v>250</v>
      </c>
      <c r="F89" t="s">
        <v>247</v>
      </c>
      <c r="M89" s="316"/>
      <c r="N89" s="4">
        <v>23</v>
      </c>
      <c r="O89" t="s">
        <v>610</v>
      </c>
      <c r="P89" t="s">
        <v>250</v>
      </c>
      <c r="Q89" t="s">
        <v>247</v>
      </c>
    </row>
    <row r="90" spans="2:17">
      <c r="B90" s="316"/>
      <c r="M90" s="316"/>
    </row>
    <row r="91" spans="2:17">
      <c r="B91" s="42">
        <v>45950</v>
      </c>
      <c r="C91" s="4">
        <v>0</v>
      </c>
      <c r="D91" t="s">
        <v>418</v>
      </c>
      <c r="E91" t="s">
        <v>246</v>
      </c>
      <c r="F91" t="s">
        <v>247</v>
      </c>
      <c r="M91" s="42">
        <v>45950</v>
      </c>
      <c r="N91" s="4">
        <v>0</v>
      </c>
      <c r="O91" t="s">
        <v>418</v>
      </c>
      <c r="P91" t="s">
        <v>246</v>
      </c>
      <c r="Q91" t="s">
        <v>247</v>
      </c>
    </row>
    <row r="92" spans="2:17">
      <c r="B92" s="316"/>
      <c r="C92" s="4">
        <v>6</v>
      </c>
      <c r="D92" t="s">
        <v>482</v>
      </c>
      <c r="E92" t="s">
        <v>248</v>
      </c>
      <c r="F92" t="s">
        <v>247</v>
      </c>
      <c r="M92" s="316"/>
      <c r="N92" s="4">
        <v>6</v>
      </c>
      <c r="O92" t="s">
        <v>482</v>
      </c>
      <c r="P92" t="s">
        <v>248</v>
      </c>
      <c r="Q92" t="s">
        <v>247</v>
      </c>
    </row>
    <row r="93" spans="2:17">
      <c r="B93" s="42"/>
      <c r="C93" s="4">
        <v>18</v>
      </c>
      <c r="D93" t="s">
        <v>610</v>
      </c>
      <c r="E93" t="s">
        <v>250</v>
      </c>
      <c r="F93" t="s">
        <v>247</v>
      </c>
      <c r="M93" s="42"/>
      <c r="N93" s="4">
        <v>18</v>
      </c>
      <c r="O93" t="s">
        <v>610</v>
      </c>
      <c r="P93" t="s">
        <v>250</v>
      </c>
      <c r="Q93" t="s">
        <v>247</v>
      </c>
    </row>
    <row r="94" spans="2:17">
      <c r="B94" s="316"/>
      <c r="M94" s="316"/>
    </row>
    <row r="95" spans="2:17">
      <c r="B95" s="316">
        <v>45951</v>
      </c>
      <c r="C95" s="4">
        <v>20</v>
      </c>
      <c r="D95" t="s">
        <v>636</v>
      </c>
      <c r="E95" s="538" t="s">
        <v>246</v>
      </c>
      <c r="F95" t="s">
        <v>247</v>
      </c>
      <c r="M95" s="316">
        <v>45951</v>
      </c>
      <c r="N95" s="4">
        <v>20</v>
      </c>
      <c r="O95" t="s">
        <v>636</v>
      </c>
      <c r="P95" s="538" t="s">
        <v>246</v>
      </c>
      <c r="Q95" t="s">
        <v>247</v>
      </c>
    </row>
    <row r="96" spans="2:17">
      <c r="B96" s="316"/>
      <c r="C96" s="4">
        <v>13</v>
      </c>
      <c r="D96" t="s">
        <v>640</v>
      </c>
      <c r="E96" s="538" t="s">
        <v>248</v>
      </c>
      <c r="F96" t="s">
        <v>247</v>
      </c>
      <c r="M96" s="316"/>
      <c r="N96" s="4">
        <v>13</v>
      </c>
      <c r="O96" t="s">
        <v>640</v>
      </c>
      <c r="P96" s="538" t="s">
        <v>248</v>
      </c>
      <c r="Q96" t="s">
        <v>247</v>
      </c>
    </row>
    <row r="97" spans="2:17">
      <c r="B97" s="42"/>
      <c r="C97">
        <v>31</v>
      </c>
      <c r="D97" t="s">
        <v>641</v>
      </c>
      <c r="E97" s="538" t="s">
        <v>250</v>
      </c>
      <c r="F97" t="s">
        <v>247</v>
      </c>
      <c r="M97" s="42"/>
      <c r="N97">
        <v>31</v>
      </c>
      <c r="O97" t="s">
        <v>641</v>
      </c>
      <c r="P97" s="538" t="s">
        <v>250</v>
      </c>
      <c r="Q97" t="s">
        <v>247</v>
      </c>
    </row>
    <row r="98" spans="2:17">
      <c r="B98" s="316"/>
      <c r="C98" s="4">
        <v>90</v>
      </c>
      <c r="D98" t="s">
        <v>642</v>
      </c>
      <c r="E98" s="602" t="s">
        <v>516</v>
      </c>
      <c r="F98" t="s">
        <v>261</v>
      </c>
      <c r="M98" s="316"/>
      <c r="N98" s="4">
        <v>90</v>
      </c>
      <c r="O98" t="s">
        <v>642</v>
      </c>
      <c r="P98" s="602" t="s">
        <v>516</v>
      </c>
      <c r="Q98" t="s">
        <v>261</v>
      </c>
    </row>
    <row r="99" spans="2:17">
      <c r="B99" s="316"/>
      <c r="M99" s="316"/>
    </row>
    <row r="100" spans="2:17">
      <c r="B100" s="316">
        <v>45952</v>
      </c>
      <c r="C100">
        <v>0</v>
      </c>
      <c r="D100" t="s">
        <v>418</v>
      </c>
      <c r="E100" t="s">
        <v>246</v>
      </c>
      <c r="F100" t="s">
        <v>247</v>
      </c>
      <c r="M100" s="316">
        <v>45952</v>
      </c>
      <c r="N100">
        <v>0</v>
      </c>
      <c r="O100" t="s">
        <v>418</v>
      </c>
      <c r="P100" t="s">
        <v>246</v>
      </c>
      <c r="Q100" t="s">
        <v>247</v>
      </c>
    </row>
    <row r="101" spans="2:17">
      <c r="B101" s="316"/>
      <c r="C101">
        <v>10</v>
      </c>
      <c r="D101" t="s">
        <v>485</v>
      </c>
      <c r="E101" t="s">
        <v>248</v>
      </c>
      <c r="F101" t="s">
        <v>247</v>
      </c>
      <c r="M101" s="316"/>
      <c r="N101">
        <v>10</v>
      </c>
      <c r="O101" t="s">
        <v>485</v>
      </c>
      <c r="P101" t="s">
        <v>248</v>
      </c>
      <c r="Q101" t="s">
        <v>247</v>
      </c>
    </row>
    <row r="102" spans="2:17">
      <c r="B102" s="42"/>
      <c r="C102">
        <v>22</v>
      </c>
      <c r="D102" t="s">
        <v>661</v>
      </c>
      <c r="E102" t="s">
        <v>250</v>
      </c>
      <c r="F102" t="s">
        <v>247</v>
      </c>
      <c r="M102" s="42"/>
      <c r="N102">
        <v>22</v>
      </c>
      <c r="O102" t="s">
        <v>661</v>
      </c>
      <c r="P102" t="s">
        <v>250</v>
      </c>
      <c r="Q102" t="s">
        <v>247</v>
      </c>
    </row>
    <row r="103" spans="2:17">
      <c r="B103" s="316"/>
      <c r="E103" s="365"/>
      <c r="F103" s="365"/>
      <c r="M103" s="316"/>
      <c r="P103" s="365"/>
      <c r="Q103" s="365"/>
    </row>
    <row r="104" spans="2:17">
      <c r="B104" s="316">
        <v>45953</v>
      </c>
      <c r="C104">
        <v>0</v>
      </c>
      <c r="D104" t="s">
        <v>418</v>
      </c>
      <c r="E104" t="s">
        <v>246</v>
      </c>
      <c r="F104" t="s">
        <v>247</v>
      </c>
      <c r="M104" s="316">
        <v>45953</v>
      </c>
      <c r="N104">
        <v>0</v>
      </c>
      <c r="O104" t="s">
        <v>418</v>
      </c>
      <c r="P104" t="s">
        <v>246</v>
      </c>
      <c r="Q104" t="s">
        <v>247</v>
      </c>
    </row>
    <row r="105" spans="2:17">
      <c r="B105" s="316"/>
      <c r="C105">
        <v>2</v>
      </c>
      <c r="D105" t="s">
        <v>529</v>
      </c>
      <c r="E105" t="s">
        <v>248</v>
      </c>
      <c r="F105" t="s">
        <v>247</v>
      </c>
      <c r="M105" s="316"/>
      <c r="N105">
        <v>2</v>
      </c>
      <c r="O105" t="s">
        <v>529</v>
      </c>
      <c r="P105" t="s">
        <v>248</v>
      </c>
      <c r="Q105" t="s">
        <v>247</v>
      </c>
    </row>
    <row r="106" spans="2:17">
      <c r="B106" s="316"/>
      <c r="C106">
        <v>18</v>
      </c>
      <c r="D106" t="s">
        <v>675</v>
      </c>
      <c r="E106" t="s">
        <v>250</v>
      </c>
      <c r="F106" t="s">
        <v>247</v>
      </c>
      <c r="M106" s="316"/>
      <c r="N106">
        <v>18</v>
      </c>
      <c r="O106" t="s">
        <v>675</v>
      </c>
      <c r="P106" t="s">
        <v>250</v>
      </c>
      <c r="Q106" t="s">
        <v>247</v>
      </c>
    </row>
    <row r="107" spans="2:17">
      <c r="B107" s="42"/>
      <c r="M107" s="42"/>
    </row>
    <row r="108" spans="2:17">
      <c r="B108" s="316">
        <v>45954</v>
      </c>
      <c r="C108" s="4">
        <v>9</v>
      </c>
      <c r="D108" t="s">
        <v>400</v>
      </c>
      <c r="E108" t="s">
        <v>246</v>
      </c>
      <c r="F108" t="s">
        <v>247</v>
      </c>
      <c r="M108" s="316">
        <v>45954</v>
      </c>
      <c r="N108" s="4">
        <v>9</v>
      </c>
      <c r="O108" t="s">
        <v>400</v>
      </c>
      <c r="P108" t="s">
        <v>246</v>
      </c>
      <c r="Q108" t="s">
        <v>247</v>
      </c>
    </row>
    <row r="109" spans="2:17">
      <c r="B109" s="316"/>
      <c r="C109" s="4">
        <v>2</v>
      </c>
      <c r="D109" t="s">
        <v>571</v>
      </c>
      <c r="E109" t="s">
        <v>248</v>
      </c>
      <c r="F109" t="s">
        <v>247</v>
      </c>
      <c r="M109" s="316"/>
      <c r="N109" s="4">
        <v>2</v>
      </c>
      <c r="O109" t="s">
        <v>571</v>
      </c>
      <c r="P109" t="s">
        <v>248</v>
      </c>
      <c r="Q109" t="s">
        <v>247</v>
      </c>
    </row>
    <row r="110" spans="2:17">
      <c r="B110" s="316"/>
      <c r="C110" s="4">
        <v>38</v>
      </c>
      <c r="D110" t="s">
        <v>675</v>
      </c>
      <c r="E110" t="s">
        <v>250</v>
      </c>
      <c r="F110" t="s">
        <v>247</v>
      </c>
      <c r="M110" s="316"/>
      <c r="N110" s="4">
        <v>38</v>
      </c>
      <c r="O110" t="s">
        <v>675</v>
      </c>
      <c r="P110" t="s">
        <v>250</v>
      </c>
      <c r="Q110" t="s">
        <v>247</v>
      </c>
    </row>
    <row r="111" spans="2:17">
      <c r="B111" s="316"/>
      <c r="C111" s="4">
        <v>40</v>
      </c>
      <c r="D111" t="s">
        <v>691</v>
      </c>
      <c r="E111" t="s">
        <v>741</v>
      </c>
      <c r="F111" t="s">
        <v>306</v>
      </c>
      <c r="M111" s="316"/>
      <c r="N111" s="4">
        <v>0</v>
      </c>
      <c r="O111" t="s">
        <v>691</v>
      </c>
      <c r="P111" t="s">
        <v>741</v>
      </c>
      <c r="Q111" t="s">
        <v>306</v>
      </c>
    </row>
    <row r="112" spans="2:17">
      <c r="B112" s="42"/>
      <c r="M112" s="42"/>
    </row>
    <row r="113" spans="2:17">
      <c r="B113" s="316">
        <v>45955</v>
      </c>
      <c r="C113" s="4">
        <v>132</v>
      </c>
      <c r="D113" t="s">
        <v>720</v>
      </c>
      <c r="E113" t="s">
        <v>246</v>
      </c>
      <c r="F113" t="s">
        <v>247</v>
      </c>
      <c r="M113" s="316">
        <v>45955</v>
      </c>
      <c r="N113" s="4">
        <v>132</v>
      </c>
      <c r="O113" t="s">
        <v>720</v>
      </c>
      <c r="P113" t="s">
        <v>246</v>
      </c>
      <c r="Q113" t="s">
        <v>247</v>
      </c>
    </row>
    <row r="114" spans="2:17">
      <c r="B114" s="316"/>
      <c r="C114" s="4">
        <v>4</v>
      </c>
      <c r="D114" t="s">
        <v>529</v>
      </c>
      <c r="E114" t="s">
        <v>248</v>
      </c>
      <c r="F114" t="s">
        <v>247</v>
      </c>
      <c r="M114" s="316"/>
      <c r="N114" s="4">
        <v>4</v>
      </c>
      <c r="O114" t="s">
        <v>529</v>
      </c>
      <c r="P114" t="s">
        <v>248</v>
      </c>
      <c r="Q114" t="s">
        <v>247</v>
      </c>
    </row>
    <row r="115" spans="2:17">
      <c r="B115" s="316"/>
      <c r="C115" s="4">
        <v>52</v>
      </c>
      <c r="D115" t="s">
        <v>514</v>
      </c>
      <c r="E115" t="s">
        <v>250</v>
      </c>
      <c r="F115" t="s">
        <v>247</v>
      </c>
      <c r="M115" s="316"/>
      <c r="N115" s="4">
        <v>52</v>
      </c>
      <c r="O115" t="s">
        <v>514</v>
      </c>
      <c r="P115" t="s">
        <v>250</v>
      </c>
      <c r="Q115" t="s">
        <v>247</v>
      </c>
    </row>
    <row r="116" spans="2:17">
      <c r="B116" s="316"/>
      <c r="C116" s="4">
        <v>10</v>
      </c>
      <c r="D116" t="s">
        <v>721</v>
      </c>
      <c r="E116" t="s">
        <v>742</v>
      </c>
      <c r="F116" t="s">
        <v>260</v>
      </c>
      <c r="M116" s="316"/>
      <c r="N116" s="4">
        <v>10</v>
      </c>
      <c r="O116" t="s">
        <v>721</v>
      </c>
      <c r="P116" t="s">
        <v>742</v>
      </c>
      <c r="Q116" t="s">
        <v>260</v>
      </c>
    </row>
    <row r="117" spans="2:17">
      <c r="B117" s="316"/>
      <c r="M117" s="316"/>
    </row>
    <row r="118" spans="2:17">
      <c r="B118" s="42">
        <v>45956</v>
      </c>
      <c r="C118" s="4">
        <v>29</v>
      </c>
      <c r="D118" t="s">
        <v>722</v>
      </c>
      <c r="E118" t="s">
        <v>246</v>
      </c>
      <c r="F118" t="s">
        <v>247</v>
      </c>
      <c r="M118" s="42">
        <v>45956</v>
      </c>
      <c r="N118" s="4">
        <v>29</v>
      </c>
      <c r="O118" t="s">
        <v>722</v>
      </c>
      <c r="P118" t="s">
        <v>246</v>
      </c>
      <c r="Q118" t="s">
        <v>247</v>
      </c>
    </row>
    <row r="119" spans="2:17">
      <c r="B119" s="316"/>
      <c r="C119" s="4">
        <v>12</v>
      </c>
      <c r="D119" t="s">
        <v>464</v>
      </c>
      <c r="E119" t="s">
        <v>248</v>
      </c>
      <c r="F119" t="s">
        <v>247</v>
      </c>
      <c r="M119" s="316"/>
      <c r="N119" s="4">
        <v>12</v>
      </c>
      <c r="O119" t="s">
        <v>464</v>
      </c>
      <c r="P119" t="s">
        <v>248</v>
      </c>
      <c r="Q119" t="s">
        <v>247</v>
      </c>
    </row>
    <row r="120" spans="2:17">
      <c r="B120" s="316"/>
      <c r="C120" s="4">
        <v>37</v>
      </c>
      <c r="D120" t="s">
        <v>592</v>
      </c>
      <c r="E120" t="s">
        <v>250</v>
      </c>
      <c r="F120" t="s">
        <v>247</v>
      </c>
      <c r="M120" s="316"/>
      <c r="N120" s="4">
        <v>37</v>
      </c>
      <c r="O120" t="s">
        <v>592</v>
      </c>
      <c r="P120" t="s">
        <v>250</v>
      </c>
      <c r="Q120" t="s">
        <v>247</v>
      </c>
    </row>
    <row r="121" spans="2:17">
      <c r="B121" s="42"/>
      <c r="M121" s="42"/>
    </row>
    <row r="122" spans="2:17">
      <c r="B122" s="316">
        <v>45957</v>
      </c>
      <c r="C122" s="4">
        <v>25</v>
      </c>
      <c r="D122" t="s">
        <v>506</v>
      </c>
      <c r="E122" t="s">
        <v>246</v>
      </c>
      <c r="F122" t="s">
        <v>247</v>
      </c>
      <c r="M122" s="316">
        <v>45957</v>
      </c>
      <c r="N122" s="4">
        <v>25</v>
      </c>
      <c r="O122" t="s">
        <v>506</v>
      </c>
      <c r="P122" t="s">
        <v>246</v>
      </c>
      <c r="Q122" t="s">
        <v>247</v>
      </c>
    </row>
    <row r="123" spans="2:17">
      <c r="B123" s="316"/>
      <c r="C123" s="4">
        <v>18</v>
      </c>
      <c r="D123" t="s">
        <v>482</v>
      </c>
      <c r="E123" t="s">
        <v>248</v>
      </c>
      <c r="F123" t="s">
        <v>247</v>
      </c>
      <c r="M123" s="316"/>
      <c r="N123" s="4">
        <v>18</v>
      </c>
      <c r="O123" t="s">
        <v>482</v>
      </c>
      <c r="P123" t="s">
        <v>248</v>
      </c>
      <c r="Q123" t="s">
        <v>247</v>
      </c>
    </row>
    <row r="124" spans="2:17">
      <c r="B124" s="42"/>
      <c r="C124" s="4">
        <v>61</v>
      </c>
      <c r="D124" t="s">
        <v>738</v>
      </c>
      <c r="E124" t="s">
        <v>250</v>
      </c>
      <c r="F124" t="s">
        <v>247</v>
      </c>
      <c r="M124" s="42"/>
      <c r="N124" s="4">
        <v>61</v>
      </c>
      <c r="O124" t="s">
        <v>738</v>
      </c>
      <c r="P124" t="s">
        <v>250</v>
      </c>
      <c r="Q124" t="s">
        <v>247</v>
      </c>
    </row>
    <row r="125" spans="2:17">
      <c r="B125" s="316"/>
      <c r="C125" s="4">
        <v>150</v>
      </c>
      <c r="D125" t="s">
        <v>739</v>
      </c>
      <c r="E125" s="365" t="s">
        <v>743</v>
      </c>
      <c r="F125" t="s">
        <v>261</v>
      </c>
      <c r="M125" s="316"/>
      <c r="N125" s="4">
        <v>150</v>
      </c>
      <c r="O125" t="s">
        <v>739</v>
      </c>
      <c r="P125" s="365" t="s">
        <v>743</v>
      </c>
      <c r="Q125" t="s">
        <v>261</v>
      </c>
    </row>
    <row r="126" spans="2:17">
      <c r="B126" s="316"/>
      <c r="C126" s="4">
        <v>135</v>
      </c>
      <c r="D126" t="s">
        <v>740</v>
      </c>
      <c r="E126" s="365" t="s">
        <v>744</v>
      </c>
      <c r="F126" t="s">
        <v>258</v>
      </c>
      <c r="M126" s="316"/>
      <c r="N126" s="4">
        <v>135</v>
      </c>
      <c r="O126" t="s">
        <v>740</v>
      </c>
      <c r="P126" s="365" t="s">
        <v>744</v>
      </c>
      <c r="Q126" t="s">
        <v>258</v>
      </c>
    </row>
    <row r="127" spans="2:17">
      <c r="B127" s="316"/>
      <c r="M127" s="316"/>
    </row>
    <row r="128" spans="2:17">
      <c r="B128" s="42">
        <v>45958</v>
      </c>
      <c r="C128" s="4">
        <v>0</v>
      </c>
      <c r="D128" t="s">
        <v>418</v>
      </c>
      <c r="E128" t="s">
        <v>246</v>
      </c>
      <c r="F128" t="s">
        <v>247</v>
      </c>
      <c r="M128" s="42">
        <v>45958</v>
      </c>
      <c r="N128" s="4">
        <v>0</v>
      </c>
      <c r="O128" t="s">
        <v>418</v>
      </c>
      <c r="P128" t="s">
        <v>246</v>
      </c>
      <c r="Q128" t="s">
        <v>247</v>
      </c>
    </row>
    <row r="129" spans="2:17">
      <c r="B129" s="316"/>
      <c r="C129" s="4">
        <v>19</v>
      </c>
      <c r="D129" t="s">
        <v>512</v>
      </c>
      <c r="E129" t="s">
        <v>248</v>
      </c>
      <c r="F129" t="s">
        <v>247</v>
      </c>
      <c r="M129" s="316"/>
      <c r="N129" s="4">
        <v>19</v>
      </c>
      <c r="O129" t="s">
        <v>512</v>
      </c>
      <c r="P129" t="s">
        <v>248</v>
      </c>
      <c r="Q129" t="s">
        <v>247</v>
      </c>
    </row>
    <row r="130" spans="2:17">
      <c r="B130" s="42"/>
      <c r="C130" s="4">
        <v>34</v>
      </c>
      <c r="D130" t="s">
        <v>754</v>
      </c>
      <c r="E130" t="s">
        <v>250</v>
      </c>
      <c r="F130" t="s">
        <v>247</v>
      </c>
      <c r="M130" s="42"/>
      <c r="N130" s="4">
        <v>34</v>
      </c>
      <c r="O130" t="s">
        <v>754</v>
      </c>
      <c r="P130" t="s">
        <v>250</v>
      </c>
      <c r="Q130" t="s">
        <v>247</v>
      </c>
    </row>
    <row r="131" spans="2:17">
      <c r="B131" s="316"/>
      <c r="M131" s="316"/>
    </row>
    <row r="132" spans="2:17">
      <c r="B132" s="316">
        <v>45959</v>
      </c>
      <c r="C132" s="4">
        <v>0</v>
      </c>
      <c r="D132" t="s">
        <v>418</v>
      </c>
      <c r="E132" t="s">
        <v>246</v>
      </c>
      <c r="F132" t="s">
        <v>247</v>
      </c>
      <c r="M132" s="316">
        <v>45959</v>
      </c>
      <c r="N132" s="4">
        <v>0</v>
      </c>
      <c r="O132" t="s">
        <v>418</v>
      </c>
      <c r="P132" t="s">
        <v>246</v>
      </c>
      <c r="Q132" t="s">
        <v>247</v>
      </c>
    </row>
    <row r="133" spans="2:17">
      <c r="B133" s="42"/>
      <c r="C133" s="4">
        <v>11</v>
      </c>
      <c r="D133" t="s">
        <v>640</v>
      </c>
      <c r="E133" t="s">
        <v>248</v>
      </c>
      <c r="F133" t="s">
        <v>247</v>
      </c>
      <c r="M133" s="42"/>
      <c r="N133" s="4">
        <v>11</v>
      </c>
      <c r="O133" t="s">
        <v>640</v>
      </c>
      <c r="P133" t="s">
        <v>248</v>
      </c>
      <c r="Q133" t="s">
        <v>247</v>
      </c>
    </row>
    <row r="134" spans="2:17">
      <c r="B134" s="42"/>
      <c r="C134" s="4">
        <v>21</v>
      </c>
      <c r="D134" t="s">
        <v>767</v>
      </c>
      <c r="E134" t="s">
        <v>250</v>
      </c>
      <c r="F134" t="s">
        <v>247</v>
      </c>
      <c r="M134" s="42"/>
      <c r="N134" s="4">
        <v>21</v>
      </c>
      <c r="O134" t="s">
        <v>767</v>
      </c>
      <c r="P134" t="s">
        <v>250</v>
      </c>
      <c r="Q134" t="s">
        <v>247</v>
      </c>
    </row>
    <row r="135" spans="2:17">
      <c r="B135" s="316"/>
      <c r="C135" s="4">
        <v>14</v>
      </c>
      <c r="D135" t="s">
        <v>768</v>
      </c>
      <c r="E135" t="s">
        <v>791</v>
      </c>
      <c r="F135" t="s">
        <v>311</v>
      </c>
      <c r="M135" s="316"/>
      <c r="N135" s="4">
        <v>14</v>
      </c>
      <c r="O135" t="s">
        <v>768</v>
      </c>
      <c r="P135" t="s">
        <v>791</v>
      </c>
      <c r="Q135" t="s">
        <v>311</v>
      </c>
    </row>
    <row r="136" spans="2:17">
      <c r="B136" s="316"/>
      <c r="M136" s="316"/>
    </row>
    <row r="137" spans="2:17">
      <c r="B137" s="316">
        <v>45960</v>
      </c>
      <c r="C137" s="4">
        <v>24</v>
      </c>
      <c r="D137" t="s">
        <v>782</v>
      </c>
      <c r="E137" t="s">
        <v>246</v>
      </c>
      <c r="F137" t="s">
        <v>247</v>
      </c>
      <c r="M137" s="316">
        <v>45960</v>
      </c>
      <c r="N137" s="4">
        <v>24</v>
      </c>
      <c r="O137" t="s">
        <v>782</v>
      </c>
      <c r="P137" t="s">
        <v>246</v>
      </c>
      <c r="Q137" t="s">
        <v>247</v>
      </c>
    </row>
    <row r="138" spans="2:17">
      <c r="B138" s="42"/>
      <c r="C138" s="4">
        <v>8</v>
      </c>
      <c r="D138" t="s">
        <v>482</v>
      </c>
      <c r="E138" t="s">
        <v>248</v>
      </c>
      <c r="F138" t="s">
        <v>247</v>
      </c>
      <c r="M138" s="42"/>
      <c r="N138" s="4">
        <v>8</v>
      </c>
      <c r="O138" t="s">
        <v>482</v>
      </c>
      <c r="P138" t="s">
        <v>248</v>
      </c>
      <c r="Q138" t="s">
        <v>247</v>
      </c>
    </row>
    <row r="139" spans="2:17">
      <c r="B139" s="42"/>
      <c r="C139" s="4">
        <v>21</v>
      </c>
      <c r="D139" t="s">
        <v>754</v>
      </c>
      <c r="E139" t="s">
        <v>250</v>
      </c>
      <c r="F139" t="s">
        <v>247</v>
      </c>
      <c r="M139" s="42"/>
      <c r="N139" s="4">
        <v>21</v>
      </c>
      <c r="O139" t="s">
        <v>754</v>
      </c>
      <c r="P139" t="s">
        <v>250</v>
      </c>
      <c r="Q139" t="s">
        <v>247</v>
      </c>
    </row>
    <row r="140" spans="2:17">
      <c r="B140" s="316"/>
      <c r="C140" s="4">
        <v>20</v>
      </c>
      <c r="D140" t="s">
        <v>781</v>
      </c>
      <c r="E140" t="s">
        <v>741</v>
      </c>
      <c r="F140" t="s">
        <v>306</v>
      </c>
      <c r="M140" s="316"/>
      <c r="N140" s="4">
        <v>0</v>
      </c>
      <c r="O140" t="s">
        <v>781</v>
      </c>
      <c r="P140" t="s">
        <v>741</v>
      </c>
      <c r="Q140" t="s">
        <v>306</v>
      </c>
    </row>
    <row r="141" spans="2:17">
      <c r="B141" s="316"/>
      <c r="M141" s="316"/>
    </row>
    <row r="142" spans="2:17">
      <c r="B142" s="316">
        <v>45961</v>
      </c>
      <c r="C142" s="4">
        <v>0</v>
      </c>
      <c r="D142" t="s">
        <v>418</v>
      </c>
      <c r="E142" t="s">
        <v>246</v>
      </c>
      <c r="F142" t="s">
        <v>247</v>
      </c>
      <c r="M142" s="316">
        <v>45961</v>
      </c>
      <c r="N142" s="4">
        <v>0</v>
      </c>
      <c r="O142" t="s">
        <v>418</v>
      </c>
      <c r="P142" t="s">
        <v>246</v>
      </c>
      <c r="Q142" t="s">
        <v>247</v>
      </c>
    </row>
    <row r="143" spans="2:17">
      <c r="B143" s="571"/>
      <c r="C143" s="4">
        <v>3</v>
      </c>
      <c r="D143" t="s">
        <v>571</v>
      </c>
      <c r="E143" t="s">
        <v>248</v>
      </c>
      <c r="F143" t="s">
        <v>247</v>
      </c>
      <c r="M143" s="571"/>
      <c r="N143" s="4">
        <v>3</v>
      </c>
      <c r="O143" t="s">
        <v>571</v>
      </c>
      <c r="P143" t="s">
        <v>248</v>
      </c>
      <c r="Q143" t="s">
        <v>247</v>
      </c>
    </row>
    <row r="144" spans="2:17">
      <c r="B144" s="571"/>
      <c r="C144" s="4">
        <v>12</v>
      </c>
      <c r="D144" t="s">
        <v>514</v>
      </c>
      <c r="E144" t="s">
        <v>250</v>
      </c>
      <c r="F144" t="s">
        <v>247</v>
      </c>
      <c r="M144" s="571"/>
      <c r="N144" s="4">
        <v>12</v>
      </c>
      <c r="O144" t="s">
        <v>514</v>
      </c>
      <c r="P144" t="s">
        <v>250</v>
      </c>
      <c r="Q144" t="s">
        <v>247</v>
      </c>
    </row>
    <row r="145" spans="2:17">
      <c r="B145" s="571"/>
      <c r="C145" s="4">
        <v>6</v>
      </c>
      <c r="D145" t="s">
        <v>804</v>
      </c>
      <c r="E145" t="s">
        <v>13</v>
      </c>
      <c r="F145" t="s">
        <v>247</v>
      </c>
      <c r="M145" s="571"/>
      <c r="N145" s="4">
        <v>6</v>
      </c>
      <c r="O145" t="s">
        <v>804</v>
      </c>
      <c r="P145" t="s">
        <v>13</v>
      </c>
      <c r="Q145" t="s">
        <v>247</v>
      </c>
    </row>
    <row r="146" spans="2:17">
      <c r="B146" s="316"/>
      <c r="C146" s="4">
        <v>285</v>
      </c>
      <c r="D146" t="s">
        <v>805</v>
      </c>
      <c r="E146" s="602" t="s">
        <v>516</v>
      </c>
      <c r="F146" t="s">
        <v>261</v>
      </c>
      <c r="M146" s="316"/>
      <c r="N146" s="4">
        <v>285</v>
      </c>
      <c r="O146" t="s">
        <v>805</v>
      </c>
      <c r="P146" s="602" t="s">
        <v>516</v>
      </c>
      <c r="Q146" t="s">
        <v>261</v>
      </c>
    </row>
    <row r="147" spans="2:17">
      <c r="B147" s="571"/>
      <c r="C147" s="4">
        <v>30</v>
      </c>
      <c r="D147" t="s">
        <v>807</v>
      </c>
      <c r="E147" t="s">
        <v>808</v>
      </c>
      <c r="F147" t="s">
        <v>259</v>
      </c>
      <c r="M147" s="571"/>
      <c r="N147" s="4">
        <v>30</v>
      </c>
      <c r="O147" t="s">
        <v>807</v>
      </c>
      <c r="P147" t="s">
        <v>808</v>
      </c>
      <c r="Q147" t="s">
        <v>259</v>
      </c>
    </row>
    <row r="148" spans="2:17">
      <c r="B148" s="571"/>
      <c r="M148" s="571"/>
    </row>
    <row r="149" spans="2:17">
      <c r="B149" s="571"/>
      <c r="E149" s="365"/>
      <c r="M149" s="571"/>
      <c r="P149" s="365"/>
    </row>
    <row r="150" spans="2:17">
      <c r="B150" s="316"/>
      <c r="M150" s="316"/>
    </row>
    <row r="151" spans="2:17">
      <c r="B151" s="571"/>
      <c r="M151" s="571"/>
    </row>
    <row r="152" spans="2:17">
      <c r="B152" s="571"/>
      <c r="M152" s="571"/>
    </row>
    <row r="153" spans="2:17">
      <c r="B153" s="571"/>
      <c r="E153" s="365"/>
      <c r="M153" s="571"/>
      <c r="P153" s="365"/>
    </row>
    <row r="154" spans="2:17">
      <c r="B154" s="571"/>
      <c r="E154" s="365"/>
      <c r="F154" s="365"/>
      <c r="M154" s="571"/>
      <c r="P154" s="365"/>
      <c r="Q154" s="365"/>
    </row>
    <row r="155" spans="2:17">
      <c r="B155" s="571"/>
      <c r="M155" s="571"/>
    </row>
    <row r="156" spans="2:17">
      <c r="B156" s="316"/>
      <c r="M156" s="316"/>
    </row>
    <row r="157" spans="2:17">
      <c r="B157" s="571"/>
      <c r="M157" s="571"/>
    </row>
    <row r="158" spans="2:17">
      <c r="B158" s="571"/>
      <c r="M158" s="571"/>
    </row>
    <row r="159" spans="2:17">
      <c r="B159" s="571"/>
      <c r="E159" s="365"/>
      <c r="F159" s="365"/>
      <c r="M159" s="571"/>
      <c r="P159" s="365"/>
      <c r="Q159" s="365"/>
    </row>
    <row r="160" spans="2:17">
      <c r="B160" s="571"/>
      <c r="M160" s="571"/>
    </row>
    <row r="161" spans="2:13">
      <c r="B161" s="571"/>
      <c r="M161" s="571"/>
    </row>
    <row r="162" spans="2:13">
      <c r="M162" s="571"/>
    </row>
    <row r="163" spans="2:13">
      <c r="M163" s="571"/>
    </row>
  </sheetData>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abSelected="1" topLeftCell="G7" workbookViewId="0">
      <selection activeCell="N27" sqref="N27"/>
    </sheetView>
  </sheetViews>
  <sheetFormatPr defaultRowHeight="12.75"/>
  <cols>
    <col min="1" max="1" width="15.28515625" bestFit="1" customWidth="1"/>
    <col min="2" max="2" width="23.28515625" bestFit="1" customWidth="1"/>
    <col min="3" max="3" width="34.28515625" style="575" customWidth="1"/>
    <col min="4" max="8" width="13.5703125" customWidth="1"/>
    <col min="10" max="10" width="15.28515625" bestFit="1" customWidth="1"/>
    <col min="11" max="11" width="23.28515625" bestFit="1" customWidth="1"/>
    <col min="12" max="12" width="34.28515625" style="575" customWidth="1"/>
    <col min="13" max="17" width="13.5703125" customWidth="1"/>
  </cols>
  <sheetData>
    <row r="1" spans="1:17" ht="15">
      <c r="A1" s="412" t="s">
        <v>277</v>
      </c>
      <c r="E1" s="437"/>
      <c r="F1" s="1"/>
      <c r="J1" s="412" t="s">
        <v>374</v>
      </c>
      <c r="N1" s="437"/>
      <c r="O1" s="1"/>
    </row>
    <row r="2" spans="1:17" ht="30">
      <c r="A2" s="792" t="s">
        <v>264</v>
      </c>
      <c r="B2" s="792" t="s">
        <v>265</v>
      </c>
      <c r="C2" s="793" t="s">
        <v>266</v>
      </c>
      <c r="D2" s="438" t="s">
        <v>267</v>
      </c>
      <c r="E2" s="574" t="s">
        <v>268</v>
      </c>
      <c r="F2" s="439" t="s">
        <v>269</v>
      </c>
      <c r="G2" s="574" t="s">
        <v>270</v>
      </c>
      <c r="H2" s="574" t="s">
        <v>271</v>
      </c>
      <c r="J2" s="792" t="s">
        <v>264</v>
      </c>
      <c r="K2" s="792" t="s">
        <v>265</v>
      </c>
      <c r="L2" s="791" t="s">
        <v>266</v>
      </c>
      <c r="M2" s="438" t="s">
        <v>267</v>
      </c>
      <c r="N2" s="574" t="s">
        <v>268</v>
      </c>
      <c r="O2" s="439" t="s">
        <v>269</v>
      </c>
      <c r="P2" s="574" t="s">
        <v>270</v>
      </c>
      <c r="Q2" s="574" t="s">
        <v>271</v>
      </c>
    </row>
    <row r="3" spans="1:17" ht="15">
      <c r="A3" s="792"/>
      <c r="B3" s="792"/>
      <c r="C3" s="794"/>
      <c r="D3" s="438" t="s">
        <v>412</v>
      </c>
      <c r="E3" s="438" t="str">
        <f>+D3</f>
        <v>OKTOBER</v>
      </c>
      <c r="F3" s="438" t="str">
        <f>+E3</f>
        <v>OKTOBER</v>
      </c>
      <c r="G3" s="438" t="str">
        <f>+F3</f>
        <v>OKTOBER</v>
      </c>
      <c r="H3" s="438" t="str">
        <f>+G3</f>
        <v>OKTOBER</v>
      </c>
      <c r="J3" s="792"/>
      <c r="K3" s="792"/>
      <c r="L3" s="791"/>
      <c r="M3" s="438" t="str">
        <f>+H3</f>
        <v>OKTOBER</v>
      </c>
      <c r="N3" s="438" t="str">
        <f>+M3</f>
        <v>OKTOBER</v>
      </c>
      <c r="O3" s="438" t="str">
        <f>+N3</f>
        <v>OKTOBER</v>
      </c>
      <c r="P3" s="438" t="str">
        <f>+O3</f>
        <v>OKTOBER</v>
      </c>
      <c r="Q3" s="438" t="str">
        <f>+P3</f>
        <v>OKTOBER</v>
      </c>
    </row>
    <row r="4" spans="1:17" ht="15">
      <c r="A4" s="783" t="s">
        <v>272</v>
      </c>
      <c r="B4" s="523" t="s">
        <v>306</v>
      </c>
      <c r="C4" s="576" t="s">
        <v>741</v>
      </c>
      <c r="D4" s="7">
        <f>SUMIFS(Sheet1!$C$2:$C$180,Sheet1!$F$2:$F$180,B4,Sheet1!$E$2:$E$180,C4)</f>
        <v>60</v>
      </c>
      <c r="E4" s="7">
        <f>D4/Sheet1!$I$9*Sheet1!$I$10</f>
        <v>2.1416322234009471</v>
      </c>
      <c r="F4" s="440">
        <f>D4/Sheet1!$I$9*Sheet1!$I$11</f>
        <v>1.3471890799332394E-3</v>
      </c>
      <c r="G4" s="524">
        <f>F4</f>
        <v>1.3471890799332394E-3</v>
      </c>
      <c r="H4" s="790">
        <f>SUM(G4:G11)</f>
        <v>0.26761911072873801</v>
      </c>
      <c r="J4" s="783" t="s">
        <v>272</v>
      </c>
      <c r="K4" s="523" t="s">
        <v>306</v>
      </c>
      <c r="L4" s="576" t="s">
        <v>741</v>
      </c>
      <c r="M4" s="7">
        <f>SUMIFS(Sheet1!$N$2:$N$180,Sheet1!$Q$2:$Q$180,K4,Sheet1!$P$2:$P$180,L4)</f>
        <v>0</v>
      </c>
      <c r="N4" s="7">
        <f>M4/Sheet1!$T$9*Sheet1!$T$10</f>
        <v>0</v>
      </c>
      <c r="O4" s="440">
        <f>M4/Sheet1!$T$9*Sheet1!$T$11</f>
        <v>0</v>
      </c>
      <c r="P4" s="524">
        <f>O4</f>
        <v>0</v>
      </c>
      <c r="Q4" s="790">
        <f>SUM(P4:P11)</f>
        <v>4.2965205870199914E-4</v>
      </c>
    </row>
    <row r="5" spans="1:17" ht="15">
      <c r="A5" s="783"/>
      <c r="B5" s="523" t="s">
        <v>263</v>
      </c>
      <c r="C5" s="365" t="s">
        <v>445</v>
      </c>
      <c r="D5" s="7">
        <f>SUMIFS(Sheet1!$C$2:$C$180,Sheet1!$F$2:$F$180,B5,Sheet1!$E$2:$E$180,C5)</f>
        <v>11845</v>
      </c>
      <c r="E5" s="7">
        <f>D5/Sheet1!$I$9*Sheet1!$I$10</f>
        <v>422.79389476973699</v>
      </c>
      <c r="F5" s="440">
        <f>D5/Sheet1!$I$9*Sheet1!$I$11</f>
        <v>0.26595757753015364</v>
      </c>
      <c r="G5" s="577">
        <f t="shared" ref="G5:G14" si="0">F5</f>
        <v>0.26595757753015364</v>
      </c>
      <c r="H5" s="783"/>
      <c r="J5" s="783"/>
      <c r="K5" s="523" t="s">
        <v>263</v>
      </c>
      <c r="L5" s="409" t="s">
        <v>445</v>
      </c>
      <c r="M5" s="7">
        <f>SUMIFS(Sheet1!$N$2:$N$180,Sheet1!$Q$2:$Q$180,K5,Sheet1!$P$2:$P$180,L5)</f>
        <v>0</v>
      </c>
      <c r="N5" s="7">
        <f>M5/Sheet1!$T$9*Sheet1!$T$10</f>
        <v>0</v>
      </c>
      <c r="O5" s="440">
        <f>M5/Sheet1!$T$9*Sheet1!$T$11</f>
        <v>0</v>
      </c>
      <c r="P5" s="577">
        <f t="shared" ref="P5:P14" si="1">O5</f>
        <v>0</v>
      </c>
      <c r="Q5" s="783"/>
    </row>
    <row r="6" spans="1:17" ht="15">
      <c r="A6" s="783"/>
      <c r="B6" s="778" t="s">
        <v>311</v>
      </c>
      <c r="C6" t="s">
        <v>791</v>
      </c>
      <c r="D6" s="7">
        <f>SUMIFS(Sheet1!$C$2:$C$180,Sheet1!$F$2:$F$180,B6,Sheet1!$E$2:$E$180,C6)</f>
        <v>14</v>
      </c>
      <c r="E6" s="7">
        <f>D6/Sheet1!$I$9*Sheet1!$I$10</f>
        <v>0.49971418546022101</v>
      </c>
      <c r="F6" s="440">
        <f>D6/Sheet1!$I$9*Sheet1!$I$11</f>
        <v>3.1434411865108921E-4</v>
      </c>
      <c r="G6" s="577">
        <f t="shared" si="0"/>
        <v>3.1434411865108921E-4</v>
      </c>
      <c r="H6" s="783"/>
      <c r="J6" s="783"/>
      <c r="K6" s="778" t="s">
        <v>311</v>
      </c>
      <c r="L6" s="6" t="s">
        <v>791</v>
      </c>
      <c r="M6" s="7">
        <f>SUMIFS(Sheet1!$N$2:$N$180,Sheet1!$Q$2:$Q$180,K6,Sheet1!$P$2:$P$180,L6)</f>
        <v>14</v>
      </c>
      <c r="N6" s="7">
        <f>M6/Sheet1!$T$9*Sheet1!$T$10</f>
        <v>0.48710035823110731</v>
      </c>
      <c r="O6" s="440">
        <f>M6/Sheet1!$T$9*Sheet1!$T$11</f>
        <v>4.2965205870199914E-4</v>
      </c>
      <c r="P6" s="577">
        <f t="shared" si="1"/>
        <v>4.2965205870199914E-4</v>
      </c>
      <c r="Q6" s="783"/>
    </row>
    <row r="7" spans="1:17" ht="15">
      <c r="A7" s="783"/>
      <c r="B7" s="779"/>
      <c r="C7" s="576"/>
      <c r="D7" s="7">
        <f>SUMIFS(Sheet1!$C$2:$C$180,Sheet1!$F$2:$F$180,B6,Sheet1!$E$2:$E$180,C7)</f>
        <v>0</v>
      </c>
      <c r="E7" s="7">
        <f>D7/Sheet1!$I$9*Sheet1!$I$10</f>
        <v>0</v>
      </c>
      <c r="F7" s="440">
        <f>D7/Sheet1!$I$9*Sheet1!$I$11</f>
        <v>0</v>
      </c>
      <c r="G7" s="577">
        <f t="shared" si="0"/>
        <v>0</v>
      </c>
      <c r="H7" s="783"/>
      <c r="J7" s="783"/>
      <c r="K7" s="779"/>
      <c r="L7" s="576"/>
      <c r="M7" s="7">
        <f>SUMIFS(Sheet1!$N$2:$N$180,Sheet1!$Q$2:$Q$180,K6,Sheet1!$P$2:$P$180,L7)</f>
        <v>0</v>
      </c>
      <c r="N7" s="7">
        <f>M7/Sheet1!$T$9*Sheet1!$T$10</f>
        <v>0</v>
      </c>
      <c r="O7" s="440">
        <f>M7/Sheet1!$T$9*Sheet1!$T$11</f>
        <v>0</v>
      </c>
      <c r="P7" s="577">
        <f t="shared" si="1"/>
        <v>0</v>
      </c>
      <c r="Q7" s="783"/>
    </row>
    <row r="8" spans="1:17">
      <c r="A8" s="783"/>
      <c r="B8" s="778" t="s">
        <v>310</v>
      </c>
      <c r="C8" s="576"/>
      <c r="D8" s="7">
        <f>SUMIFS(Sheet1!$C$2:$C$180,Sheet1!$F$2:$F$180,B8,Sheet1!$E$2:$E$180,C8)</f>
        <v>0</v>
      </c>
      <c r="E8" s="7">
        <f>D8/Sheet1!$I$9*Sheet1!$I$10</f>
        <v>0</v>
      </c>
      <c r="F8" s="440">
        <f>D8/Sheet1!$I$9*Sheet1!$I$11</f>
        <v>0</v>
      </c>
      <c r="G8" s="578">
        <f t="shared" si="0"/>
        <v>0</v>
      </c>
      <c r="H8" s="783"/>
      <c r="J8" s="783"/>
      <c r="K8" s="778" t="s">
        <v>310</v>
      </c>
      <c r="L8" s="576"/>
      <c r="M8" s="7">
        <f>SUMIFS(Sheet1!$N$2:$N$180,Sheet1!$Q$2:$Q$180,K8,Sheet1!$P$2:$P$180,L8)</f>
        <v>0</v>
      </c>
      <c r="N8" s="7">
        <f>M8/Sheet1!$T$9*Sheet1!$T$10</f>
        <v>0</v>
      </c>
      <c r="O8" s="440">
        <f>M8/Sheet1!$T$9*Sheet1!$T$11</f>
        <v>0</v>
      </c>
      <c r="P8" s="578">
        <f t="shared" si="1"/>
        <v>0</v>
      </c>
      <c r="Q8" s="783"/>
    </row>
    <row r="9" spans="1:17">
      <c r="A9" s="783"/>
      <c r="B9" s="779"/>
      <c r="C9" s="576"/>
      <c r="D9" s="7">
        <f>SUMIFS(Sheet1!$C$2:$C$180,Sheet1!$F$2:$F$180,B8,Sheet1!$E$2:$E$180,C9)</f>
        <v>0</v>
      </c>
      <c r="E9" s="7">
        <f>D9/Sheet1!$I$9*Sheet1!$I$10</f>
        <v>0</v>
      </c>
      <c r="F9" s="440">
        <f>D9/Sheet1!$I$9*Sheet1!$I$11</f>
        <v>0</v>
      </c>
      <c r="G9" s="578">
        <f t="shared" si="0"/>
        <v>0</v>
      </c>
      <c r="H9" s="783"/>
      <c r="J9" s="783"/>
      <c r="K9" s="779"/>
      <c r="L9" s="576"/>
      <c r="M9" s="7">
        <f>SUMIFS(Sheet1!$N$2:$N$180,Sheet1!$Q$2:$Q$180,K8,Sheet1!$P$2:$P$180,L9)</f>
        <v>0</v>
      </c>
      <c r="N9" s="7">
        <f>M9/Sheet1!$T$9*Sheet1!$T$10</f>
        <v>0</v>
      </c>
      <c r="O9" s="440">
        <f>M9/Sheet1!$T$9*Sheet1!$T$11</f>
        <v>0</v>
      </c>
      <c r="P9" s="578">
        <f t="shared" si="1"/>
        <v>0</v>
      </c>
      <c r="Q9" s="783"/>
    </row>
    <row r="10" spans="1:17" ht="15" customHeight="1">
      <c r="A10" s="783"/>
      <c r="B10" s="778" t="s">
        <v>370</v>
      </c>
      <c r="C10" s="576"/>
      <c r="D10" s="7">
        <f>SUMIFS(Sheet1!$C$2:$C$180,Sheet1!$F$2:$F$180,B10,Sheet1!$E$2:$E$180,C10)</f>
        <v>0</v>
      </c>
      <c r="E10" s="7">
        <f>D10/Sheet1!$I$9*Sheet1!$I$10</f>
        <v>0</v>
      </c>
      <c r="F10" s="440">
        <f>D10/Sheet1!$I$9*Sheet1!$I$11</f>
        <v>0</v>
      </c>
      <c r="G10" s="578">
        <f t="shared" si="0"/>
        <v>0</v>
      </c>
      <c r="H10" s="783"/>
      <c r="J10" s="783"/>
      <c r="K10" s="778" t="s">
        <v>370</v>
      </c>
      <c r="L10" s="576"/>
      <c r="M10" s="7">
        <f>SUMIFS(Sheet1!$N$2:$N$180,Sheet1!$Q$2:$Q$180,K10,Sheet1!$P$2:$P$180,L10)</f>
        <v>0</v>
      </c>
      <c r="N10" s="7">
        <f>M10/Sheet1!$T$9*Sheet1!$T$10</f>
        <v>0</v>
      </c>
      <c r="O10" s="440">
        <f>M10/Sheet1!$T$9*Sheet1!$T$11</f>
        <v>0</v>
      </c>
      <c r="P10" s="578">
        <f t="shared" si="1"/>
        <v>0</v>
      </c>
      <c r="Q10" s="783"/>
    </row>
    <row r="11" spans="1:17" ht="15" customHeight="1">
      <c r="A11" s="783"/>
      <c r="B11" s="779"/>
      <c r="C11" s="576"/>
      <c r="D11" s="7">
        <f>SUMIFS(Sheet1!$C$2:$C$180,Sheet1!$F$2:$F$180,B10,Sheet1!$E$2:$E$180,C11)</f>
        <v>0</v>
      </c>
      <c r="E11" s="7">
        <f>D11/Sheet1!$I$9*Sheet1!$I$10</f>
        <v>0</v>
      </c>
      <c r="F11" s="440">
        <f>D11/Sheet1!$I$9*Sheet1!$I$11</f>
        <v>0</v>
      </c>
      <c r="G11" s="578">
        <f t="shared" si="0"/>
        <v>0</v>
      </c>
      <c r="H11" s="783"/>
      <c r="J11" s="783"/>
      <c r="K11" s="779"/>
      <c r="L11" s="576"/>
      <c r="M11" s="7">
        <f>SUMIFS(Sheet1!$N$2:$N$180,Sheet1!$Q$2:$Q$180,K10,Sheet1!$P$2:$P$180,L11)</f>
        <v>0</v>
      </c>
      <c r="N11" s="7">
        <f>M11/Sheet1!$T$9*Sheet1!$T$10</f>
        <v>0</v>
      </c>
      <c r="O11" s="440">
        <f>M11/Sheet1!$T$9*Sheet1!$T$11</f>
        <v>0</v>
      </c>
      <c r="P11" s="578">
        <f t="shared" si="1"/>
        <v>0</v>
      </c>
      <c r="Q11" s="783"/>
    </row>
    <row r="12" spans="1:17" ht="15">
      <c r="A12" s="783" t="s">
        <v>10</v>
      </c>
      <c r="B12" s="523" t="s">
        <v>157</v>
      </c>
      <c r="C12" s="576" t="s">
        <v>157</v>
      </c>
      <c r="D12" s="7"/>
      <c r="E12" s="7">
        <f>+Sheet1!I2</f>
        <v>6.2119999999999997</v>
      </c>
      <c r="F12" s="440">
        <f>E12/Sheet1!$I$8</f>
        <v>3.907645053666399E-3</v>
      </c>
      <c r="G12" s="577">
        <f t="shared" si="0"/>
        <v>3.907645053666399E-3</v>
      </c>
      <c r="H12" s="784">
        <f>SUM(G12:G13)</f>
        <v>7.0962506429449596E-2</v>
      </c>
      <c r="J12" s="783" t="s">
        <v>10</v>
      </c>
      <c r="K12" s="523" t="s">
        <v>157</v>
      </c>
      <c r="L12" s="576" t="s">
        <v>157</v>
      </c>
      <c r="M12" s="7"/>
      <c r="N12" s="7">
        <f>+Sheet1!T2</f>
        <v>6.2119999999999997</v>
      </c>
      <c r="O12" s="440">
        <f>+Sheet1!U2</f>
        <v>5.4793607591446239E-3</v>
      </c>
      <c r="P12" s="577">
        <f t="shared" si="1"/>
        <v>5.4793607591446239E-3</v>
      </c>
      <c r="Q12" s="784">
        <f>SUM(P12:P13)</f>
        <v>9.950473181673708E-2</v>
      </c>
    </row>
    <row r="13" spans="1:17" ht="15">
      <c r="A13" s="783"/>
      <c r="B13" s="523" t="s">
        <v>249</v>
      </c>
      <c r="C13" s="576" t="s">
        <v>273</v>
      </c>
      <c r="D13" s="7"/>
      <c r="E13" s="7">
        <f>+Sheet1!I3</f>
        <v>106.59739898216615</v>
      </c>
      <c r="F13" s="440">
        <f>E13/Sheet1!$I$8</f>
        <v>6.7054861375783203E-2</v>
      </c>
      <c r="G13" s="577">
        <f t="shared" si="0"/>
        <v>6.7054861375783203E-2</v>
      </c>
      <c r="H13" s="785"/>
      <c r="J13" s="783"/>
      <c r="K13" s="523" t="s">
        <v>249</v>
      </c>
      <c r="L13" s="576" t="s">
        <v>273</v>
      </c>
      <c r="M13" s="7"/>
      <c r="N13" s="7">
        <f>+Sheet1!T3</f>
        <v>106.59739898216615</v>
      </c>
      <c r="O13" s="440">
        <f>+Sheet1!U3</f>
        <v>9.4025371057592455E-2</v>
      </c>
      <c r="P13" s="577">
        <f t="shared" si="1"/>
        <v>9.4025371057592455E-2</v>
      </c>
      <c r="Q13" s="785"/>
    </row>
    <row r="14" spans="1:17" ht="15">
      <c r="A14" s="786" t="s">
        <v>12</v>
      </c>
      <c r="B14" s="523" t="s">
        <v>274</v>
      </c>
      <c r="C14" s="576" t="s">
        <v>274</v>
      </c>
      <c r="D14" s="7"/>
      <c r="E14" s="7">
        <f>+Sheet1!I4</f>
        <v>1.9187572534511905</v>
      </c>
      <c r="F14" s="440">
        <f>E14/Sheet1!$I$8</f>
        <v>1.2069900661035207E-3</v>
      </c>
      <c r="G14" s="577">
        <f t="shared" si="0"/>
        <v>1.2069900661035207E-3</v>
      </c>
      <c r="H14" s="780">
        <f>SUM(G14:G23)</f>
        <v>8.6699627524724016E-2</v>
      </c>
      <c r="J14" s="786" t="s">
        <v>12</v>
      </c>
      <c r="K14" s="523" t="s">
        <v>274</v>
      </c>
      <c r="L14" s="576" t="s">
        <v>274</v>
      </c>
      <c r="M14" s="7"/>
      <c r="N14" s="7">
        <f>+Sheet1!T4</f>
        <v>-3.6900345287130483</v>
      </c>
      <c r="O14" s="440">
        <f>+Sheet1!U4</f>
        <v>-3.2548342557178049E-3</v>
      </c>
      <c r="P14" s="577">
        <f t="shared" si="1"/>
        <v>-3.2548342557178049E-3</v>
      </c>
      <c r="Q14" s="780">
        <f>SUM(P14:P23)</f>
        <v>9.4386296577411086E-2</v>
      </c>
    </row>
    <row r="15" spans="1:17" ht="15">
      <c r="A15" s="787"/>
      <c r="B15" s="523" t="s">
        <v>253</v>
      </c>
      <c r="C15" s="576" t="s">
        <v>253</v>
      </c>
      <c r="D15" s="7"/>
      <c r="E15" s="7">
        <f>+Sheet1!I5</f>
        <v>58.0596789001753</v>
      </c>
      <c r="F15" s="440">
        <f>E15/Sheet1!$I$8</f>
        <v>3.6522314403047235E-2</v>
      </c>
      <c r="G15" s="577">
        <f>F15</f>
        <v>3.6522314403047235E-2</v>
      </c>
      <c r="H15" s="780"/>
      <c r="J15" s="787"/>
      <c r="K15" s="523" t="s">
        <v>253</v>
      </c>
      <c r="L15" s="576" t="s">
        <v>253</v>
      </c>
      <c r="M15" s="7"/>
      <c r="N15" s="7">
        <f>+Sheet1!T5</f>
        <v>34.813340745191113</v>
      </c>
      <c r="O15" s="440">
        <f>+Sheet1!U5</f>
        <v>3.070747797391031E-2</v>
      </c>
      <c r="P15" s="577">
        <f>O15</f>
        <v>3.070747797391031E-2</v>
      </c>
      <c r="Q15" s="780"/>
    </row>
    <row r="16" spans="1:17">
      <c r="A16" s="787"/>
      <c r="B16" s="781" t="s">
        <v>261</v>
      </c>
      <c r="C16" s="576" t="s">
        <v>516</v>
      </c>
      <c r="D16" s="7">
        <f>SUMIFS(Sheet1!$C$2:$C$180,Sheet1!$F$2:$F$180,B16,Sheet1!$E$2:$E$180,C16)</f>
        <v>738</v>
      </c>
      <c r="E16" s="7">
        <f>D16/Sheet1!$I$9*Sheet1!$I$10</f>
        <v>26.34207634783165</v>
      </c>
      <c r="F16" s="440">
        <f>D16/Sheet1!$I$9*Sheet1!$I$11</f>
        <v>1.6570425683178843E-2</v>
      </c>
      <c r="G16" s="782">
        <f>SUM(F16:F17)</f>
        <v>1.9938398383011941E-2</v>
      </c>
      <c r="H16" s="780"/>
      <c r="J16" s="787"/>
      <c r="K16" s="781" t="s">
        <v>261</v>
      </c>
      <c r="L16" s="576" t="s">
        <v>516</v>
      </c>
      <c r="M16" s="7">
        <f>SUMIFS(Sheet1!$N$2:$N$180,Sheet1!$Q$2:$Q$180,K16,Sheet1!$P$2:$P$180,L16)</f>
        <v>738</v>
      </c>
      <c r="N16" s="7">
        <f>M16/Sheet1!$T$9*Sheet1!$T$10</f>
        <v>25.677147455325514</v>
      </c>
      <c r="O16" s="440">
        <f>M16/Sheet1!$T$9*Sheet1!$T$11</f>
        <v>2.2648801380148242E-2</v>
      </c>
      <c r="P16" s="782">
        <f>SUM(O16:O17)</f>
        <v>2.7252216294812517E-2</v>
      </c>
      <c r="Q16" s="780"/>
    </row>
    <row r="17" spans="1:17">
      <c r="A17" s="787"/>
      <c r="B17" s="781"/>
      <c r="C17" s="576" t="s">
        <v>743</v>
      </c>
      <c r="D17" s="7">
        <f>SUMIFS(Sheet1!$C$2:$C$180,Sheet1!$F$2:$F$180,B16,Sheet1!$E$2:$E$180,C17)</f>
        <v>150</v>
      </c>
      <c r="E17" s="7">
        <f>D17/Sheet1!$I$9*Sheet1!$I$10</f>
        <v>5.3540805585023676</v>
      </c>
      <c r="F17" s="440">
        <f>D17/Sheet1!$I$9*Sheet1!$I$11</f>
        <v>3.3679726998330985E-3</v>
      </c>
      <c r="G17" s="782"/>
      <c r="H17" s="780"/>
      <c r="J17" s="787"/>
      <c r="K17" s="781"/>
      <c r="L17" s="576" t="s">
        <v>743</v>
      </c>
      <c r="M17" s="7">
        <f>SUMIFS(Sheet1!$N$2:$N$180,Sheet1!$Q$2:$Q$180,K16,Sheet1!$P$2:$P$180,L17)</f>
        <v>150</v>
      </c>
      <c r="N17" s="7">
        <f>M17/Sheet1!$T$9*Sheet1!$T$10</f>
        <v>5.2189324096190068</v>
      </c>
      <c r="O17" s="440">
        <f>M17/Sheet1!$T$9*Sheet1!$T$11</f>
        <v>4.6034149146642767E-3</v>
      </c>
      <c r="P17" s="782"/>
      <c r="Q17" s="780"/>
    </row>
    <row r="18" spans="1:17" ht="15">
      <c r="A18" s="787"/>
      <c r="B18" s="523" t="s">
        <v>252</v>
      </c>
      <c r="C18" s="576" t="s">
        <v>229</v>
      </c>
      <c r="D18" s="7">
        <f>SUMIFS(Sheet1!$C$2:$C$180,Sheet1!$F$2:$F$180,B18,Sheet1!$E$2:$E$180,C18)</f>
        <v>0</v>
      </c>
      <c r="E18" s="7">
        <f>D18/Sheet1!$I$9*Sheet1!$I$10</f>
        <v>0</v>
      </c>
      <c r="F18" s="440">
        <f>D18/Sheet1!$I$9*Sheet1!$I$11</f>
        <v>0</v>
      </c>
      <c r="G18" s="577">
        <f>F18</f>
        <v>0</v>
      </c>
      <c r="H18" s="780"/>
      <c r="J18" s="787"/>
      <c r="K18" s="523" t="s">
        <v>252</v>
      </c>
      <c r="L18" s="576" t="s">
        <v>229</v>
      </c>
      <c r="M18" s="7">
        <f>SUMIFS(Sheet1!$N$2:$N$180,Sheet1!$Q$2:$Q$180,K18,Sheet1!$P$2:$P$180,L18)</f>
        <v>0</v>
      </c>
      <c r="N18" s="7">
        <f>M18/Sheet1!$T$9*Sheet1!$T$10</f>
        <v>0</v>
      </c>
      <c r="O18" s="440">
        <f>M18/Sheet1!$T$9*Sheet1!$T$11</f>
        <v>0</v>
      </c>
      <c r="P18" s="577">
        <f>O18</f>
        <v>0</v>
      </c>
      <c r="Q18" s="780"/>
    </row>
    <row r="19" spans="1:17">
      <c r="A19" s="787"/>
      <c r="B19" s="778" t="s">
        <v>247</v>
      </c>
      <c r="C19" s="576" t="s">
        <v>248</v>
      </c>
      <c r="D19" s="7">
        <f>SUMIFS(Sheet1!$C$2:$C$180,Sheet1!$F$2:$F$180,B19,Sheet1!$E$2:$E$180,C19)</f>
        <v>303</v>
      </c>
      <c r="E19" s="7">
        <f>D19/Sheet1!$I$9*Sheet1!$I$10</f>
        <v>10.815242728174784</v>
      </c>
      <c r="F19" s="440">
        <f>D19/Sheet1!$I$9*Sheet1!$I$11</f>
        <v>6.8033048536628588E-3</v>
      </c>
      <c r="G19" s="776">
        <f>SUM(F19:F23)</f>
        <v>2.9031924672561309E-2</v>
      </c>
      <c r="H19" s="780"/>
      <c r="J19" s="787"/>
      <c r="K19" s="778" t="s">
        <v>247</v>
      </c>
      <c r="L19" s="576" t="s">
        <v>248</v>
      </c>
      <c r="M19" s="7">
        <f>SUMIFS(Sheet1!$N$2:$N$180,Sheet1!$Q$2:$Q$180,$K$19,Sheet1!$P$2:$P$180,L19)</f>
        <v>303</v>
      </c>
      <c r="N19" s="7">
        <f>M19/Sheet1!$T$9*Sheet1!$T$10</f>
        <v>10.542243467430392</v>
      </c>
      <c r="O19" s="440">
        <f>M19/Sheet1!$T$9*Sheet1!$T$11</f>
        <v>9.2988981276218383E-3</v>
      </c>
      <c r="P19" s="776">
        <f>SUM(O19:O23)</f>
        <v>3.9681436564406064E-2</v>
      </c>
      <c r="Q19" s="780"/>
    </row>
    <row r="20" spans="1:17">
      <c r="A20" s="787"/>
      <c r="B20" s="788"/>
      <c r="C20" s="576" t="s">
        <v>250</v>
      </c>
      <c r="D20" s="7">
        <f>SUMIFS(Sheet1!$C$2:$C$180,Sheet1!$F$2:$F$180,B19,Sheet1!$E$2:$E$180,C20)</f>
        <v>729</v>
      </c>
      <c r="E20" s="7">
        <f>D20/Sheet1!$I$9*Sheet1!$I$10</f>
        <v>26.020831514321507</v>
      </c>
      <c r="F20" s="440">
        <f>D20/Sheet1!$I$9*Sheet1!$I$11</f>
        <v>1.6368347321188859E-2</v>
      </c>
      <c r="G20" s="789"/>
      <c r="H20" s="780"/>
      <c r="J20" s="787"/>
      <c r="K20" s="788"/>
      <c r="L20" s="576" t="s">
        <v>250</v>
      </c>
      <c r="M20" s="7">
        <f>SUMIFS(Sheet1!$N$2:$N$180,Sheet1!$Q$2:$Q$180,$K$19,Sheet1!$P$2:$P$180,L20)</f>
        <v>729</v>
      </c>
      <c r="N20" s="7">
        <f>M20/Sheet1!$T$9*Sheet1!$T$10</f>
        <v>25.364011510748369</v>
      </c>
      <c r="O20" s="440">
        <f>M20/Sheet1!$T$9*Sheet1!$T$11</f>
        <v>2.2372596485268383E-2</v>
      </c>
      <c r="P20" s="789"/>
      <c r="Q20" s="780"/>
    </row>
    <row r="21" spans="1:17">
      <c r="A21" s="787"/>
      <c r="B21" s="788"/>
      <c r="C21" s="576" t="s">
        <v>246</v>
      </c>
      <c r="D21" s="7">
        <f>SUMIFS(Sheet1!$C$2:$C$180,Sheet1!$F$2:$F$180,B19,Sheet1!$E$2:$E$180,C21)</f>
        <v>255</v>
      </c>
      <c r="E21" s="7">
        <f>D21/Sheet1!$I$9*Sheet1!$I$10</f>
        <v>9.101936949454025</v>
      </c>
      <c r="F21" s="440">
        <f>D21/Sheet1!$I$9*Sheet1!$I$11</f>
        <v>5.7255535897162667E-3</v>
      </c>
      <c r="G21" s="789"/>
      <c r="H21" s="780"/>
      <c r="J21" s="787"/>
      <c r="K21" s="788"/>
      <c r="L21" s="576" t="s">
        <v>246</v>
      </c>
      <c r="M21" s="7">
        <f>SUMIFS(Sheet1!$N$2:$N$180,Sheet1!$Q$2:$Q$180,$K$19,Sheet1!$P$2:$P$180,L21)</f>
        <v>255</v>
      </c>
      <c r="N21" s="7">
        <f>M21/Sheet1!$T$9*Sheet1!$T$10</f>
        <v>8.872185096352311</v>
      </c>
      <c r="O21" s="440">
        <f>M21/Sheet1!$T$9*Sheet1!$T$11</f>
        <v>7.8258053549292699E-3</v>
      </c>
      <c r="P21" s="789"/>
      <c r="Q21" s="780"/>
    </row>
    <row r="22" spans="1:17">
      <c r="A22" s="787"/>
      <c r="B22" s="788"/>
      <c r="C22" s="576" t="s">
        <v>13</v>
      </c>
      <c r="D22" s="7">
        <f>SUMIFS(Sheet1!$C$2:$C$180,Sheet1!$F$2:$F$180,B19,Sheet1!$E$2:$E$180,C22)</f>
        <v>6</v>
      </c>
      <c r="E22" s="7">
        <f>D22/Sheet1!$I$9*Sheet1!$I$10</f>
        <v>0.21416322234009472</v>
      </c>
      <c r="F22" s="440">
        <f>D22/Sheet1!$I$9*Sheet1!$I$11</f>
        <v>1.3471890799332393E-4</v>
      </c>
      <c r="G22" s="789"/>
      <c r="H22" s="780"/>
      <c r="J22" s="787"/>
      <c r="K22" s="788"/>
      <c r="L22" s="576" t="s">
        <v>13</v>
      </c>
      <c r="M22" s="7">
        <f>SUMIFS(Sheet1!$N$2:$N$180,Sheet1!$Q$2:$Q$180,$K$19,Sheet1!$P$2:$P$180,L22)</f>
        <v>6</v>
      </c>
      <c r="N22" s="7">
        <f>M22/Sheet1!$T$9*Sheet1!$T$10</f>
        <v>0.20875729638476026</v>
      </c>
      <c r="O22" s="440">
        <f>M22/Sheet1!$T$9*Sheet1!$T$11</f>
        <v>1.8413659658657105E-4</v>
      </c>
      <c r="P22" s="789"/>
      <c r="Q22" s="780"/>
    </row>
    <row r="23" spans="1:17">
      <c r="A23" s="787"/>
      <c r="B23" s="779"/>
      <c r="C23" s="576"/>
      <c r="D23" s="7">
        <f>SUMIFS(Sheet1!$C$2:$C$180,Sheet1!$F$2:$F$180,B19,Sheet1!$E$2:$E$180,C23)</f>
        <v>0</v>
      </c>
      <c r="E23" s="7">
        <f>D23/Sheet1!$I$9*Sheet1!$I$10</f>
        <v>0</v>
      </c>
      <c r="F23" s="440">
        <f>D23/Sheet1!$I$9*Sheet1!$I$11</f>
        <v>0</v>
      </c>
      <c r="G23" s="777"/>
      <c r="H23" s="780"/>
      <c r="J23" s="787"/>
      <c r="K23" s="779"/>
      <c r="L23" s="576"/>
      <c r="M23" s="7">
        <f>SUMIFS(Sheet1!$N$2:$N$180,Sheet1!$Q$2:$Q$180,$K$19,Sheet1!$P$2:$P$180,L23)</f>
        <v>0</v>
      </c>
      <c r="N23" s="7">
        <f>M23/Sheet1!$T$9*Sheet1!$T$10</f>
        <v>0</v>
      </c>
      <c r="O23" s="440">
        <f>M23/Sheet1!$T$9*Sheet1!$T$11</f>
        <v>0</v>
      </c>
      <c r="P23" s="777"/>
      <c r="Q23" s="780"/>
    </row>
    <row r="24" spans="1:17" ht="12.75" customHeight="1">
      <c r="A24" s="783" t="s">
        <v>275</v>
      </c>
      <c r="B24" s="781" t="s">
        <v>259</v>
      </c>
      <c r="C24" t="s">
        <v>517</v>
      </c>
      <c r="D24" s="7">
        <f>SUMIFS(Sheet1!$C$2:$C$180,Sheet1!$F$2:$F$180,B24,Sheet1!$E$2:$E$180,C24)</f>
        <v>60</v>
      </c>
      <c r="E24" s="7">
        <f>D24/Sheet1!$I$9*Sheet1!$I$10</f>
        <v>2.1416322234009471</v>
      </c>
      <c r="F24" s="440">
        <f>D24/Sheet1!$I$9*Sheet1!$I$11</f>
        <v>1.3471890799332394E-3</v>
      </c>
      <c r="G24" s="782">
        <f>SUM(F24:F30)</f>
        <v>2.0207836198998593E-3</v>
      </c>
      <c r="H24" s="780">
        <f>SUM(G24:G37)</f>
        <v>5.6581941357196058E-3</v>
      </c>
      <c r="J24" s="783" t="s">
        <v>275</v>
      </c>
      <c r="K24" s="781" t="s">
        <v>259</v>
      </c>
      <c r="L24" t="s">
        <v>517</v>
      </c>
      <c r="M24" s="7">
        <f>SUMIFS(Sheet1!$N$2:$N$180,Sheet1!$Q$2:$Q$180,$K$24,Sheet1!$P$2:$P$180,L24)</f>
        <v>60</v>
      </c>
      <c r="N24" s="7">
        <f>M24/Sheet1!$T$9*Sheet1!$T$10</f>
        <v>2.0875729638476028</v>
      </c>
      <c r="O24" s="440">
        <f>M24/Sheet1!$T$9*Sheet1!$T$11</f>
        <v>1.8413659658657105E-3</v>
      </c>
      <c r="P24" s="782">
        <f>SUM(O24:O30)</f>
        <v>2.7620489487985658E-3</v>
      </c>
      <c r="Q24" s="780">
        <f>SUM(P24:P37)</f>
        <v>7.733737056635985E-3</v>
      </c>
    </row>
    <row r="25" spans="1:17" ht="12.75" customHeight="1">
      <c r="A25" s="783"/>
      <c r="B25" s="781"/>
      <c r="C25" t="s">
        <v>808</v>
      </c>
      <c r="D25" s="7">
        <f>SUMIFS(Sheet1!$C$2:$C$180,Sheet1!$F$2:$F$180,B24,Sheet1!$E$2:$E$180,C25)</f>
        <v>30</v>
      </c>
      <c r="E25" s="7">
        <f>D25/Sheet1!$I$9*Sheet1!$I$10</f>
        <v>1.0708161117004735</v>
      </c>
      <c r="F25" s="440">
        <f>D25/Sheet1!$I$9*Sheet1!$I$11</f>
        <v>6.7359453996661972E-4</v>
      </c>
      <c r="G25" s="782"/>
      <c r="H25" s="780"/>
      <c r="J25" s="783"/>
      <c r="K25" s="781"/>
      <c r="L25" t="s">
        <v>808</v>
      </c>
      <c r="M25" s="7">
        <f>SUMIFS(Sheet1!$N$2:$N$180,Sheet1!$Q$2:$Q$180,$K$24,Sheet1!$P$2:$P$180,L25)</f>
        <v>30</v>
      </c>
      <c r="N25" s="7">
        <f>M25/Sheet1!$T$9*Sheet1!$T$10</f>
        <v>1.0437864819238014</v>
      </c>
      <c r="O25" s="440">
        <f>M25/Sheet1!$T$9*Sheet1!$T$11</f>
        <v>9.2068298293285526E-4</v>
      </c>
      <c r="P25" s="782"/>
      <c r="Q25" s="780"/>
    </row>
    <row r="26" spans="1:17" ht="12.75" customHeight="1">
      <c r="A26" s="783"/>
      <c r="B26" s="781"/>
      <c r="C26" s="525"/>
      <c r="D26" s="7">
        <f>SUMIFS(Sheet1!$C$2:$C$180,Sheet1!$F$2:$F$180,B24,Sheet1!$E$2:$E$180,C26)</f>
        <v>0</v>
      </c>
      <c r="E26" s="7">
        <f>D26/Sheet1!$I$9*Sheet1!$I$10</f>
        <v>0</v>
      </c>
      <c r="F26" s="440">
        <f>D26/Sheet1!$I$9*Sheet1!$I$11</f>
        <v>0</v>
      </c>
      <c r="G26" s="782"/>
      <c r="H26" s="780"/>
      <c r="J26" s="783"/>
      <c r="K26" s="781"/>
      <c r="L26" s="525"/>
      <c r="M26" s="7">
        <f>SUMIFS(Sheet1!$N$2:$N$180,Sheet1!$Q$2:$Q$180,$K$24,Sheet1!$P$2:$P$180,L26)</f>
        <v>0</v>
      </c>
      <c r="N26" s="7">
        <f>M26/Sheet1!$T$9*Sheet1!$T$10</f>
        <v>0</v>
      </c>
      <c r="O26" s="440">
        <f>M26/Sheet1!$T$9*Sheet1!$T$11</f>
        <v>0</v>
      </c>
      <c r="P26" s="782"/>
      <c r="Q26" s="780"/>
    </row>
    <row r="27" spans="1:17" ht="12.75" customHeight="1">
      <c r="A27" s="783"/>
      <c r="B27" s="781"/>
      <c r="D27" s="7">
        <f>SUMIFS(Sheet1!$C$2:$C$180,Sheet1!$F$2:$F$180,B24,Sheet1!$E$2:$E$180,C27)</f>
        <v>0</v>
      </c>
      <c r="E27" s="7">
        <f>D27/Sheet1!$I$9*Sheet1!$I$10</f>
        <v>0</v>
      </c>
      <c r="F27" s="440">
        <f>D27/Sheet1!$I$9*Sheet1!$I$11</f>
        <v>0</v>
      </c>
      <c r="G27" s="782"/>
      <c r="H27" s="780"/>
      <c r="J27" s="783"/>
      <c r="K27" s="781"/>
      <c r="M27" s="7">
        <f>SUMIFS(Sheet1!$N$2:$N$180,Sheet1!$Q$2:$Q$180,$K$24,Sheet1!$P$2:$P$180,L27)</f>
        <v>0</v>
      </c>
      <c r="N27" s="7">
        <f>M27/Sheet1!$T$9*Sheet1!$T$10</f>
        <v>0</v>
      </c>
      <c r="O27" s="440">
        <f>M27/Sheet1!$T$9*Sheet1!$T$11</f>
        <v>0</v>
      </c>
      <c r="P27" s="782"/>
      <c r="Q27" s="780"/>
    </row>
    <row r="28" spans="1:17" ht="12.75" customHeight="1">
      <c r="A28" s="783"/>
      <c r="B28" s="781"/>
      <c r="C28" s="576"/>
      <c r="D28" s="7">
        <f>SUMIFS(Sheet1!$C$2:$C$180,Sheet1!$F$2:$F$180,B24,Sheet1!$E$2:$E$180,C28)</f>
        <v>0</v>
      </c>
      <c r="E28" s="7">
        <f>D28/Sheet1!$I$9*Sheet1!$I$10</f>
        <v>0</v>
      </c>
      <c r="F28" s="440">
        <f>D28/Sheet1!$I$9*Sheet1!$I$11</f>
        <v>0</v>
      </c>
      <c r="G28" s="782"/>
      <c r="H28" s="780"/>
      <c r="J28" s="783"/>
      <c r="K28" s="781"/>
      <c r="L28" s="576"/>
      <c r="M28" s="7">
        <f>SUMIFS(Sheet1!$N$2:$N$180,Sheet1!$Q$2:$Q$180,$K$24,Sheet1!$P$2:$P$180,L28)</f>
        <v>0</v>
      </c>
      <c r="N28" s="7">
        <f>M28/Sheet1!$T$9*Sheet1!$T$10</f>
        <v>0</v>
      </c>
      <c r="O28" s="440">
        <f>M28/Sheet1!$T$9*Sheet1!$T$11</f>
        <v>0</v>
      </c>
      <c r="P28" s="782"/>
      <c r="Q28" s="780"/>
    </row>
    <row r="29" spans="1:17" ht="12.75" customHeight="1">
      <c r="A29" s="783"/>
      <c r="B29" s="781"/>
      <c r="C29" s="576"/>
      <c r="D29" s="7">
        <f>SUMIFS(Sheet1!$C$2:$C$180,Sheet1!$F$2:$F$180,B24,Sheet1!$E$2:$E$180,C29)</f>
        <v>0</v>
      </c>
      <c r="E29" s="7">
        <f>D29/Sheet1!$I$9*Sheet1!$I$10</f>
        <v>0</v>
      </c>
      <c r="F29" s="440">
        <f>D29/Sheet1!$I$9*Sheet1!$I$11</f>
        <v>0</v>
      </c>
      <c r="G29" s="782"/>
      <c r="H29" s="780"/>
      <c r="J29" s="783"/>
      <c r="K29" s="781"/>
      <c r="L29" s="576"/>
      <c r="M29" s="7">
        <f>SUMIFS(Sheet1!$N$2:$N$180,Sheet1!$Q$2:$Q$180,$K$24,Sheet1!$P$2:$P$180,L29)</f>
        <v>0</v>
      </c>
      <c r="N29" s="7">
        <f>M29/Sheet1!$T$9*Sheet1!$T$10</f>
        <v>0</v>
      </c>
      <c r="O29" s="440">
        <f>M29/Sheet1!$T$9*Sheet1!$T$11</f>
        <v>0</v>
      </c>
      <c r="P29" s="782"/>
      <c r="Q29" s="780"/>
    </row>
    <row r="30" spans="1:17" ht="12.75" customHeight="1">
      <c r="A30" s="783"/>
      <c r="B30" s="781"/>
      <c r="C30" s="576"/>
      <c r="D30" s="7">
        <f>SUMIFS(Sheet1!$C$2:$C$180,Sheet1!$F$2:$F$180,B24,Sheet1!$E$2:$E$180,C30)</f>
        <v>0</v>
      </c>
      <c r="E30" s="7">
        <f>D30/Sheet1!$I$9*Sheet1!$I$10</f>
        <v>0</v>
      </c>
      <c r="F30" s="440">
        <f>D30/Sheet1!$I$9*Sheet1!$I$11</f>
        <v>0</v>
      </c>
      <c r="G30" s="782"/>
      <c r="H30" s="780"/>
      <c r="J30" s="783"/>
      <c r="K30" s="781"/>
      <c r="L30" s="576"/>
      <c r="M30" s="7">
        <f>SUMIFS(Sheet1!$N$2:$N$180,Sheet1!$Q$2:$Q$180,$K$24,Sheet1!$P$2:$P$180,L30)</f>
        <v>0</v>
      </c>
      <c r="N30" s="7">
        <f>M30/Sheet1!$T$9*Sheet1!$T$10</f>
        <v>0</v>
      </c>
      <c r="O30" s="440">
        <f>M30/Sheet1!$T$9*Sheet1!$T$11</f>
        <v>0</v>
      </c>
      <c r="P30" s="782"/>
      <c r="Q30" s="780"/>
    </row>
    <row r="31" spans="1:17" ht="12.75" customHeight="1">
      <c r="A31" s="783"/>
      <c r="B31" s="778" t="s">
        <v>258</v>
      </c>
      <c r="C31" s="575" t="s">
        <v>611</v>
      </c>
      <c r="D31" s="7">
        <f>SUMIFS(Sheet1!$C$2:$C$180,Sheet1!$F$2:$F$180,B31,Sheet1!$E$2:$E$180,C31)</f>
        <v>17</v>
      </c>
      <c r="E31" s="7">
        <f>D31/Sheet1!$I$9*Sheet1!$I$10</f>
        <v>0.60679579663026839</v>
      </c>
      <c r="F31" s="440">
        <f>D31/Sheet1!$I$9*Sheet1!$I$11</f>
        <v>3.8170357264775116E-4</v>
      </c>
      <c r="G31" s="776">
        <f>SUM(F31:F32)</f>
        <v>3.4128790024975397E-3</v>
      </c>
      <c r="H31" s="780"/>
      <c r="J31" s="783"/>
      <c r="K31" s="778" t="s">
        <v>258</v>
      </c>
      <c r="L31" s="576" t="s">
        <v>611</v>
      </c>
      <c r="M31" s="7">
        <f>SUMIFS(Sheet1!$N$2:$N$180,Sheet1!$Q$2:$Q$180,$K$31,Sheet1!$P$2:$P$180,L31)</f>
        <v>17</v>
      </c>
      <c r="N31" s="7">
        <f>M31/Sheet1!$T$9*Sheet1!$T$10</f>
        <v>0.59147900642348739</v>
      </c>
      <c r="O31" s="440">
        <f>M31/Sheet1!$T$9*Sheet1!$T$11</f>
        <v>5.2172035699528472E-4</v>
      </c>
      <c r="P31" s="776">
        <f>SUM(O31:O32)</f>
        <v>4.6647937801931336E-3</v>
      </c>
      <c r="Q31" s="780"/>
    </row>
    <row r="32" spans="1:17" ht="12.75" customHeight="1">
      <c r="A32" s="783"/>
      <c r="B32" s="779"/>
      <c r="C32" s="365" t="s">
        <v>744</v>
      </c>
      <c r="D32" s="7">
        <f>SUMIFS(Sheet1!$C$2:$C$180,Sheet1!$F$2:$F$180,B31,Sheet1!$E$2:$E$180,C32)</f>
        <v>135</v>
      </c>
      <c r="E32" s="7">
        <f>D32/Sheet1!$I$9*Sheet1!$I$10</f>
        <v>4.8186725026521318</v>
      </c>
      <c r="F32" s="440">
        <f>D32/Sheet1!$I$9*Sheet1!$I$11</f>
        <v>3.0311754298497887E-3</v>
      </c>
      <c r="G32" s="777"/>
      <c r="H32" s="780"/>
      <c r="J32" s="783"/>
      <c r="K32" s="779"/>
      <c r="L32" s="409" t="s">
        <v>744</v>
      </c>
      <c r="M32" s="7">
        <f>SUMIFS(Sheet1!$N$2:$N$180,Sheet1!$Q$2:$Q$180,$K$31,Sheet1!$P$2:$P$180,L32)</f>
        <v>135</v>
      </c>
      <c r="N32" s="7">
        <f>M32/Sheet1!$T$9*Sheet1!$T$10</f>
        <v>4.6970391686571062</v>
      </c>
      <c r="O32" s="440">
        <f>M32/Sheet1!$T$9*Sheet1!$T$11</f>
        <v>4.1430734231978489E-3</v>
      </c>
      <c r="P32" s="777"/>
      <c r="Q32" s="780"/>
    </row>
    <row r="33" spans="1:17" ht="12.75" customHeight="1">
      <c r="A33" s="783"/>
      <c r="B33" s="781" t="s">
        <v>260</v>
      </c>
      <c r="C33" t="s">
        <v>742</v>
      </c>
      <c r="D33" s="7">
        <f>SUMIFS(Sheet1!$C$2:$C$180,Sheet1!$F$2:$F$180,B33,Sheet1!$E$2:$E$180,C33)</f>
        <v>10</v>
      </c>
      <c r="E33" s="7">
        <f>D33/Sheet1!$I$9*Sheet1!$I$10</f>
        <v>0.35693870390015786</v>
      </c>
      <c r="F33" s="440">
        <f>D33/Sheet1!$I$9*Sheet1!$I$11</f>
        <v>2.2453151332220658E-4</v>
      </c>
      <c r="G33" s="782">
        <f>SUM(F33:F35)</f>
        <v>2.2453151332220658E-4</v>
      </c>
      <c r="H33" s="780"/>
      <c r="J33" s="783"/>
      <c r="K33" s="781" t="s">
        <v>260</v>
      </c>
      <c r="L33" s="6" t="s">
        <v>742</v>
      </c>
      <c r="M33" s="7">
        <f>SUMIFS(Sheet1!$N$2:$N$180,Sheet1!$Q$2:$Q$180,$K$33,Sheet1!$P$2:$P$180,L33)</f>
        <v>10</v>
      </c>
      <c r="N33" s="7">
        <f>M33/Sheet1!$T$9*Sheet1!$T$10</f>
        <v>0.34792882730793379</v>
      </c>
      <c r="O33" s="440">
        <f>M33/Sheet1!$T$9*Sheet1!$T$11</f>
        <v>3.0689432764428512E-4</v>
      </c>
      <c r="P33" s="782">
        <f>SUM(O33:O35)</f>
        <v>3.0689432764428512E-4</v>
      </c>
      <c r="Q33" s="780"/>
    </row>
    <row r="34" spans="1:17" ht="12.75" customHeight="1">
      <c r="A34" s="783"/>
      <c r="B34" s="781"/>
      <c r="C34" s="576"/>
      <c r="D34" s="7">
        <f>SUMIFS(Sheet1!$C$2:$C$180,Sheet1!$F$2:$F$180,B33,Sheet1!$E$2:$E$180,C34)</f>
        <v>0</v>
      </c>
      <c r="E34" s="7">
        <f>D34/Sheet1!$I$9*Sheet1!$I$10</f>
        <v>0</v>
      </c>
      <c r="F34" s="440">
        <f>D34/Sheet1!$I$9*Sheet1!$I$11</f>
        <v>0</v>
      </c>
      <c r="G34" s="782"/>
      <c r="H34" s="780"/>
      <c r="J34" s="783"/>
      <c r="K34" s="781"/>
      <c r="L34" s="576"/>
      <c r="M34" s="7">
        <f>SUMIFS(Sheet1!$N$2:$N$180,Sheet1!$Q$2:$Q$180,$K$33,Sheet1!$P$2:$P$180,L34)</f>
        <v>0</v>
      </c>
      <c r="N34" s="7">
        <f>M34/Sheet1!$T$9*Sheet1!$T$10</f>
        <v>0</v>
      </c>
      <c r="O34" s="440">
        <f>M34/Sheet1!$T$9*Sheet1!$T$11</f>
        <v>0</v>
      </c>
      <c r="P34" s="782"/>
      <c r="Q34" s="780"/>
    </row>
    <row r="35" spans="1:17" ht="12.75" customHeight="1">
      <c r="A35" s="783"/>
      <c r="B35" s="781"/>
      <c r="C35" s="576"/>
      <c r="D35" s="7">
        <f>SUMIFS(Sheet1!$C$2:$C$180,Sheet1!$F$2:$F$180,B33,Sheet1!$E$2:$E$180,C35)</f>
        <v>0</v>
      </c>
      <c r="E35" s="7">
        <f>D35/Sheet1!$I$9*Sheet1!$I$10</f>
        <v>0</v>
      </c>
      <c r="F35" s="440">
        <f>D35/Sheet1!$I$9*Sheet1!$I$11</f>
        <v>0</v>
      </c>
      <c r="G35" s="782"/>
      <c r="H35" s="780"/>
      <c r="J35" s="783"/>
      <c r="K35" s="781"/>
      <c r="L35" s="576"/>
      <c r="M35" s="7">
        <f>SUMIFS(Sheet1!$N$2:$N$180,Sheet1!$Q$2:$Q$180,$K$33,Sheet1!$P$2:$P$180,L35)</f>
        <v>0</v>
      </c>
      <c r="N35" s="7">
        <f>M35/Sheet1!$T$9*Sheet1!$T$10</f>
        <v>0</v>
      </c>
      <c r="O35" s="440">
        <f>M35/Sheet1!$T$9*Sheet1!$T$11</f>
        <v>0</v>
      </c>
      <c r="P35" s="782"/>
      <c r="Q35" s="780"/>
    </row>
    <row r="36" spans="1:17" ht="12.75" customHeight="1">
      <c r="A36" s="783"/>
      <c r="B36" s="778" t="s">
        <v>276</v>
      </c>
      <c r="C36" s="576"/>
      <c r="D36" s="7">
        <f>SUMIFS(Sheet1!$C$2:$C$180,Sheet1!$F$2:$F$180,B36,Sheet1!$E$2:$E$180,C36)</f>
        <v>0</v>
      </c>
      <c r="E36" s="7">
        <f>D36/Sheet1!$I$9*Sheet1!$I$10</f>
        <v>0</v>
      </c>
      <c r="F36" s="440">
        <f>D36/Sheet1!$I$9*Sheet1!$I$11</f>
        <v>0</v>
      </c>
      <c r="G36" s="776">
        <f>SUM(F36:F37)</f>
        <v>0</v>
      </c>
      <c r="H36" s="780"/>
      <c r="J36" s="783"/>
      <c r="K36" s="778" t="s">
        <v>276</v>
      </c>
      <c r="L36" s="576"/>
      <c r="M36" s="7">
        <f>SUMIFS(Sheet1!$N$2:$N$180,Sheet1!$Q$2:$Q$180,$K$36,Sheet1!$P$2:$P$180,L36)</f>
        <v>0</v>
      </c>
      <c r="N36" s="7">
        <f>M36/Sheet1!$T$9*Sheet1!$T$10</f>
        <v>0</v>
      </c>
      <c r="O36" s="440">
        <f>M36/Sheet1!$T$9*Sheet1!$T$11</f>
        <v>0</v>
      </c>
      <c r="P36" s="776">
        <f>SUM(O36:O37)</f>
        <v>0</v>
      </c>
      <c r="Q36" s="780"/>
    </row>
    <row r="37" spans="1:17" ht="12.75" customHeight="1">
      <c r="A37" s="783"/>
      <c r="B37" s="779"/>
      <c r="C37" s="576"/>
      <c r="D37" s="7">
        <f>SUMIFS(Sheet1!$C$2:$C$180,Sheet1!$F$2:$F$180,B36,Sheet1!$E$2:$E$180,C37)</f>
        <v>0</v>
      </c>
      <c r="E37" s="7">
        <f>D37/Sheet1!$I$9*Sheet1!$I$10</f>
        <v>0</v>
      </c>
      <c r="F37" s="440">
        <f>D37/Sheet1!$I$9*Sheet1!$I$11</f>
        <v>0</v>
      </c>
      <c r="G37" s="777"/>
      <c r="H37" s="780"/>
      <c r="J37" s="783"/>
      <c r="K37" s="779"/>
      <c r="L37" s="576"/>
      <c r="M37" s="7">
        <f>SUMIFS(Sheet1!$N$2:$N$180,Sheet1!$Q$2:$Q$180,$K$36,Sheet1!$P$2:$P$180,L37)</f>
        <v>0</v>
      </c>
      <c r="N37" s="7">
        <f>M37/Sheet1!$T$9*Sheet1!$T$10</f>
        <v>0</v>
      </c>
      <c r="O37" s="440">
        <f>M37/Sheet1!$T$9*Sheet1!$T$11</f>
        <v>0</v>
      </c>
      <c r="P37" s="777"/>
      <c r="Q37" s="780"/>
    </row>
    <row r="38" spans="1:17" ht="12.75" customHeight="1">
      <c r="A38" s="783" t="s">
        <v>404</v>
      </c>
      <c r="B38" s="778" t="s">
        <v>262</v>
      </c>
      <c r="C38" s="576"/>
      <c r="D38" s="7">
        <f>SUMIFS(Sheet1!$C$2:$C$180,Sheet1!$F$2:$F$180,B38,Sheet1!$E$2:$E$180,C38)</f>
        <v>0</v>
      </c>
      <c r="E38" s="7">
        <f>D38/Sheet1!$I$9*Sheet1!$I$10</f>
        <v>0</v>
      </c>
      <c r="F38" s="440">
        <f>D38/Sheet1!$I$9*Sheet1!$I$11</f>
        <v>0</v>
      </c>
      <c r="G38" s="776">
        <f>SUM(F38:F39)</f>
        <v>0</v>
      </c>
      <c r="H38" s="773">
        <f>SUM(G38:G39)</f>
        <v>0</v>
      </c>
      <c r="J38" s="783" t="s">
        <v>404</v>
      </c>
      <c r="K38" s="778" t="s">
        <v>262</v>
      </c>
      <c r="L38" s="576"/>
      <c r="M38" s="7">
        <f>SUMIFS(Sheet1!$N$2:$N$180,Sheet1!$Q$2:$Q$180,K38,Sheet1!$P$2:$P$180,L38)</f>
        <v>0</v>
      </c>
      <c r="N38" s="7">
        <f>M38/Sheet1!$T$9*Sheet1!$T$10</f>
        <v>0</v>
      </c>
      <c r="O38" s="440">
        <f>M38/Sheet1!$T$9*Sheet1!$T$11</f>
        <v>0</v>
      </c>
      <c r="P38" s="776">
        <f>SUM(O38:O39)</f>
        <v>0</v>
      </c>
      <c r="Q38" s="773">
        <f>SUM(P38:P39)</f>
        <v>0</v>
      </c>
    </row>
    <row r="39" spans="1:17" ht="12.75" customHeight="1">
      <c r="A39" s="783"/>
      <c r="B39" s="779"/>
      <c r="C39" s="579"/>
      <c r="D39" s="7">
        <f>SUMIFS(Sheet1!$C$2:$C$180,Sheet1!$F$2:$F$180,B38,Sheet1!$E$2:$E$180,C39)</f>
        <v>0</v>
      </c>
      <c r="E39" s="7">
        <f>D39/Sheet1!$I$9*Sheet1!$I$10</f>
        <v>0</v>
      </c>
      <c r="F39" s="440">
        <f>D39/Sheet1!$I$9*Sheet1!$I$11</f>
        <v>0</v>
      </c>
      <c r="G39" s="777"/>
      <c r="H39" s="774"/>
      <c r="J39" s="783"/>
      <c r="K39" s="779"/>
      <c r="L39" s="579"/>
      <c r="M39" s="7">
        <f>SUMIFS(Sheet1!$N$2:$N$180,Sheet1!$Q$2:$Q$180,K38,Sheet1!$P$2:$P$180,L39)</f>
        <v>0</v>
      </c>
      <c r="N39" s="7">
        <f>M39/Sheet1!$T$9*Sheet1!$T$10</f>
        <v>0</v>
      </c>
      <c r="O39" s="440">
        <f>M39/Sheet1!$T$9*Sheet1!$T$11</f>
        <v>0</v>
      </c>
      <c r="P39" s="777"/>
      <c r="Q39" s="774"/>
    </row>
    <row r="40" spans="1:17" ht="15">
      <c r="A40" s="580"/>
      <c r="B40" s="775" t="s">
        <v>3</v>
      </c>
      <c r="C40" s="775"/>
      <c r="D40" s="295">
        <f>SUM(D4:D39)</f>
        <v>14352</v>
      </c>
      <c r="E40" s="295">
        <f>SUM(E4:E39)</f>
        <v>685.0662629732991</v>
      </c>
      <c r="F40" s="430">
        <f>SUM(F4:F39)</f>
        <v>0.43093943881863123</v>
      </c>
      <c r="G40" s="430">
        <f>SUM(G4:G39)</f>
        <v>0.43093943881863123</v>
      </c>
      <c r="H40" s="430">
        <f>SUM(H4:H39)</f>
        <v>0.43093943881863123</v>
      </c>
      <c r="J40" s="580"/>
      <c r="K40" s="775" t="s">
        <v>3</v>
      </c>
      <c r="L40" s="775"/>
      <c r="M40" s="295">
        <f>SUM(M4:M39)</f>
        <v>2447</v>
      </c>
      <c r="N40" s="295">
        <f>SUM(N4:N39)</f>
        <v>229.07088924089567</v>
      </c>
      <c r="O40" s="430">
        <f>SUM(O4:O39)</f>
        <v>0.20205441750948613</v>
      </c>
      <c r="P40" s="430">
        <f>SUM(P4:P39)</f>
        <v>0.20205441750948611</v>
      </c>
      <c r="Q40" s="430">
        <f>SUM(Q4:Q39)</f>
        <v>0.20205441750948616</v>
      </c>
    </row>
    <row r="41" spans="1:17" ht="15">
      <c r="A41" s="580"/>
      <c r="B41" s="775" t="s">
        <v>2</v>
      </c>
      <c r="C41" s="775"/>
      <c r="D41" s="775"/>
      <c r="E41" s="775"/>
      <c r="F41" s="581">
        <f>+Efficiency1!X180</f>
        <v>0.56906056118136894</v>
      </c>
      <c r="G41" s="581">
        <f>+F41</f>
        <v>0.56906056118136894</v>
      </c>
      <c r="H41" s="581">
        <f>+G41</f>
        <v>0.56906056118136894</v>
      </c>
      <c r="J41" s="580"/>
      <c r="K41" s="775" t="s">
        <v>2</v>
      </c>
      <c r="L41" s="775"/>
      <c r="M41" s="775"/>
      <c r="N41" s="775"/>
      <c r="O41" s="581">
        <f>+Efficiency2!X180</f>
        <v>0.79794558249051428</v>
      </c>
      <c r="P41" s="581">
        <f>+O41</f>
        <v>0.79794558249051428</v>
      </c>
      <c r="Q41" s="581">
        <f>+P41</f>
        <v>0.79794558249051428</v>
      </c>
    </row>
    <row r="42" spans="1:17" ht="15">
      <c r="A42" s="580"/>
      <c r="B42" s="775" t="s">
        <v>69</v>
      </c>
      <c r="C42" s="775"/>
      <c r="D42" s="775"/>
      <c r="E42" s="775"/>
      <c r="F42" s="441">
        <f>SUM(F40:F41)</f>
        <v>1.0000000000000002</v>
      </c>
      <c r="G42" s="441">
        <f>SUM(G40:G41)</f>
        <v>1.0000000000000002</v>
      </c>
      <c r="H42" s="524">
        <f>SUM(H40:H41)</f>
        <v>1.0000000000000002</v>
      </c>
      <c r="J42" s="580"/>
      <c r="K42" s="775" t="s">
        <v>69</v>
      </c>
      <c r="L42" s="775"/>
      <c r="M42" s="775"/>
      <c r="N42" s="775"/>
      <c r="O42" s="441">
        <f>SUM(O40:O41)</f>
        <v>1.0000000000000004</v>
      </c>
      <c r="P42" s="441">
        <f>SUM(P40:P41)</f>
        <v>1.0000000000000004</v>
      </c>
      <c r="Q42" s="524">
        <f>SUM(Q40:Q41)</f>
        <v>1.0000000000000004</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J24:J37"/>
    <mergeCell ref="J38:J39"/>
    <mergeCell ref="P24:P30"/>
    <mergeCell ref="B24:B30"/>
    <mergeCell ref="G24:G30"/>
    <mergeCell ref="H24:H37"/>
    <mergeCell ref="B36:B37"/>
    <mergeCell ref="G36:G37"/>
    <mergeCell ref="Q24:Q37"/>
    <mergeCell ref="B31:B32"/>
    <mergeCell ref="G31:G32"/>
    <mergeCell ref="K31:K32"/>
    <mergeCell ref="P31:P32"/>
    <mergeCell ref="B33:B35"/>
    <mergeCell ref="G33:G35"/>
    <mergeCell ref="K33:K35"/>
    <mergeCell ref="P33:P35"/>
    <mergeCell ref="K24:K30"/>
    <mergeCell ref="K36:K37"/>
    <mergeCell ref="B42:E42"/>
    <mergeCell ref="K42:N42"/>
    <mergeCell ref="P36:P37"/>
    <mergeCell ref="B38:B39"/>
    <mergeCell ref="G38:G39"/>
    <mergeCell ref="H38:H39"/>
    <mergeCell ref="K38:K39"/>
    <mergeCell ref="P38:P39"/>
    <mergeCell ref="Q38:Q39"/>
    <mergeCell ref="B40:C40"/>
    <mergeCell ref="K40:L40"/>
    <mergeCell ref="B41:E41"/>
    <mergeCell ref="K41:N41"/>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3" zoomScale="80" zoomScaleNormal="80" zoomScaleSheetLayoutView="80" workbookViewId="0">
      <selection activeCell="H28" sqref="H28"/>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425781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31</v>
      </c>
      <c r="H4" s="158" t="str">
        <f>+'1'!H4</f>
        <v>.10.25</v>
      </c>
      <c r="J4" s="153">
        <f>601+422+601</f>
        <v>1624</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534</v>
      </c>
      <c r="O6" s="153">
        <v>1320</v>
      </c>
      <c r="P6" s="153">
        <f>+O6-O6*0.17</f>
        <v>1095.5999999999999</v>
      </c>
      <c r="Q6" s="153">
        <v>480</v>
      </c>
      <c r="R6" s="153">
        <f>+O6*Q6</f>
        <v>633600</v>
      </c>
      <c r="S6" s="153">
        <f>+P6*Q6</f>
        <v>525888</v>
      </c>
    </row>
    <row r="7" spans="1:19" ht="13.5" customHeight="1" thickBot="1">
      <c r="A7" s="804"/>
      <c r="B7" s="217" t="s">
        <v>784</v>
      </c>
      <c r="C7" s="218">
        <v>20411</v>
      </c>
      <c r="D7" s="219"/>
      <c r="E7" s="220"/>
      <c r="F7" s="235"/>
      <c r="G7" s="582" t="s">
        <v>12</v>
      </c>
      <c r="H7" s="583" t="s">
        <v>418</v>
      </c>
      <c r="I7" s="807" t="s">
        <v>801</v>
      </c>
      <c r="J7" s="216" t="str">
        <f>+'30'!J7</f>
        <v>TW 17 RC HW</v>
      </c>
      <c r="K7" s="237"/>
      <c r="L7" s="241"/>
      <c r="M7" s="121">
        <f>+L7+'30'!M7+K7</f>
        <v>3364</v>
      </c>
      <c r="P7" s="153">
        <f>+O7-O7*0.17</f>
        <v>0</v>
      </c>
      <c r="Q7" s="153">
        <f>480-Q6</f>
        <v>0</v>
      </c>
      <c r="R7" s="153">
        <f t="shared" ref="R7:R10" si="0">+O7*Q7</f>
        <v>0</v>
      </c>
      <c r="S7" s="153">
        <f t="shared" ref="S7:S10" si="1">+P7*Q7</f>
        <v>0</v>
      </c>
    </row>
    <row r="8" spans="1:19" ht="13.5" thickBot="1">
      <c r="A8" s="805"/>
      <c r="B8" s="217"/>
      <c r="C8" s="218"/>
      <c r="D8" s="219"/>
      <c r="E8" s="221"/>
      <c r="F8" s="231"/>
      <c r="G8" s="584" t="s">
        <v>12</v>
      </c>
      <c r="H8" s="230" t="s">
        <v>419</v>
      </c>
      <c r="I8" s="808"/>
      <c r="J8" s="216" t="str">
        <f>+'30'!J8</f>
        <v>T 14 VP OW</v>
      </c>
      <c r="K8" s="238"/>
      <c r="L8" s="238"/>
      <c r="M8" s="121">
        <f>+L8+'30'!M8+K8</f>
        <v>23832</v>
      </c>
      <c r="R8" s="153">
        <f t="shared" si="0"/>
        <v>0</v>
      </c>
      <c r="S8" s="153">
        <f t="shared" si="1"/>
        <v>0</v>
      </c>
    </row>
    <row r="9" spans="1:19" ht="13.5" thickBot="1">
      <c r="A9" s="805"/>
      <c r="B9" s="217"/>
      <c r="C9" s="218"/>
      <c r="D9" s="219"/>
      <c r="E9" s="222"/>
      <c r="F9" s="231"/>
      <c r="G9" s="584" t="s">
        <v>12</v>
      </c>
      <c r="H9" s="233" t="s">
        <v>484</v>
      </c>
      <c r="I9" s="808"/>
      <c r="J9" s="216" t="str">
        <f>+'30'!J9</f>
        <v>T 14,5 VP OW</v>
      </c>
      <c r="K9" s="238"/>
      <c r="L9" s="238"/>
      <c r="M9" s="121">
        <f>+L9+'30'!M9+K9</f>
        <v>224658</v>
      </c>
      <c r="R9" s="153">
        <f t="shared" si="0"/>
        <v>0</v>
      </c>
      <c r="S9" s="153">
        <f t="shared" si="1"/>
        <v>0</v>
      </c>
    </row>
    <row r="10" spans="1:19" ht="64.5" thickBot="1">
      <c r="A10" s="805"/>
      <c r="B10" s="217"/>
      <c r="C10" s="218"/>
      <c r="D10" s="219"/>
      <c r="E10" s="221"/>
      <c r="F10" s="231">
        <v>6</v>
      </c>
      <c r="G10" s="229" t="s">
        <v>13</v>
      </c>
      <c r="H10" s="233" t="s">
        <v>796</v>
      </c>
      <c r="I10" s="808"/>
      <c r="J10" s="216" t="str">
        <f>+'30'!J10</f>
        <v>T 13,5 VP OW</v>
      </c>
      <c r="K10" s="238"/>
      <c r="L10" s="238"/>
      <c r="M10" s="121">
        <f>+L10+'30'!M10+K10</f>
        <v>39850</v>
      </c>
      <c r="R10" s="153">
        <f t="shared" si="0"/>
        <v>0</v>
      </c>
      <c r="S10" s="153">
        <f t="shared" si="1"/>
        <v>0</v>
      </c>
    </row>
    <row r="11" spans="1:19" ht="77.25" thickBot="1">
      <c r="A11" s="805"/>
      <c r="B11" s="217"/>
      <c r="C11" s="218"/>
      <c r="D11" s="219"/>
      <c r="E11" s="221"/>
      <c r="F11" s="228"/>
      <c r="G11" s="232"/>
      <c r="H11" s="233" t="s">
        <v>797</v>
      </c>
      <c r="I11" s="808"/>
      <c r="J11" s="216" t="str">
        <f>+'30'!J11</f>
        <v>T 16,5 VP OW</v>
      </c>
      <c r="K11" s="238"/>
      <c r="L11" s="238"/>
      <c r="M11" s="121">
        <f>+L11+'30'!M11+K11</f>
        <v>9927</v>
      </c>
    </row>
    <row r="12" spans="1:19" ht="13.5" thickBot="1">
      <c r="A12" s="805"/>
      <c r="B12" s="217"/>
      <c r="C12" s="218"/>
      <c r="D12" s="219"/>
      <c r="E12" s="221"/>
      <c r="F12" s="228"/>
      <c r="G12" s="232"/>
      <c r="H12" s="233"/>
      <c r="I12" s="808"/>
      <c r="J12" s="216" t="str">
        <f>+'30'!J12</f>
        <v>T 12,5 VP OW</v>
      </c>
      <c r="K12" s="238"/>
      <c r="L12" s="238"/>
      <c r="M12" s="121">
        <f>+L12+'30'!M12+K12</f>
        <v>41367</v>
      </c>
      <c r="Q12" s="153">
        <f>SUM(Q6:Q10)</f>
        <v>480</v>
      </c>
      <c r="R12" s="153">
        <f>SUM(R6:R10)</f>
        <v>633600</v>
      </c>
      <c r="S12" s="153">
        <f>SUM(S6:S10)</f>
        <v>525888</v>
      </c>
    </row>
    <row r="13" spans="1:19" ht="13.5" thickBot="1">
      <c r="A13" s="805"/>
      <c r="B13" s="217"/>
      <c r="C13" s="218"/>
      <c r="D13" s="218"/>
      <c r="E13" s="221"/>
      <c r="F13" s="228"/>
      <c r="G13" s="232"/>
      <c r="H13" s="233"/>
      <c r="I13" s="809"/>
      <c r="J13" s="216" t="str">
        <f>+'30'!J13</f>
        <v>TW 18 VP OW</v>
      </c>
      <c r="K13" s="238"/>
      <c r="L13" s="238"/>
      <c r="M13" s="121">
        <f>+L13+'30'!M13+K13</f>
        <v>234646</v>
      </c>
      <c r="N13" s="153" t="s">
        <v>421</v>
      </c>
      <c r="Q13" s="153">
        <f>480-Q12</f>
        <v>0</v>
      </c>
      <c r="R13" s="153">
        <f>+R12/Q12</f>
        <v>1320</v>
      </c>
      <c r="S13" s="153">
        <f>+S12/Q12</f>
        <v>1095.5999999999999</v>
      </c>
    </row>
    <row r="14" spans="1:19" ht="13.5" thickBot="1">
      <c r="A14" s="806"/>
      <c r="B14" s="169" t="s">
        <v>3</v>
      </c>
      <c r="C14" s="103">
        <f>SUM(C7:C13)</f>
        <v>20411</v>
      </c>
      <c r="D14" s="115">
        <f>SUM(D7:D13)</f>
        <v>0</v>
      </c>
      <c r="E14" s="116">
        <f>SUM(E5:E13)</f>
        <v>0</v>
      </c>
      <c r="F14" s="120">
        <f>SUM(F7:F13)</f>
        <v>6</v>
      </c>
      <c r="G14" s="163"/>
      <c r="H14" s="170"/>
      <c r="I14" s="171"/>
      <c r="J14" s="216" t="str">
        <f>+'30'!J14</f>
        <v>F 15 VP OW</v>
      </c>
      <c r="K14" s="238"/>
      <c r="L14" s="238"/>
      <c r="M14" s="121">
        <f>+L14+'30'!M14+K14</f>
        <v>5496</v>
      </c>
    </row>
    <row r="15" spans="1:19" ht="13.5" customHeight="1" thickBot="1">
      <c r="A15" s="810"/>
      <c r="B15" s="528"/>
      <c r="C15" s="117">
        <f>C14/($C$23+$D$23+$E$23)</f>
        <v>1.4320493931102225</v>
      </c>
      <c r="D15" s="118">
        <f>D14/($C$23+$D$23+$E$23)</f>
        <v>0</v>
      </c>
      <c r="E15" s="119">
        <f>E14/($C$23+$D$23+$E$23)</f>
        <v>0</v>
      </c>
      <c r="F15" s="235"/>
      <c r="G15" s="582" t="s">
        <v>12</v>
      </c>
      <c r="H15" s="583" t="s">
        <v>418</v>
      </c>
      <c r="I15" s="807" t="s">
        <v>800</v>
      </c>
      <c r="J15" s="216" t="str">
        <f>+'30'!J15</f>
        <v>T 12 VP OW</v>
      </c>
      <c r="K15" s="238"/>
      <c r="L15" s="238"/>
      <c r="M15" s="121">
        <f>+L15+'30'!M15+K15</f>
        <v>37386</v>
      </c>
      <c r="N15" s="153" t="s">
        <v>534</v>
      </c>
      <c r="O15" s="153">
        <v>1250</v>
      </c>
      <c r="P15" s="153">
        <f>+O15-O15*0.15</f>
        <v>1062.5</v>
      </c>
      <c r="Q15" s="153">
        <f>60*2+30</f>
        <v>150</v>
      </c>
      <c r="R15" s="153">
        <f>+O15*Q15</f>
        <v>187500</v>
      </c>
      <c r="S15" s="153">
        <f>+P15*Q15</f>
        <v>159375</v>
      </c>
    </row>
    <row r="16" spans="1:19" ht="13.5" thickBot="1">
      <c r="A16" s="805"/>
      <c r="B16" s="217" t="s">
        <v>784</v>
      </c>
      <c r="C16" s="526">
        <v>14253</v>
      </c>
      <c r="D16" s="223"/>
      <c r="E16" s="224"/>
      <c r="F16" s="231">
        <v>3</v>
      </c>
      <c r="G16" s="584" t="s">
        <v>12</v>
      </c>
      <c r="H16" s="230" t="s">
        <v>571</v>
      </c>
      <c r="I16" s="808"/>
      <c r="J16" s="216" t="str">
        <f>+'30'!J16</f>
        <v>T 13 VP OW</v>
      </c>
      <c r="K16" s="229"/>
      <c r="L16" s="229"/>
      <c r="M16" s="121">
        <f>+L16+'30'!M16+K16</f>
        <v>49210</v>
      </c>
      <c r="N16" s="153" t="s">
        <v>534</v>
      </c>
      <c r="O16" s="153">
        <v>1320</v>
      </c>
      <c r="P16" s="153">
        <f>+O16-O16*0.17</f>
        <v>1095.5999999999999</v>
      </c>
      <c r="Q16" s="153">
        <v>180</v>
      </c>
      <c r="R16" s="153">
        <f t="shared" ref="R16:R19" si="2">+O16*Q16</f>
        <v>237600</v>
      </c>
      <c r="S16" s="153">
        <f t="shared" ref="S16:S19" si="3">+P16*Q16</f>
        <v>197207.99999999997</v>
      </c>
    </row>
    <row r="17" spans="1:19" ht="13.5" thickBot="1">
      <c r="A17" s="805"/>
      <c r="B17" s="217"/>
      <c r="C17" s="218"/>
      <c r="D17" s="219"/>
      <c r="E17" s="225"/>
      <c r="F17" s="231">
        <v>12</v>
      </c>
      <c r="G17" s="584" t="s">
        <v>12</v>
      </c>
      <c r="H17" s="233" t="s">
        <v>399</v>
      </c>
      <c r="I17" s="808"/>
      <c r="J17" s="216" t="str">
        <f>+'30'!J17</f>
        <v>F 12 VP OW</v>
      </c>
      <c r="K17" s="229"/>
      <c r="L17" s="229"/>
      <c r="M17" s="121">
        <f>+L17+'30'!M17+K17</f>
        <v>43801</v>
      </c>
      <c r="R17" s="153">
        <f t="shared" si="2"/>
        <v>0</v>
      </c>
      <c r="S17" s="153">
        <f t="shared" si="3"/>
        <v>0</v>
      </c>
    </row>
    <row r="18" spans="1:19" ht="64.5" thickBot="1">
      <c r="A18" s="805"/>
      <c r="B18" s="217"/>
      <c r="C18" s="218"/>
      <c r="D18" s="219"/>
      <c r="E18" s="225"/>
      <c r="F18" s="231"/>
      <c r="G18" s="229"/>
      <c r="H18" s="233" t="s">
        <v>793</v>
      </c>
      <c r="I18" s="808"/>
      <c r="J18" s="216" t="str">
        <f>+'30'!J18</f>
        <v>F 16 VP OW</v>
      </c>
      <c r="K18" s="238"/>
      <c r="L18" s="238"/>
      <c r="M18" s="121">
        <f>+L18+'30'!M18+K18</f>
        <v>10863</v>
      </c>
      <c r="R18" s="153">
        <f t="shared" si="2"/>
        <v>0</v>
      </c>
      <c r="S18" s="153">
        <f t="shared" si="3"/>
        <v>0</v>
      </c>
    </row>
    <row r="19" spans="1:19" ht="39" thickBot="1">
      <c r="A19" s="805"/>
      <c r="B19" s="217"/>
      <c r="C19" s="218"/>
      <c r="D19" s="219"/>
      <c r="E19" s="225"/>
      <c r="F19" s="234">
        <v>120</v>
      </c>
      <c r="G19" s="584" t="s">
        <v>12</v>
      </c>
      <c r="H19" s="233" t="s">
        <v>794</v>
      </c>
      <c r="I19" s="808"/>
      <c r="J19" s="216" t="str">
        <f>+'30'!J19</f>
        <v>T 13 VP OW</v>
      </c>
      <c r="K19" s="238"/>
      <c r="L19" s="238"/>
      <c r="M19" s="121">
        <f>+L19+'30'!M19+K19</f>
        <v>115144</v>
      </c>
      <c r="R19" s="153">
        <f t="shared" si="2"/>
        <v>0</v>
      </c>
      <c r="S19" s="153">
        <f t="shared" si="3"/>
        <v>0</v>
      </c>
    </row>
    <row r="20" spans="1:19" ht="138" customHeight="1" thickBot="1">
      <c r="A20" s="805"/>
      <c r="B20" s="217"/>
      <c r="C20" s="218"/>
      <c r="D20" s="219"/>
      <c r="E20" s="225"/>
      <c r="F20" s="228">
        <v>30</v>
      </c>
      <c r="G20" s="232" t="s">
        <v>80</v>
      </c>
      <c r="H20" s="233" t="s">
        <v>795</v>
      </c>
      <c r="I20" s="808"/>
      <c r="J20" s="216" t="str">
        <f>+'30'!J20</f>
        <v>F 13 VP OW</v>
      </c>
      <c r="K20" s="239"/>
      <c r="L20" s="239"/>
      <c r="M20" s="121">
        <f>+L20+'30'!M20+K20</f>
        <v>12533</v>
      </c>
    </row>
    <row r="21" spans="1:19" ht="13.5" thickBot="1">
      <c r="A21" s="805"/>
      <c r="B21" s="217"/>
      <c r="C21" s="218"/>
      <c r="D21" s="219"/>
      <c r="E21" s="225"/>
      <c r="F21" s="231"/>
      <c r="G21" s="232"/>
      <c r="H21" s="233"/>
      <c r="I21" s="808"/>
      <c r="J21" s="216" t="str">
        <f>+'30'!J21</f>
        <v>T 13,5 RC HW</v>
      </c>
      <c r="K21" s="238">
        <f>+C34</f>
        <v>39340</v>
      </c>
      <c r="L21" s="238"/>
      <c r="M21" s="121">
        <f>+L21+'30'!M21+K21</f>
        <v>40810</v>
      </c>
      <c r="Q21" s="153">
        <f>SUM(Q15:Q19)</f>
        <v>330</v>
      </c>
      <c r="R21" s="153">
        <f>SUM(R15:R19)</f>
        <v>425100</v>
      </c>
      <c r="S21" s="153">
        <f>SUM(S15:S19)</f>
        <v>356583</v>
      </c>
    </row>
    <row r="22" spans="1:19" ht="13.5" thickBot="1">
      <c r="A22" s="805"/>
      <c r="B22" s="217"/>
      <c r="C22" s="218"/>
      <c r="D22" s="219"/>
      <c r="E22" s="225"/>
      <c r="F22" s="235"/>
      <c r="G22" s="232"/>
      <c r="H22" s="233"/>
      <c r="I22" s="809"/>
      <c r="J22" s="216" t="str">
        <f>+'30'!J22</f>
        <v>T 14 RC HW</v>
      </c>
      <c r="K22" s="238"/>
      <c r="L22" s="238"/>
      <c r="M22" s="121">
        <f>+L22+'30'!M22+K22</f>
        <v>11751</v>
      </c>
      <c r="N22" s="153" t="s">
        <v>421</v>
      </c>
      <c r="Q22" s="153">
        <f>480-Q21</f>
        <v>150</v>
      </c>
      <c r="R22" s="153">
        <f>+R21/Q21</f>
        <v>1288.1818181818182</v>
      </c>
      <c r="S22" s="153">
        <f>+S21/Q21</f>
        <v>1080.5545454545454</v>
      </c>
    </row>
    <row r="23" spans="1:19" ht="13.5" thickBot="1">
      <c r="A23" s="806"/>
      <c r="B23" s="169" t="s">
        <v>3</v>
      </c>
      <c r="C23" s="103">
        <f>SUM(C16:C22)</f>
        <v>14253</v>
      </c>
      <c r="D23" s="115">
        <f>SUM(D16:D22)</f>
        <v>0</v>
      </c>
      <c r="E23" s="116">
        <f>SUM(E18:E22)</f>
        <v>0</v>
      </c>
      <c r="F23" s="120">
        <f>SUM(F15:F22)</f>
        <v>165</v>
      </c>
      <c r="G23" s="163"/>
      <c r="H23" s="170"/>
      <c r="I23" s="172"/>
      <c r="J23" s="216">
        <f>+'30'!J23</f>
        <v>0</v>
      </c>
      <c r="K23" s="238"/>
      <c r="L23" s="238"/>
      <c r="M23" s="121">
        <f>+L23+'30'!M23+K23</f>
        <v>0</v>
      </c>
    </row>
    <row r="24" spans="1:19" ht="13.5" customHeight="1" thickBot="1">
      <c r="A24" s="810"/>
      <c r="B24" s="528"/>
      <c r="C24" s="107">
        <f>C23/($C$23+$D$23+$E$23)</f>
        <v>1</v>
      </c>
      <c r="D24" s="108">
        <f>D23/($C$23+$D$23+$E$23)</f>
        <v>0</v>
      </c>
      <c r="E24" s="113">
        <f>E23/($C$23+$D$23+$E$23)</f>
        <v>0</v>
      </c>
      <c r="F24" s="235"/>
      <c r="G24" s="582" t="s">
        <v>12</v>
      </c>
      <c r="H24" s="583" t="s">
        <v>418</v>
      </c>
      <c r="I24" s="807" t="s">
        <v>670</v>
      </c>
      <c r="J24" s="216">
        <f>+'30'!J24</f>
        <v>0</v>
      </c>
      <c r="K24" s="238"/>
      <c r="L24" s="238"/>
      <c r="M24" s="121">
        <f>+L24+'30'!M24+K24</f>
        <v>0</v>
      </c>
      <c r="N24" s="153" t="s">
        <v>534</v>
      </c>
      <c r="O24" s="153">
        <v>1250</v>
      </c>
      <c r="P24" s="153">
        <f>+O24-O24*0.23</f>
        <v>962.5</v>
      </c>
      <c r="Q24" s="153">
        <f>60+15</f>
        <v>75</v>
      </c>
      <c r="R24" s="153">
        <f>+O24*Q24</f>
        <v>93750</v>
      </c>
      <c r="S24" s="153">
        <f>+P24*Q24</f>
        <v>72187.5</v>
      </c>
    </row>
    <row r="25" spans="1:19" ht="13.5" thickBot="1">
      <c r="A25" s="805"/>
      <c r="B25" s="217" t="s">
        <v>784</v>
      </c>
      <c r="C25" s="226">
        <v>4676</v>
      </c>
      <c r="D25" s="219">
        <v>760</v>
      </c>
      <c r="E25" s="225"/>
      <c r="F25" s="231"/>
      <c r="G25" s="584" t="s">
        <v>12</v>
      </c>
      <c r="H25" s="230" t="s">
        <v>419</v>
      </c>
      <c r="I25" s="808"/>
      <c r="J25" s="216">
        <f>+'30'!J25</f>
        <v>0</v>
      </c>
      <c r="K25" s="238"/>
      <c r="L25" s="238"/>
      <c r="M25" s="121">
        <f>+L25+'30'!M25+K25</f>
        <v>0</v>
      </c>
      <c r="O25" s="153">
        <v>1250</v>
      </c>
      <c r="P25" s="153">
        <f>+O25-O25*0.23</f>
        <v>962.5</v>
      </c>
      <c r="Q25" s="153">
        <v>240</v>
      </c>
      <c r="R25" s="153">
        <f t="shared" ref="R25:R28" si="4">+O25*Q25</f>
        <v>300000</v>
      </c>
      <c r="S25" s="153">
        <f t="shared" ref="S25:S28" si="5">+P25*Q25</f>
        <v>231000</v>
      </c>
    </row>
    <row r="26" spans="1:19" ht="13.5" thickBot="1">
      <c r="A26" s="805"/>
      <c r="B26" s="217"/>
      <c r="C26" s="226"/>
      <c r="D26" s="219"/>
      <c r="E26" s="227"/>
      <c r="F26" s="231"/>
      <c r="G26" s="584" t="s">
        <v>12</v>
      </c>
      <c r="H26" s="233" t="s">
        <v>459</v>
      </c>
      <c r="I26" s="808"/>
      <c r="J26" s="216">
        <f>+'30'!J26</f>
        <v>0</v>
      </c>
      <c r="K26" s="238"/>
      <c r="L26" s="238"/>
      <c r="M26" s="121">
        <f>+L26+'30'!M26+K26</f>
        <v>0</v>
      </c>
      <c r="R26" s="153">
        <f t="shared" si="4"/>
        <v>0</v>
      </c>
      <c r="S26" s="153">
        <f t="shared" si="5"/>
        <v>0</v>
      </c>
    </row>
    <row r="27" spans="1:19" ht="64.5" thickBot="1">
      <c r="A27" s="805"/>
      <c r="B27" s="217"/>
      <c r="C27" s="218"/>
      <c r="D27" s="219"/>
      <c r="E27" s="225"/>
      <c r="F27" s="231">
        <v>165</v>
      </c>
      <c r="G27" s="584" t="s">
        <v>12</v>
      </c>
      <c r="H27" s="233" t="s">
        <v>792</v>
      </c>
      <c r="I27" s="808"/>
      <c r="J27" s="216">
        <f>+'30'!J27</f>
        <v>0</v>
      </c>
      <c r="K27" s="238"/>
      <c r="L27" s="238"/>
      <c r="M27" s="121">
        <f>+L27+'30'!M27+K27</f>
        <v>0</v>
      </c>
      <c r="R27" s="153">
        <f t="shared" si="4"/>
        <v>0</v>
      </c>
      <c r="S27" s="153">
        <f t="shared" si="5"/>
        <v>0</v>
      </c>
    </row>
    <row r="28" spans="1:19" ht="151.5" customHeight="1" thickBot="1">
      <c r="A28" s="805"/>
      <c r="B28" s="217"/>
      <c r="C28" s="218"/>
      <c r="D28" s="219"/>
      <c r="E28" s="225"/>
      <c r="F28" s="231"/>
      <c r="G28" s="232"/>
      <c r="H28" s="233" t="s">
        <v>798</v>
      </c>
      <c r="I28" s="808"/>
      <c r="J28" s="216">
        <f>+'30'!J28</f>
        <v>0</v>
      </c>
      <c r="K28" s="238"/>
      <c r="L28" s="238"/>
      <c r="M28" s="121">
        <f>+L28+'30'!M28+K28</f>
        <v>0</v>
      </c>
      <c r="R28" s="153">
        <f t="shared" si="4"/>
        <v>0</v>
      </c>
      <c r="S28" s="153">
        <f t="shared" si="5"/>
        <v>0</v>
      </c>
    </row>
    <row r="29" spans="1:19" ht="13.5" thickBot="1">
      <c r="A29" s="805"/>
      <c r="B29" s="217"/>
      <c r="C29" s="218"/>
      <c r="D29" s="219"/>
      <c r="E29" s="225"/>
      <c r="F29" s="235"/>
      <c r="G29" s="232"/>
      <c r="H29" s="233"/>
      <c r="I29" s="808"/>
      <c r="J29" s="216">
        <f>+'30'!J29</f>
        <v>0</v>
      </c>
      <c r="K29" s="238"/>
      <c r="L29" s="238"/>
      <c r="M29" s="121">
        <f>+L29+'30'!M29+K29</f>
        <v>0</v>
      </c>
    </row>
    <row r="30" spans="1:19" ht="13.5" thickBot="1">
      <c r="A30" s="805"/>
      <c r="B30" s="217"/>
      <c r="C30" s="226"/>
      <c r="D30" s="219"/>
      <c r="E30" s="225"/>
      <c r="F30" s="235"/>
      <c r="G30" s="232"/>
      <c r="H30" s="233"/>
      <c r="I30" s="808"/>
      <c r="J30" s="216">
        <f>+'30'!J30</f>
        <v>0</v>
      </c>
      <c r="K30" s="238"/>
      <c r="L30" s="238"/>
      <c r="M30" s="121">
        <f>+L30+'30'!M30+K30</f>
        <v>0</v>
      </c>
      <c r="Q30" s="153">
        <f>SUM(Q24:Q28)</f>
        <v>315</v>
      </c>
      <c r="R30" s="153">
        <f>SUM(R24:R28)</f>
        <v>393750</v>
      </c>
      <c r="S30" s="153">
        <f>SUM(S24:S28)</f>
        <v>303187.5</v>
      </c>
    </row>
    <row r="31" spans="1:19" ht="13.5" thickBot="1">
      <c r="A31" s="805"/>
      <c r="B31" s="217"/>
      <c r="C31" s="226"/>
      <c r="D31" s="219"/>
      <c r="E31" s="225"/>
      <c r="F31" s="235"/>
      <c r="G31" s="236"/>
      <c r="H31" s="413"/>
      <c r="I31" s="809"/>
      <c r="J31" s="216">
        <f>+'30'!J31</f>
        <v>0</v>
      </c>
      <c r="K31" s="238"/>
      <c r="L31" s="238"/>
      <c r="M31" s="121">
        <f>+L31+'30'!M31+K31</f>
        <v>0</v>
      </c>
      <c r="N31" s="153" t="s">
        <v>421</v>
      </c>
      <c r="Q31" s="153">
        <f>480-Q30</f>
        <v>165</v>
      </c>
      <c r="R31" s="153">
        <f>+R30/Q30</f>
        <v>1250</v>
      </c>
      <c r="S31" s="153">
        <f>+S30/Q30</f>
        <v>962.5</v>
      </c>
    </row>
    <row r="32" spans="1:19" ht="13.5" thickBot="1">
      <c r="A32" s="806"/>
      <c r="B32" s="169" t="s">
        <v>3</v>
      </c>
      <c r="C32" s="103">
        <f>SUM(C25:C31)</f>
        <v>4676</v>
      </c>
      <c r="D32" s="104">
        <f>SUM(D25:D31)</f>
        <v>760</v>
      </c>
      <c r="E32" s="105">
        <f>SUM(E25:E31)</f>
        <v>0</v>
      </c>
      <c r="F32" s="103">
        <f>SUM(F24:F31)</f>
        <v>165</v>
      </c>
      <c r="G32" s="173"/>
      <c r="H32" s="174"/>
      <c r="I32" s="172"/>
      <c r="J32" s="216">
        <f>+'30'!J32</f>
        <v>0</v>
      </c>
      <c r="K32" s="240"/>
      <c r="L32" s="242"/>
      <c r="M32" s="121">
        <f>+L32+'30'!M32+K32</f>
        <v>0</v>
      </c>
    </row>
    <row r="33" spans="1:14" ht="13.5" thickBot="1">
      <c r="A33" s="175"/>
      <c r="B33" s="176"/>
      <c r="C33" s="107">
        <f>C32/($C$32+$D$32+$E$32)</f>
        <v>0.86019131714495956</v>
      </c>
      <c r="D33" s="108">
        <f>D32/($C$32+$D$32+$E$32)</f>
        <v>0.13980868285504047</v>
      </c>
      <c r="E33" s="109">
        <f>E32/($C$32+$D$32+$E$32)</f>
        <v>0</v>
      </c>
      <c r="F33" s="110"/>
      <c r="G33" s="177"/>
      <c r="H33" s="178"/>
      <c r="I33" s="179"/>
      <c r="J33" s="125"/>
      <c r="K33" s="126"/>
      <c r="L33" s="215"/>
      <c r="M33" s="123"/>
    </row>
    <row r="34" spans="1:14" ht="13.5" thickBot="1">
      <c r="A34" s="811" t="s">
        <v>69</v>
      </c>
      <c r="B34" s="812"/>
      <c r="C34" s="111">
        <f>C14+C23+C32</f>
        <v>39340</v>
      </c>
      <c r="D34" s="111">
        <f>D14+D23+D32</f>
        <v>760</v>
      </c>
      <c r="E34" s="111">
        <f>E14+E23+E32</f>
        <v>0</v>
      </c>
      <c r="F34" s="112">
        <f>F14+F23+F32</f>
        <v>336</v>
      </c>
      <c r="H34" s="180"/>
      <c r="I34" s="180"/>
      <c r="J34" s="127" t="s">
        <v>28</v>
      </c>
      <c r="K34" s="128">
        <f>SUM(K7:K32)</f>
        <v>39340</v>
      </c>
      <c r="L34" s="214">
        <f>SUM(L7:L32)</f>
        <v>0</v>
      </c>
      <c r="M34" s="124">
        <f>SUM(M7:M32)</f>
        <v>904638</v>
      </c>
      <c r="N34" s="159"/>
    </row>
    <row r="35" spans="1:14" ht="13.5" thickBot="1">
      <c r="A35" s="181"/>
      <c r="B35" s="182"/>
      <c r="C35" s="108">
        <f>C34/($C$34+$D$34+$E$34)</f>
        <v>0.98104738154613469</v>
      </c>
      <c r="D35" s="108">
        <f>D34/($C$34+$D$34+$E$34)</f>
        <v>1.8952618453865335E-2</v>
      </c>
      <c r="E35" s="113">
        <f>E34/($C$34+$D$34+$E$34)</f>
        <v>0</v>
      </c>
      <c r="K35" s="159"/>
    </row>
    <row r="36" spans="1:14" ht="13.5" thickBot="1">
      <c r="A36" s="180"/>
      <c r="B36" s="180"/>
      <c r="C36" s="159"/>
      <c r="D36" s="159"/>
      <c r="E36" s="159"/>
      <c r="G36" s="159"/>
      <c r="H36" s="183"/>
      <c r="I36" s="166" t="s">
        <v>38</v>
      </c>
      <c r="J36" s="166" t="s">
        <v>39</v>
      </c>
      <c r="K36" s="184"/>
      <c r="N36" s="153">
        <v>480</v>
      </c>
    </row>
    <row r="37" spans="1:14" ht="17.45" customHeight="1" thickBot="1">
      <c r="A37" s="813" t="s">
        <v>70</v>
      </c>
      <c r="B37" s="814"/>
      <c r="C37" s="166" t="s">
        <v>71</v>
      </c>
      <c r="D37" s="185" t="s">
        <v>72</v>
      </c>
      <c r="E37" s="186" t="s">
        <v>73</v>
      </c>
      <c r="F37" s="311"/>
      <c r="G37" s="313"/>
      <c r="H37" s="188" t="s">
        <v>74</v>
      </c>
      <c r="I37" s="243">
        <f>(13.5*1125)/1125*G42*2.7*1125/1000000</f>
        <v>43.217252325000004</v>
      </c>
      <c r="J37" s="129">
        <f>+I37+'30'!J37</f>
        <v>1113.2732668138292</v>
      </c>
      <c r="K37" s="130" t="s">
        <v>75</v>
      </c>
      <c r="N37" s="153">
        <v>330</v>
      </c>
    </row>
    <row r="38" spans="1:14" ht="17.45" customHeight="1">
      <c r="A38" s="797" t="s">
        <v>12</v>
      </c>
      <c r="B38" s="798"/>
      <c r="C38" s="168">
        <f>SUMIF($G$7:$G$31,"Process",$F$7:$F$31)</f>
        <v>300</v>
      </c>
      <c r="D38" s="122">
        <f>C38+'30'!D38</f>
        <v>2148</v>
      </c>
      <c r="E38" s="147">
        <f t="shared" ref="E38:E52" si="6">D38/60</f>
        <v>35.799999999999997</v>
      </c>
      <c r="F38" s="311">
        <v>1320</v>
      </c>
      <c r="G38" s="311">
        <v>1095.5999999999999</v>
      </c>
      <c r="H38" s="189" t="s">
        <v>76</v>
      </c>
      <c r="I38" s="244">
        <f>16.621+11.41+11.566</f>
        <v>39.597000000000001</v>
      </c>
      <c r="J38" s="131">
        <f>+I38+'30'!J38</f>
        <v>979.25900000000013</v>
      </c>
      <c r="K38" s="132" t="s">
        <v>75</v>
      </c>
      <c r="N38" s="153">
        <v>315</v>
      </c>
    </row>
    <row r="39" spans="1:14" ht="17.45" customHeight="1">
      <c r="A39" s="799" t="s">
        <v>13</v>
      </c>
      <c r="B39" s="800"/>
      <c r="C39" s="168">
        <f>SUMIF($G$7:$G$31,"Cleaning",$F$7:$F$31)</f>
        <v>6</v>
      </c>
      <c r="D39" s="122">
        <f>C39+'30'!D39</f>
        <v>6</v>
      </c>
      <c r="E39" s="147">
        <f t="shared" si="6"/>
        <v>0.1</v>
      </c>
      <c r="F39" s="311">
        <v>1288.1818181818182</v>
      </c>
      <c r="G39" s="311">
        <v>1080.5545454545454</v>
      </c>
      <c r="H39" s="189" t="s">
        <v>77</v>
      </c>
      <c r="I39" s="146"/>
      <c r="J39" s="133">
        <f>J37/G4</f>
        <v>35.912040864962229</v>
      </c>
      <c r="K39" s="134" t="s">
        <v>75</v>
      </c>
      <c r="N39" s="153">
        <f>+N36+N37+N38</f>
        <v>1125</v>
      </c>
    </row>
    <row r="40" spans="1:14" ht="17.45" customHeight="1">
      <c r="A40" s="799" t="s">
        <v>78</v>
      </c>
      <c r="B40" s="800"/>
      <c r="C40" s="168">
        <f>SUMIF($G$7:$G$31,"Mechanical",$F$7:$F$31)</f>
        <v>0</v>
      </c>
      <c r="D40" s="122">
        <f>C40+'30'!D40</f>
        <v>152</v>
      </c>
      <c r="E40" s="147">
        <f t="shared" si="6"/>
        <v>2.5333333333333332</v>
      </c>
      <c r="F40" s="311">
        <v>1250</v>
      </c>
      <c r="G40" s="311">
        <v>962.5</v>
      </c>
      <c r="H40" s="189" t="s">
        <v>79</v>
      </c>
      <c r="I40" s="122">
        <f>(K34+L34)/1000</f>
        <v>39.340000000000003</v>
      </c>
      <c r="J40" s="135">
        <f>+I40+'30'!J40</f>
        <v>904.63799999999992</v>
      </c>
      <c r="K40" s="134" t="s">
        <v>75</v>
      </c>
    </row>
    <row r="41" spans="1:14" ht="17.45" customHeight="1">
      <c r="A41" s="799" t="s">
        <v>80</v>
      </c>
      <c r="B41" s="800"/>
      <c r="C41" s="168">
        <f>SUMIF($G$7:$G$31,"Electrical",$F$7:$F$31)</f>
        <v>30</v>
      </c>
      <c r="D41" s="122">
        <f>C41+'30'!D41</f>
        <v>100</v>
      </c>
      <c r="E41" s="147">
        <f t="shared" si="6"/>
        <v>1.6666666666666667</v>
      </c>
      <c r="F41" s="311"/>
      <c r="G41" s="311"/>
      <c r="H41" s="189" t="s">
        <v>81</v>
      </c>
      <c r="I41" s="146"/>
      <c r="J41" s="133">
        <f>J40/G4</f>
        <v>29.181870967741933</v>
      </c>
      <c r="K41" s="134" t="s">
        <v>75</v>
      </c>
    </row>
    <row r="42" spans="1:14" ht="17.45" customHeight="1">
      <c r="A42" s="799" t="s">
        <v>16</v>
      </c>
      <c r="B42" s="800"/>
      <c r="C42" s="168">
        <f>SUMIF($G$7:$G$31,"Instrument",$F$7:$F$31)</f>
        <v>0</v>
      </c>
      <c r="D42" s="122">
        <f>C42+'30'!D42</f>
        <v>0</v>
      </c>
      <c r="E42" s="147">
        <f t="shared" si="6"/>
        <v>0</v>
      </c>
      <c r="F42" s="187">
        <f>+(480*F38+330*F39+315*F40)/1125</f>
        <v>1291.0666666666666</v>
      </c>
      <c r="G42" s="187">
        <f>+(480*G38+330*G39+315*G40)/1125</f>
        <v>1053.9186666666667</v>
      </c>
      <c r="H42" s="189" t="s">
        <v>82</v>
      </c>
      <c r="I42" s="245" t="s">
        <v>799</v>
      </c>
      <c r="J42" s="136"/>
      <c r="K42" s="134" t="s">
        <v>83</v>
      </c>
    </row>
    <row r="43" spans="1:14" ht="17.45" customHeight="1">
      <c r="A43" s="799" t="s">
        <v>84</v>
      </c>
      <c r="B43" s="800"/>
      <c r="C43" s="168">
        <f>SUMIF($G$7:$G$31,"Water",$F$7:$F$31)</f>
        <v>0</v>
      </c>
      <c r="D43" s="122">
        <f>C43+'30'!D43</f>
        <v>0</v>
      </c>
      <c r="E43" s="147">
        <f t="shared" si="6"/>
        <v>0</v>
      </c>
      <c r="F43" s="311"/>
      <c r="G43" s="312"/>
      <c r="H43" s="190" t="s">
        <v>85</v>
      </c>
      <c r="I43" s="122">
        <f>+Report1!Z39</f>
        <v>79</v>
      </c>
      <c r="J43" s="137">
        <f>+I43+'30'!J43</f>
        <v>2122</v>
      </c>
      <c r="K43" s="134" t="s">
        <v>75</v>
      </c>
      <c r="L43" s="191"/>
    </row>
    <row r="44" spans="1:14" ht="17.45" customHeight="1">
      <c r="A44" s="799" t="s">
        <v>17</v>
      </c>
      <c r="B44" s="800"/>
      <c r="C44" s="168">
        <f>SUMIF($G$7:$G$31,"PLN",$F$7:$F$31)</f>
        <v>0</v>
      </c>
      <c r="D44" s="122">
        <f>C44+'30'!D44</f>
        <v>0</v>
      </c>
      <c r="E44" s="147">
        <f t="shared" si="6"/>
        <v>0</v>
      </c>
      <c r="F44" s="311"/>
      <c r="G44" s="312"/>
      <c r="H44" s="190" t="s">
        <v>86</v>
      </c>
      <c r="I44" s="122">
        <f>I43/I38</f>
        <v>1.9951006389372932</v>
      </c>
      <c r="J44" s="138">
        <f>J43/J38</f>
        <v>2.1669445979051503</v>
      </c>
      <c r="K44" s="134" t="s">
        <v>75</v>
      </c>
    </row>
    <row r="45" spans="1:14" ht="17.45" customHeight="1">
      <c r="A45" s="799" t="s">
        <v>18</v>
      </c>
      <c r="B45" s="800"/>
      <c r="C45" s="168">
        <f>SUMIF($G$7:$G$31,"Boiler",$F$7:$F$31)</f>
        <v>0</v>
      </c>
      <c r="D45" s="122">
        <f>C45+'30'!D45</f>
        <v>0</v>
      </c>
      <c r="E45" s="147">
        <f t="shared" si="6"/>
        <v>0</v>
      </c>
      <c r="F45" s="311"/>
      <c r="G45" s="314"/>
      <c r="H45" s="190" t="s">
        <v>87</v>
      </c>
      <c r="I45" s="122">
        <f>I43/I40</f>
        <v>2.0081342145399081</v>
      </c>
      <c r="J45" s="138">
        <f>J43/J40</f>
        <v>2.3456896570783012</v>
      </c>
      <c r="K45" s="134" t="s">
        <v>75</v>
      </c>
    </row>
    <row r="46" spans="1:14" ht="17.45" customHeight="1">
      <c r="A46" s="799" t="s">
        <v>88</v>
      </c>
      <c r="B46" s="800"/>
      <c r="C46" s="168">
        <f>SUMIF($G$7:$G$31,"Gas",$F$7:$F$31)</f>
        <v>0</v>
      </c>
      <c r="D46" s="122">
        <f>C46+'30'!D46</f>
        <v>0</v>
      </c>
      <c r="E46" s="147">
        <f t="shared" si="6"/>
        <v>0</v>
      </c>
      <c r="F46" s="311"/>
      <c r="G46" s="312"/>
      <c r="H46" s="190" t="s">
        <v>89</v>
      </c>
      <c r="I46" s="144">
        <f>+SUMIF(Listrik!X38,"&gt;0")</f>
        <v>25439.979999999996</v>
      </c>
      <c r="J46" s="139">
        <f>+I46+'30'!J46</f>
        <v>927608.67240000027</v>
      </c>
      <c r="K46" s="134" t="s">
        <v>90</v>
      </c>
    </row>
    <row r="47" spans="1:14" ht="17.45" customHeight="1">
      <c r="A47" s="799" t="s">
        <v>91</v>
      </c>
      <c r="B47" s="800"/>
      <c r="C47" s="168">
        <f>SUMIF($G$7:$G$31,"Gas",$F$7:$F$31)</f>
        <v>0</v>
      </c>
      <c r="D47" s="122">
        <f>C47+'30'!D47</f>
        <v>0</v>
      </c>
      <c r="E47" s="147">
        <f t="shared" si="6"/>
        <v>0</v>
      </c>
      <c r="F47" s="311"/>
      <c r="G47" s="312"/>
      <c r="H47" s="190" t="s">
        <v>92</v>
      </c>
      <c r="I47" s="122">
        <f>I46/I38</f>
        <v>642.47240952597406</v>
      </c>
      <c r="J47" s="139">
        <f>J46/J38</f>
        <v>947.25570293456599</v>
      </c>
      <c r="K47" s="134" t="s">
        <v>24</v>
      </c>
    </row>
    <row r="48" spans="1:14" ht="17.45" customHeight="1">
      <c r="A48" s="799" t="s">
        <v>14</v>
      </c>
      <c r="B48" s="800"/>
      <c r="C48" s="168">
        <f>SUMIF($G$7:$G$31,"Start Up",$F$7:$F$31)</f>
        <v>0</v>
      </c>
      <c r="D48" s="122">
        <f>C48+'30'!D48</f>
        <v>0</v>
      </c>
      <c r="E48" s="147">
        <f t="shared" si="6"/>
        <v>0</v>
      </c>
      <c r="F48" s="311"/>
      <c r="G48" s="312"/>
      <c r="H48" s="190" t="s">
        <v>93</v>
      </c>
      <c r="I48" s="122">
        <f>I46/I40</f>
        <v>646.66954753431605</v>
      </c>
      <c r="J48" s="139">
        <f>J46/J40</f>
        <v>1025.3921152991588</v>
      </c>
      <c r="K48" s="134" t="s">
        <v>24</v>
      </c>
    </row>
    <row r="49" spans="1:11" ht="17.45" customHeight="1">
      <c r="A49" s="799" t="s">
        <v>20</v>
      </c>
      <c r="B49" s="800"/>
      <c r="C49" s="168">
        <f>SUMIF($G$7:$G$31,"Others",$F$7:$F$31)</f>
        <v>0</v>
      </c>
      <c r="D49" s="122">
        <f>C49+'30'!D49</f>
        <v>11919</v>
      </c>
      <c r="E49" s="147">
        <f t="shared" si="6"/>
        <v>198.65</v>
      </c>
      <c r="F49" s="187"/>
      <c r="H49" s="190" t="s">
        <v>279</v>
      </c>
      <c r="I49" s="122">
        <f>+Report1!T39</f>
        <v>3352.9696691070831</v>
      </c>
      <c r="J49" s="139">
        <f>+I49+'30'!J49</f>
        <v>88820.29507132138</v>
      </c>
      <c r="K49" s="134" t="s">
        <v>94</v>
      </c>
    </row>
    <row r="50" spans="1:11" ht="17.45" customHeight="1">
      <c r="A50" s="799" t="s">
        <v>19</v>
      </c>
      <c r="B50" s="800"/>
      <c r="C50" s="168">
        <f>SUMIF($G$7:$G$31,"Steam",$F$7:$F$31)</f>
        <v>0</v>
      </c>
      <c r="D50" s="122">
        <f>C50+'30'!D50</f>
        <v>0</v>
      </c>
      <c r="E50" s="147">
        <f t="shared" si="6"/>
        <v>0</v>
      </c>
      <c r="F50" s="187"/>
      <c r="H50" s="190" t="s">
        <v>95</v>
      </c>
      <c r="I50" s="144">
        <f>I49/I38</f>
        <v>84.677366192062095</v>
      </c>
      <c r="J50" s="137">
        <f>J49/J38</f>
        <v>90.701535621650009</v>
      </c>
      <c r="K50" s="134" t="s">
        <v>94</v>
      </c>
    </row>
    <row r="51" spans="1:11" ht="17.45" customHeight="1">
      <c r="A51" s="801" t="s">
        <v>96</v>
      </c>
      <c r="B51" s="801"/>
      <c r="C51" s="168">
        <f>SUMIF($G$7:$G$31,"Planned shut",$F$7:$F$31)</f>
        <v>0</v>
      </c>
      <c r="D51" s="122">
        <f>C51+'30'!D51</f>
        <v>0</v>
      </c>
      <c r="E51" s="147">
        <f t="shared" si="6"/>
        <v>0</v>
      </c>
      <c r="F51" s="187"/>
      <c r="H51" s="192" t="s">
        <v>97</v>
      </c>
      <c r="I51" s="145">
        <f>I49/I40</f>
        <v>85.230545732259344</v>
      </c>
      <c r="J51" s="140">
        <f>J49/J40</f>
        <v>98.183245752799891</v>
      </c>
      <c r="K51" s="141" t="s">
        <v>94</v>
      </c>
    </row>
    <row r="52" spans="1:11" ht="13.5" thickBot="1">
      <c r="A52" s="802" t="s">
        <v>229</v>
      </c>
      <c r="B52" s="803"/>
      <c r="C52" s="168">
        <f>SUMIF($G$7:$G$31,"Change Grade",$F$7:$F$31)</f>
        <v>0</v>
      </c>
      <c r="D52" s="122">
        <f>C52+'30'!D52</f>
        <v>0</v>
      </c>
      <c r="E52" s="147">
        <f t="shared" si="6"/>
        <v>0</v>
      </c>
      <c r="F52" s="187"/>
      <c r="H52" s="193"/>
      <c r="I52" s="194"/>
      <c r="J52" s="142"/>
      <c r="K52" s="143"/>
    </row>
    <row r="53" spans="1:11">
      <c r="A53" s="797" t="s">
        <v>28</v>
      </c>
      <c r="B53" s="798"/>
      <c r="C53" s="148">
        <f>SUM(C38:C52)</f>
        <v>336</v>
      </c>
      <c r="D53" s="148">
        <f>SUM(D38:D52)</f>
        <v>14325</v>
      </c>
      <c r="E53" s="149">
        <f>SUM(E38:E52)</f>
        <v>238.75</v>
      </c>
      <c r="F53" s="187"/>
    </row>
    <row r="54" spans="1:11" ht="13.5" thickBot="1">
      <c r="A54" s="795"/>
      <c r="B54" s="796"/>
      <c r="C54" s="150">
        <f>C53/(24*60)</f>
        <v>0.23333333333333334</v>
      </c>
      <c r="D54" s="150">
        <f>D53/(24*60*G4)</f>
        <v>0.32090053763440862</v>
      </c>
      <c r="E54" s="151">
        <f>E53/(G4*24)</f>
        <v>0.32090053763440862</v>
      </c>
      <c r="F54" s="187"/>
    </row>
    <row r="55" spans="1:11">
      <c r="E55" s="195"/>
    </row>
    <row r="56" spans="1:11">
      <c r="A56" s="196" t="s">
        <v>98</v>
      </c>
      <c r="B56" s="197"/>
      <c r="C56" s="198"/>
      <c r="D56" s="198"/>
      <c r="E56" s="198"/>
      <c r="F56" s="199"/>
      <c r="G56" s="198"/>
      <c r="H56" s="200"/>
      <c r="I56" s="201" t="s">
        <v>99</v>
      </c>
      <c r="J56" s="202">
        <f>+D34+'30'!J56</f>
        <v>6212</v>
      </c>
      <c r="K56" s="203">
        <f>J56/(J40+J56/1000)/1000</f>
        <v>6.8200032936268327E-3</v>
      </c>
    </row>
    <row r="57" spans="1:11">
      <c r="A57" s="178"/>
      <c r="I57" s="201" t="s">
        <v>100</v>
      </c>
      <c r="J57" s="202">
        <f>+E34+'30'!J57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B7" zoomScale="80" zoomScaleNormal="80" zoomScaleSheetLayoutView="80" workbookViewId="0">
      <selection activeCell="H27" sqref="C27:H27"/>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30</v>
      </c>
      <c r="H4" s="158" t="str">
        <f>+'1'!H4</f>
        <v>.10.25</v>
      </c>
      <c r="J4" s="153">
        <f>459+333+335</f>
        <v>1127</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669</v>
      </c>
      <c r="O6" s="153">
        <v>1330</v>
      </c>
      <c r="P6" s="153">
        <f>+O6-O6*0.25</f>
        <v>997.5</v>
      </c>
      <c r="Q6" s="153">
        <f>60+21</f>
        <v>81</v>
      </c>
      <c r="R6" s="153">
        <f>+O6*Q6</f>
        <v>107730</v>
      </c>
      <c r="S6" s="153">
        <f>+P6*Q6</f>
        <v>80797.5</v>
      </c>
      <c r="U6" s="153" t="s">
        <v>653</v>
      </c>
      <c r="V6" s="153">
        <v>1330</v>
      </c>
      <c r="W6" s="153">
        <v>997.5</v>
      </c>
      <c r="X6" s="153">
        <v>199</v>
      </c>
      <c r="Y6" s="153">
        <f>+V6*X6</f>
        <v>264670</v>
      </c>
      <c r="Z6" s="153">
        <f>+W6*X6</f>
        <v>198502.5</v>
      </c>
    </row>
    <row r="7" spans="1:26" ht="13.5" customHeight="1" thickBot="1">
      <c r="A7" s="804"/>
      <c r="B7" s="217" t="s">
        <v>695</v>
      </c>
      <c r="C7" s="218">
        <v>1851</v>
      </c>
      <c r="D7" s="219"/>
      <c r="E7" s="220"/>
      <c r="F7" s="235">
        <v>15</v>
      </c>
      <c r="G7" s="582" t="s">
        <v>12</v>
      </c>
      <c r="H7" s="583" t="s">
        <v>400</v>
      </c>
      <c r="I7" s="807" t="s">
        <v>778</v>
      </c>
      <c r="J7" s="216" t="str">
        <f>+'29'!J7</f>
        <v>TW 17 RC HW</v>
      </c>
      <c r="K7" s="237"/>
      <c r="L7" s="241"/>
      <c r="M7" s="121">
        <f>+K7+'29'!M7+L7</f>
        <v>3364</v>
      </c>
      <c r="N7" s="153" t="s">
        <v>653</v>
      </c>
      <c r="O7" s="153">
        <v>1330</v>
      </c>
      <c r="P7" s="153">
        <f>+O7-O7*0.25</f>
        <v>997.5</v>
      </c>
      <c r="Q7" s="153">
        <f>60-21+120+40</f>
        <v>199</v>
      </c>
      <c r="R7" s="153">
        <f t="shared" ref="R7:R10" si="0">+O7*Q7</f>
        <v>264670</v>
      </c>
      <c r="S7" s="153">
        <f t="shared" ref="S7:S10" si="1">+P7*Q7</f>
        <v>198502.5</v>
      </c>
      <c r="U7" s="153" t="s">
        <v>653</v>
      </c>
      <c r="V7" s="153">
        <v>1350</v>
      </c>
      <c r="W7" s="153">
        <v>1039.5</v>
      </c>
      <c r="X7" s="153">
        <v>241</v>
      </c>
      <c r="Y7" s="153">
        <f t="shared" ref="Y7:Y10" si="2">+V7*X7</f>
        <v>325350</v>
      </c>
      <c r="Z7" s="153">
        <f t="shared" ref="Z7:Z10" si="3">+W7*X7</f>
        <v>250519.5</v>
      </c>
    </row>
    <row r="8" spans="1:26" ht="13.5" thickBot="1">
      <c r="A8" s="805"/>
      <c r="B8" s="217" t="s">
        <v>769</v>
      </c>
      <c r="C8" s="218">
        <f>3694+4472</f>
        <v>8166</v>
      </c>
      <c r="D8" s="219"/>
      <c r="E8" s="221"/>
      <c r="F8" s="231"/>
      <c r="G8" s="584" t="s">
        <v>12</v>
      </c>
      <c r="H8" s="230" t="s">
        <v>529</v>
      </c>
      <c r="I8" s="808"/>
      <c r="J8" s="216" t="str">
        <f>+'29'!J8</f>
        <v>T 14 VP OW</v>
      </c>
      <c r="K8" s="238"/>
      <c r="L8" s="238"/>
      <c r="M8" s="121">
        <f>+K8+'29'!M8+L8</f>
        <v>23832</v>
      </c>
      <c r="N8" s="153" t="s">
        <v>685</v>
      </c>
      <c r="O8" s="153">
        <v>1330</v>
      </c>
      <c r="P8" s="153">
        <f>+O8-O8*0.25</f>
        <v>997.5</v>
      </c>
      <c r="Q8" s="153">
        <f>60-40+180</f>
        <v>200</v>
      </c>
      <c r="R8" s="153">
        <f t="shared" si="0"/>
        <v>266000</v>
      </c>
      <c r="S8" s="153">
        <f t="shared" si="1"/>
        <v>199500</v>
      </c>
      <c r="Y8" s="153">
        <f t="shared" si="2"/>
        <v>0</v>
      </c>
      <c r="Z8" s="153">
        <f t="shared" si="3"/>
        <v>0</v>
      </c>
    </row>
    <row r="9" spans="1:26" ht="13.5" thickBot="1">
      <c r="A9" s="805"/>
      <c r="B9" s="217" t="s">
        <v>694</v>
      </c>
      <c r="C9" s="218">
        <f>315+309</f>
        <v>624</v>
      </c>
      <c r="D9" s="219"/>
      <c r="E9" s="222"/>
      <c r="F9" s="231"/>
      <c r="G9" s="584" t="s">
        <v>12</v>
      </c>
      <c r="H9" s="233" t="s">
        <v>635</v>
      </c>
      <c r="I9" s="808"/>
      <c r="J9" s="216" t="str">
        <f>+'29'!J9</f>
        <v>T 14,5 VP OW</v>
      </c>
      <c r="K9" s="238"/>
      <c r="L9" s="238"/>
      <c r="M9" s="121">
        <f>+K9+'29'!M9+L9</f>
        <v>224658</v>
      </c>
      <c r="N9" s="153" t="s">
        <v>653</v>
      </c>
      <c r="O9" s="153">
        <v>1330</v>
      </c>
      <c r="P9" s="153">
        <f>+O9-O9*0.25</f>
        <v>997.5</v>
      </c>
      <c r="Q9" s="153">
        <v>0</v>
      </c>
      <c r="R9" s="153">
        <f t="shared" si="0"/>
        <v>0</v>
      </c>
      <c r="S9" s="153">
        <f t="shared" si="1"/>
        <v>0</v>
      </c>
      <c r="Y9" s="153">
        <f t="shared" si="2"/>
        <v>0</v>
      </c>
      <c r="Z9" s="153">
        <f t="shared" si="3"/>
        <v>0</v>
      </c>
    </row>
    <row r="10" spans="1:26" ht="77.25" thickBot="1">
      <c r="A10" s="805"/>
      <c r="B10" s="217"/>
      <c r="C10" s="218"/>
      <c r="D10" s="219"/>
      <c r="E10" s="221"/>
      <c r="F10" s="231"/>
      <c r="G10" s="229"/>
      <c r="H10" s="233" t="s">
        <v>774</v>
      </c>
      <c r="I10" s="808"/>
      <c r="J10" s="216" t="str">
        <f>+'29'!J10</f>
        <v>T 13,5 VP OW</v>
      </c>
      <c r="K10" s="238"/>
      <c r="L10" s="238"/>
      <c r="M10" s="121">
        <f>+K10+'29'!M10+L10</f>
        <v>39850</v>
      </c>
      <c r="R10" s="153">
        <f t="shared" si="0"/>
        <v>0</v>
      </c>
      <c r="S10" s="153">
        <f t="shared" si="1"/>
        <v>0</v>
      </c>
      <c r="Y10" s="153">
        <f t="shared" si="2"/>
        <v>0</v>
      </c>
      <c r="Z10" s="153">
        <f t="shared" si="3"/>
        <v>0</v>
      </c>
    </row>
    <row r="11" spans="1:26" ht="84" customHeight="1" thickBot="1">
      <c r="A11" s="805"/>
      <c r="B11" s="217"/>
      <c r="C11" s="218"/>
      <c r="D11" s="219"/>
      <c r="E11" s="221"/>
      <c r="F11" s="228">
        <v>20</v>
      </c>
      <c r="G11" s="232" t="s">
        <v>20</v>
      </c>
      <c r="H11" s="233" t="s">
        <v>775</v>
      </c>
      <c r="I11" s="808"/>
      <c r="J11" s="216" t="str">
        <f>+'29'!J11</f>
        <v>T 16,5 VP OW</v>
      </c>
      <c r="K11" s="238"/>
      <c r="L11" s="238"/>
      <c r="M11" s="121">
        <f>+K11+'29'!M11+L11</f>
        <v>9927</v>
      </c>
    </row>
    <row r="12" spans="1:26" ht="13.5" thickBot="1">
      <c r="A12" s="805"/>
      <c r="B12" s="217"/>
      <c r="C12" s="218"/>
      <c r="D12" s="219"/>
      <c r="E12" s="221"/>
      <c r="F12" s="228"/>
      <c r="G12" s="232"/>
      <c r="H12" s="233"/>
      <c r="I12" s="808"/>
      <c r="J12" s="216" t="str">
        <f>+'29'!J12</f>
        <v>T 12,5 VP OW</v>
      </c>
      <c r="K12" s="238"/>
      <c r="L12" s="238"/>
      <c r="M12" s="121">
        <f>+K12+'29'!M12+L12</f>
        <v>41367</v>
      </c>
      <c r="Q12" s="153">
        <f>SUM(Q6:Q10)</f>
        <v>480</v>
      </c>
      <c r="R12" s="153">
        <f>SUM(R6:R10)</f>
        <v>638400</v>
      </c>
      <c r="S12" s="153">
        <f>SUM(S6:S10)</f>
        <v>478800</v>
      </c>
      <c r="X12" s="153">
        <f>SUM(X6:X10)</f>
        <v>440</v>
      </c>
      <c r="Y12" s="153">
        <f>SUM(Y6:Y10)</f>
        <v>590020</v>
      </c>
      <c r="Z12" s="153">
        <f>SUM(Z6:Z10)</f>
        <v>449022</v>
      </c>
    </row>
    <row r="13" spans="1:26" ht="13.5" thickBot="1">
      <c r="A13" s="805"/>
      <c r="B13" s="217"/>
      <c r="C13" s="218"/>
      <c r="D13" s="218"/>
      <c r="E13" s="221"/>
      <c r="F13" s="228"/>
      <c r="G13" s="232"/>
      <c r="H13" s="233"/>
      <c r="I13" s="809"/>
      <c r="J13" s="216" t="str">
        <f>+'29'!J13</f>
        <v>TW 18 VP OW</v>
      </c>
      <c r="K13" s="238"/>
      <c r="L13" s="238"/>
      <c r="M13" s="121">
        <f>+K13+'29'!M13+L13</f>
        <v>234646</v>
      </c>
      <c r="N13" s="153" t="s">
        <v>421</v>
      </c>
      <c r="Q13" s="153">
        <f>480-Q12</f>
        <v>0</v>
      </c>
      <c r="R13" s="153">
        <f>+R12/Q12</f>
        <v>1330</v>
      </c>
      <c r="S13" s="153">
        <f>+S12/Q12</f>
        <v>997.5</v>
      </c>
      <c r="U13" s="153" t="s">
        <v>421</v>
      </c>
      <c r="X13" s="153">
        <f>480-X12</f>
        <v>40</v>
      </c>
      <c r="Y13" s="153">
        <f>+Y12/X12</f>
        <v>1340.9545454545455</v>
      </c>
      <c r="Z13" s="153">
        <f>+Z12/X12</f>
        <v>1020.5045454545455</v>
      </c>
    </row>
    <row r="14" spans="1:26" ht="13.5" thickBot="1">
      <c r="A14" s="806"/>
      <c r="B14" s="169" t="s">
        <v>3</v>
      </c>
      <c r="C14" s="103">
        <f>SUM(C7:C13)</f>
        <v>10641</v>
      </c>
      <c r="D14" s="115">
        <f>SUM(D7:D13)</f>
        <v>0</v>
      </c>
      <c r="E14" s="116">
        <f>SUM(E5:E13)</f>
        <v>0</v>
      </c>
      <c r="F14" s="120">
        <f>SUM(F7:F13)</f>
        <v>35</v>
      </c>
      <c r="G14" s="163"/>
      <c r="H14" s="170"/>
      <c r="I14" s="171"/>
      <c r="J14" s="216" t="str">
        <f>+'29'!J14</f>
        <v>F 15 VP OW</v>
      </c>
      <c r="K14" s="238"/>
      <c r="L14" s="238"/>
      <c r="M14" s="121">
        <f>+K14+'29'!M14+L14</f>
        <v>5496</v>
      </c>
    </row>
    <row r="15" spans="1:26" ht="13.5" thickBot="1">
      <c r="A15" s="810"/>
      <c r="B15" s="528"/>
      <c r="C15" s="117">
        <f>C14/($C$23+$D$23+$E$23)</f>
        <v>0.7100627252101962</v>
      </c>
      <c r="D15" s="118">
        <f>D14/($C$23+$D$23+$E$23)</f>
        <v>0</v>
      </c>
      <c r="E15" s="119">
        <f>E14/($C$23+$D$23+$E$23)</f>
        <v>0</v>
      </c>
      <c r="F15" s="235">
        <v>9</v>
      </c>
      <c r="G15" s="582" t="s">
        <v>12</v>
      </c>
      <c r="H15" s="583" t="s">
        <v>400</v>
      </c>
      <c r="I15" s="807" t="s">
        <v>655</v>
      </c>
      <c r="J15" s="216" t="str">
        <f>+'29'!J15</f>
        <v>T 12 VP OW</v>
      </c>
      <c r="K15" s="238"/>
      <c r="L15" s="238"/>
      <c r="M15" s="121">
        <f>+K15+'29'!M15+L15</f>
        <v>37386</v>
      </c>
      <c r="N15" s="153" t="s">
        <v>653</v>
      </c>
      <c r="O15" s="153">
        <v>1350</v>
      </c>
      <c r="P15" s="153">
        <f>+O15-O15*0.23</f>
        <v>1039.5</v>
      </c>
      <c r="Q15" s="153">
        <f>60*4+1</f>
        <v>241</v>
      </c>
      <c r="R15" s="153">
        <f>+O15*Q15</f>
        <v>325350</v>
      </c>
      <c r="S15" s="153">
        <f>+P15*Q15</f>
        <v>250519.5</v>
      </c>
    </row>
    <row r="16" spans="1:26" ht="13.5" thickBot="1">
      <c r="A16" s="805"/>
      <c r="B16" s="527" t="s">
        <v>695</v>
      </c>
      <c r="C16" s="526">
        <v>3687</v>
      </c>
      <c r="D16" s="223"/>
      <c r="E16" s="224"/>
      <c r="F16" s="231">
        <v>6</v>
      </c>
      <c r="G16" s="584" t="s">
        <v>12</v>
      </c>
      <c r="H16" s="230" t="s">
        <v>398</v>
      </c>
      <c r="I16" s="808"/>
      <c r="J16" s="216" t="str">
        <f>+'29'!J16</f>
        <v>T 13 VP OW</v>
      </c>
      <c r="K16" s="229"/>
      <c r="L16" s="229"/>
      <c r="M16" s="121">
        <f>+K16+'29'!M16+L16</f>
        <v>49210</v>
      </c>
      <c r="N16" s="153" t="s">
        <v>452</v>
      </c>
      <c r="O16" s="153">
        <v>1350</v>
      </c>
      <c r="P16" s="153">
        <f>+O16-O16*0.23</f>
        <v>1039.5</v>
      </c>
      <c r="Q16" s="153">
        <f>480-Q15</f>
        <v>239</v>
      </c>
      <c r="R16" s="153">
        <f t="shared" ref="R16:R19" si="4">+O16*Q16</f>
        <v>322650</v>
      </c>
      <c r="S16" s="153">
        <f t="shared" ref="S16:S19" si="5">+P16*Q16</f>
        <v>248440.5</v>
      </c>
    </row>
    <row r="17" spans="1:26" ht="13.5" thickBot="1">
      <c r="A17" s="805"/>
      <c r="B17" s="217" t="s">
        <v>694</v>
      </c>
      <c r="C17" s="218">
        <f>5247+6052</f>
        <v>11299</v>
      </c>
      <c r="D17" s="219"/>
      <c r="E17" s="225"/>
      <c r="F17" s="231">
        <f>30-9-6</f>
        <v>15</v>
      </c>
      <c r="G17" s="584" t="s">
        <v>12</v>
      </c>
      <c r="H17" s="233" t="s">
        <v>399</v>
      </c>
      <c r="I17" s="808"/>
      <c r="J17" s="216" t="str">
        <f>+'29'!J17</f>
        <v>F 12 VP OW</v>
      </c>
      <c r="K17" s="229">
        <f>+C9+C17</f>
        <v>11923</v>
      </c>
      <c r="L17" s="229"/>
      <c r="M17" s="121">
        <f>+K17+'29'!M17+L17</f>
        <v>43801</v>
      </c>
      <c r="R17" s="153">
        <f t="shared" si="4"/>
        <v>0</v>
      </c>
      <c r="S17" s="153">
        <f t="shared" si="5"/>
        <v>0</v>
      </c>
    </row>
    <row r="18" spans="1:26" ht="77.25" thickBot="1">
      <c r="A18" s="805"/>
      <c r="B18" s="217"/>
      <c r="C18" s="218"/>
      <c r="D18" s="219"/>
      <c r="E18" s="225"/>
      <c r="F18" s="231"/>
      <c r="G18" s="229"/>
      <c r="H18" s="233" t="s">
        <v>773</v>
      </c>
      <c r="I18" s="808"/>
      <c r="J18" s="216" t="str">
        <f>+'29'!J18</f>
        <v>F 16 VP OW</v>
      </c>
      <c r="K18" s="238">
        <f>+C7+C16</f>
        <v>5538</v>
      </c>
      <c r="L18" s="238"/>
      <c r="M18" s="121">
        <f>+K18+'29'!M18+L18</f>
        <v>10863</v>
      </c>
      <c r="R18" s="153">
        <f t="shared" si="4"/>
        <v>0</v>
      </c>
      <c r="S18" s="153">
        <f t="shared" si="5"/>
        <v>0</v>
      </c>
    </row>
    <row r="19" spans="1:26" ht="51.75" thickBot="1">
      <c r="A19" s="805"/>
      <c r="B19" s="217"/>
      <c r="C19" s="218"/>
      <c r="D19" s="219"/>
      <c r="E19" s="225"/>
      <c r="F19" s="234"/>
      <c r="G19" s="232"/>
      <c r="H19" s="233" t="s">
        <v>776</v>
      </c>
      <c r="I19" s="808"/>
      <c r="J19" s="216" t="str">
        <f>+'29'!J19</f>
        <v>T 13 VP OW</v>
      </c>
      <c r="K19" s="238"/>
      <c r="L19" s="238"/>
      <c r="M19" s="121">
        <f>+K19+'29'!M19+L19</f>
        <v>115144</v>
      </c>
      <c r="R19" s="153">
        <f t="shared" si="4"/>
        <v>0</v>
      </c>
      <c r="S19" s="153">
        <f t="shared" si="5"/>
        <v>0</v>
      </c>
    </row>
    <row r="20" spans="1:26" ht="13.5" thickBot="1">
      <c r="A20" s="805"/>
      <c r="B20" s="217"/>
      <c r="C20" s="218"/>
      <c r="D20" s="219"/>
      <c r="E20" s="225"/>
      <c r="F20" s="228"/>
      <c r="G20" s="232"/>
      <c r="H20" s="233"/>
      <c r="I20" s="808"/>
      <c r="J20" s="216" t="str">
        <f>+'29'!J20</f>
        <v>F 13 VP OW</v>
      </c>
      <c r="K20" s="239">
        <f>+C8</f>
        <v>8166</v>
      </c>
      <c r="L20" s="239"/>
      <c r="M20" s="121">
        <f>+K20+'29'!M20+L20</f>
        <v>12533</v>
      </c>
    </row>
    <row r="21" spans="1:26" ht="13.5" thickBot="1">
      <c r="A21" s="805"/>
      <c r="B21" s="217"/>
      <c r="C21" s="218"/>
      <c r="D21" s="219"/>
      <c r="E21" s="225"/>
      <c r="F21" s="231"/>
      <c r="G21" s="232"/>
      <c r="H21" s="233"/>
      <c r="I21" s="808"/>
      <c r="J21" s="216" t="s">
        <v>784</v>
      </c>
      <c r="K21" s="238">
        <f>+C25</f>
        <v>1470</v>
      </c>
      <c r="L21" s="238"/>
      <c r="M21" s="121">
        <f>+K21+'29'!M21+L21</f>
        <v>1470</v>
      </c>
      <c r="Q21" s="153">
        <f>SUM(Q15:Q19)</f>
        <v>480</v>
      </c>
      <c r="R21" s="153">
        <f>SUM(R15:R19)</f>
        <v>648000</v>
      </c>
      <c r="S21" s="153">
        <f>SUM(S15:S19)</f>
        <v>498960</v>
      </c>
    </row>
    <row r="22" spans="1:26" ht="13.5" thickBot="1">
      <c r="A22" s="805"/>
      <c r="B22" s="217"/>
      <c r="C22" s="218"/>
      <c r="D22" s="219"/>
      <c r="E22" s="225"/>
      <c r="F22" s="235"/>
      <c r="G22" s="232"/>
      <c r="H22" s="233"/>
      <c r="I22" s="809"/>
      <c r="J22" s="216" t="s">
        <v>785</v>
      </c>
      <c r="K22" s="238">
        <f>+C26</f>
        <v>11751</v>
      </c>
      <c r="L22" s="238"/>
      <c r="M22" s="121">
        <f>+K22+'29'!M22+L22</f>
        <v>11751</v>
      </c>
      <c r="N22" s="153" t="s">
        <v>421</v>
      </c>
      <c r="Q22" s="153">
        <f>480-Q21</f>
        <v>0</v>
      </c>
      <c r="R22" s="153">
        <f>+R21/Q21</f>
        <v>1350</v>
      </c>
      <c r="S22" s="153">
        <f>+S21/Q21</f>
        <v>1039.5</v>
      </c>
    </row>
    <row r="23" spans="1:26" ht="13.5" thickBot="1">
      <c r="A23" s="806"/>
      <c r="B23" s="169" t="s">
        <v>3</v>
      </c>
      <c r="C23" s="103">
        <f>SUM(C16:C22)</f>
        <v>14986</v>
      </c>
      <c r="D23" s="115">
        <f>SUM(D16:D22)</f>
        <v>0</v>
      </c>
      <c r="E23" s="116">
        <f>SUM(E18:E22)</f>
        <v>0</v>
      </c>
      <c r="F23" s="120">
        <f>SUM(F15:F22)</f>
        <v>30</v>
      </c>
      <c r="G23" s="163"/>
      <c r="H23" s="170"/>
      <c r="I23" s="172"/>
      <c r="J23" s="216">
        <f>+'29'!J23</f>
        <v>0</v>
      </c>
      <c r="K23" s="238"/>
      <c r="L23" s="238"/>
      <c r="M23" s="121">
        <f>+K23+'29'!M23+L23</f>
        <v>0</v>
      </c>
    </row>
    <row r="24" spans="1:26" ht="13.5" thickBot="1">
      <c r="A24" s="810"/>
      <c r="B24" s="528"/>
      <c r="C24" s="117">
        <f>C23/($C$23+$D$23+$E$23)</f>
        <v>1</v>
      </c>
      <c r="D24" s="118">
        <f>D23/($C$23+$D$23+$E$23)</f>
        <v>0</v>
      </c>
      <c r="E24" s="119">
        <f>E23/($C$23+$D$23+$E$23)</f>
        <v>0</v>
      </c>
      <c r="F24" s="235"/>
      <c r="G24" s="582" t="s">
        <v>12</v>
      </c>
      <c r="H24" s="583" t="s">
        <v>418</v>
      </c>
      <c r="I24" s="807" t="s">
        <v>777</v>
      </c>
      <c r="J24" s="216">
        <f>+'29'!J24</f>
        <v>0</v>
      </c>
      <c r="K24" s="238"/>
      <c r="L24" s="238"/>
      <c r="M24" s="121">
        <f>+K24+'29'!M24+L24</f>
        <v>0</v>
      </c>
      <c r="N24" s="153" t="s">
        <v>452</v>
      </c>
      <c r="O24" s="153">
        <v>1310</v>
      </c>
      <c r="P24" s="153">
        <f>+O24-O24*0.23</f>
        <v>1008.7</v>
      </c>
      <c r="Q24" s="153">
        <v>50</v>
      </c>
      <c r="R24" s="153">
        <f>+O24*Q24</f>
        <v>65500</v>
      </c>
      <c r="S24" s="153">
        <f>+P24*Q24</f>
        <v>50435</v>
      </c>
      <c r="U24" s="153" t="s">
        <v>452</v>
      </c>
      <c r="V24" s="153">
        <v>1350</v>
      </c>
      <c r="W24" s="153">
        <v>1039.5</v>
      </c>
      <c r="X24" s="153">
        <v>239</v>
      </c>
      <c r="Y24" s="153">
        <f>+V24*X24</f>
        <v>322650</v>
      </c>
      <c r="Z24" s="153">
        <f>+W24*X24</f>
        <v>248440.5</v>
      </c>
    </row>
    <row r="25" spans="1:26" ht="13.5" thickBot="1">
      <c r="A25" s="805"/>
      <c r="B25" s="527" t="s">
        <v>784</v>
      </c>
      <c r="C25" s="226">
        <v>1470</v>
      </c>
      <c r="D25" s="219"/>
      <c r="E25" s="225"/>
      <c r="F25" s="231">
        <v>2</v>
      </c>
      <c r="G25" s="584" t="s">
        <v>12</v>
      </c>
      <c r="H25" s="230" t="s">
        <v>571</v>
      </c>
      <c r="I25" s="808"/>
      <c r="J25" s="216">
        <f>+'29'!J25</f>
        <v>0</v>
      </c>
      <c r="K25" s="238"/>
      <c r="L25" s="238"/>
      <c r="M25" s="121">
        <f>+K25+'29'!M25+L25</f>
        <v>0</v>
      </c>
      <c r="N25" s="153" t="s">
        <v>534</v>
      </c>
      <c r="O25" s="153">
        <v>1320</v>
      </c>
      <c r="P25" s="153">
        <f>+O25-O25*0.17</f>
        <v>1095.5999999999999</v>
      </c>
      <c r="Q25" s="153">
        <f>480-Q24</f>
        <v>430</v>
      </c>
      <c r="R25" s="153">
        <f t="shared" ref="R25:R28" si="6">+O25*Q25</f>
        <v>567600</v>
      </c>
      <c r="S25" s="153">
        <f t="shared" ref="S25:S28" si="7">+P25*Q25</f>
        <v>471107.99999999994</v>
      </c>
      <c r="U25" s="153" t="s">
        <v>452</v>
      </c>
      <c r="V25" s="153">
        <v>1310</v>
      </c>
      <c r="W25" s="153">
        <v>1008.7</v>
      </c>
      <c r="X25" s="153">
        <v>50</v>
      </c>
      <c r="Y25" s="153">
        <f t="shared" ref="Y25:Y28" si="8">+V25*X25</f>
        <v>65500</v>
      </c>
      <c r="Z25" s="153">
        <f t="shared" ref="Z25:Z28" si="9">+W25*X25</f>
        <v>50435</v>
      </c>
    </row>
    <row r="26" spans="1:26" ht="13.5" thickBot="1">
      <c r="A26" s="805"/>
      <c r="B26" s="217" t="s">
        <v>785</v>
      </c>
      <c r="C26" s="226">
        <v>11751</v>
      </c>
      <c r="D26" s="219"/>
      <c r="E26" s="227"/>
      <c r="F26" s="231">
        <v>6</v>
      </c>
      <c r="G26" s="584" t="s">
        <v>12</v>
      </c>
      <c r="H26" s="233" t="s">
        <v>483</v>
      </c>
      <c r="I26" s="808"/>
      <c r="J26" s="216">
        <f>+'29'!J26</f>
        <v>0</v>
      </c>
      <c r="K26" s="238"/>
      <c r="L26" s="238"/>
      <c r="M26" s="121">
        <f>+K26+'29'!M26+L26</f>
        <v>0</v>
      </c>
      <c r="R26" s="153">
        <f t="shared" si="6"/>
        <v>0</v>
      </c>
      <c r="S26" s="153">
        <f t="shared" si="7"/>
        <v>0</v>
      </c>
      <c r="Y26" s="153">
        <f t="shared" si="8"/>
        <v>0</v>
      </c>
      <c r="Z26" s="153">
        <f t="shared" si="9"/>
        <v>0</v>
      </c>
    </row>
    <row r="27" spans="1:26" ht="90" thickBot="1">
      <c r="A27" s="805"/>
      <c r="B27" s="217"/>
      <c r="C27" s="218"/>
      <c r="D27" s="219"/>
      <c r="E27" s="225"/>
      <c r="F27" s="231"/>
      <c r="G27" s="229"/>
      <c r="H27" s="233" t="s">
        <v>771</v>
      </c>
      <c r="I27" s="808"/>
      <c r="J27" s="216">
        <f>+'29'!J27</f>
        <v>0</v>
      </c>
      <c r="K27" s="238"/>
      <c r="L27" s="238"/>
      <c r="M27" s="121">
        <f>+K27+'29'!M27+L27</f>
        <v>0</v>
      </c>
      <c r="R27" s="153">
        <f t="shared" si="6"/>
        <v>0</v>
      </c>
      <c r="S27" s="153">
        <f t="shared" si="7"/>
        <v>0</v>
      </c>
      <c r="Y27" s="153">
        <f t="shared" si="8"/>
        <v>0</v>
      </c>
      <c r="Z27" s="153">
        <f t="shared" si="9"/>
        <v>0</v>
      </c>
    </row>
    <row r="28" spans="1:26" ht="64.5" thickBot="1">
      <c r="A28" s="805"/>
      <c r="B28" s="217"/>
      <c r="C28" s="218"/>
      <c r="D28" s="219"/>
      <c r="E28" s="225"/>
      <c r="F28" s="231"/>
      <c r="G28" s="229"/>
      <c r="H28" s="233" t="s">
        <v>772</v>
      </c>
      <c r="I28" s="808"/>
      <c r="J28" s="216">
        <f>+'29'!J28</f>
        <v>0</v>
      </c>
      <c r="K28" s="238"/>
      <c r="L28" s="238"/>
      <c r="M28" s="121">
        <f>+K28+'29'!M28+L28</f>
        <v>0</v>
      </c>
      <c r="R28" s="153">
        <f t="shared" si="6"/>
        <v>0</v>
      </c>
      <c r="S28" s="153">
        <f t="shared" si="7"/>
        <v>0</v>
      </c>
      <c r="Y28" s="153">
        <f t="shared" si="8"/>
        <v>0</v>
      </c>
      <c r="Z28" s="153">
        <f t="shared" si="9"/>
        <v>0</v>
      </c>
    </row>
    <row r="29" spans="1:26" ht="13.5" thickBot="1">
      <c r="A29" s="805"/>
      <c r="B29" s="217"/>
      <c r="C29" s="218"/>
      <c r="D29" s="219"/>
      <c r="E29" s="225"/>
      <c r="F29" s="235"/>
      <c r="G29" s="232"/>
      <c r="H29" s="233"/>
      <c r="I29" s="808"/>
      <c r="J29" s="216">
        <f>+'29'!J29</f>
        <v>0</v>
      </c>
      <c r="K29" s="238"/>
      <c r="L29" s="238"/>
      <c r="M29" s="121">
        <f>+K29+'29'!M29+L29</f>
        <v>0</v>
      </c>
    </row>
    <row r="30" spans="1:26" ht="13.5" thickBot="1">
      <c r="A30" s="805"/>
      <c r="B30" s="217"/>
      <c r="C30" s="226"/>
      <c r="D30" s="219"/>
      <c r="E30" s="225"/>
      <c r="F30" s="235"/>
      <c r="G30" s="232"/>
      <c r="H30" s="233"/>
      <c r="I30" s="808"/>
      <c r="J30" s="216">
        <f>+'29'!J30</f>
        <v>0</v>
      </c>
      <c r="K30" s="238"/>
      <c r="L30" s="238"/>
      <c r="M30" s="121">
        <f>+K30+'29'!M30+L30</f>
        <v>0</v>
      </c>
      <c r="Q30" s="153">
        <f>SUM(Q24:Q28)</f>
        <v>480</v>
      </c>
      <c r="R30" s="153">
        <f>SUM(R24:R28)</f>
        <v>633100</v>
      </c>
      <c r="S30" s="153">
        <f>SUM(S24:S28)</f>
        <v>521542.99999999994</v>
      </c>
      <c r="X30" s="153">
        <f>SUM(X24:X28)</f>
        <v>289</v>
      </c>
      <c r="Y30" s="153">
        <f>SUM(Y24:Y28)</f>
        <v>388150</v>
      </c>
      <c r="Z30" s="153">
        <f>SUM(Z24:Z28)</f>
        <v>298875.5</v>
      </c>
    </row>
    <row r="31" spans="1:26" ht="13.5" thickBot="1">
      <c r="A31" s="805"/>
      <c r="B31" s="217"/>
      <c r="C31" s="226"/>
      <c r="D31" s="219"/>
      <c r="E31" s="225"/>
      <c r="F31" s="235"/>
      <c r="G31" s="236"/>
      <c r="H31" s="413"/>
      <c r="I31" s="809"/>
      <c r="J31" s="216">
        <f>+'29'!J31</f>
        <v>0</v>
      </c>
      <c r="K31" s="238"/>
      <c r="L31" s="238"/>
      <c r="M31" s="121">
        <f>+K31+'29'!M31+L31</f>
        <v>0</v>
      </c>
      <c r="N31" s="153" t="s">
        <v>421</v>
      </c>
      <c r="Q31" s="153">
        <f>480-Q30</f>
        <v>0</v>
      </c>
      <c r="R31" s="153">
        <f>+R30/Q30</f>
        <v>1318.9583333333333</v>
      </c>
      <c r="S31" s="153">
        <f>+S30/Q30</f>
        <v>1086.5479166666667</v>
      </c>
      <c r="U31" s="153" t="s">
        <v>421</v>
      </c>
      <c r="X31" s="153">
        <f>480-X30</f>
        <v>191</v>
      </c>
      <c r="Y31" s="153">
        <f>+Y30/X30</f>
        <v>1343.0795847750865</v>
      </c>
      <c r="Z31" s="153">
        <f>+Z30/X30</f>
        <v>1034.1712802768166</v>
      </c>
    </row>
    <row r="32" spans="1:26" ht="13.5" thickBot="1">
      <c r="A32" s="806"/>
      <c r="B32" s="169" t="s">
        <v>3</v>
      </c>
      <c r="C32" s="103">
        <f>SUM(C25:C31)</f>
        <v>13221</v>
      </c>
      <c r="D32" s="104">
        <f>SUM(D25:D31)</f>
        <v>0</v>
      </c>
      <c r="E32" s="105">
        <f>SUM(E25:E31)</f>
        <v>0</v>
      </c>
      <c r="F32" s="103">
        <f>SUM(F24:F31)</f>
        <v>8</v>
      </c>
      <c r="G32" s="173"/>
      <c r="H32" s="174"/>
      <c r="I32" s="172"/>
      <c r="J32" s="216">
        <f>+'29'!J32</f>
        <v>0</v>
      </c>
      <c r="K32" s="240"/>
      <c r="L32" s="242"/>
      <c r="M32" s="121">
        <f>+K32+'29'!M32+L32</f>
        <v>0</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38848</v>
      </c>
      <c r="D34" s="111">
        <f>D14+D23+D32</f>
        <v>0</v>
      </c>
      <c r="E34" s="111">
        <f>E14+E23+E32</f>
        <v>0</v>
      </c>
      <c r="F34" s="112">
        <f>F14+F23+F32</f>
        <v>73</v>
      </c>
      <c r="H34" s="180"/>
      <c r="I34" s="180"/>
      <c r="J34" s="127" t="s">
        <v>28</v>
      </c>
      <c r="K34" s="128">
        <f>SUM(K7:K32)</f>
        <v>38848</v>
      </c>
      <c r="L34" s="214">
        <f>SUM(L7:L32)</f>
        <v>0</v>
      </c>
      <c r="M34" s="124">
        <f>SUM(M7:M32)</f>
        <v>865298</v>
      </c>
      <c r="N34" s="159"/>
    </row>
    <row r="35" spans="1:17" ht="13.5" thickBot="1">
      <c r="A35" s="181"/>
      <c r="B35" s="182"/>
      <c r="C35" s="108">
        <f>C34/($C$34+$D$34+$E$34)</f>
        <v>1</v>
      </c>
      <c r="D35" s="108">
        <f>D34/($C$34+$D$34+$E$34)</f>
        <v>0</v>
      </c>
      <c r="E35" s="113">
        <f>E34/($C$34+$D$34+$E$34)</f>
        <v>0</v>
      </c>
      <c r="K35" s="159"/>
      <c r="N35" s="153" t="s">
        <v>669</v>
      </c>
      <c r="O35" s="153">
        <v>1330</v>
      </c>
      <c r="P35" s="153">
        <v>997.5</v>
      </c>
      <c r="Q35" s="153">
        <v>81</v>
      </c>
    </row>
    <row r="36" spans="1:17" ht="13.5" thickBot="1">
      <c r="A36" s="180"/>
      <c r="B36" s="180"/>
      <c r="C36" s="159"/>
      <c r="D36" s="159"/>
      <c r="E36" s="159"/>
      <c r="G36" s="159"/>
      <c r="H36" s="183"/>
      <c r="I36" s="166" t="s">
        <v>38</v>
      </c>
      <c r="J36" s="166" t="s">
        <v>39</v>
      </c>
      <c r="K36" s="184"/>
      <c r="N36" s="153" t="s">
        <v>653</v>
      </c>
      <c r="O36" s="153">
        <v>1340.9545454545455</v>
      </c>
      <c r="P36" s="153">
        <v>1020.5045454545455</v>
      </c>
      <c r="Q36" s="153">
        <v>440</v>
      </c>
    </row>
    <row r="37" spans="1:17" ht="17.45" customHeight="1" thickBot="1">
      <c r="A37" s="813" t="s">
        <v>70</v>
      </c>
      <c r="B37" s="814"/>
      <c r="C37" s="166" t="s">
        <v>71</v>
      </c>
      <c r="D37" s="185" t="s">
        <v>72</v>
      </c>
      <c r="E37" s="186" t="s">
        <v>73</v>
      </c>
      <c r="F37" s="311"/>
      <c r="G37" s="313"/>
      <c r="H37" s="188" t="s">
        <v>74</v>
      </c>
      <c r="I37" s="243">
        <f>(13*81+12*440+16*200+14*289+13.5*430)/1440*G42*2.7*1440/1000000</f>
        <v>54.492167535000007</v>
      </c>
      <c r="J37" s="129">
        <f>+I37+'29'!J37</f>
        <v>1070.0560144888293</v>
      </c>
      <c r="K37" s="130" t="s">
        <v>75</v>
      </c>
      <c r="N37" s="153" t="s">
        <v>685</v>
      </c>
      <c r="O37" s="153">
        <v>1330</v>
      </c>
      <c r="P37" s="153">
        <v>997.5</v>
      </c>
      <c r="Q37" s="153">
        <v>200</v>
      </c>
    </row>
    <row r="38" spans="1:17" ht="17.45" customHeight="1">
      <c r="A38" s="797" t="s">
        <v>12</v>
      </c>
      <c r="B38" s="798"/>
      <c r="C38" s="168">
        <f>SUMIF($G$7:$G$31,"Process",$F$7:$F$31)</f>
        <v>53</v>
      </c>
      <c r="D38" s="122">
        <f>C38+'29'!D38</f>
        <v>1848</v>
      </c>
      <c r="E38" s="147">
        <f t="shared" ref="E38:E52" si="10">D38/60</f>
        <v>30.8</v>
      </c>
      <c r="F38" s="311">
        <v>1330</v>
      </c>
      <c r="G38" s="311">
        <v>997.5</v>
      </c>
      <c r="H38" s="189" t="s">
        <v>76</v>
      </c>
      <c r="I38" s="244">
        <f>15.009+14.907+17.665</f>
        <v>47.581000000000003</v>
      </c>
      <c r="J38" s="131">
        <f>+I38+'29'!J38</f>
        <v>939.66200000000015</v>
      </c>
      <c r="K38" s="132" t="s">
        <v>75</v>
      </c>
      <c r="N38" s="153" t="s">
        <v>452</v>
      </c>
      <c r="O38" s="153">
        <v>1343.0795847750865</v>
      </c>
      <c r="P38" s="153">
        <v>1034.1712802768166</v>
      </c>
      <c r="Q38" s="153">
        <v>289</v>
      </c>
    </row>
    <row r="39" spans="1:17" ht="17.45" customHeight="1">
      <c r="A39" s="799" t="s">
        <v>13</v>
      </c>
      <c r="B39" s="800"/>
      <c r="C39" s="168">
        <f>SUMIF($G$7:$G$31,"Cleaning",$F$7:$F$31)</f>
        <v>0</v>
      </c>
      <c r="D39" s="122">
        <f>C39+'29'!D39</f>
        <v>0</v>
      </c>
      <c r="E39" s="147">
        <f t="shared" si="10"/>
        <v>0</v>
      </c>
      <c r="F39" s="311">
        <v>1350</v>
      </c>
      <c r="G39" s="311">
        <v>1039.5</v>
      </c>
      <c r="H39" s="189" t="s">
        <v>77</v>
      </c>
      <c r="I39" s="146"/>
      <c r="J39" s="133">
        <f>J37/G4</f>
        <v>35.668533816294307</v>
      </c>
      <c r="K39" s="134" t="s">
        <v>75</v>
      </c>
      <c r="N39" s="153" t="s">
        <v>534</v>
      </c>
      <c r="O39" s="153">
        <v>1320</v>
      </c>
      <c r="P39" s="153">
        <v>1095.5999999999999</v>
      </c>
      <c r="Q39" s="153">
        <v>430</v>
      </c>
    </row>
    <row r="40" spans="1:17" ht="17.45" customHeight="1">
      <c r="A40" s="799" t="s">
        <v>78</v>
      </c>
      <c r="B40" s="800"/>
      <c r="C40" s="168">
        <f>SUMIF($G$7:$G$31,"Mechanical",$F$7:$F$31)</f>
        <v>0</v>
      </c>
      <c r="D40" s="122">
        <f>C40+'29'!D40</f>
        <v>152</v>
      </c>
      <c r="E40" s="147">
        <f t="shared" si="10"/>
        <v>2.5333333333333332</v>
      </c>
      <c r="F40" s="311">
        <v>1318.9583333333333</v>
      </c>
      <c r="G40" s="311">
        <v>1086.5479166666667</v>
      </c>
      <c r="H40" s="189" t="s">
        <v>79</v>
      </c>
      <c r="I40" s="122">
        <f>(K34+L34)/1000</f>
        <v>38.847999999999999</v>
      </c>
      <c r="J40" s="135">
        <f>+I40+'29'!J40</f>
        <v>865.29799999999989</v>
      </c>
      <c r="K40" s="134" t="s">
        <v>75</v>
      </c>
      <c r="Q40" s="153">
        <f>+Q35+Q36+Q37+Q38+Q39</f>
        <v>1440</v>
      </c>
    </row>
    <row r="41" spans="1:17" ht="17.45" customHeight="1">
      <c r="A41" s="799" t="s">
        <v>80</v>
      </c>
      <c r="B41" s="800"/>
      <c r="C41" s="168">
        <f>SUMIF($G$7:$G$31,"Electrical",$F$7:$F$31)</f>
        <v>0</v>
      </c>
      <c r="D41" s="122">
        <f>C41+'29'!D41</f>
        <v>70</v>
      </c>
      <c r="E41" s="147">
        <f t="shared" si="10"/>
        <v>1.1666666666666667</v>
      </c>
      <c r="F41" s="311"/>
      <c r="G41" s="311"/>
      <c r="H41" s="189" t="s">
        <v>81</v>
      </c>
      <c r="I41" s="146"/>
      <c r="J41" s="133">
        <f>J40/G4</f>
        <v>28.843266666666661</v>
      </c>
      <c r="K41" s="134" t="s">
        <v>75</v>
      </c>
    </row>
    <row r="42" spans="1:17" ht="17.45" customHeight="1">
      <c r="A42" s="799" t="s">
        <v>16</v>
      </c>
      <c r="B42" s="800"/>
      <c r="C42" s="168">
        <f>SUMIF($G$7:$G$31,"Instrument",$F$7:$F$31)</f>
        <v>0</v>
      </c>
      <c r="D42" s="122">
        <f>C42+'29'!D42</f>
        <v>0</v>
      </c>
      <c r="E42" s="147">
        <f t="shared" si="10"/>
        <v>0</v>
      </c>
      <c r="F42" s="187">
        <f>+(F38*480+F39*480+F40*480)/1440</f>
        <v>1332.9861111111111</v>
      </c>
      <c r="G42" s="187">
        <f>+(G38*480+G39*480+G40*480)/1440</f>
        <v>1041.182638888889</v>
      </c>
      <c r="H42" s="189" t="s">
        <v>82</v>
      </c>
      <c r="I42" s="245" t="s">
        <v>779</v>
      </c>
      <c r="J42" s="136"/>
      <c r="K42" s="134" t="s">
        <v>83</v>
      </c>
    </row>
    <row r="43" spans="1:17" ht="17.45" customHeight="1">
      <c r="A43" s="799" t="s">
        <v>84</v>
      </c>
      <c r="B43" s="800"/>
      <c r="C43" s="168">
        <f>SUMIF($G$7:$G$31,"Water",$F$7:$F$31)</f>
        <v>0</v>
      </c>
      <c r="D43" s="122">
        <f>C43+'29'!D43</f>
        <v>0</v>
      </c>
      <c r="E43" s="147">
        <f t="shared" si="10"/>
        <v>0</v>
      </c>
      <c r="F43" s="311"/>
      <c r="G43" s="312"/>
      <c r="H43" s="190" t="s">
        <v>85</v>
      </c>
      <c r="I43" s="122">
        <f>+Report1!Z38</f>
        <v>93.2</v>
      </c>
      <c r="J43" s="137">
        <f>+I43+'29'!J43</f>
        <v>2043.0000000000002</v>
      </c>
      <c r="K43" s="134" t="s">
        <v>75</v>
      </c>
      <c r="L43" s="191"/>
    </row>
    <row r="44" spans="1:17" ht="17.45" customHeight="1">
      <c r="A44" s="799" t="s">
        <v>17</v>
      </c>
      <c r="B44" s="800"/>
      <c r="C44" s="168">
        <f>SUMIF($G$7:$G$31,"PLN",$F$7:$F$31)</f>
        <v>0</v>
      </c>
      <c r="D44" s="122">
        <f>C44+'29'!D44</f>
        <v>0</v>
      </c>
      <c r="E44" s="147">
        <f t="shared" si="10"/>
        <v>0</v>
      </c>
      <c r="F44" s="311"/>
      <c r="G44" s="312"/>
      <c r="H44" s="190" t="s">
        <v>86</v>
      </c>
      <c r="I44" s="122">
        <f>I43/I38</f>
        <v>1.9587650532775687</v>
      </c>
      <c r="J44" s="138">
        <f>J43/J38</f>
        <v>2.1741860371069595</v>
      </c>
      <c r="K44" s="134" t="s">
        <v>75</v>
      </c>
    </row>
    <row r="45" spans="1:17" ht="17.45" customHeight="1">
      <c r="A45" s="799" t="s">
        <v>18</v>
      </c>
      <c r="B45" s="800"/>
      <c r="C45" s="168">
        <f>SUMIF($G$7:$G$31,"Boiler",$F$7:$F$31)</f>
        <v>0</v>
      </c>
      <c r="D45" s="122">
        <f>C45+'29'!D45</f>
        <v>0</v>
      </c>
      <c r="E45" s="147">
        <f t="shared" si="10"/>
        <v>0</v>
      </c>
      <c r="F45" s="311"/>
      <c r="G45" s="314"/>
      <c r="H45" s="190" t="s">
        <v>87</v>
      </c>
      <c r="I45" s="122">
        <f>I43/I40</f>
        <v>2.3990939044481054</v>
      </c>
      <c r="J45" s="138">
        <f>J43/J40</f>
        <v>2.3610363135012453</v>
      </c>
      <c r="K45" s="134" t="s">
        <v>75</v>
      </c>
    </row>
    <row r="46" spans="1:17" ht="17.45" customHeight="1">
      <c r="A46" s="799" t="s">
        <v>88</v>
      </c>
      <c r="B46" s="800"/>
      <c r="C46" s="168">
        <f>SUMIF($G$7:$G$31,"Gas",$F$7:$F$31)</f>
        <v>0</v>
      </c>
      <c r="D46" s="122">
        <f>C46+'29'!D46</f>
        <v>0</v>
      </c>
      <c r="E46" s="147">
        <f t="shared" si="10"/>
        <v>0</v>
      </c>
      <c r="F46" s="311"/>
      <c r="G46" s="312"/>
      <c r="H46" s="190" t="s">
        <v>89</v>
      </c>
      <c r="I46" s="144">
        <f>+SUMIF(Listrik!X37,"&gt;0")</f>
        <v>37793.78000000005</v>
      </c>
      <c r="J46" s="139">
        <f>+I46+'29'!J46</f>
        <v>902168.69240000029</v>
      </c>
      <c r="K46" s="134" t="s">
        <v>90</v>
      </c>
    </row>
    <row r="47" spans="1:17" ht="17.45" customHeight="1">
      <c r="A47" s="799" t="s">
        <v>91</v>
      </c>
      <c r="B47" s="800"/>
      <c r="C47" s="168">
        <f>SUMIF($G$7:$G$31,"Gas",$F$7:$F$31)</f>
        <v>0</v>
      </c>
      <c r="D47" s="122">
        <f>C47+'29'!D47</f>
        <v>0</v>
      </c>
      <c r="E47" s="147">
        <f t="shared" si="10"/>
        <v>0</v>
      </c>
      <c r="F47" s="311"/>
      <c r="G47" s="312"/>
      <c r="H47" s="190" t="s">
        <v>92</v>
      </c>
      <c r="I47" s="122">
        <f>I46/I38</f>
        <v>794.3040289191074</v>
      </c>
      <c r="J47" s="139">
        <f>J46/J38</f>
        <v>960.09915522815663</v>
      </c>
      <c r="K47" s="134" t="s">
        <v>24</v>
      </c>
    </row>
    <row r="48" spans="1:17" ht="17.45" customHeight="1">
      <c r="A48" s="799" t="s">
        <v>14</v>
      </c>
      <c r="B48" s="800"/>
      <c r="C48" s="168">
        <f>SUMIF($G$7:$G$31,"Start Up",$F$7:$F$31)</f>
        <v>0</v>
      </c>
      <c r="D48" s="122">
        <f>C48+'29'!D48</f>
        <v>0</v>
      </c>
      <c r="E48" s="147">
        <f t="shared" si="10"/>
        <v>0</v>
      </c>
      <c r="F48" s="311"/>
      <c r="G48" s="312"/>
      <c r="H48" s="190" t="s">
        <v>93</v>
      </c>
      <c r="I48" s="122">
        <f>I46/I40</f>
        <v>972.8629530477773</v>
      </c>
      <c r="J48" s="139">
        <f>J46/J40</f>
        <v>1042.6103982674181</v>
      </c>
      <c r="K48" s="134" t="s">
        <v>24</v>
      </c>
    </row>
    <row r="49" spans="1:11" ht="17.45" customHeight="1">
      <c r="A49" s="799" t="s">
        <v>20</v>
      </c>
      <c r="B49" s="800"/>
      <c r="C49" s="168">
        <f>SUMIF($G$7:$G$31,"Others",$F$7:$F$31)</f>
        <v>20</v>
      </c>
      <c r="D49" s="122">
        <f>C49+'29'!D49</f>
        <v>11919</v>
      </c>
      <c r="E49" s="147">
        <f t="shared" si="10"/>
        <v>198.65</v>
      </c>
      <c r="F49" s="187"/>
      <c r="H49" s="190" t="s">
        <v>279</v>
      </c>
      <c r="I49" s="122">
        <f>+Report1!T38</f>
        <v>4105.0038781659259</v>
      </c>
      <c r="J49" s="139">
        <f>+I49+'29'!J49</f>
        <v>85467.325402214294</v>
      </c>
      <c r="K49" s="134" t="s">
        <v>94</v>
      </c>
    </row>
    <row r="50" spans="1:11" ht="17.45" customHeight="1">
      <c r="A50" s="799" t="s">
        <v>19</v>
      </c>
      <c r="B50" s="800"/>
      <c r="C50" s="168">
        <f>SUMIF($G$7:$G$31,"Steam",$F$7:$F$31)</f>
        <v>0</v>
      </c>
      <c r="D50" s="122">
        <f>C50+'29'!D50</f>
        <v>0</v>
      </c>
      <c r="E50" s="147">
        <f t="shared" si="10"/>
        <v>0</v>
      </c>
      <c r="F50" s="187"/>
      <c r="H50" s="190" t="s">
        <v>95</v>
      </c>
      <c r="I50" s="144">
        <f>I49/I38</f>
        <v>86.274014378973234</v>
      </c>
      <c r="J50" s="137">
        <f>J49/J38</f>
        <v>90.955391834738748</v>
      </c>
      <c r="K50" s="134" t="s">
        <v>94</v>
      </c>
    </row>
    <row r="51" spans="1:11" ht="17.45" customHeight="1">
      <c r="A51" s="801" t="s">
        <v>96</v>
      </c>
      <c r="B51" s="801"/>
      <c r="C51" s="168">
        <f>SUMIF($G$7:$G$31,"Planned shut",$F$7:$F$31)</f>
        <v>0</v>
      </c>
      <c r="D51" s="122">
        <f>C51+'29'!D51</f>
        <v>0</v>
      </c>
      <c r="E51" s="147">
        <f t="shared" si="10"/>
        <v>0</v>
      </c>
      <c r="F51" s="187"/>
      <c r="H51" s="192" t="s">
        <v>97</v>
      </c>
      <c r="I51" s="145">
        <f>I49/I40</f>
        <v>105.66834529875221</v>
      </c>
      <c r="J51" s="140">
        <f>J49/J40</f>
        <v>98.772128679615932</v>
      </c>
      <c r="K51" s="141" t="s">
        <v>94</v>
      </c>
    </row>
    <row r="52" spans="1:11" ht="13.5" thickBot="1">
      <c r="A52" s="802" t="s">
        <v>229</v>
      </c>
      <c r="B52" s="803"/>
      <c r="C52" s="168">
        <f>SUMIF($G$7:$G$31,"Change Grade",$F$7:$F$31)</f>
        <v>0</v>
      </c>
      <c r="D52" s="122">
        <f>C52+'29'!D52</f>
        <v>0</v>
      </c>
      <c r="E52" s="147">
        <f t="shared" si="10"/>
        <v>0</v>
      </c>
      <c r="F52" s="187"/>
      <c r="H52" s="193"/>
      <c r="I52" s="194"/>
      <c r="J52" s="142"/>
      <c r="K52" s="143"/>
    </row>
    <row r="53" spans="1:11">
      <c r="A53" s="797" t="s">
        <v>28</v>
      </c>
      <c r="B53" s="798"/>
      <c r="C53" s="148">
        <f>SUM(C38:C52)</f>
        <v>73</v>
      </c>
      <c r="D53" s="148">
        <f>SUM(D38:D52)</f>
        <v>13989</v>
      </c>
      <c r="E53" s="149">
        <f>SUM(E38:E52)</f>
        <v>233.15</v>
      </c>
      <c r="F53" s="187"/>
    </row>
    <row r="54" spans="1:11" ht="13.5" thickBot="1">
      <c r="A54" s="795"/>
      <c r="B54" s="796"/>
      <c r="C54" s="150">
        <f>C53/(24*60)</f>
        <v>5.0694444444444445E-2</v>
      </c>
      <c r="D54" s="150">
        <f>D53/(24*60*G4)</f>
        <v>0.32381944444444444</v>
      </c>
      <c r="E54" s="151">
        <f>E53/(G4*24)</f>
        <v>0.32381944444444444</v>
      </c>
      <c r="F54" s="187"/>
    </row>
    <row r="55" spans="1:11">
      <c r="E55" s="195"/>
    </row>
    <row r="56" spans="1:11">
      <c r="A56" s="196" t="s">
        <v>98</v>
      </c>
      <c r="B56" s="197"/>
      <c r="C56" s="198"/>
      <c r="D56" s="198"/>
      <c r="E56" s="198"/>
      <c r="F56" s="199"/>
      <c r="G56" s="198"/>
      <c r="H56" s="200"/>
      <c r="I56" s="201" t="s">
        <v>99</v>
      </c>
      <c r="J56" s="202">
        <f>+D34+'29'!J56</f>
        <v>5452</v>
      </c>
      <c r="K56" s="203">
        <f>J56/(J40+J56/1000)/1000</f>
        <v>6.2612690209589445E-3</v>
      </c>
    </row>
    <row r="57" spans="1:11">
      <c r="A57" s="178"/>
      <c r="I57" s="201" t="s">
        <v>100</v>
      </c>
      <c r="J57" s="202">
        <f>+E34+'29'!J57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5625" right="0.19513888888888889" top="0.39027777777777778" bottom="0.39027777777777778" header="0" footer="0"/>
  <pageSetup paperSize="9" scale="42"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B13" zoomScale="80" zoomScaleNormal="80" zoomScaleSheetLayoutView="80" workbookViewId="0">
      <selection activeCell="H19" sqref="H19"/>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29</v>
      </c>
      <c r="H4" s="158" t="str">
        <f>+'1'!H4</f>
        <v>.10.25</v>
      </c>
      <c r="J4" s="153">
        <f>312+356+322</f>
        <v>990</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669</v>
      </c>
      <c r="O6" s="153">
        <v>1310</v>
      </c>
      <c r="P6" s="153">
        <f>+O6-O6*0.23</f>
        <v>1008.7</v>
      </c>
      <c r="Q6" s="153">
        <f>60*5+20</f>
        <v>320</v>
      </c>
      <c r="R6" s="153">
        <f>+O6*Q6</f>
        <v>419200</v>
      </c>
      <c r="S6" s="153">
        <f>+P6*Q6</f>
        <v>322784</v>
      </c>
      <c r="U6" s="153" t="s">
        <v>669</v>
      </c>
      <c r="V6" s="153">
        <v>1310</v>
      </c>
      <c r="W6" s="153">
        <f>+V6-V6*0.23</f>
        <v>1008.7</v>
      </c>
      <c r="X6" s="153">
        <f>60*5+20</f>
        <v>320</v>
      </c>
      <c r="Y6" s="153">
        <f>+V6*X6</f>
        <v>419200</v>
      </c>
      <c r="Z6" s="153">
        <f>+W6*X6</f>
        <v>322784</v>
      </c>
    </row>
    <row r="7" spans="1:26" ht="13.5" customHeight="1" thickBot="1">
      <c r="A7" s="804"/>
      <c r="B7" s="217" t="s">
        <v>678</v>
      </c>
      <c r="C7" s="218">
        <v>14412</v>
      </c>
      <c r="D7" s="219"/>
      <c r="E7" s="220"/>
      <c r="F7" s="235"/>
      <c r="G7" s="582" t="s">
        <v>12</v>
      </c>
      <c r="H7" s="583" t="s">
        <v>418</v>
      </c>
      <c r="I7" s="807" t="s">
        <v>763</v>
      </c>
      <c r="J7" s="216" t="str">
        <f>+'28'!J7</f>
        <v>TW 17 RC HW</v>
      </c>
      <c r="K7" s="237"/>
      <c r="L7" s="241"/>
      <c r="M7" s="121">
        <f>+K7+'28'!M7+L7</f>
        <v>3364</v>
      </c>
      <c r="O7" s="153">
        <v>1320</v>
      </c>
      <c r="P7" s="153">
        <f t="shared" ref="P7:P8" si="0">+O7-O7*0.23</f>
        <v>1016.4</v>
      </c>
      <c r="Q7" s="153">
        <f>480-Q6</f>
        <v>160</v>
      </c>
      <c r="R7" s="153">
        <f t="shared" ref="R7:R10" si="1">+O7*Q7</f>
        <v>211200</v>
      </c>
      <c r="S7" s="153">
        <f t="shared" ref="S7:S10" si="2">+P7*Q7</f>
        <v>162624</v>
      </c>
      <c r="V7" s="153">
        <v>1320</v>
      </c>
      <c r="W7" s="153">
        <f t="shared" ref="W7" si="3">+V7-V7*0.23</f>
        <v>1016.4</v>
      </c>
      <c r="X7" s="153">
        <f>480-X6</f>
        <v>160</v>
      </c>
      <c r="Y7" s="153">
        <f t="shared" ref="Y7:Y10" si="4">+V7*X7</f>
        <v>211200</v>
      </c>
      <c r="Z7" s="153">
        <f t="shared" ref="Z7:Z10" si="5">+W7*X7</f>
        <v>162624</v>
      </c>
    </row>
    <row r="8" spans="1:26" ht="13.5" thickBot="1">
      <c r="A8" s="805"/>
      <c r="B8" s="217"/>
      <c r="C8" s="218"/>
      <c r="D8" s="219"/>
      <c r="E8" s="221"/>
      <c r="F8" s="231">
        <v>3</v>
      </c>
      <c r="G8" s="584" t="s">
        <v>12</v>
      </c>
      <c r="H8" s="230" t="s">
        <v>398</v>
      </c>
      <c r="I8" s="808"/>
      <c r="J8" s="216" t="str">
        <f>+'28'!J8</f>
        <v>T 14 VP OW</v>
      </c>
      <c r="K8" s="238"/>
      <c r="L8" s="238"/>
      <c r="M8" s="121">
        <f>+K8+'28'!M8+L8</f>
        <v>23832</v>
      </c>
      <c r="P8" s="153">
        <f t="shared" si="0"/>
        <v>0</v>
      </c>
      <c r="R8" s="153">
        <f t="shared" si="1"/>
        <v>0</v>
      </c>
      <c r="S8" s="153">
        <f t="shared" si="2"/>
        <v>0</v>
      </c>
      <c r="U8" s="153" t="s">
        <v>669</v>
      </c>
      <c r="V8" s="153">
        <v>1320</v>
      </c>
      <c r="W8" s="153">
        <v>1016.4</v>
      </c>
      <c r="X8" s="153">
        <v>480</v>
      </c>
      <c r="Y8" s="153">
        <f t="shared" si="4"/>
        <v>633600</v>
      </c>
      <c r="Z8" s="153">
        <f t="shared" si="5"/>
        <v>487872</v>
      </c>
    </row>
    <row r="9" spans="1:26" ht="13.5" thickBot="1">
      <c r="A9" s="805"/>
      <c r="B9" s="217"/>
      <c r="C9" s="218"/>
      <c r="D9" s="219"/>
      <c r="E9" s="222"/>
      <c r="F9" s="231">
        <v>5</v>
      </c>
      <c r="G9" s="584" t="s">
        <v>12</v>
      </c>
      <c r="H9" s="233" t="s">
        <v>528</v>
      </c>
      <c r="I9" s="808"/>
      <c r="J9" s="216" t="str">
        <f>+'28'!J9</f>
        <v>T 14,5 VP OW</v>
      </c>
      <c r="K9" s="238"/>
      <c r="L9" s="238"/>
      <c r="M9" s="121">
        <f>+K9+'28'!M9+L9</f>
        <v>224658</v>
      </c>
      <c r="R9" s="153">
        <f t="shared" si="1"/>
        <v>0</v>
      </c>
      <c r="S9" s="153">
        <f t="shared" si="2"/>
        <v>0</v>
      </c>
      <c r="U9" s="153" t="s">
        <v>669</v>
      </c>
      <c r="V9" s="153">
        <v>1320</v>
      </c>
      <c r="W9" s="153">
        <v>1016.4</v>
      </c>
      <c r="X9" s="153">
        <v>125</v>
      </c>
      <c r="Y9" s="153">
        <f t="shared" si="4"/>
        <v>165000</v>
      </c>
      <c r="Z9" s="153">
        <f t="shared" si="5"/>
        <v>127050</v>
      </c>
    </row>
    <row r="10" spans="1:26" ht="51.75" thickBot="1">
      <c r="A10" s="805"/>
      <c r="B10" s="217"/>
      <c r="C10" s="218"/>
      <c r="D10" s="219"/>
      <c r="E10" s="221"/>
      <c r="F10" s="231"/>
      <c r="G10" s="229"/>
      <c r="H10" s="233" t="s">
        <v>756</v>
      </c>
      <c r="I10" s="808"/>
      <c r="J10" s="216" t="str">
        <f>+'28'!J10</f>
        <v>T 13,5 VP OW</v>
      </c>
      <c r="K10" s="238"/>
      <c r="L10" s="238"/>
      <c r="M10" s="121">
        <f>+K10+'28'!M10+L10</f>
        <v>39850</v>
      </c>
      <c r="R10" s="153">
        <f t="shared" si="1"/>
        <v>0</v>
      </c>
      <c r="S10" s="153">
        <f t="shared" si="2"/>
        <v>0</v>
      </c>
      <c r="Y10" s="153">
        <f t="shared" si="4"/>
        <v>0</v>
      </c>
      <c r="Z10" s="153">
        <f t="shared" si="5"/>
        <v>0</v>
      </c>
    </row>
    <row r="11" spans="1:26" ht="51.75" thickBot="1">
      <c r="A11" s="805"/>
      <c r="B11" s="217"/>
      <c r="C11" s="218"/>
      <c r="D11" s="219"/>
      <c r="E11" s="221"/>
      <c r="F11" s="228">
        <v>14</v>
      </c>
      <c r="G11" s="232" t="s">
        <v>20</v>
      </c>
      <c r="H11" s="233" t="s">
        <v>757</v>
      </c>
      <c r="I11" s="808"/>
      <c r="J11" s="216" t="str">
        <f>+'28'!J11</f>
        <v>T 16,5 VP OW</v>
      </c>
      <c r="K11" s="238"/>
      <c r="L11" s="238"/>
      <c r="M11" s="121">
        <f>+K11+'28'!M11+L11</f>
        <v>9927</v>
      </c>
      <c r="P11" s="153">
        <f t="shared" ref="P11" si="6">+O11-O11*0.17</f>
        <v>0</v>
      </c>
      <c r="W11" s="153">
        <f t="shared" ref="W11" si="7">+V11-V11*0.17</f>
        <v>0</v>
      </c>
    </row>
    <row r="12" spans="1:26" ht="13.5" thickBot="1">
      <c r="A12" s="805"/>
      <c r="B12" s="217"/>
      <c r="C12" s="218"/>
      <c r="D12" s="219"/>
      <c r="E12" s="221"/>
      <c r="F12" s="228"/>
      <c r="G12" s="232"/>
      <c r="H12" s="233"/>
      <c r="I12" s="808"/>
      <c r="J12" s="216" t="str">
        <f>+'28'!J12</f>
        <v>T 12,5 VP OW</v>
      </c>
      <c r="K12" s="238"/>
      <c r="L12" s="238"/>
      <c r="M12" s="121">
        <f>+K12+'28'!M12+L12</f>
        <v>41367</v>
      </c>
      <c r="Q12" s="153">
        <f>SUM(Q6:Q10)</f>
        <v>480</v>
      </c>
      <c r="R12" s="153">
        <f>SUM(R6:R10)</f>
        <v>630400</v>
      </c>
      <c r="S12" s="153">
        <f>SUM(S6:S10)</f>
        <v>485408</v>
      </c>
      <c r="X12" s="153">
        <f>SUM(X6:X10)</f>
        <v>1085</v>
      </c>
      <c r="Y12" s="153">
        <f>SUM(Y6:Y10)</f>
        <v>1429000</v>
      </c>
      <c r="Z12" s="153">
        <f>SUM(Z6:Z10)</f>
        <v>1100330</v>
      </c>
    </row>
    <row r="13" spans="1:26" ht="13.5" thickBot="1">
      <c r="A13" s="805"/>
      <c r="B13" s="217"/>
      <c r="C13" s="218"/>
      <c r="D13" s="218"/>
      <c r="E13" s="221"/>
      <c r="F13" s="228"/>
      <c r="G13" s="232"/>
      <c r="H13" s="233"/>
      <c r="I13" s="809"/>
      <c r="J13" s="216" t="str">
        <f>+'28'!J13</f>
        <v>TW 18 VP OW</v>
      </c>
      <c r="K13" s="238"/>
      <c r="L13" s="238"/>
      <c r="M13" s="121">
        <f>+K13+'28'!M13+L13</f>
        <v>234646</v>
      </c>
      <c r="N13" s="153" t="s">
        <v>421</v>
      </c>
      <c r="Q13" s="153">
        <f>480-Q12</f>
        <v>0</v>
      </c>
      <c r="R13" s="153">
        <f>+R12/Q12</f>
        <v>1313.3333333333333</v>
      </c>
      <c r="S13" s="153">
        <f>+S12/Q12</f>
        <v>1011.2666666666667</v>
      </c>
      <c r="U13" s="153" t="s">
        <v>421</v>
      </c>
      <c r="X13" s="153">
        <f>480-X12</f>
        <v>-605</v>
      </c>
      <c r="Y13" s="153">
        <f>+Y12/X12</f>
        <v>1317.0506912442397</v>
      </c>
      <c r="Z13" s="153">
        <f>+Z12/X12</f>
        <v>1014.1290322580645</v>
      </c>
    </row>
    <row r="14" spans="1:26" ht="13.5" thickBot="1">
      <c r="A14" s="806"/>
      <c r="B14" s="169" t="s">
        <v>3</v>
      </c>
      <c r="C14" s="103">
        <f>SUM(C7:C13)</f>
        <v>14412</v>
      </c>
      <c r="D14" s="115">
        <f>SUM(D7:D13)</f>
        <v>0</v>
      </c>
      <c r="E14" s="116">
        <f>SUM(E5:E13)</f>
        <v>0</v>
      </c>
      <c r="F14" s="120">
        <f>SUM(F7:F13)</f>
        <v>22</v>
      </c>
      <c r="G14" s="163"/>
      <c r="H14" s="170"/>
      <c r="I14" s="171"/>
      <c r="J14" s="216" t="str">
        <f>+'28'!J14</f>
        <v>F 15 VP OW</v>
      </c>
      <c r="K14" s="238"/>
      <c r="L14" s="238"/>
      <c r="M14" s="121">
        <f>+K14+'28'!M14+L14</f>
        <v>5496</v>
      </c>
    </row>
    <row r="15" spans="1:26" ht="13.5" thickBot="1">
      <c r="A15" s="810"/>
      <c r="B15" s="528"/>
      <c r="C15" s="117">
        <f>C14/($C$23+$D$23+$E$23)</f>
        <v>0.88222331047992164</v>
      </c>
      <c r="D15" s="118">
        <f>D14/($C$23+$D$23+$E$23)</f>
        <v>0</v>
      </c>
      <c r="E15" s="119">
        <f>E14/($C$23+$D$23+$E$23)</f>
        <v>0</v>
      </c>
      <c r="F15" s="235"/>
      <c r="G15" s="582" t="s">
        <v>12</v>
      </c>
      <c r="H15" s="583" t="s">
        <v>418</v>
      </c>
      <c r="I15" s="807" t="s">
        <v>764</v>
      </c>
      <c r="J15" s="216" t="str">
        <f>+'28'!J15</f>
        <v>T 12 VP OW</v>
      </c>
      <c r="K15" s="238"/>
      <c r="L15" s="238"/>
      <c r="M15" s="121">
        <f>+K15+'28'!M15+L15</f>
        <v>37386</v>
      </c>
      <c r="N15" s="153" t="s">
        <v>669</v>
      </c>
      <c r="O15" s="153">
        <v>1320</v>
      </c>
      <c r="P15" s="153">
        <f>+O15-O15*0.23</f>
        <v>1016.4</v>
      </c>
      <c r="Q15" s="153">
        <v>480</v>
      </c>
      <c r="R15" s="153">
        <f>+O15*Q15</f>
        <v>633600</v>
      </c>
      <c r="S15" s="153">
        <f>+P15*Q15</f>
        <v>487872</v>
      </c>
    </row>
    <row r="16" spans="1:26" ht="13.5" thickBot="1">
      <c r="A16" s="805"/>
      <c r="B16" s="527" t="s">
        <v>678</v>
      </c>
      <c r="C16" s="526">
        <v>16336</v>
      </c>
      <c r="D16" s="223"/>
      <c r="E16" s="224"/>
      <c r="F16" s="231">
        <v>4</v>
      </c>
      <c r="G16" s="584" t="s">
        <v>12</v>
      </c>
      <c r="H16" s="230" t="s">
        <v>505</v>
      </c>
      <c r="I16" s="808"/>
      <c r="J16" s="216" t="str">
        <f>+'28'!J16</f>
        <v>T 13 VP OW</v>
      </c>
      <c r="K16" s="229"/>
      <c r="L16" s="229"/>
      <c r="M16" s="121">
        <f>+K16+'28'!M16+L16</f>
        <v>49210</v>
      </c>
      <c r="P16" s="153">
        <f t="shared" ref="P16:P17" si="8">+O16-O16*0.23</f>
        <v>0</v>
      </c>
      <c r="Q16" s="153">
        <f>480-Q15</f>
        <v>0</v>
      </c>
      <c r="R16" s="153">
        <f t="shared" ref="R16:R19" si="9">+O16*Q16</f>
        <v>0</v>
      </c>
      <c r="S16" s="153">
        <f t="shared" ref="S16:S19" si="10">+P16*Q16</f>
        <v>0</v>
      </c>
    </row>
    <row r="17" spans="1:19" ht="13.5" thickBot="1">
      <c r="A17" s="805"/>
      <c r="B17" s="217"/>
      <c r="C17" s="218"/>
      <c r="D17" s="219"/>
      <c r="E17" s="225"/>
      <c r="F17" s="231">
        <v>10</v>
      </c>
      <c r="G17" s="584" t="s">
        <v>12</v>
      </c>
      <c r="H17" s="233" t="s">
        <v>635</v>
      </c>
      <c r="I17" s="808"/>
      <c r="J17" s="216" t="str">
        <f>+'28'!J17</f>
        <v>F 12 VP OW</v>
      </c>
      <c r="K17" s="229"/>
      <c r="L17" s="229"/>
      <c r="M17" s="121">
        <f>+K17+'28'!M17+L17</f>
        <v>31878</v>
      </c>
      <c r="P17" s="153">
        <f t="shared" si="8"/>
        <v>0</v>
      </c>
      <c r="R17" s="153">
        <f t="shared" si="9"/>
        <v>0</v>
      </c>
      <c r="S17" s="153">
        <f t="shared" si="10"/>
        <v>0</v>
      </c>
    </row>
    <row r="18" spans="1:19" ht="51.75" thickBot="1">
      <c r="A18" s="805"/>
      <c r="B18" s="217"/>
      <c r="C18" s="218"/>
      <c r="D18" s="219"/>
      <c r="E18" s="225"/>
      <c r="F18" s="231"/>
      <c r="G18" s="229"/>
      <c r="H18" s="233" t="s">
        <v>758</v>
      </c>
      <c r="I18" s="808"/>
      <c r="J18" s="216" t="str">
        <f>+'28'!J18</f>
        <v>F 16 VP OW</v>
      </c>
      <c r="K18" s="238"/>
      <c r="L18" s="238"/>
      <c r="M18" s="121">
        <f>+K18+'28'!M18+L18</f>
        <v>5325</v>
      </c>
      <c r="R18" s="153">
        <f t="shared" si="9"/>
        <v>0</v>
      </c>
      <c r="S18" s="153">
        <f t="shared" si="10"/>
        <v>0</v>
      </c>
    </row>
    <row r="19" spans="1:19" ht="123.75" customHeight="1" thickBot="1">
      <c r="A19" s="805"/>
      <c r="B19" s="217"/>
      <c r="C19" s="218"/>
      <c r="D19" s="219"/>
      <c r="E19" s="225"/>
      <c r="F19" s="231"/>
      <c r="G19" s="229"/>
      <c r="H19" s="233" t="s">
        <v>755</v>
      </c>
      <c r="I19" s="808"/>
      <c r="J19" s="216" t="str">
        <f>+'28'!J19</f>
        <v>T 13 VP OW</v>
      </c>
      <c r="K19" s="238">
        <f>+C7+C16+C25</f>
        <v>36869</v>
      </c>
      <c r="L19" s="238"/>
      <c r="M19" s="121">
        <f>+K19+'28'!M19+L19</f>
        <v>115144</v>
      </c>
      <c r="R19" s="153">
        <f t="shared" si="9"/>
        <v>0</v>
      </c>
      <c r="S19" s="153">
        <f t="shared" si="10"/>
        <v>0</v>
      </c>
    </row>
    <row r="20" spans="1:19" ht="13.5" thickBot="1">
      <c r="A20" s="805"/>
      <c r="B20" s="217"/>
      <c r="C20" s="218"/>
      <c r="D20" s="219"/>
      <c r="E20" s="225"/>
      <c r="F20" s="228"/>
      <c r="G20" s="232"/>
      <c r="H20" s="233"/>
      <c r="I20" s="808"/>
      <c r="J20" s="216" t="s">
        <v>769</v>
      </c>
      <c r="K20" s="239">
        <f>+C26</f>
        <v>4367</v>
      </c>
      <c r="L20" s="239"/>
      <c r="M20" s="121">
        <f>+K20+'28'!M20+L20</f>
        <v>4367</v>
      </c>
      <c r="P20" s="153">
        <f t="shared" ref="P20" si="11">+O20-O20*0.17</f>
        <v>0</v>
      </c>
    </row>
    <row r="21" spans="1:19" ht="13.5" thickBot="1">
      <c r="A21" s="805"/>
      <c r="B21" s="217"/>
      <c r="C21" s="218"/>
      <c r="D21" s="219"/>
      <c r="E21" s="225"/>
      <c r="F21" s="231"/>
      <c r="G21" s="232"/>
      <c r="H21" s="233"/>
      <c r="I21" s="808"/>
      <c r="J21" s="216">
        <f>+'28'!J21</f>
        <v>0</v>
      </c>
      <c r="K21" s="238"/>
      <c r="L21" s="238"/>
      <c r="M21" s="121">
        <f>+K21+'28'!M21+L21</f>
        <v>0</v>
      </c>
      <c r="Q21" s="153">
        <f>SUM(Q15:Q19)</f>
        <v>480</v>
      </c>
      <c r="R21" s="153">
        <f>SUM(R15:R19)</f>
        <v>633600</v>
      </c>
      <c r="S21" s="153">
        <f>SUM(S15:S19)</f>
        <v>487872</v>
      </c>
    </row>
    <row r="22" spans="1:19" ht="13.5" thickBot="1">
      <c r="A22" s="805"/>
      <c r="B22" s="217"/>
      <c r="C22" s="218"/>
      <c r="D22" s="219"/>
      <c r="E22" s="225"/>
      <c r="F22" s="235"/>
      <c r="G22" s="232"/>
      <c r="H22" s="233"/>
      <c r="I22" s="809"/>
      <c r="J22" s="216">
        <f>+'28'!J22</f>
        <v>0</v>
      </c>
      <c r="K22" s="238"/>
      <c r="L22" s="238"/>
      <c r="M22" s="121">
        <f>+K22+'28'!M22+L22</f>
        <v>0</v>
      </c>
      <c r="N22" s="153" t="s">
        <v>421</v>
      </c>
      <c r="Q22" s="153">
        <f>480-Q21</f>
        <v>0</v>
      </c>
      <c r="R22" s="153">
        <f>+R21/Q21</f>
        <v>1320</v>
      </c>
      <c r="S22" s="153">
        <f>+S21/Q21</f>
        <v>1016.4</v>
      </c>
    </row>
    <row r="23" spans="1:19" ht="13.5" thickBot="1">
      <c r="A23" s="806"/>
      <c r="B23" s="169" t="s">
        <v>3</v>
      </c>
      <c r="C23" s="103">
        <f>SUM(C16:C22)</f>
        <v>16336</v>
      </c>
      <c r="D23" s="115">
        <f>SUM(D16:D22)</f>
        <v>0</v>
      </c>
      <c r="E23" s="116">
        <f>SUM(E18:E22)</f>
        <v>0</v>
      </c>
      <c r="F23" s="120">
        <f>SUM(F15:F22)</f>
        <v>14</v>
      </c>
      <c r="G23" s="163"/>
      <c r="H23" s="170"/>
      <c r="I23" s="172"/>
      <c r="J23" s="216">
        <f>+'28'!J23</f>
        <v>0</v>
      </c>
      <c r="K23" s="238"/>
      <c r="L23" s="238"/>
      <c r="M23" s="121">
        <f>+K23+'28'!M23+L23</f>
        <v>0</v>
      </c>
    </row>
    <row r="24" spans="1:19" ht="13.5" thickBot="1">
      <c r="A24" s="810"/>
      <c r="B24" s="528"/>
      <c r="C24" s="117">
        <f>C23/($C$23+$D$23+$E$23)</f>
        <v>1</v>
      </c>
      <c r="D24" s="118">
        <f>D23/($C$23+$D$23+$E$23)</f>
        <v>0</v>
      </c>
      <c r="E24" s="119">
        <f>E23/($C$23+$D$23+$E$23)</f>
        <v>0</v>
      </c>
      <c r="F24" s="235"/>
      <c r="G24" s="582" t="s">
        <v>12</v>
      </c>
      <c r="H24" s="583" t="s">
        <v>418</v>
      </c>
      <c r="I24" s="807" t="s">
        <v>765</v>
      </c>
      <c r="J24" s="216">
        <f>+'28'!J24</f>
        <v>0</v>
      </c>
      <c r="K24" s="238"/>
      <c r="L24" s="238"/>
      <c r="M24" s="121">
        <f>+K24+'28'!M24+L24</f>
        <v>0</v>
      </c>
      <c r="N24" s="153" t="s">
        <v>669</v>
      </c>
      <c r="O24" s="153">
        <v>1320</v>
      </c>
      <c r="P24" s="153">
        <f>+O24-O24*0.23</f>
        <v>1016.4</v>
      </c>
      <c r="Q24" s="153">
        <f>60*2+5</f>
        <v>125</v>
      </c>
      <c r="R24" s="153">
        <f>+O24*Q24</f>
        <v>165000</v>
      </c>
      <c r="S24" s="153">
        <f>+P24*Q24</f>
        <v>127050</v>
      </c>
    </row>
    <row r="25" spans="1:19" ht="13.5" thickBot="1">
      <c r="A25" s="805"/>
      <c r="B25" s="527" t="s">
        <v>678</v>
      </c>
      <c r="C25" s="226">
        <v>6121</v>
      </c>
      <c r="D25" s="219"/>
      <c r="E25" s="225"/>
      <c r="F25" s="231">
        <v>4</v>
      </c>
      <c r="G25" s="584" t="s">
        <v>12</v>
      </c>
      <c r="H25" s="230" t="s">
        <v>505</v>
      </c>
      <c r="I25" s="808"/>
      <c r="J25" s="216">
        <f>+'28'!J25</f>
        <v>0</v>
      </c>
      <c r="K25" s="238"/>
      <c r="L25" s="238"/>
      <c r="M25" s="121">
        <f>+K25+'28'!M25+L25</f>
        <v>0</v>
      </c>
      <c r="N25" s="153" t="s">
        <v>761</v>
      </c>
      <c r="O25" s="153">
        <v>1330</v>
      </c>
      <c r="P25" s="153">
        <f>+O25-O25*0.23</f>
        <v>1024.0999999999999</v>
      </c>
      <c r="Q25" s="153">
        <f>480-Q24</f>
        <v>355</v>
      </c>
      <c r="R25" s="153">
        <f t="shared" ref="R25:R28" si="12">+O25*Q25</f>
        <v>472150</v>
      </c>
      <c r="S25" s="153">
        <f t="shared" ref="S25:S28" si="13">+P25*Q25</f>
        <v>363555.49999999994</v>
      </c>
    </row>
    <row r="26" spans="1:19" ht="13.5" thickBot="1">
      <c r="A26" s="805"/>
      <c r="B26" s="217" t="s">
        <v>769</v>
      </c>
      <c r="C26" s="226">
        <f>1977+2390</f>
        <v>4367</v>
      </c>
      <c r="D26" s="219"/>
      <c r="E26" s="227"/>
      <c r="F26" s="231">
        <v>6</v>
      </c>
      <c r="G26" s="584" t="s">
        <v>12</v>
      </c>
      <c r="H26" s="233" t="s">
        <v>483</v>
      </c>
      <c r="I26" s="808"/>
      <c r="J26" s="216">
        <f>+'28'!J26</f>
        <v>0</v>
      </c>
      <c r="K26" s="238"/>
      <c r="L26" s="238"/>
      <c r="M26" s="121">
        <f>+K26+'28'!M26+L26</f>
        <v>0</v>
      </c>
      <c r="P26" s="153">
        <f t="shared" ref="P26" si="14">+O26-O26*0.23</f>
        <v>0</v>
      </c>
      <c r="R26" s="153">
        <f t="shared" si="12"/>
        <v>0</v>
      </c>
      <c r="S26" s="153">
        <f t="shared" si="13"/>
        <v>0</v>
      </c>
    </row>
    <row r="27" spans="1:19" ht="64.5" thickBot="1">
      <c r="A27" s="805"/>
      <c r="B27" s="217"/>
      <c r="C27" s="218"/>
      <c r="D27" s="219"/>
      <c r="E27" s="225"/>
      <c r="F27" s="231"/>
      <c r="G27" s="229"/>
      <c r="H27" s="233" t="s">
        <v>760</v>
      </c>
      <c r="I27" s="808"/>
      <c r="J27" s="216">
        <f>+'28'!J27</f>
        <v>0</v>
      </c>
      <c r="K27" s="238"/>
      <c r="L27" s="238"/>
      <c r="M27" s="121">
        <f>+K27+'28'!M27+L27</f>
        <v>0</v>
      </c>
      <c r="R27" s="153">
        <f t="shared" si="12"/>
        <v>0</v>
      </c>
      <c r="S27" s="153">
        <f t="shared" si="13"/>
        <v>0</v>
      </c>
    </row>
    <row r="28" spans="1:19" ht="151.5" customHeight="1" thickBot="1">
      <c r="A28" s="805"/>
      <c r="B28" s="217"/>
      <c r="C28" s="218"/>
      <c r="D28" s="219"/>
      <c r="E28" s="225"/>
      <c r="F28" s="231"/>
      <c r="G28" s="229"/>
      <c r="H28" s="233" t="s">
        <v>759</v>
      </c>
      <c r="I28" s="808"/>
      <c r="J28" s="216">
        <f>+'28'!J28</f>
        <v>0</v>
      </c>
      <c r="K28" s="238"/>
      <c r="L28" s="238"/>
      <c r="M28" s="121">
        <f>+K28+'28'!M28+L28</f>
        <v>0</v>
      </c>
      <c r="R28" s="153">
        <f t="shared" si="12"/>
        <v>0</v>
      </c>
      <c r="S28" s="153">
        <f t="shared" si="13"/>
        <v>0</v>
      </c>
    </row>
    <row r="29" spans="1:19" ht="13.5" customHeight="1" thickBot="1">
      <c r="A29" s="805"/>
      <c r="B29" s="217"/>
      <c r="C29" s="218"/>
      <c r="D29" s="219"/>
      <c r="E29" s="225"/>
      <c r="F29" s="235"/>
      <c r="G29" s="232"/>
      <c r="H29" s="233"/>
      <c r="I29" s="808"/>
      <c r="J29" s="216">
        <f>+'28'!J29</f>
        <v>0</v>
      </c>
      <c r="K29" s="238"/>
      <c r="L29" s="238"/>
      <c r="M29" s="121">
        <f>+K29+'28'!M29+L29</f>
        <v>0</v>
      </c>
      <c r="P29" s="153">
        <f t="shared" ref="P29" si="15">+O29-O29*0.17</f>
        <v>0</v>
      </c>
    </row>
    <row r="30" spans="1:19" ht="13.5" customHeight="1" thickBot="1">
      <c r="A30" s="805"/>
      <c r="B30" s="217"/>
      <c r="C30" s="226"/>
      <c r="D30" s="219"/>
      <c r="E30" s="225"/>
      <c r="F30" s="235"/>
      <c r="G30" s="232"/>
      <c r="H30" s="233"/>
      <c r="I30" s="808"/>
      <c r="J30" s="216">
        <f>+'28'!J30</f>
        <v>0</v>
      </c>
      <c r="K30" s="238"/>
      <c r="L30" s="238"/>
      <c r="M30" s="121">
        <f>+K30+'28'!M30+L30</f>
        <v>0</v>
      </c>
      <c r="Q30" s="153">
        <f>SUM(Q24:Q28)</f>
        <v>480</v>
      </c>
      <c r="R30" s="153">
        <f>SUM(R24:R28)</f>
        <v>637150</v>
      </c>
      <c r="S30" s="153">
        <f>SUM(S24:S28)</f>
        <v>490605.49999999994</v>
      </c>
    </row>
    <row r="31" spans="1:19" ht="13.5" customHeight="1" thickBot="1">
      <c r="A31" s="805"/>
      <c r="B31" s="217"/>
      <c r="C31" s="226"/>
      <c r="D31" s="219"/>
      <c r="E31" s="225"/>
      <c r="F31" s="235"/>
      <c r="G31" s="236"/>
      <c r="H31" s="413"/>
      <c r="I31" s="809"/>
      <c r="J31" s="216">
        <f>+'28'!J31</f>
        <v>0</v>
      </c>
      <c r="K31" s="238"/>
      <c r="L31" s="238"/>
      <c r="M31" s="121">
        <f>+K31+'28'!M31+L31</f>
        <v>0</v>
      </c>
      <c r="N31" s="153" t="s">
        <v>421</v>
      </c>
      <c r="Q31" s="153">
        <f>480-Q30</f>
        <v>0</v>
      </c>
      <c r="R31" s="153">
        <f>+R30/Q30</f>
        <v>1327.3958333333333</v>
      </c>
      <c r="S31" s="153">
        <f>+S30/Q30</f>
        <v>1022.0947916666665</v>
      </c>
    </row>
    <row r="32" spans="1:19" ht="13.5" customHeight="1" thickBot="1">
      <c r="A32" s="806"/>
      <c r="B32" s="169" t="s">
        <v>3</v>
      </c>
      <c r="C32" s="103">
        <f>SUM(C25:C31)</f>
        <v>10488</v>
      </c>
      <c r="D32" s="104">
        <f>SUM(D25:D31)</f>
        <v>0</v>
      </c>
      <c r="E32" s="105">
        <f>SUM(E25:E31)</f>
        <v>0</v>
      </c>
      <c r="F32" s="103">
        <f>SUM(F24:F31)</f>
        <v>10</v>
      </c>
      <c r="G32" s="173"/>
      <c r="H32" s="174"/>
      <c r="I32" s="172"/>
      <c r="J32" s="216">
        <f>+'28'!J32</f>
        <v>0</v>
      </c>
      <c r="K32" s="240"/>
      <c r="L32" s="242"/>
      <c r="M32" s="121">
        <f>+K32+'28'!M32+L32</f>
        <v>0</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41236</v>
      </c>
      <c r="D34" s="111">
        <f>D14+D23+D32</f>
        <v>0</v>
      </c>
      <c r="E34" s="111">
        <f>E14+E23+E32</f>
        <v>0</v>
      </c>
      <c r="F34" s="112">
        <f>F14+F23+F32</f>
        <v>46</v>
      </c>
      <c r="H34" s="180"/>
      <c r="I34" s="180"/>
      <c r="J34" s="127" t="s">
        <v>28</v>
      </c>
      <c r="K34" s="128">
        <f>SUM(K7:K32)</f>
        <v>41236</v>
      </c>
      <c r="L34" s="214">
        <f>SUM(L7:L32)</f>
        <v>0</v>
      </c>
      <c r="M34" s="124">
        <f>SUM(M7:M32)</f>
        <v>826450</v>
      </c>
      <c r="N34" s="159"/>
    </row>
    <row r="35" spans="1:17" ht="13.5" thickBot="1">
      <c r="A35" s="573"/>
      <c r="B35" s="182"/>
      <c r="C35" s="108">
        <f>C34/($C$34+$D$34+$E$34)</f>
        <v>1</v>
      </c>
      <c r="D35" s="108">
        <f>D34/($C$34+$D$34+$E$34)</f>
        <v>0</v>
      </c>
      <c r="E35" s="113">
        <f>E34/($C$34+$D$34+$E$34)</f>
        <v>0</v>
      </c>
      <c r="K35" s="159"/>
    </row>
    <row r="36" spans="1:17" ht="13.5" thickBot="1">
      <c r="A36" s="180"/>
      <c r="B36" s="180"/>
      <c r="C36" s="159"/>
      <c r="D36" s="159"/>
      <c r="E36" s="159"/>
      <c r="G36" s="159"/>
      <c r="H36" s="183"/>
      <c r="I36" s="166" t="s">
        <v>38</v>
      </c>
      <c r="J36" s="166" t="s">
        <v>39</v>
      </c>
      <c r="K36" s="184"/>
      <c r="N36" s="153" t="s">
        <v>669</v>
      </c>
      <c r="O36" s="153">
        <v>1317.0506912442397</v>
      </c>
      <c r="P36" s="153">
        <v>1014.1290322580645</v>
      </c>
      <c r="Q36" s="153">
        <f>1440-Q37</f>
        <v>1085</v>
      </c>
    </row>
    <row r="37" spans="1:17" ht="17.45" customHeight="1" thickBot="1">
      <c r="A37" s="813" t="s">
        <v>70</v>
      </c>
      <c r="B37" s="814"/>
      <c r="C37" s="166" t="s">
        <v>71</v>
      </c>
      <c r="D37" s="185" t="s">
        <v>72</v>
      </c>
      <c r="E37" s="186" t="s">
        <v>73</v>
      </c>
      <c r="F37" s="311"/>
      <c r="G37" s="313"/>
      <c r="H37" s="188" t="s">
        <v>74</v>
      </c>
      <c r="I37" s="243">
        <f>(13*1085+355*13)/1440*G42*2.7*1440/1000000</f>
        <v>51.382381050000006</v>
      </c>
      <c r="J37" s="129">
        <f>+I37+'28'!J37</f>
        <v>1015.5638469538294</v>
      </c>
      <c r="K37" s="130" t="s">
        <v>75</v>
      </c>
      <c r="N37" s="153" t="s">
        <v>761</v>
      </c>
      <c r="O37" s="153">
        <v>1330</v>
      </c>
      <c r="P37" s="153">
        <v>1024.0999999999999</v>
      </c>
      <c r="Q37" s="153">
        <v>355</v>
      </c>
    </row>
    <row r="38" spans="1:17" ht="17.45" customHeight="1">
      <c r="A38" s="797" t="s">
        <v>12</v>
      </c>
      <c r="B38" s="798"/>
      <c r="C38" s="168">
        <f>SUMIF($G$7:$G$31,"Process",$F$7:$F$31)</f>
        <v>32</v>
      </c>
      <c r="D38" s="122">
        <f>C38+'28'!D38</f>
        <v>1795</v>
      </c>
      <c r="E38" s="147">
        <f t="shared" ref="E38:E52" si="16">D38/60</f>
        <v>29.916666666666668</v>
      </c>
      <c r="F38" s="311">
        <v>1313.3333333333333</v>
      </c>
      <c r="G38" s="311">
        <v>1011.2666666666667</v>
      </c>
      <c r="H38" s="189" t="s">
        <v>76</v>
      </c>
      <c r="I38" s="534">
        <f>15.505+16.129+14.658</f>
        <v>46.292000000000002</v>
      </c>
      <c r="J38" s="131">
        <f>+I38+'28'!J38</f>
        <v>892.08100000000013</v>
      </c>
      <c r="K38" s="132" t="s">
        <v>75</v>
      </c>
      <c r="Q38" s="153">
        <f>+Q36+Q37</f>
        <v>1440</v>
      </c>
    </row>
    <row r="39" spans="1:17" ht="17.45" customHeight="1">
      <c r="A39" s="799" t="s">
        <v>13</v>
      </c>
      <c r="B39" s="800"/>
      <c r="C39" s="168">
        <f>SUMIF($G$7:$G$31,"Cleaning",$F$7:$F$31)</f>
        <v>0</v>
      </c>
      <c r="D39" s="122">
        <f>C39+'28'!D39</f>
        <v>0</v>
      </c>
      <c r="E39" s="147">
        <f t="shared" si="16"/>
        <v>0</v>
      </c>
      <c r="F39" s="311">
        <v>1320</v>
      </c>
      <c r="G39" s="311">
        <v>1016.4</v>
      </c>
      <c r="H39" s="189" t="s">
        <v>77</v>
      </c>
      <c r="I39" s="146"/>
      <c r="J39" s="133">
        <f>J37/G4</f>
        <v>35.019442998407911</v>
      </c>
      <c r="K39" s="134" t="s">
        <v>75</v>
      </c>
    </row>
    <row r="40" spans="1:17" ht="17.45" customHeight="1">
      <c r="A40" s="799" t="s">
        <v>78</v>
      </c>
      <c r="B40" s="800"/>
      <c r="C40" s="168">
        <f>SUMIF($G$7:$G$31,"Mechanical",$F$7:$F$31)</f>
        <v>0</v>
      </c>
      <c r="D40" s="122">
        <f>C40+'28'!D40</f>
        <v>152</v>
      </c>
      <c r="E40" s="147">
        <f t="shared" si="16"/>
        <v>2.5333333333333332</v>
      </c>
      <c r="F40" s="311">
        <v>1327.3958333333333</v>
      </c>
      <c r="G40" s="311">
        <v>1022.0947916666665</v>
      </c>
      <c r="H40" s="189" t="s">
        <v>79</v>
      </c>
      <c r="I40" s="122">
        <f>(K34+L34)/1000</f>
        <v>41.235999999999997</v>
      </c>
      <c r="J40" s="135">
        <f>+I40+'28'!J40</f>
        <v>826.44999999999993</v>
      </c>
      <c r="K40" s="134" t="s">
        <v>75</v>
      </c>
    </row>
    <row r="41" spans="1:17" ht="17.45" customHeight="1">
      <c r="A41" s="799" t="s">
        <v>80</v>
      </c>
      <c r="B41" s="800"/>
      <c r="C41" s="168">
        <f>SUMIF($G$7:$G$31,"Electrical",$F$7:$F$31)</f>
        <v>0</v>
      </c>
      <c r="D41" s="122">
        <f>C41+'28'!D41</f>
        <v>70</v>
      </c>
      <c r="E41" s="147">
        <f t="shared" si="16"/>
        <v>1.1666666666666667</v>
      </c>
      <c r="F41" s="311"/>
      <c r="G41" s="311"/>
      <c r="H41" s="189" t="s">
        <v>81</v>
      </c>
      <c r="I41" s="146"/>
      <c r="J41" s="133">
        <f>J40/G4</f>
        <v>28.498275862068962</v>
      </c>
      <c r="K41" s="134" t="s">
        <v>75</v>
      </c>
    </row>
    <row r="42" spans="1:17" ht="17.45" customHeight="1">
      <c r="A42" s="799" t="s">
        <v>16</v>
      </c>
      <c r="B42" s="800"/>
      <c r="C42" s="168">
        <f>SUMIF($G$7:$G$31,"Instrument",$F$7:$F$31)</f>
        <v>0</v>
      </c>
      <c r="D42" s="122">
        <f>C42+'28'!D42</f>
        <v>0</v>
      </c>
      <c r="E42" s="147">
        <f t="shared" si="16"/>
        <v>0</v>
      </c>
      <c r="F42" s="187">
        <f>+(F38*480+F39*480+F40*480)/1440</f>
        <v>1320.2430555555557</v>
      </c>
      <c r="G42" s="187">
        <f>+(G38*480+G39*480+G40*480)/1440</f>
        <v>1016.5871527777778</v>
      </c>
      <c r="H42" s="189" t="s">
        <v>82</v>
      </c>
      <c r="I42" s="245" t="s">
        <v>766</v>
      </c>
      <c r="J42" s="136"/>
      <c r="K42" s="134" t="s">
        <v>83</v>
      </c>
    </row>
    <row r="43" spans="1:17" ht="17.45" customHeight="1">
      <c r="A43" s="799" t="s">
        <v>84</v>
      </c>
      <c r="B43" s="800"/>
      <c r="C43" s="168">
        <f>SUMIF($G$7:$G$31,"Water",$F$7:$F$31)</f>
        <v>0</v>
      </c>
      <c r="D43" s="122">
        <f>C43+'28'!D43</f>
        <v>0</v>
      </c>
      <c r="E43" s="147">
        <f t="shared" si="16"/>
        <v>0</v>
      </c>
      <c r="F43" s="311"/>
      <c r="G43" s="312"/>
      <c r="H43" s="190" t="s">
        <v>85</v>
      </c>
      <c r="I43" s="122">
        <f>+Report1!Z37</f>
        <v>93</v>
      </c>
      <c r="J43" s="137">
        <f>+I43+'28'!J43</f>
        <v>1949.8000000000002</v>
      </c>
      <c r="K43" s="134" t="s">
        <v>75</v>
      </c>
      <c r="L43" s="191"/>
    </row>
    <row r="44" spans="1:17" ht="17.45" customHeight="1">
      <c r="A44" s="799" t="s">
        <v>17</v>
      </c>
      <c r="B44" s="800"/>
      <c r="C44" s="168">
        <f>SUMIF($G$7:$G$31,"PLN",$F$7:$F$31)</f>
        <v>0</v>
      </c>
      <c r="D44" s="122">
        <f>C44+'28'!D44</f>
        <v>0</v>
      </c>
      <c r="E44" s="147">
        <f t="shared" si="16"/>
        <v>0</v>
      </c>
      <c r="F44" s="311"/>
      <c r="G44" s="312"/>
      <c r="H44" s="190" t="s">
        <v>86</v>
      </c>
      <c r="I44" s="122">
        <f>I43/I38</f>
        <v>2.0089864339410695</v>
      </c>
      <c r="J44" s="138">
        <f>J43/J38</f>
        <v>2.1856759644023356</v>
      </c>
      <c r="K44" s="134" t="s">
        <v>75</v>
      </c>
    </row>
    <row r="45" spans="1:17" ht="17.45" customHeight="1">
      <c r="A45" s="799" t="s">
        <v>18</v>
      </c>
      <c r="B45" s="800"/>
      <c r="C45" s="168">
        <f>SUMIF($G$7:$G$31,"Boiler",$F$7:$F$31)</f>
        <v>0</v>
      </c>
      <c r="D45" s="122">
        <f>C45+'28'!D45</f>
        <v>0</v>
      </c>
      <c r="E45" s="147">
        <f t="shared" si="16"/>
        <v>0</v>
      </c>
      <c r="F45" s="311"/>
      <c r="G45" s="314"/>
      <c r="H45" s="190" t="s">
        <v>87</v>
      </c>
      <c r="I45" s="122">
        <f>I43/I40</f>
        <v>2.2553108933941219</v>
      </c>
      <c r="J45" s="138">
        <f>J43/J40</f>
        <v>2.3592473833867751</v>
      </c>
      <c r="K45" s="134" t="s">
        <v>75</v>
      </c>
    </row>
    <row r="46" spans="1:17" ht="17.45" customHeight="1">
      <c r="A46" s="799" t="s">
        <v>88</v>
      </c>
      <c r="B46" s="800"/>
      <c r="C46" s="168">
        <f>SUMIF($G$7:$G$31,"Gas",$F$7:$F$31)</f>
        <v>0</v>
      </c>
      <c r="D46" s="122">
        <f>C46+'28'!D46</f>
        <v>0</v>
      </c>
      <c r="E46" s="147">
        <f t="shared" si="16"/>
        <v>0</v>
      </c>
      <c r="F46" s="311"/>
      <c r="G46" s="312"/>
      <c r="H46" s="190" t="s">
        <v>89</v>
      </c>
      <c r="I46" s="144">
        <f>+SUMIF(Listrik!X36,"&gt;0")</f>
        <v>44163.740000000049</v>
      </c>
      <c r="J46" s="139">
        <f>+I46+'28'!J46</f>
        <v>864374.91240000026</v>
      </c>
      <c r="K46" s="134" t="s">
        <v>90</v>
      </c>
    </row>
    <row r="47" spans="1:17" ht="17.45" customHeight="1">
      <c r="A47" s="799" t="s">
        <v>91</v>
      </c>
      <c r="B47" s="800"/>
      <c r="C47" s="168">
        <f>SUMIF($G$7:$G$31,"Gas",$F$7:$F$31)</f>
        <v>0</v>
      </c>
      <c r="D47" s="122">
        <f>C47+'28'!D47</f>
        <v>0</v>
      </c>
      <c r="E47" s="147">
        <f t="shared" si="16"/>
        <v>0</v>
      </c>
      <c r="F47" s="311"/>
      <c r="G47" s="312"/>
      <c r="H47" s="190" t="s">
        <v>92</v>
      </c>
      <c r="I47" s="122">
        <f>I46/I38</f>
        <v>954.02531754946961</v>
      </c>
      <c r="J47" s="139">
        <f>J46/J38</f>
        <v>968.9421839496639</v>
      </c>
      <c r="K47" s="134" t="s">
        <v>24</v>
      </c>
    </row>
    <row r="48" spans="1:17" ht="17.45" customHeight="1">
      <c r="A48" s="799" t="s">
        <v>14</v>
      </c>
      <c r="B48" s="800"/>
      <c r="C48" s="168">
        <f>SUMIF($G$7:$G$31,"Start Up",$F$7:$F$31)</f>
        <v>0</v>
      </c>
      <c r="D48" s="122">
        <f>C48+'28'!D48</f>
        <v>0</v>
      </c>
      <c r="E48" s="147">
        <f t="shared" si="16"/>
        <v>0</v>
      </c>
      <c r="F48" s="311"/>
      <c r="G48" s="312"/>
      <c r="H48" s="190" t="s">
        <v>93</v>
      </c>
      <c r="I48" s="122">
        <f>I46/I40</f>
        <v>1070.999611989525</v>
      </c>
      <c r="J48" s="139">
        <f>J46/J40</f>
        <v>1045.8889375037816</v>
      </c>
      <c r="K48" s="134" t="s">
        <v>24</v>
      </c>
    </row>
    <row r="49" spans="1:11" ht="17.45" customHeight="1">
      <c r="A49" s="799" t="s">
        <v>20</v>
      </c>
      <c r="B49" s="800"/>
      <c r="C49" s="168">
        <f>SUMIF($G$7:$G$31,"Others",$F$7:$F$31)</f>
        <v>14</v>
      </c>
      <c r="D49" s="122">
        <f>C49+'28'!D49</f>
        <v>11899</v>
      </c>
      <c r="E49" s="147">
        <f t="shared" si="16"/>
        <v>198.31666666666666</v>
      </c>
      <c r="F49" s="187"/>
      <c r="H49" s="190" t="s">
        <v>279</v>
      </c>
      <c r="I49" s="122">
        <f>+Report1!T37</f>
        <v>4136.4003828182176</v>
      </c>
      <c r="J49" s="139">
        <f>+I49+'28'!J49</f>
        <v>81362.32152404837</v>
      </c>
      <c r="K49" s="134" t="s">
        <v>94</v>
      </c>
    </row>
    <row r="50" spans="1:11" ht="17.45" customHeight="1">
      <c r="A50" s="799" t="s">
        <v>19</v>
      </c>
      <c r="B50" s="800"/>
      <c r="C50" s="168">
        <f>SUMIF($G$7:$G$31,"Steam",$F$7:$F$31)</f>
        <v>0</v>
      </c>
      <c r="D50" s="122">
        <f>C50+'28'!D50</f>
        <v>0</v>
      </c>
      <c r="E50" s="147">
        <f t="shared" si="16"/>
        <v>0</v>
      </c>
      <c r="F50" s="187"/>
      <c r="H50" s="190" t="s">
        <v>95</v>
      </c>
      <c r="I50" s="144">
        <f>I49/I38</f>
        <v>89.354540370219851</v>
      </c>
      <c r="J50" s="137">
        <f>J49/J38</f>
        <v>91.205082861363891</v>
      </c>
      <c r="K50" s="134" t="s">
        <v>94</v>
      </c>
    </row>
    <row r="51" spans="1:11" ht="17.45" customHeight="1">
      <c r="A51" s="801" t="s">
        <v>96</v>
      </c>
      <c r="B51" s="801"/>
      <c r="C51" s="168">
        <f>SUMIF($G$7:$G$31,"Planned shut",$F$7:$F$31)</f>
        <v>0</v>
      </c>
      <c r="D51" s="122">
        <f>C51+'28'!D51</f>
        <v>0</v>
      </c>
      <c r="E51" s="147">
        <f t="shared" si="16"/>
        <v>0</v>
      </c>
      <c r="F51" s="187"/>
      <c r="H51" s="192" t="s">
        <v>97</v>
      </c>
      <c r="I51" s="145">
        <f>I49/I40</f>
        <v>100.31041766461873</v>
      </c>
      <c r="J51" s="140">
        <f>J49/J40</f>
        <v>98.447966028251415</v>
      </c>
      <c r="K51" s="141" t="s">
        <v>94</v>
      </c>
    </row>
    <row r="52" spans="1:11" ht="13.5" thickBot="1">
      <c r="A52" s="802" t="s">
        <v>229</v>
      </c>
      <c r="B52" s="803"/>
      <c r="C52" s="168">
        <f>SUMIF($G$7:$G$31,"Change Grade",$F$7:$F$31)</f>
        <v>0</v>
      </c>
      <c r="D52" s="122">
        <f>C52+'28'!D52</f>
        <v>0</v>
      </c>
      <c r="E52" s="147">
        <f t="shared" si="16"/>
        <v>0</v>
      </c>
      <c r="F52" s="187"/>
      <c r="H52" s="193"/>
      <c r="I52" s="194"/>
      <c r="J52" s="142"/>
      <c r="K52" s="143"/>
    </row>
    <row r="53" spans="1:11">
      <c r="A53" s="797" t="s">
        <v>28</v>
      </c>
      <c r="B53" s="798"/>
      <c r="C53" s="148">
        <f>SUM(C38:C52)</f>
        <v>46</v>
      </c>
      <c r="D53" s="148">
        <f>SUM(D38:D52)</f>
        <v>13916</v>
      </c>
      <c r="E53" s="149">
        <f>SUM(E38:E52)</f>
        <v>231.93333333333334</v>
      </c>
      <c r="F53" s="187"/>
    </row>
    <row r="54" spans="1:11" ht="13.5" thickBot="1">
      <c r="A54" s="795"/>
      <c r="B54" s="796"/>
      <c r="C54" s="150">
        <f>C53/(24*60)</f>
        <v>3.1944444444444442E-2</v>
      </c>
      <c r="D54" s="150">
        <f>D53/(24*60*G4)</f>
        <v>0.33323754789272031</v>
      </c>
      <c r="E54" s="151">
        <f>E53/(G4*24)</f>
        <v>0.33323754789272031</v>
      </c>
      <c r="F54" s="187"/>
    </row>
    <row r="55" spans="1:11">
      <c r="E55" s="195"/>
    </row>
    <row r="56" spans="1:11">
      <c r="A56" s="196" t="s">
        <v>98</v>
      </c>
      <c r="B56" s="197"/>
      <c r="C56" s="198"/>
      <c r="D56" s="198"/>
      <c r="E56" s="198"/>
      <c r="F56" s="199"/>
      <c r="G56" s="198"/>
      <c r="H56" s="200"/>
      <c r="I56" s="201" t="s">
        <v>99</v>
      </c>
      <c r="J56" s="202">
        <f>+D34+'28'!J56</f>
        <v>5452</v>
      </c>
      <c r="K56" s="203">
        <f>J56/(J40+J56/1000)/1000</f>
        <v>6.5536565605083296E-3</v>
      </c>
    </row>
    <row r="57" spans="1:11">
      <c r="A57" s="178"/>
      <c r="I57" s="201" t="s">
        <v>100</v>
      </c>
      <c r="J57" s="202">
        <f>+E34+'28'!J57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74791666666666667" right="0.74791666666666667" top="0.39027777777777778" bottom="0.39027777777777778" header="0" footer="0"/>
  <pageSetup paperSize="9" scale="41"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B10" zoomScale="80" zoomScaleNormal="80" zoomScaleSheetLayoutView="80" workbookViewId="0">
      <selection activeCell="P19" sqref="C15:P2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425781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28</v>
      </c>
      <c r="H4" s="158" t="str">
        <f>+'1'!H4</f>
        <v>.10.25</v>
      </c>
      <c r="J4" s="153">
        <f>354+392+356</f>
        <v>1102</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669</v>
      </c>
      <c r="O6" s="153">
        <v>1300</v>
      </c>
      <c r="P6" s="153">
        <f>+O6-O6*0.23</f>
        <v>1001</v>
      </c>
      <c r="Q6" s="153">
        <v>480</v>
      </c>
      <c r="R6" s="153">
        <f>+O6*Q6</f>
        <v>624000</v>
      </c>
      <c r="S6" s="153">
        <f>+P6*Q6</f>
        <v>480480</v>
      </c>
    </row>
    <row r="7" spans="1:19" ht="13.5" customHeight="1" thickBot="1">
      <c r="A7" s="804"/>
      <c r="B7" s="217" t="s">
        <v>678</v>
      </c>
      <c r="C7" s="218">
        <v>19796</v>
      </c>
      <c r="D7" s="219"/>
      <c r="E7" s="220"/>
      <c r="F7" s="235"/>
      <c r="G7" s="582" t="s">
        <v>12</v>
      </c>
      <c r="H7" s="583" t="s">
        <v>418</v>
      </c>
      <c r="I7" s="807" t="s">
        <v>733</v>
      </c>
      <c r="J7" s="216" t="str">
        <f>+'27'!J7</f>
        <v>TW 17 RC HW</v>
      </c>
      <c r="K7" s="237"/>
      <c r="L7" s="241"/>
      <c r="M7" s="121">
        <f>+K7+'27'!M7+L7</f>
        <v>3364</v>
      </c>
      <c r="P7" s="153">
        <f t="shared" ref="P7:P8" si="0">+O7-O7*0.23</f>
        <v>0</v>
      </c>
      <c r="R7" s="153">
        <f t="shared" ref="R7:R10" si="1">+O7*Q7</f>
        <v>0</v>
      </c>
      <c r="S7" s="153">
        <f t="shared" ref="S7:S10" si="2">+P7*Q7</f>
        <v>0</v>
      </c>
    </row>
    <row r="8" spans="1:19" ht="13.5" thickBot="1">
      <c r="A8" s="805"/>
      <c r="B8" s="217"/>
      <c r="C8" s="218"/>
      <c r="D8" s="219"/>
      <c r="E8" s="221"/>
      <c r="F8" s="231">
        <v>6</v>
      </c>
      <c r="G8" s="584" t="s">
        <v>12</v>
      </c>
      <c r="H8" s="230" t="s">
        <v>398</v>
      </c>
      <c r="I8" s="808"/>
      <c r="J8" s="216" t="str">
        <f>+'27'!J8</f>
        <v>T 14 VP OW</v>
      </c>
      <c r="K8" s="238"/>
      <c r="L8" s="238"/>
      <c r="M8" s="121">
        <f>+K8+'27'!M8+L8</f>
        <v>23832</v>
      </c>
      <c r="P8" s="153">
        <f t="shared" si="0"/>
        <v>0</v>
      </c>
      <c r="R8" s="153">
        <f t="shared" si="1"/>
        <v>0</v>
      </c>
      <c r="S8" s="153">
        <f t="shared" si="2"/>
        <v>0</v>
      </c>
    </row>
    <row r="9" spans="1:19" ht="13.5" thickBot="1">
      <c r="A9" s="805"/>
      <c r="B9" s="217"/>
      <c r="C9" s="218"/>
      <c r="D9" s="219"/>
      <c r="E9" s="222"/>
      <c r="F9" s="231">
        <v>9</v>
      </c>
      <c r="G9" s="584" t="s">
        <v>12</v>
      </c>
      <c r="H9" s="233" t="s">
        <v>528</v>
      </c>
      <c r="I9" s="808"/>
      <c r="J9" s="216" t="str">
        <f>+'27'!J9</f>
        <v>T 14,5 VP OW</v>
      </c>
      <c r="K9" s="238"/>
      <c r="L9" s="238"/>
      <c r="M9" s="121">
        <f>+K9+'27'!M9+L9</f>
        <v>224658</v>
      </c>
      <c r="R9" s="153">
        <f t="shared" si="1"/>
        <v>0</v>
      </c>
      <c r="S9" s="153">
        <f t="shared" si="2"/>
        <v>0</v>
      </c>
    </row>
    <row r="10" spans="1:19" ht="64.5" thickBot="1">
      <c r="A10" s="805"/>
      <c r="B10" s="217"/>
      <c r="C10" s="218"/>
      <c r="D10" s="219"/>
      <c r="E10" s="221"/>
      <c r="F10" s="231"/>
      <c r="G10" s="229"/>
      <c r="H10" s="233" t="s">
        <v>750</v>
      </c>
      <c r="I10" s="808"/>
      <c r="J10" s="216" t="str">
        <f>+'27'!J10</f>
        <v>T 13,5 VP OW</v>
      </c>
      <c r="K10" s="238"/>
      <c r="L10" s="238"/>
      <c r="M10" s="121">
        <f>+K10+'27'!M10+L10</f>
        <v>39850</v>
      </c>
      <c r="R10" s="153">
        <f t="shared" si="1"/>
        <v>0</v>
      </c>
      <c r="S10" s="153">
        <f t="shared" si="2"/>
        <v>0</v>
      </c>
    </row>
    <row r="11" spans="1:19" ht="39" thickBot="1">
      <c r="A11" s="805"/>
      <c r="B11" s="217"/>
      <c r="C11" s="218"/>
      <c r="D11" s="219"/>
      <c r="E11" s="221"/>
      <c r="F11" s="228"/>
      <c r="G11" s="232"/>
      <c r="H11" s="233" t="s">
        <v>751</v>
      </c>
      <c r="I11" s="808"/>
      <c r="J11" s="216" t="str">
        <f>+'27'!J11</f>
        <v>T 16,5 VP OW</v>
      </c>
      <c r="K11" s="238"/>
      <c r="L11" s="238"/>
      <c r="M11" s="121">
        <f>+K11+'27'!M11+L11</f>
        <v>9927</v>
      </c>
      <c r="P11" s="153">
        <f t="shared" ref="P11" si="3">+O11-O11*0.17</f>
        <v>0</v>
      </c>
    </row>
    <row r="12" spans="1:19" ht="13.5" thickBot="1">
      <c r="A12" s="805"/>
      <c r="B12" s="217"/>
      <c r="C12" s="218"/>
      <c r="D12" s="219"/>
      <c r="E12" s="221"/>
      <c r="F12" s="228"/>
      <c r="G12" s="232"/>
      <c r="H12" s="233"/>
      <c r="I12" s="808"/>
      <c r="J12" s="216" t="str">
        <f>+'27'!J12</f>
        <v>T 12,5 VP OW</v>
      </c>
      <c r="K12" s="238"/>
      <c r="L12" s="238"/>
      <c r="M12" s="121">
        <f>+K12+'27'!M12+L12</f>
        <v>41367</v>
      </c>
      <c r="Q12" s="153">
        <f>SUM(Q6:Q10)</f>
        <v>480</v>
      </c>
      <c r="R12" s="153">
        <f>SUM(R6:R10)</f>
        <v>624000</v>
      </c>
      <c r="S12" s="153">
        <f>SUM(S6:S10)</f>
        <v>480480</v>
      </c>
    </row>
    <row r="13" spans="1:19" ht="13.5" thickBot="1">
      <c r="A13" s="805"/>
      <c r="B13" s="217"/>
      <c r="C13" s="218"/>
      <c r="D13" s="218"/>
      <c r="E13" s="221"/>
      <c r="F13" s="228"/>
      <c r="G13" s="232"/>
      <c r="H13" s="233"/>
      <c r="I13" s="809"/>
      <c r="J13" s="216" t="str">
        <f>+'27'!J13</f>
        <v>TW 18 VP OW</v>
      </c>
      <c r="K13" s="238"/>
      <c r="L13" s="238"/>
      <c r="M13" s="121">
        <f>+K13+'27'!M13+L13</f>
        <v>234646</v>
      </c>
      <c r="N13" s="153" t="s">
        <v>421</v>
      </c>
      <c r="Q13" s="153">
        <f>480-Q12</f>
        <v>0</v>
      </c>
      <c r="R13" s="153">
        <f>+R12/Q12</f>
        <v>1300</v>
      </c>
      <c r="S13" s="153">
        <f>+S12/Q12</f>
        <v>1001</v>
      </c>
    </row>
    <row r="14" spans="1:19" ht="13.5" thickBot="1">
      <c r="A14" s="806"/>
      <c r="B14" s="169" t="s">
        <v>3</v>
      </c>
      <c r="C14" s="103">
        <f>SUM(C7:C13)</f>
        <v>19796</v>
      </c>
      <c r="D14" s="115">
        <f>SUM(D7:D13)</f>
        <v>0</v>
      </c>
      <c r="E14" s="116">
        <f>SUM(E5:E13)</f>
        <v>0</v>
      </c>
      <c r="F14" s="120">
        <f>SUM(F7:F13)</f>
        <v>15</v>
      </c>
      <c r="G14" s="163"/>
      <c r="H14" s="170"/>
      <c r="I14" s="171"/>
      <c r="J14" s="216" t="str">
        <f>+'27'!J14</f>
        <v>F 15 VP OW</v>
      </c>
      <c r="K14" s="238"/>
      <c r="L14" s="238"/>
      <c r="M14" s="121">
        <f>+K14+'27'!M14+L14</f>
        <v>5496</v>
      </c>
    </row>
    <row r="15" spans="1:19" ht="13.5" thickBot="1">
      <c r="A15" s="810"/>
      <c r="B15" s="528"/>
      <c r="C15" s="117">
        <f>C14/($C$23+$D$23+$E$23)</f>
        <v>1.2622584964611363</v>
      </c>
      <c r="D15" s="118">
        <f>D14/($C$23+$D$23+$E$23)</f>
        <v>0</v>
      </c>
      <c r="E15" s="119">
        <f>E14/($C$23+$D$23+$E$23)</f>
        <v>0</v>
      </c>
      <c r="F15" s="235"/>
      <c r="G15" s="582" t="s">
        <v>12</v>
      </c>
      <c r="H15" s="583" t="s">
        <v>418</v>
      </c>
      <c r="I15" s="807" t="s">
        <v>752</v>
      </c>
      <c r="J15" s="216" t="str">
        <f>+'27'!J15</f>
        <v>T 12 VP OW</v>
      </c>
      <c r="K15" s="238"/>
      <c r="L15" s="238"/>
      <c r="M15" s="121">
        <f>+K15+'27'!M15+L15</f>
        <v>37386</v>
      </c>
      <c r="N15" s="153" t="s">
        <v>669</v>
      </c>
      <c r="O15" s="153">
        <v>1310</v>
      </c>
      <c r="P15" s="153">
        <f>+O15-O15*0.23</f>
        <v>1008.7</v>
      </c>
      <c r="Q15" s="153">
        <v>480</v>
      </c>
      <c r="R15" s="153">
        <f>+O15*Q15</f>
        <v>628800</v>
      </c>
      <c r="S15" s="153">
        <f>+P15*Q15</f>
        <v>484176</v>
      </c>
    </row>
    <row r="16" spans="1:19" ht="13.5" thickBot="1">
      <c r="A16" s="805"/>
      <c r="B16" s="217" t="s">
        <v>678</v>
      </c>
      <c r="C16" s="526">
        <v>15683</v>
      </c>
      <c r="D16" s="223"/>
      <c r="E16" s="224"/>
      <c r="F16" s="231">
        <v>8</v>
      </c>
      <c r="G16" s="584" t="s">
        <v>12</v>
      </c>
      <c r="H16" s="230" t="s">
        <v>505</v>
      </c>
      <c r="I16" s="808"/>
      <c r="J16" s="216" t="str">
        <f>+'27'!J16</f>
        <v>T 13 VP OW</v>
      </c>
      <c r="K16" s="229"/>
      <c r="L16" s="229"/>
      <c r="M16" s="121">
        <f>+K16+'27'!M16+L16</f>
        <v>49210</v>
      </c>
      <c r="P16" s="153">
        <f t="shared" ref="P16:P17" si="4">+O16-O16*0.23</f>
        <v>0</v>
      </c>
      <c r="R16" s="153">
        <f t="shared" ref="R16:R19" si="5">+O16*Q16</f>
        <v>0</v>
      </c>
      <c r="S16" s="153">
        <f t="shared" ref="S16:S19" si="6">+P16*Q16</f>
        <v>0</v>
      </c>
    </row>
    <row r="17" spans="1:19" ht="13.5" thickBot="1">
      <c r="A17" s="805"/>
      <c r="B17" s="217"/>
      <c r="C17" s="218"/>
      <c r="D17" s="219"/>
      <c r="E17" s="225"/>
      <c r="F17" s="231">
        <f>26-8</f>
        <v>18</v>
      </c>
      <c r="G17" s="584" t="s">
        <v>12</v>
      </c>
      <c r="H17" s="233" t="s">
        <v>528</v>
      </c>
      <c r="I17" s="808"/>
      <c r="J17" s="216" t="str">
        <f>+'27'!J17</f>
        <v>F 12 VP OW</v>
      </c>
      <c r="K17" s="229"/>
      <c r="L17" s="229"/>
      <c r="M17" s="121">
        <f>+K17+'27'!M17+L17</f>
        <v>31878</v>
      </c>
      <c r="P17" s="153">
        <f t="shared" si="4"/>
        <v>0</v>
      </c>
      <c r="R17" s="153">
        <f t="shared" si="5"/>
        <v>0</v>
      </c>
      <c r="S17" s="153">
        <f t="shared" si="6"/>
        <v>0</v>
      </c>
    </row>
    <row r="18" spans="1:19" ht="51.75" thickBot="1">
      <c r="A18" s="805"/>
      <c r="B18" s="217"/>
      <c r="C18" s="218"/>
      <c r="D18" s="219"/>
      <c r="E18" s="225"/>
      <c r="F18" s="231"/>
      <c r="G18" s="229"/>
      <c r="H18" s="233" t="s">
        <v>748</v>
      </c>
      <c r="I18" s="808"/>
      <c r="J18" s="216" t="str">
        <f>+'27'!J18</f>
        <v>F 16 VP OW</v>
      </c>
      <c r="K18" s="238"/>
      <c r="L18" s="238"/>
      <c r="M18" s="121">
        <f>+K18+'27'!M18+L18</f>
        <v>5325</v>
      </c>
      <c r="R18" s="153">
        <f t="shared" si="5"/>
        <v>0</v>
      </c>
      <c r="S18" s="153">
        <f t="shared" si="6"/>
        <v>0</v>
      </c>
    </row>
    <row r="19" spans="1:19" ht="116.25" customHeight="1" thickBot="1">
      <c r="A19" s="805"/>
      <c r="B19" s="217"/>
      <c r="C19" s="218"/>
      <c r="D19" s="219"/>
      <c r="E19" s="225"/>
      <c r="F19" s="234"/>
      <c r="G19" s="232"/>
      <c r="H19" s="233" t="s">
        <v>749</v>
      </c>
      <c r="I19" s="808"/>
      <c r="J19" s="216" t="str">
        <f>+'27'!J19</f>
        <v>T 13 VP OW</v>
      </c>
      <c r="K19" s="238">
        <f>+C34</f>
        <v>50752</v>
      </c>
      <c r="L19" s="238"/>
      <c r="M19" s="121">
        <f>+K19+'27'!M19+L19</f>
        <v>78275</v>
      </c>
      <c r="R19" s="153">
        <f t="shared" si="5"/>
        <v>0</v>
      </c>
      <c r="S19" s="153">
        <f t="shared" si="6"/>
        <v>0</v>
      </c>
    </row>
    <row r="20" spans="1:19" ht="13.5" thickBot="1">
      <c r="A20" s="805"/>
      <c r="B20" s="217"/>
      <c r="C20" s="218"/>
      <c r="D20" s="219"/>
      <c r="E20" s="225"/>
      <c r="F20" s="228"/>
      <c r="G20" s="232"/>
      <c r="H20" s="233"/>
      <c r="I20" s="808"/>
      <c r="J20" s="216">
        <f>+'27'!J20</f>
        <v>0</v>
      </c>
      <c r="K20" s="239"/>
      <c r="L20" s="239"/>
      <c r="M20" s="121">
        <f>+K20+'27'!M20+L20</f>
        <v>0</v>
      </c>
      <c r="P20" s="153">
        <f t="shared" ref="P20" si="7">+O20-O20*0.17</f>
        <v>0</v>
      </c>
    </row>
    <row r="21" spans="1:19" ht="13.5" thickBot="1">
      <c r="A21" s="805"/>
      <c r="B21" s="217"/>
      <c r="C21" s="218"/>
      <c r="D21" s="219"/>
      <c r="E21" s="225"/>
      <c r="F21" s="231"/>
      <c r="G21" s="232"/>
      <c r="H21" s="233"/>
      <c r="I21" s="808"/>
      <c r="J21" s="216">
        <f>+'27'!J21</f>
        <v>0</v>
      </c>
      <c r="K21" s="238"/>
      <c r="L21" s="238"/>
      <c r="M21" s="121">
        <f>+K21+'27'!M21+L21</f>
        <v>0</v>
      </c>
      <c r="Q21" s="153">
        <f>SUM(Q15:Q19)</f>
        <v>480</v>
      </c>
      <c r="R21" s="153">
        <f>SUM(R15:R19)</f>
        <v>628800</v>
      </c>
      <c r="S21" s="153">
        <f>SUM(S15:S19)</f>
        <v>484176</v>
      </c>
    </row>
    <row r="22" spans="1:19" ht="13.5" thickBot="1">
      <c r="A22" s="805"/>
      <c r="B22" s="217"/>
      <c r="C22" s="218"/>
      <c r="D22" s="219"/>
      <c r="E22" s="225"/>
      <c r="F22" s="235"/>
      <c r="G22" s="232"/>
      <c r="H22" s="233"/>
      <c r="I22" s="809"/>
      <c r="J22" s="216">
        <f>+'27'!J22</f>
        <v>0</v>
      </c>
      <c r="K22" s="238"/>
      <c r="L22" s="238"/>
      <c r="M22" s="121">
        <f>+K22+'27'!M22+L22</f>
        <v>0</v>
      </c>
      <c r="N22" s="153" t="s">
        <v>421</v>
      </c>
      <c r="Q22" s="153">
        <f>480-Q21</f>
        <v>0</v>
      </c>
      <c r="R22" s="153">
        <f>+R21/Q21</f>
        <v>1310</v>
      </c>
      <c r="S22" s="153">
        <f>+S21/Q21</f>
        <v>1008.7</v>
      </c>
    </row>
    <row r="23" spans="1:19" ht="13.5" thickBot="1">
      <c r="A23" s="806"/>
      <c r="B23" s="169" t="s">
        <v>3</v>
      </c>
      <c r="C23" s="103">
        <f>SUM(C16:C22)</f>
        <v>15683</v>
      </c>
      <c r="D23" s="115">
        <f>SUM(D16:D22)</f>
        <v>0</v>
      </c>
      <c r="E23" s="116">
        <f>SUM(E18:E22)</f>
        <v>0</v>
      </c>
      <c r="F23" s="120">
        <f>SUM(F15:F22)</f>
        <v>26</v>
      </c>
      <c r="G23" s="163"/>
      <c r="H23" s="170"/>
      <c r="I23" s="172"/>
      <c r="J23" s="216">
        <f>+'27'!J23</f>
        <v>0</v>
      </c>
      <c r="K23" s="238"/>
      <c r="L23" s="238"/>
      <c r="M23" s="121">
        <f>+K23+'27'!M23+L23</f>
        <v>0</v>
      </c>
    </row>
    <row r="24" spans="1:19" ht="13.5" thickBot="1">
      <c r="A24" s="810"/>
      <c r="B24" s="528"/>
      <c r="C24" s="117">
        <f>C23/($C$23+$D$23+$E$23)</f>
        <v>1</v>
      </c>
      <c r="D24" s="118">
        <f>D23/($C$23+$D$23+$E$23)</f>
        <v>0</v>
      </c>
      <c r="E24" s="119">
        <f>E23/($C$23+$D$23+$E$23)</f>
        <v>0</v>
      </c>
      <c r="F24" s="235"/>
      <c r="G24" s="582" t="s">
        <v>12</v>
      </c>
      <c r="H24" s="583" t="s">
        <v>418</v>
      </c>
      <c r="I24" s="807" t="s">
        <v>752</v>
      </c>
      <c r="J24" s="216">
        <f>+'27'!J24</f>
        <v>0</v>
      </c>
      <c r="K24" s="238"/>
      <c r="L24" s="238"/>
      <c r="M24" s="121">
        <f>+K24+'27'!M24+L24</f>
        <v>0</v>
      </c>
      <c r="N24" s="153" t="s">
        <v>669</v>
      </c>
      <c r="O24" s="153">
        <v>1310</v>
      </c>
      <c r="P24" s="153">
        <f>+O24-O24*0.23</f>
        <v>1008.7</v>
      </c>
      <c r="Q24" s="153">
        <v>480</v>
      </c>
      <c r="R24" s="153">
        <f>+O24*Q24</f>
        <v>628800</v>
      </c>
      <c r="S24" s="153">
        <f>+P24*Q24</f>
        <v>484176</v>
      </c>
    </row>
    <row r="25" spans="1:19" ht="13.5" thickBot="1">
      <c r="A25" s="805"/>
      <c r="B25" s="217" t="s">
        <v>678</v>
      </c>
      <c r="C25" s="226">
        <v>15273</v>
      </c>
      <c r="D25" s="219">
        <v>600</v>
      </c>
      <c r="E25" s="225"/>
      <c r="F25" s="231">
        <v>5</v>
      </c>
      <c r="G25" s="584" t="s">
        <v>12</v>
      </c>
      <c r="H25" s="230" t="s">
        <v>540</v>
      </c>
      <c r="I25" s="808"/>
      <c r="J25" s="216">
        <f>+'27'!J25</f>
        <v>0</v>
      </c>
      <c r="K25" s="238"/>
      <c r="L25" s="238"/>
      <c r="M25" s="121">
        <f>+K25+'27'!M25+L25</f>
        <v>0</v>
      </c>
      <c r="P25" s="153">
        <f t="shared" ref="P25:P26" si="8">+O25-O25*0.23</f>
        <v>0</v>
      </c>
      <c r="R25" s="153">
        <f t="shared" ref="R25:R28" si="9">+O25*Q25</f>
        <v>0</v>
      </c>
      <c r="S25" s="153">
        <f t="shared" ref="S25:S28" si="10">+P25*Q25</f>
        <v>0</v>
      </c>
    </row>
    <row r="26" spans="1:19" ht="13.5" thickBot="1">
      <c r="A26" s="805"/>
      <c r="B26" s="217"/>
      <c r="C26" s="226"/>
      <c r="D26" s="219"/>
      <c r="E26" s="227"/>
      <c r="F26" s="231">
        <v>7</v>
      </c>
      <c r="G26" s="584" t="s">
        <v>12</v>
      </c>
      <c r="H26" s="233" t="s">
        <v>483</v>
      </c>
      <c r="I26" s="808"/>
      <c r="J26" s="216">
        <f>+'27'!J26</f>
        <v>0</v>
      </c>
      <c r="K26" s="238"/>
      <c r="L26" s="238"/>
      <c r="M26" s="121">
        <f>+K26+'27'!M26+L26</f>
        <v>0</v>
      </c>
      <c r="P26" s="153">
        <f t="shared" si="8"/>
        <v>0</v>
      </c>
      <c r="R26" s="153">
        <f t="shared" si="9"/>
        <v>0</v>
      </c>
      <c r="S26" s="153">
        <f t="shared" si="10"/>
        <v>0</v>
      </c>
    </row>
    <row r="27" spans="1:19" ht="51.75" thickBot="1">
      <c r="A27" s="805"/>
      <c r="B27" s="217"/>
      <c r="C27" s="218"/>
      <c r="D27" s="219"/>
      <c r="E27" s="225"/>
      <c r="F27" s="231"/>
      <c r="G27" s="229"/>
      <c r="H27" s="233" t="s">
        <v>746</v>
      </c>
      <c r="I27" s="808"/>
      <c r="J27" s="216">
        <f>+'27'!J27</f>
        <v>0</v>
      </c>
      <c r="K27" s="238"/>
      <c r="L27" s="238"/>
      <c r="M27" s="121">
        <f>+K27+'27'!M27+L27</f>
        <v>0</v>
      </c>
      <c r="R27" s="153">
        <f t="shared" si="9"/>
        <v>0</v>
      </c>
      <c r="S27" s="153">
        <f t="shared" si="10"/>
        <v>0</v>
      </c>
    </row>
    <row r="28" spans="1:19" ht="155.25" customHeight="1" thickBot="1">
      <c r="A28" s="805"/>
      <c r="B28" s="217"/>
      <c r="C28" s="218"/>
      <c r="D28" s="219"/>
      <c r="E28" s="225"/>
      <c r="F28" s="231"/>
      <c r="G28" s="229"/>
      <c r="H28" s="233" t="s">
        <v>747</v>
      </c>
      <c r="I28" s="808"/>
      <c r="J28" s="216">
        <f>+'27'!J28</f>
        <v>0</v>
      </c>
      <c r="K28" s="238"/>
      <c r="L28" s="238"/>
      <c r="M28" s="121">
        <f>+K28+'27'!M28+L28</f>
        <v>0</v>
      </c>
      <c r="R28" s="153">
        <f t="shared" si="9"/>
        <v>0</v>
      </c>
      <c r="S28" s="153">
        <f t="shared" si="10"/>
        <v>0</v>
      </c>
    </row>
    <row r="29" spans="1:19" ht="13.5" thickBot="1">
      <c r="A29" s="805"/>
      <c r="B29" s="217"/>
      <c r="C29" s="218"/>
      <c r="D29" s="219"/>
      <c r="E29" s="225"/>
      <c r="F29" s="235"/>
      <c r="G29" s="232"/>
      <c r="H29" s="233"/>
      <c r="I29" s="808"/>
      <c r="J29" s="216">
        <f>+'27'!J29</f>
        <v>0</v>
      </c>
      <c r="K29" s="238"/>
      <c r="L29" s="238"/>
      <c r="M29" s="121">
        <f>+K29+'27'!M29+L29</f>
        <v>0</v>
      </c>
      <c r="P29" s="153">
        <f t="shared" ref="P29" si="11">+O29-O29*0.17</f>
        <v>0</v>
      </c>
    </row>
    <row r="30" spans="1:19" ht="13.5" customHeight="1" thickBot="1">
      <c r="A30" s="805"/>
      <c r="B30" s="217"/>
      <c r="C30" s="226"/>
      <c r="D30" s="219"/>
      <c r="E30" s="225"/>
      <c r="F30" s="235"/>
      <c r="G30" s="232"/>
      <c r="H30" s="233"/>
      <c r="I30" s="808"/>
      <c r="J30" s="216">
        <f>+'27'!J30</f>
        <v>0</v>
      </c>
      <c r="K30" s="238"/>
      <c r="L30" s="238"/>
      <c r="M30" s="121">
        <f>+K30+'27'!M30+L30</f>
        <v>0</v>
      </c>
      <c r="Q30" s="153">
        <f>SUM(Q24:Q28)</f>
        <v>480</v>
      </c>
      <c r="R30" s="153">
        <f>SUM(R24:R28)</f>
        <v>628800</v>
      </c>
      <c r="S30" s="153">
        <f>SUM(S24:S28)</f>
        <v>484176</v>
      </c>
    </row>
    <row r="31" spans="1:19" ht="13.5" customHeight="1" thickBot="1">
      <c r="A31" s="805"/>
      <c r="B31" s="217"/>
      <c r="C31" s="226"/>
      <c r="D31" s="219"/>
      <c r="E31" s="225"/>
      <c r="F31" s="235"/>
      <c r="G31" s="236"/>
      <c r="H31" s="413"/>
      <c r="I31" s="809"/>
      <c r="J31" s="216">
        <f>+'27'!J31</f>
        <v>0</v>
      </c>
      <c r="K31" s="238"/>
      <c r="L31" s="238"/>
      <c r="M31" s="121">
        <f>+K31+'27'!M31+L31</f>
        <v>0</v>
      </c>
      <c r="N31" s="153" t="s">
        <v>421</v>
      </c>
      <c r="Q31" s="153">
        <f>480-Q30</f>
        <v>0</v>
      </c>
      <c r="R31" s="153">
        <f>+R30/Q30</f>
        <v>1310</v>
      </c>
      <c r="S31" s="153">
        <f>+S30/Q30</f>
        <v>1008.7</v>
      </c>
    </row>
    <row r="32" spans="1:19" ht="13.5" customHeight="1" thickBot="1">
      <c r="A32" s="806"/>
      <c r="B32" s="169" t="s">
        <v>3</v>
      </c>
      <c r="C32" s="103">
        <f>SUM(C25:C31)</f>
        <v>15273</v>
      </c>
      <c r="D32" s="104">
        <f>SUM(D25:D31)</f>
        <v>600</v>
      </c>
      <c r="E32" s="105">
        <f>SUM(E25:E31)</f>
        <v>0</v>
      </c>
      <c r="F32" s="103">
        <f>SUM(F24:F31)</f>
        <v>12</v>
      </c>
      <c r="G32" s="173"/>
      <c r="H32" s="174"/>
      <c r="I32" s="172"/>
      <c r="J32" s="216">
        <f>+'27'!J32</f>
        <v>0</v>
      </c>
      <c r="K32" s="240"/>
      <c r="L32" s="242"/>
      <c r="M32" s="121">
        <f>+K32+'27'!M32+L32</f>
        <v>0</v>
      </c>
    </row>
    <row r="33" spans="1:14" ht="13.5" thickBot="1">
      <c r="A33" s="175"/>
      <c r="B33" s="176"/>
      <c r="C33" s="107">
        <f>C32/($C$32+$D$32+$E$32)</f>
        <v>0.96219996219996218</v>
      </c>
      <c r="D33" s="108">
        <f>D32/($C$32+$D$32+$E$32)</f>
        <v>3.7800037800037802E-2</v>
      </c>
      <c r="E33" s="109">
        <f>E32/($C$32+$D$32+$E$32)</f>
        <v>0</v>
      </c>
      <c r="F33" s="110"/>
      <c r="G33" s="177"/>
      <c r="H33" s="178"/>
      <c r="I33" s="179"/>
      <c r="J33" s="125"/>
      <c r="K33" s="126"/>
      <c r="L33" s="215"/>
      <c r="M33" s="123"/>
    </row>
    <row r="34" spans="1:14" ht="13.5" thickBot="1">
      <c r="A34" s="811" t="s">
        <v>69</v>
      </c>
      <c r="B34" s="812"/>
      <c r="C34" s="111">
        <f>C14+C23+C32</f>
        <v>50752</v>
      </c>
      <c r="D34" s="111">
        <f>D14+D23+D32</f>
        <v>600</v>
      </c>
      <c r="E34" s="111">
        <f>E14+E23+E32</f>
        <v>0</v>
      </c>
      <c r="F34" s="112">
        <f>F14+F23+F32</f>
        <v>53</v>
      </c>
      <c r="H34" s="180"/>
      <c r="I34" s="180"/>
      <c r="J34" s="127" t="s">
        <v>28</v>
      </c>
      <c r="K34" s="128">
        <f>SUM(K7:K32)</f>
        <v>50752</v>
      </c>
      <c r="L34" s="214">
        <f>SUM(L7:L32)</f>
        <v>0</v>
      </c>
      <c r="M34" s="124">
        <f>SUM(M7:M32)</f>
        <v>785214</v>
      </c>
      <c r="N34" s="159"/>
    </row>
    <row r="35" spans="1:14" ht="13.5" thickBot="1">
      <c r="A35" s="573"/>
      <c r="B35" s="182"/>
      <c r="C35" s="108">
        <f>C34/($C$34+$D$34+$E$34)</f>
        <v>0.98831593706184762</v>
      </c>
      <c r="D35" s="108">
        <f>D34/($C$34+$D$34+$E$34)</f>
        <v>1.168406293815236E-2</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(13*1440)/1440*G42*2.7*1440/1000000</f>
        <v>50.854003200000008</v>
      </c>
      <c r="J37" s="129">
        <f>+I37+'27'!J37</f>
        <v>964.18146590382935</v>
      </c>
      <c r="K37" s="130" t="s">
        <v>75</v>
      </c>
    </row>
    <row r="38" spans="1:14" ht="17.45" customHeight="1">
      <c r="A38" s="797" t="s">
        <v>12</v>
      </c>
      <c r="B38" s="798"/>
      <c r="C38" s="168">
        <f>SUMIF($G$7:$G$31,"Process",$F$7:$F$31)</f>
        <v>53</v>
      </c>
      <c r="D38" s="122">
        <f>C38+'27'!D38</f>
        <v>1763</v>
      </c>
      <c r="E38" s="147">
        <f t="shared" ref="E38:E52" si="12">D38/60</f>
        <v>29.383333333333333</v>
      </c>
      <c r="F38" s="311">
        <v>1300</v>
      </c>
      <c r="G38" s="311">
        <v>1001</v>
      </c>
      <c r="H38" s="189" t="s">
        <v>76</v>
      </c>
      <c r="I38" s="534">
        <f>15.339+15.605+13.571</f>
        <v>44.515000000000001</v>
      </c>
      <c r="J38" s="131">
        <f>+I38+'27'!J38</f>
        <v>845.7890000000001</v>
      </c>
      <c r="K38" s="132" t="s">
        <v>75</v>
      </c>
    </row>
    <row r="39" spans="1:14" ht="17.45" customHeight="1">
      <c r="A39" s="799" t="s">
        <v>13</v>
      </c>
      <c r="B39" s="800"/>
      <c r="C39" s="168">
        <f>SUMIF($G$7:$G$31,"Cleaning",$F$7:$F$31)</f>
        <v>0</v>
      </c>
      <c r="D39" s="122">
        <f>C39+'27'!D39</f>
        <v>0</v>
      </c>
      <c r="E39" s="147">
        <f t="shared" si="12"/>
        <v>0</v>
      </c>
      <c r="F39" s="311">
        <v>1310</v>
      </c>
      <c r="G39" s="311">
        <v>1008.7</v>
      </c>
      <c r="H39" s="189" t="s">
        <v>77</v>
      </c>
      <c r="I39" s="146"/>
      <c r="J39" s="133">
        <f>J37/G4</f>
        <v>34.435052353708194</v>
      </c>
      <c r="K39" s="134" t="s">
        <v>75</v>
      </c>
    </row>
    <row r="40" spans="1:14" ht="17.45" customHeight="1">
      <c r="A40" s="799" t="s">
        <v>78</v>
      </c>
      <c r="B40" s="800"/>
      <c r="C40" s="168">
        <f>SUMIF($G$7:$G$31,"Mechanical",$F$7:$F$31)</f>
        <v>0</v>
      </c>
      <c r="D40" s="122">
        <f>C40+'27'!D40</f>
        <v>152</v>
      </c>
      <c r="E40" s="147">
        <f t="shared" si="12"/>
        <v>2.5333333333333332</v>
      </c>
      <c r="F40" s="311">
        <v>1310</v>
      </c>
      <c r="G40" s="311">
        <v>1008.7</v>
      </c>
      <c r="H40" s="189" t="s">
        <v>79</v>
      </c>
      <c r="I40" s="122">
        <f>(K34+L34)/1000</f>
        <v>50.752000000000002</v>
      </c>
      <c r="J40" s="135">
        <f>+I40+'27'!J40</f>
        <v>785.21399999999994</v>
      </c>
      <c r="K40" s="134" t="s">
        <v>75</v>
      </c>
    </row>
    <row r="41" spans="1:14" ht="17.45" customHeight="1">
      <c r="A41" s="799" t="s">
        <v>80</v>
      </c>
      <c r="B41" s="800"/>
      <c r="C41" s="168">
        <f>SUMIF($G$7:$G$31,"Electrical",$F$7:$F$31)</f>
        <v>0</v>
      </c>
      <c r="D41" s="122">
        <f>C41+'27'!D41</f>
        <v>70</v>
      </c>
      <c r="E41" s="147">
        <f t="shared" si="12"/>
        <v>1.1666666666666667</v>
      </c>
      <c r="F41" s="311"/>
      <c r="G41" s="311"/>
      <c r="H41" s="189" t="s">
        <v>81</v>
      </c>
      <c r="I41" s="146"/>
      <c r="J41" s="133">
        <f>J40/G4</f>
        <v>28.04335714285714</v>
      </c>
      <c r="K41" s="134" t="s">
        <v>75</v>
      </c>
    </row>
    <row r="42" spans="1:14" ht="17.45" customHeight="1">
      <c r="A42" s="799" t="s">
        <v>16</v>
      </c>
      <c r="B42" s="800"/>
      <c r="C42" s="168">
        <f>SUMIF($G$7:$G$31,"Instrument",$F$7:$F$31)</f>
        <v>0</v>
      </c>
      <c r="D42" s="122">
        <f>C42+'27'!D42</f>
        <v>0</v>
      </c>
      <c r="E42" s="147">
        <f t="shared" si="12"/>
        <v>0</v>
      </c>
      <c r="F42" s="187">
        <f>+(480*F38+480*F39+480*F40)/1440</f>
        <v>1306.6666666666667</v>
      </c>
      <c r="G42" s="187">
        <f>+(480*G38+480*G39+480*G40)/1440</f>
        <v>1006.1333333333333</v>
      </c>
      <c r="H42" s="189" t="s">
        <v>82</v>
      </c>
      <c r="I42" s="245" t="s">
        <v>753</v>
      </c>
      <c r="J42" s="136"/>
      <c r="K42" s="134" t="s">
        <v>83</v>
      </c>
    </row>
    <row r="43" spans="1:14" ht="17.45" customHeight="1">
      <c r="A43" s="799" t="s">
        <v>84</v>
      </c>
      <c r="B43" s="800"/>
      <c r="C43" s="168">
        <f>SUMIF($G$7:$G$31,"Water",$F$7:$F$31)</f>
        <v>0</v>
      </c>
      <c r="D43" s="122">
        <f>C43+'27'!D43</f>
        <v>0</v>
      </c>
      <c r="E43" s="147">
        <f t="shared" si="12"/>
        <v>0</v>
      </c>
      <c r="F43" s="311"/>
      <c r="G43" s="312"/>
      <c r="H43" s="190" t="s">
        <v>85</v>
      </c>
      <c r="I43" s="122">
        <f>+Report1!Z36</f>
        <v>91.8</v>
      </c>
      <c r="J43" s="137">
        <f>+I43+'27'!J43</f>
        <v>1856.8000000000002</v>
      </c>
      <c r="K43" s="134" t="s">
        <v>75</v>
      </c>
      <c r="L43" s="191"/>
    </row>
    <row r="44" spans="1:14" ht="17.45" customHeight="1">
      <c r="A44" s="799" t="s">
        <v>17</v>
      </c>
      <c r="B44" s="800"/>
      <c r="C44" s="168">
        <f>SUMIF($G$7:$G$31,"PLN",$F$7:$F$31)</f>
        <v>0</v>
      </c>
      <c r="D44" s="122">
        <f>C44+'27'!D44</f>
        <v>0</v>
      </c>
      <c r="E44" s="147">
        <f t="shared" si="12"/>
        <v>0</v>
      </c>
      <c r="F44" s="311"/>
      <c r="G44" s="312"/>
      <c r="H44" s="190" t="s">
        <v>86</v>
      </c>
      <c r="I44" s="122">
        <f>I43/I38</f>
        <v>2.0622262158822866</v>
      </c>
      <c r="J44" s="138">
        <f>J43/J38</f>
        <v>2.1953465935357399</v>
      </c>
      <c r="K44" s="134" t="s">
        <v>75</v>
      </c>
    </row>
    <row r="45" spans="1:14" ht="17.45" customHeight="1">
      <c r="A45" s="799" t="s">
        <v>18</v>
      </c>
      <c r="B45" s="800"/>
      <c r="C45" s="168">
        <f>SUMIF($G$7:$G$31,"Boiler",$F$7:$F$31)</f>
        <v>0</v>
      </c>
      <c r="D45" s="122">
        <f>C45+'27'!D45</f>
        <v>0</v>
      </c>
      <c r="E45" s="147">
        <f t="shared" si="12"/>
        <v>0</v>
      </c>
      <c r="F45" s="311"/>
      <c r="G45" s="314"/>
      <c r="H45" s="190" t="s">
        <v>87</v>
      </c>
      <c r="I45" s="122">
        <f>I43/I40</f>
        <v>1.8087957124842369</v>
      </c>
      <c r="J45" s="138">
        <f>J43/J40</f>
        <v>2.3647056725937139</v>
      </c>
      <c r="K45" s="134" t="s">
        <v>75</v>
      </c>
    </row>
    <row r="46" spans="1:14" ht="17.45" customHeight="1">
      <c r="A46" s="799" t="s">
        <v>88</v>
      </c>
      <c r="B46" s="800"/>
      <c r="C46" s="168">
        <f>SUMIF($G$7:$G$31,"Gas",$F$7:$F$31)</f>
        <v>0</v>
      </c>
      <c r="D46" s="122">
        <f>C46+'27'!D46</f>
        <v>0</v>
      </c>
      <c r="E46" s="147">
        <f t="shared" si="12"/>
        <v>0</v>
      </c>
      <c r="F46" s="311"/>
      <c r="G46" s="312"/>
      <c r="H46" s="190" t="s">
        <v>89</v>
      </c>
      <c r="I46" s="144">
        <f>+SUMIF(Listrik!X35,"&gt;0")</f>
        <v>41213.169999999991</v>
      </c>
      <c r="J46" s="139">
        <f>+I46+'27'!J46</f>
        <v>820211.17240000027</v>
      </c>
      <c r="K46" s="134" t="s">
        <v>90</v>
      </c>
    </row>
    <row r="47" spans="1:14" ht="17.45" customHeight="1">
      <c r="A47" s="799" t="s">
        <v>91</v>
      </c>
      <c r="B47" s="800"/>
      <c r="C47" s="168">
        <f>SUMIF($G$7:$G$31,"Gas",$F$7:$F$31)</f>
        <v>0</v>
      </c>
      <c r="D47" s="122">
        <f>C47+'27'!D47</f>
        <v>0</v>
      </c>
      <c r="E47" s="147">
        <f t="shared" si="12"/>
        <v>0</v>
      </c>
      <c r="F47" s="311"/>
      <c r="G47" s="312"/>
      <c r="H47" s="190" t="s">
        <v>92</v>
      </c>
      <c r="I47" s="122">
        <f>I46/I38</f>
        <v>925.82657531169252</v>
      </c>
      <c r="J47" s="139">
        <f>J46/J38</f>
        <v>969.75861875716066</v>
      </c>
      <c r="K47" s="134" t="s">
        <v>24</v>
      </c>
    </row>
    <row r="48" spans="1:14" ht="17.45" customHeight="1">
      <c r="A48" s="799" t="s">
        <v>14</v>
      </c>
      <c r="B48" s="800"/>
      <c r="C48" s="168">
        <f>SUMIF($G$7:$G$31,"Start Up",$F$7:$F$31)</f>
        <v>0</v>
      </c>
      <c r="D48" s="122">
        <f>C48+'27'!D48</f>
        <v>0</v>
      </c>
      <c r="E48" s="147">
        <f t="shared" si="12"/>
        <v>0</v>
      </c>
      <c r="F48" s="311"/>
      <c r="G48" s="312"/>
      <c r="H48" s="190" t="s">
        <v>93</v>
      </c>
      <c r="I48" s="122">
        <f>I46/I40</f>
        <v>812.05016551071856</v>
      </c>
      <c r="J48" s="139">
        <f>J46/J40</f>
        <v>1044.5702348659097</v>
      </c>
      <c r="K48" s="134" t="s">
        <v>24</v>
      </c>
    </row>
    <row r="49" spans="1:11" ht="17.45" customHeight="1">
      <c r="A49" s="799" t="s">
        <v>20</v>
      </c>
      <c r="B49" s="800"/>
      <c r="C49" s="168">
        <f>SUMIF($G$7:$G$31,"Others",$F$7:$F$31)</f>
        <v>0</v>
      </c>
      <c r="D49" s="122">
        <f>C49+'27'!D49</f>
        <v>11885</v>
      </c>
      <c r="E49" s="147">
        <f t="shared" si="12"/>
        <v>198.08333333333334</v>
      </c>
      <c r="F49" s="187"/>
      <c r="H49" s="190" t="s">
        <v>279</v>
      </c>
      <c r="I49" s="122">
        <f>+Report1!T36</f>
        <v>3987.5154755851522</v>
      </c>
      <c r="J49" s="139">
        <f>+I49+'27'!J49</f>
        <v>77225.921141230152</v>
      </c>
      <c r="K49" s="134" t="s">
        <v>94</v>
      </c>
    </row>
    <row r="50" spans="1:11" ht="17.45" customHeight="1">
      <c r="A50" s="799" t="s">
        <v>19</v>
      </c>
      <c r="B50" s="800"/>
      <c r="C50" s="168">
        <f>SUMIF($G$7:$G$31,"Steam",$F$7:$F$31)</f>
        <v>0</v>
      </c>
      <c r="D50" s="122">
        <f>C50+'27'!D50</f>
        <v>0</v>
      </c>
      <c r="E50" s="147">
        <f t="shared" si="12"/>
        <v>0</v>
      </c>
      <c r="F50" s="187"/>
      <c r="H50" s="190" t="s">
        <v>95</v>
      </c>
      <c r="I50" s="144">
        <f>I49/I38</f>
        <v>89.576894880043852</v>
      </c>
      <c r="J50" s="137">
        <f>J49/J38</f>
        <v>91.306367357851826</v>
      </c>
      <c r="K50" s="134" t="s">
        <v>94</v>
      </c>
    </row>
    <row r="51" spans="1:11" ht="17.45" customHeight="1">
      <c r="A51" s="801" t="s">
        <v>96</v>
      </c>
      <c r="B51" s="801"/>
      <c r="C51" s="168">
        <f>SUMIF($G$7:$G$31,"Planned shut",$F$7:$F$31)</f>
        <v>0</v>
      </c>
      <c r="D51" s="122">
        <f>C51+'27'!D51</f>
        <v>0</v>
      </c>
      <c r="E51" s="147">
        <f t="shared" si="12"/>
        <v>0</v>
      </c>
      <c r="F51" s="187"/>
      <c r="H51" s="192" t="s">
        <v>97</v>
      </c>
      <c r="I51" s="145">
        <f>I49/I40</f>
        <v>78.568637208093321</v>
      </c>
      <c r="J51" s="140">
        <f>J49/J40</f>
        <v>98.350158225948789</v>
      </c>
      <c r="K51" s="141" t="s">
        <v>94</v>
      </c>
    </row>
    <row r="52" spans="1:11" ht="13.5" thickBot="1">
      <c r="A52" s="802" t="s">
        <v>229</v>
      </c>
      <c r="B52" s="803"/>
      <c r="C52" s="168">
        <f>SUMIF($G$7:$G$31,"Change Grade",$F$7:$F$31)</f>
        <v>0</v>
      </c>
      <c r="D52" s="122">
        <f>C52+'27'!D52</f>
        <v>0</v>
      </c>
      <c r="E52" s="147">
        <f t="shared" si="12"/>
        <v>0</v>
      </c>
      <c r="F52" s="187"/>
      <c r="H52" s="193"/>
      <c r="I52" s="194"/>
      <c r="J52" s="142"/>
      <c r="K52" s="143"/>
    </row>
    <row r="53" spans="1:11">
      <c r="A53" s="797" t="s">
        <v>28</v>
      </c>
      <c r="B53" s="798"/>
      <c r="C53" s="148">
        <f>SUM(C38:C52)</f>
        <v>53</v>
      </c>
      <c r="D53" s="148">
        <f>SUM(D38:D52)</f>
        <v>13870</v>
      </c>
      <c r="E53" s="149">
        <f>SUM(E38:E52)</f>
        <v>231.16666666666669</v>
      </c>
      <c r="F53" s="187"/>
    </row>
    <row r="54" spans="1:11" ht="13.5" thickBot="1">
      <c r="A54" s="795"/>
      <c r="B54" s="796"/>
      <c r="C54" s="150">
        <f>C53/(24*60)</f>
        <v>3.6805555555555557E-2</v>
      </c>
      <c r="D54" s="150">
        <f>D53/(24*60*G4)</f>
        <v>0.34399801587301587</v>
      </c>
      <c r="E54" s="151">
        <f>E53/(G4*24)</f>
        <v>0.34399801587301593</v>
      </c>
      <c r="F54" s="187"/>
    </row>
    <row r="55" spans="1:11">
      <c r="E55" s="195"/>
    </row>
    <row r="56" spans="1:11">
      <c r="A56" s="196" t="s">
        <v>98</v>
      </c>
      <c r="B56" s="197"/>
      <c r="C56" s="198"/>
      <c r="D56" s="198"/>
      <c r="E56" s="198"/>
      <c r="F56" s="199"/>
      <c r="G56" s="198"/>
      <c r="H56" s="200"/>
      <c r="I56" s="201" t="s">
        <v>99</v>
      </c>
      <c r="J56" s="202">
        <f>+D34+'27'!J56</f>
        <v>5452</v>
      </c>
      <c r="K56" s="203">
        <f>J56/(J40+J56/1000)/1000</f>
        <v>6.8954526943108725E-3</v>
      </c>
    </row>
    <row r="57" spans="1:11">
      <c r="A57" s="178"/>
      <c r="I57" s="201" t="s">
        <v>100</v>
      </c>
      <c r="J57" s="202">
        <f>+E34+'27'!J57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05" right="0.05" top="0.19513888888888889" bottom="0.39027777777777778" header="0" footer="0"/>
  <pageSetup paperSize="9" scale="42"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C19" zoomScale="80" zoomScaleNormal="80" zoomScaleSheetLayoutView="80" workbookViewId="0">
      <selection activeCell="H20" sqref="D20:H20"/>
    </sheetView>
  </sheetViews>
  <sheetFormatPr defaultColWidth="9.140625" defaultRowHeight="12.75"/>
  <cols>
    <col min="1" max="1" width="8" style="153" customWidth="1"/>
    <col min="2" max="2" width="7" style="153"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28515625" style="153" customWidth="1"/>
    <col min="14" max="14" width="10.140625" style="153" bestFit="1" customWidth="1"/>
    <col min="15" max="16384" width="9.140625" style="153"/>
  </cols>
  <sheetData>
    <row r="1" spans="1:19" ht="15.75">
      <c r="A1" s="152"/>
    </row>
    <row r="2" spans="1:19" ht="15.75">
      <c r="A2" s="152" t="s">
        <v>230</v>
      </c>
    </row>
    <row r="3" spans="1:19" ht="15">
      <c r="A3" s="154"/>
    </row>
    <row r="4" spans="1:19" ht="20.25">
      <c r="A4" s="155" t="s">
        <v>4</v>
      </c>
      <c r="B4" s="156"/>
      <c r="F4" s="157" t="s">
        <v>30</v>
      </c>
      <c r="G4" s="158">
        <v>27</v>
      </c>
      <c r="H4" s="158" t="str">
        <f>+'1'!H4</f>
        <v>.10.25</v>
      </c>
      <c r="J4" s="153">
        <f>400+357+336</f>
        <v>1093</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669</v>
      </c>
      <c r="O6" s="153">
        <v>1320</v>
      </c>
      <c r="P6" s="153">
        <f>+O6-O6*0.23</f>
        <v>1016.4</v>
      </c>
      <c r="Q6" s="153">
        <f>60*2+7</f>
        <v>127</v>
      </c>
      <c r="R6" s="153">
        <f>+O6*Q6</f>
        <v>167640</v>
      </c>
      <c r="S6" s="153">
        <f>+P6*Q6</f>
        <v>129082.8</v>
      </c>
    </row>
    <row r="7" spans="1:19" ht="13.5" customHeight="1" thickBot="1">
      <c r="A7" s="804"/>
      <c r="B7" s="217" t="s">
        <v>678</v>
      </c>
      <c r="C7" s="218">
        <v>12119</v>
      </c>
      <c r="D7" s="219">
        <v>1300</v>
      </c>
      <c r="E7" s="220"/>
      <c r="F7" s="235"/>
      <c r="G7" s="582" t="s">
        <v>12</v>
      </c>
      <c r="H7" s="583" t="s">
        <v>418</v>
      </c>
      <c r="I7" s="807" t="s">
        <v>735</v>
      </c>
      <c r="J7" s="216" t="str">
        <f>+'26'!J7</f>
        <v>TW 17 RC HW</v>
      </c>
      <c r="K7" s="237"/>
      <c r="L7" s="241"/>
      <c r="M7" s="121">
        <f>+K7+'26'!M7+L7</f>
        <v>3364</v>
      </c>
      <c r="O7" s="153">
        <v>1330</v>
      </c>
      <c r="P7" s="153">
        <f t="shared" ref="P7:P8" si="0">+O7-O7*0.23</f>
        <v>1024.0999999999999</v>
      </c>
      <c r="Q7" s="153">
        <f>60-7+180+10</f>
        <v>243</v>
      </c>
      <c r="R7" s="153">
        <f t="shared" ref="R7:R10" si="1">+O7*Q7</f>
        <v>323190</v>
      </c>
      <c r="S7" s="153">
        <f t="shared" ref="S7:S10" si="2">+P7*Q7</f>
        <v>248856.3</v>
      </c>
    </row>
    <row r="8" spans="1:19" ht="13.5" thickBot="1">
      <c r="A8" s="805"/>
      <c r="B8" s="217"/>
      <c r="C8" s="218"/>
      <c r="D8" s="219"/>
      <c r="E8" s="221"/>
      <c r="F8" s="231">
        <v>14</v>
      </c>
      <c r="G8" s="584" t="s">
        <v>12</v>
      </c>
      <c r="H8" s="230" t="s">
        <v>505</v>
      </c>
      <c r="I8" s="808"/>
      <c r="J8" s="216" t="str">
        <f>+'26'!J8</f>
        <v>T 14 VP OW</v>
      </c>
      <c r="K8" s="238"/>
      <c r="L8" s="238"/>
      <c r="M8" s="121">
        <f>+K8+'26'!M8+L8</f>
        <v>23832</v>
      </c>
      <c r="O8" s="153">
        <v>1340</v>
      </c>
      <c r="P8" s="153">
        <f t="shared" si="0"/>
        <v>1031.8</v>
      </c>
      <c r="Q8" s="153">
        <f>60-10+60</f>
        <v>110</v>
      </c>
      <c r="R8" s="153">
        <f t="shared" si="1"/>
        <v>147400</v>
      </c>
      <c r="S8" s="153">
        <f t="shared" si="2"/>
        <v>113498</v>
      </c>
    </row>
    <row r="9" spans="1:19" ht="13.5" thickBot="1">
      <c r="A9" s="805"/>
      <c r="B9" s="217"/>
      <c r="C9" s="218"/>
      <c r="D9" s="219"/>
      <c r="E9" s="222"/>
      <c r="F9" s="231">
        <v>30</v>
      </c>
      <c r="G9" s="584" t="s">
        <v>12</v>
      </c>
      <c r="H9" s="233" t="s">
        <v>528</v>
      </c>
      <c r="I9" s="808"/>
      <c r="J9" s="216" t="str">
        <f>+'26'!J9</f>
        <v>T 14,5 VP OW</v>
      </c>
      <c r="K9" s="238"/>
      <c r="L9" s="238"/>
      <c r="M9" s="121">
        <f>+K9+'26'!M9+L9</f>
        <v>224658</v>
      </c>
      <c r="R9" s="153">
        <f t="shared" si="1"/>
        <v>0</v>
      </c>
      <c r="S9" s="153">
        <f t="shared" si="2"/>
        <v>0</v>
      </c>
    </row>
    <row r="10" spans="1:19" ht="64.5" thickBot="1">
      <c r="A10" s="805"/>
      <c r="B10" s="217"/>
      <c r="C10" s="218"/>
      <c r="D10" s="219"/>
      <c r="E10" s="221"/>
      <c r="F10" s="231"/>
      <c r="G10" s="229"/>
      <c r="H10" s="233" t="s">
        <v>726</v>
      </c>
      <c r="I10" s="808"/>
      <c r="J10" s="216" t="str">
        <f>+'26'!J10</f>
        <v>T 13,5 VP OW</v>
      </c>
      <c r="K10" s="238"/>
      <c r="L10" s="238"/>
      <c r="M10" s="121">
        <f>+K10+'26'!M10+L10</f>
        <v>39850</v>
      </c>
      <c r="R10" s="153">
        <f t="shared" si="1"/>
        <v>0</v>
      </c>
      <c r="S10" s="153">
        <f t="shared" si="2"/>
        <v>0</v>
      </c>
    </row>
    <row r="11" spans="1:19" ht="77.25" thickBot="1">
      <c r="A11" s="805"/>
      <c r="B11" s="217"/>
      <c r="C11" s="218"/>
      <c r="D11" s="219"/>
      <c r="E11" s="221"/>
      <c r="F11" s="228"/>
      <c r="G11" s="232"/>
      <c r="H11" s="233" t="s">
        <v>727</v>
      </c>
      <c r="I11" s="808"/>
      <c r="J11" s="216" t="str">
        <f>+'26'!J11</f>
        <v>T 16,5 VP OW</v>
      </c>
      <c r="K11" s="238"/>
      <c r="L11" s="238"/>
      <c r="M11" s="121">
        <f>+K11+'26'!M11+L11</f>
        <v>9927</v>
      </c>
      <c r="P11" s="153">
        <f t="shared" ref="P11" si="3">+O11-O11*0.17</f>
        <v>0</v>
      </c>
    </row>
    <row r="12" spans="1:19" ht="231" customHeight="1" thickBot="1">
      <c r="A12" s="805"/>
      <c r="B12" s="217"/>
      <c r="C12" s="218"/>
      <c r="D12" s="219"/>
      <c r="E12" s="221"/>
      <c r="F12" s="228"/>
      <c r="G12" s="232"/>
      <c r="H12" s="233" t="s">
        <v>728</v>
      </c>
      <c r="I12" s="808"/>
      <c r="J12" s="216" t="str">
        <f>+'26'!J12</f>
        <v>T 12,5 VP OW</v>
      </c>
      <c r="K12" s="238"/>
      <c r="L12" s="238"/>
      <c r="M12" s="121">
        <f>+K12+'26'!M12+L12</f>
        <v>41367</v>
      </c>
      <c r="Q12" s="153">
        <f>SUM(Q6:Q10)</f>
        <v>480</v>
      </c>
      <c r="R12" s="153">
        <f>SUM(R6:R10)</f>
        <v>638230</v>
      </c>
      <c r="S12" s="153">
        <f>SUM(S6:S10)</f>
        <v>491437.1</v>
      </c>
    </row>
    <row r="13" spans="1:19" ht="13.5" thickBot="1">
      <c r="A13" s="805"/>
      <c r="B13" s="217"/>
      <c r="C13" s="218"/>
      <c r="D13" s="218"/>
      <c r="E13" s="221"/>
      <c r="F13" s="228"/>
      <c r="G13" s="232"/>
      <c r="H13" s="233"/>
      <c r="I13" s="809"/>
      <c r="J13" s="216" t="str">
        <f>+'26'!J13</f>
        <v>TW 18 VP OW</v>
      </c>
      <c r="K13" s="238"/>
      <c r="L13" s="238"/>
      <c r="M13" s="121">
        <f>+K13+'26'!M13+L13</f>
        <v>234646</v>
      </c>
      <c r="N13" s="153" t="s">
        <v>421</v>
      </c>
      <c r="Q13" s="153">
        <f>480-Q12</f>
        <v>0</v>
      </c>
      <c r="R13" s="153">
        <f>+R12/Q12</f>
        <v>1329.6458333333333</v>
      </c>
      <c r="S13" s="153">
        <f>+S12/Q12</f>
        <v>1023.8272916666666</v>
      </c>
    </row>
    <row r="14" spans="1:19" ht="13.5" thickBot="1">
      <c r="A14" s="806"/>
      <c r="B14" s="169" t="s">
        <v>3</v>
      </c>
      <c r="C14" s="103">
        <f>SUM(C7:C13)</f>
        <v>12119</v>
      </c>
      <c r="D14" s="115">
        <f>SUM(D7:D13)</f>
        <v>1300</v>
      </c>
      <c r="E14" s="116">
        <f>SUM(E5:E13)</f>
        <v>0</v>
      </c>
      <c r="F14" s="120">
        <f>SUM(F7:F13)</f>
        <v>44</v>
      </c>
      <c r="G14" s="163"/>
      <c r="H14" s="170"/>
      <c r="I14" s="171"/>
      <c r="J14" s="216" t="str">
        <f>+'26'!J14</f>
        <v>F 15 VP OW</v>
      </c>
      <c r="K14" s="238"/>
      <c r="L14" s="238"/>
      <c r="M14" s="121">
        <f>+K14+'26'!M14+L14</f>
        <v>5496</v>
      </c>
    </row>
    <row r="15" spans="1:19" ht="13.5" thickBot="1">
      <c r="A15" s="810"/>
      <c r="B15" s="528"/>
      <c r="C15" s="117">
        <f>C14/($C$23+$D$23+$E$23)</f>
        <v>7.7240280433397066</v>
      </c>
      <c r="D15" s="118">
        <f>D14/($C$23+$D$23+$E$23)</f>
        <v>0.82855321861057996</v>
      </c>
      <c r="E15" s="119">
        <f>E14/($C$23+$D$23+$E$23)</f>
        <v>0</v>
      </c>
      <c r="F15" s="235">
        <v>25</v>
      </c>
      <c r="G15" s="582" t="s">
        <v>12</v>
      </c>
      <c r="H15" s="583" t="s">
        <v>506</v>
      </c>
      <c r="I15" s="807" t="s">
        <v>734</v>
      </c>
      <c r="J15" s="216" t="str">
        <f>+'26'!J15</f>
        <v>T 12 VP OW</v>
      </c>
      <c r="K15" s="238"/>
      <c r="L15" s="238"/>
      <c r="M15" s="121">
        <f>+K15+'26'!M15+L15</f>
        <v>37386</v>
      </c>
      <c r="N15" s="153" t="s">
        <v>669</v>
      </c>
      <c r="O15" s="153">
        <v>1340</v>
      </c>
      <c r="P15" s="153">
        <f>+O15-O15*0.23</f>
        <v>1031.8</v>
      </c>
      <c r="Q15" s="153">
        <v>15</v>
      </c>
      <c r="R15" s="153">
        <f>+O15*Q15</f>
        <v>20100</v>
      </c>
      <c r="S15" s="153">
        <f>+P15*Q15</f>
        <v>15477</v>
      </c>
    </row>
    <row r="16" spans="1:19" ht="13.5" thickBot="1">
      <c r="A16" s="805"/>
      <c r="B16" s="527" t="s">
        <v>678</v>
      </c>
      <c r="C16" s="526">
        <v>1569</v>
      </c>
      <c r="D16" s="223"/>
      <c r="E16" s="224"/>
      <c r="F16" s="231"/>
      <c r="G16" s="584" t="s">
        <v>12</v>
      </c>
      <c r="H16" s="230" t="s">
        <v>419</v>
      </c>
      <c r="I16" s="808"/>
      <c r="J16" s="216" t="str">
        <f>+'26'!J16</f>
        <v>T 13 VP OW</v>
      </c>
      <c r="K16" s="229"/>
      <c r="L16" s="229"/>
      <c r="M16" s="121">
        <f>+K16+'26'!M16+L16</f>
        <v>49210</v>
      </c>
      <c r="O16" s="153">
        <v>1300</v>
      </c>
      <c r="P16" s="153">
        <f t="shared" ref="P16:P17" si="4">+O16-O16*0.23</f>
        <v>1001</v>
      </c>
      <c r="Q16" s="153">
        <v>180</v>
      </c>
      <c r="R16" s="153">
        <f t="shared" ref="R16:R19" si="5">+O16*Q16</f>
        <v>234000</v>
      </c>
      <c r="S16" s="153">
        <f t="shared" ref="S16:S19" si="6">+P16*Q16</f>
        <v>180180</v>
      </c>
    </row>
    <row r="17" spans="1:19" ht="13.5" thickBot="1">
      <c r="A17" s="805"/>
      <c r="B17" s="217"/>
      <c r="C17" s="218"/>
      <c r="D17" s="219"/>
      <c r="E17" s="225"/>
      <c r="F17" s="231">
        <f>40-25</f>
        <v>15</v>
      </c>
      <c r="G17" s="584" t="s">
        <v>12</v>
      </c>
      <c r="H17" s="233" t="s">
        <v>458</v>
      </c>
      <c r="I17" s="808"/>
      <c r="J17" s="216" t="str">
        <f>+'26'!J17</f>
        <v>F 12 VP OW</v>
      </c>
      <c r="K17" s="229"/>
      <c r="L17" s="229"/>
      <c r="M17" s="121">
        <f>+K17+'26'!M17+L17</f>
        <v>31878</v>
      </c>
      <c r="P17" s="153">
        <f t="shared" si="4"/>
        <v>0</v>
      </c>
      <c r="R17" s="153">
        <f t="shared" si="5"/>
        <v>0</v>
      </c>
      <c r="S17" s="153">
        <f t="shared" si="6"/>
        <v>0</v>
      </c>
    </row>
    <row r="18" spans="1:19" ht="51.75" thickBot="1">
      <c r="A18" s="805"/>
      <c r="B18" s="217"/>
      <c r="C18" s="218"/>
      <c r="D18" s="219"/>
      <c r="E18" s="225"/>
      <c r="F18" s="231"/>
      <c r="G18" s="229"/>
      <c r="H18" s="233" t="s">
        <v>732</v>
      </c>
      <c r="I18" s="808"/>
      <c r="J18" s="216" t="str">
        <f>+'26'!J18</f>
        <v>F 16 VP OW</v>
      </c>
      <c r="K18" s="238"/>
      <c r="L18" s="238"/>
      <c r="M18" s="121">
        <f>+K18+'26'!M18+L18</f>
        <v>5325</v>
      </c>
      <c r="R18" s="153">
        <f t="shared" si="5"/>
        <v>0</v>
      </c>
      <c r="S18" s="153">
        <f t="shared" si="6"/>
        <v>0</v>
      </c>
    </row>
    <row r="19" spans="1:19" ht="90" thickBot="1">
      <c r="A19" s="805"/>
      <c r="B19" s="217"/>
      <c r="C19" s="218"/>
      <c r="D19" s="219"/>
      <c r="E19" s="225"/>
      <c r="F19" s="231">
        <v>150</v>
      </c>
      <c r="G19" s="584" t="s">
        <v>12</v>
      </c>
      <c r="H19" s="233" t="s">
        <v>724</v>
      </c>
      <c r="I19" s="808"/>
      <c r="J19" s="216" t="s">
        <v>678</v>
      </c>
      <c r="K19" s="238">
        <f>+C34</f>
        <v>27523</v>
      </c>
      <c r="L19" s="238"/>
      <c r="M19" s="121">
        <f>+K19+'26'!M19+L19</f>
        <v>27523</v>
      </c>
      <c r="R19" s="153">
        <f t="shared" si="5"/>
        <v>0</v>
      </c>
      <c r="S19" s="153">
        <f t="shared" si="6"/>
        <v>0</v>
      </c>
    </row>
    <row r="20" spans="1:19" ht="237" customHeight="1" thickBot="1">
      <c r="A20" s="805"/>
      <c r="B20" s="217"/>
      <c r="C20" s="218"/>
      <c r="D20" s="219"/>
      <c r="E20" s="225"/>
      <c r="F20" s="235">
        <v>135</v>
      </c>
      <c r="G20" s="232" t="s">
        <v>78</v>
      </c>
      <c r="H20" s="233" t="s">
        <v>725</v>
      </c>
      <c r="I20" s="808"/>
      <c r="J20" s="216">
        <f>+'26'!J20</f>
        <v>0</v>
      </c>
      <c r="K20" s="239"/>
      <c r="L20" s="239"/>
      <c r="M20" s="121">
        <f>+K20+'26'!M20+L20</f>
        <v>0</v>
      </c>
      <c r="P20" s="153">
        <f t="shared" ref="P20" si="7">+O20-O20*0.17</f>
        <v>0</v>
      </c>
    </row>
    <row r="21" spans="1:19" ht="13.5" thickBot="1">
      <c r="A21" s="805"/>
      <c r="B21" s="217"/>
      <c r="C21" s="218"/>
      <c r="D21" s="219"/>
      <c r="E21" s="225"/>
      <c r="F21" s="231"/>
      <c r="G21" s="232"/>
      <c r="H21" s="233"/>
      <c r="I21" s="808"/>
      <c r="J21" s="216">
        <f>+'26'!J21</f>
        <v>0</v>
      </c>
      <c r="K21" s="238"/>
      <c r="L21" s="238"/>
      <c r="M21" s="121">
        <f>+K21+'26'!M21+L21</f>
        <v>0</v>
      </c>
      <c r="Q21" s="153">
        <f>SUM(Q15:Q19)</f>
        <v>195</v>
      </c>
      <c r="R21" s="153">
        <f>SUM(R15:R19)</f>
        <v>254100</v>
      </c>
      <c r="S21" s="153">
        <f>SUM(S15:S19)</f>
        <v>195657</v>
      </c>
    </row>
    <row r="22" spans="1:19" ht="13.5" thickBot="1">
      <c r="A22" s="805"/>
      <c r="B22" s="217"/>
      <c r="C22" s="218"/>
      <c r="D22" s="219"/>
      <c r="E22" s="225"/>
      <c r="F22" s="235"/>
      <c r="G22" s="232"/>
      <c r="H22" s="233"/>
      <c r="I22" s="809"/>
      <c r="J22" s="216">
        <f>+'26'!J22</f>
        <v>0</v>
      </c>
      <c r="K22" s="238"/>
      <c r="L22" s="238"/>
      <c r="M22" s="121">
        <f>+K22+'26'!M22+L22</f>
        <v>0</v>
      </c>
      <c r="N22" s="153" t="s">
        <v>421</v>
      </c>
      <c r="Q22" s="153">
        <f>480-Q21</f>
        <v>285</v>
      </c>
      <c r="R22" s="153">
        <f>+R21/Q21</f>
        <v>1303.0769230769231</v>
      </c>
      <c r="S22" s="153">
        <f>+S21/Q21</f>
        <v>1003.3692307692307</v>
      </c>
    </row>
    <row r="23" spans="1:19" ht="13.5" thickBot="1">
      <c r="A23" s="806"/>
      <c r="B23" s="169" t="s">
        <v>3</v>
      </c>
      <c r="C23" s="103">
        <f>SUM(C16:C22)</f>
        <v>1569</v>
      </c>
      <c r="D23" s="115">
        <f>SUM(D16:D22)</f>
        <v>0</v>
      </c>
      <c r="E23" s="116">
        <f>SUM(E18:E22)</f>
        <v>0</v>
      </c>
      <c r="F23" s="120">
        <f>SUM(F15:F22)</f>
        <v>325</v>
      </c>
      <c r="G23" s="163"/>
      <c r="H23" s="170"/>
      <c r="I23" s="172"/>
      <c r="J23" s="216">
        <f>+'26'!J23</f>
        <v>0</v>
      </c>
      <c r="K23" s="238"/>
      <c r="L23" s="238"/>
      <c r="M23" s="121">
        <f>+K23+'26'!M23+L23</f>
        <v>0</v>
      </c>
    </row>
    <row r="24" spans="1:19" ht="13.5" thickBot="1">
      <c r="A24" s="810"/>
      <c r="B24" s="528"/>
      <c r="C24" s="117">
        <f>C23/($C$23+$D$23+$E$23)</f>
        <v>1</v>
      </c>
      <c r="D24" s="118">
        <f>D23/($C$23+$D$23+$E$23)</f>
        <v>0</v>
      </c>
      <c r="E24" s="119">
        <f>E23/($C$23+$D$23+$E$23)</f>
        <v>0</v>
      </c>
      <c r="F24" s="235"/>
      <c r="G24" s="582" t="s">
        <v>12</v>
      </c>
      <c r="H24" s="583" t="s">
        <v>418</v>
      </c>
      <c r="I24" s="807" t="s">
        <v>733</v>
      </c>
      <c r="J24" s="216">
        <f>+'26'!J24</f>
        <v>0</v>
      </c>
      <c r="K24" s="238"/>
      <c r="L24" s="238"/>
      <c r="M24" s="121">
        <f>+K24+'26'!M24+L24</f>
        <v>0</v>
      </c>
      <c r="N24" s="153" t="s">
        <v>669</v>
      </c>
      <c r="O24" s="153">
        <v>1300</v>
      </c>
      <c r="P24" s="153">
        <f>+O24-O24*0.23</f>
        <v>1001</v>
      </c>
      <c r="Q24" s="153">
        <v>480</v>
      </c>
      <c r="R24" s="153">
        <f>+O24*Q24</f>
        <v>624000</v>
      </c>
      <c r="S24" s="153">
        <f>+P24*Q24</f>
        <v>480480</v>
      </c>
    </row>
    <row r="25" spans="1:19" ht="13.5" thickBot="1">
      <c r="A25" s="805"/>
      <c r="B25" s="527" t="s">
        <v>678</v>
      </c>
      <c r="C25" s="226">
        <v>13835</v>
      </c>
      <c r="D25" s="219"/>
      <c r="E25" s="225"/>
      <c r="F25" s="231">
        <v>4</v>
      </c>
      <c r="G25" s="584" t="s">
        <v>12</v>
      </c>
      <c r="H25" s="230" t="s">
        <v>529</v>
      </c>
      <c r="I25" s="808"/>
      <c r="J25" s="216">
        <f>+'26'!J25</f>
        <v>0</v>
      </c>
      <c r="K25" s="238"/>
      <c r="L25" s="238"/>
      <c r="M25" s="121">
        <f>+K25+'26'!M25+L25</f>
        <v>0</v>
      </c>
      <c r="P25" s="153">
        <f t="shared" ref="P25:P26" si="8">+O25-O25*0.23</f>
        <v>0</v>
      </c>
      <c r="R25" s="153">
        <f t="shared" ref="R25:R28" si="9">+O25*Q25</f>
        <v>0</v>
      </c>
      <c r="S25" s="153">
        <f t="shared" ref="S25:S28" si="10">+P25*Q25</f>
        <v>0</v>
      </c>
    </row>
    <row r="26" spans="1:19" ht="13.5" thickBot="1">
      <c r="A26" s="805"/>
      <c r="B26" s="217"/>
      <c r="C26" s="226"/>
      <c r="D26" s="219"/>
      <c r="E26" s="227"/>
      <c r="F26" s="231">
        <v>16</v>
      </c>
      <c r="G26" s="584" t="s">
        <v>12</v>
      </c>
      <c r="H26" s="233" t="s">
        <v>737</v>
      </c>
      <c r="I26" s="808"/>
      <c r="J26" s="216">
        <f>+'26'!J26</f>
        <v>0</v>
      </c>
      <c r="K26" s="238"/>
      <c r="L26" s="238"/>
      <c r="M26" s="121">
        <f>+K26+'26'!M26+L26</f>
        <v>0</v>
      </c>
      <c r="P26" s="153">
        <f t="shared" si="8"/>
        <v>0</v>
      </c>
      <c r="R26" s="153">
        <f t="shared" si="9"/>
        <v>0</v>
      </c>
      <c r="S26" s="153">
        <f t="shared" si="10"/>
        <v>0</v>
      </c>
    </row>
    <row r="27" spans="1:19" ht="51.75" thickBot="1">
      <c r="A27" s="805"/>
      <c r="B27" s="217"/>
      <c r="C27" s="218"/>
      <c r="D27" s="219"/>
      <c r="E27" s="225"/>
      <c r="F27" s="231"/>
      <c r="G27" s="229"/>
      <c r="H27" s="233" t="s">
        <v>729</v>
      </c>
      <c r="I27" s="808"/>
      <c r="J27" s="216">
        <f>+'26'!J27</f>
        <v>0</v>
      </c>
      <c r="K27" s="238"/>
      <c r="L27" s="238"/>
      <c r="M27" s="121">
        <f>+K27+'26'!M27+L27</f>
        <v>0</v>
      </c>
      <c r="R27" s="153">
        <f t="shared" si="9"/>
        <v>0</v>
      </c>
      <c r="S27" s="153">
        <f t="shared" si="10"/>
        <v>0</v>
      </c>
    </row>
    <row r="28" spans="1:19" ht="115.5" thickBot="1">
      <c r="A28" s="805"/>
      <c r="B28" s="217"/>
      <c r="C28" s="218"/>
      <c r="D28" s="219"/>
      <c r="E28" s="225"/>
      <c r="F28" s="231"/>
      <c r="G28" s="584"/>
      <c r="H28" s="233" t="s">
        <v>730</v>
      </c>
      <c r="I28" s="808"/>
      <c r="J28" s="216">
        <f>+'26'!J28</f>
        <v>0</v>
      </c>
      <c r="K28" s="238"/>
      <c r="L28" s="238"/>
      <c r="M28" s="121">
        <f>+K28+'26'!M28+L28</f>
        <v>0</v>
      </c>
      <c r="R28" s="153">
        <f t="shared" si="9"/>
        <v>0</v>
      </c>
      <c r="S28" s="153">
        <f t="shared" si="10"/>
        <v>0</v>
      </c>
    </row>
    <row r="29" spans="1:19" ht="64.5" thickBot="1">
      <c r="A29" s="805"/>
      <c r="B29" s="217"/>
      <c r="C29" s="218"/>
      <c r="D29" s="219"/>
      <c r="E29" s="225"/>
      <c r="F29" s="235"/>
      <c r="G29" s="232"/>
      <c r="H29" s="233" t="s">
        <v>731</v>
      </c>
      <c r="I29" s="808"/>
      <c r="J29" s="216">
        <f>+'26'!J29</f>
        <v>0</v>
      </c>
      <c r="K29" s="238"/>
      <c r="L29" s="238"/>
      <c r="M29" s="121">
        <f>+K29+'26'!M29+L29</f>
        <v>0</v>
      </c>
      <c r="P29" s="153">
        <f t="shared" ref="P29" si="11">+O29-O29*0.17</f>
        <v>0</v>
      </c>
    </row>
    <row r="30" spans="1:19" ht="13.5" thickBot="1">
      <c r="A30" s="805"/>
      <c r="B30" s="217"/>
      <c r="C30" s="226"/>
      <c r="D30" s="219"/>
      <c r="E30" s="225"/>
      <c r="F30" s="235"/>
      <c r="G30" s="232"/>
      <c r="H30" s="233"/>
      <c r="I30" s="808"/>
      <c r="J30" s="216">
        <f>+'26'!J30</f>
        <v>0</v>
      </c>
      <c r="K30" s="238"/>
      <c r="L30" s="238"/>
      <c r="M30" s="121">
        <f>+K30+'26'!M30+L30</f>
        <v>0</v>
      </c>
      <c r="Q30" s="153">
        <f>SUM(Q24:Q28)</f>
        <v>480</v>
      </c>
      <c r="R30" s="153">
        <f>SUM(R24:R28)</f>
        <v>624000</v>
      </c>
      <c r="S30" s="153">
        <f>SUM(S24:S28)</f>
        <v>480480</v>
      </c>
    </row>
    <row r="31" spans="1:19" ht="13.5" thickBot="1">
      <c r="A31" s="805"/>
      <c r="B31" s="217"/>
      <c r="C31" s="226"/>
      <c r="D31" s="219"/>
      <c r="E31" s="225"/>
      <c r="F31" s="235"/>
      <c r="G31" s="236"/>
      <c r="H31" s="413"/>
      <c r="I31" s="809"/>
      <c r="J31" s="216">
        <f>+'26'!J31</f>
        <v>0</v>
      </c>
      <c r="K31" s="238"/>
      <c r="L31" s="238"/>
      <c r="M31" s="121">
        <f>+K31+'26'!M31+L31</f>
        <v>0</v>
      </c>
      <c r="N31" s="153" t="s">
        <v>421</v>
      </c>
      <c r="Q31" s="153">
        <f>480-Q30</f>
        <v>0</v>
      </c>
      <c r="R31" s="153">
        <f>+R30/Q30</f>
        <v>1300</v>
      </c>
      <c r="S31" s="153">
        <f>+S30/Q30</f>
        <v>1001</v>
      </c>
    </row>
    <row r="32" spans="1:19" ht="13.5" thickBot="1">
      <c r="A32" s="806"/>
      <c r="B32" s="169" t="s">
        <v>3</v>
      </c>
      <c r="C32" s="103">
        <f>SUM(C25:C31)</f>
        <v>13835</v>
      </c>
      <c r="D32" s="104">
        <f>SUM(D25:D31)</f>
        <v>0</v>
      </c>
      <c r="E32" s="105">
        <f>SUM(E25:E31)</f>
        <v>0</v>
      </c>
      <c r="F32" s="103">
        <f>SUM(F24:F31)</f>
        <v>20</v>
      </c>
      <c r="G32" s="173"/>
      <c r="H32" s="174"/>
      <c r="I32" s="172"/>
      <c r="J32" s="216">
        <f>+'26'!J32</f>
        <v>0</v>
      </c>
      <c r="K32" s="240"/>
      <c r="L32" s="242"/>
      <c r="M32" s="121">
        <f>+K32+'26'!M32+L32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11" t="s">
        <v>69</v>
      </c>
      <c r="B34" s="812"/>
      <c r="C34" s="111">
        <f>C14+C23+C32</f>
        <v>27523</v>
      </c>
      <c r="D34" s="111">
        <f>D14+D23+D32</f>
        <v>1300</v>
      </c>
      <c r="E34" s="111">
        <f>E14+E23+E32</f>
        <v>0</v>
      </c>
      <c r="F34" s="112">
        <f>F14+F23+F32</f>
        <v>389</v>
      </c>
      <c r="H34" s="180"/>
      <c r="I34" s="180"/>
      <c r="J34" s="127" t="s">
        <v>28</v>
      </c>
      <c r="K34" s="128">
        <f>SUM(K7:K32)</f>
        <v>27523</v>
      </c>
      <c r="L34" s="214">
        <f>SUM(L7:L32)</f>
        <v>0</v>
      </c>
      <c r="M34" s="124">
        <f>SUM(M7:M32)</f>
        <v>734462</v>
      </c>
      <c r="N34" s="159">
        <v>480</v>
      </c>
    </row>
    <row r="35" spans="1:14" ht="13.5" thickBot="1">
      <c r="A35" s="573"/>
      <c r="B35" s="182"/>
      <c r="C35" s="108">
        <f>C34/($C$34+$D$34+$E$34)</f>
        <v>0.95489713076362626</v>
      </c>
      <c r="D35" s="108">
        <f>D34/($C$34+$D$34+$E$34)</f>
        <v>4.510286923637373E-2</v>
      </c>
      <c r="E35" s="113">
        <f>E34/($C$34+$D$34+$E$34)</f>
        <v>0</v>
      </c>
      <c r="K35" s="159"/>
      <c r="N35" s="153">
        <v>195</v>
      </c>
    </row>
    <row r="36" spans="1:14" ht="13.5" thickBot="1">
      <c r="A36" s="180"/>
      <c r="B36" s="180"/>
      <c r="C36" s="159"/>
      <c r="D36" s="159"/>
      <c r="E36" s="159"/>
      <c r="G36" s="159"/>
      <c r="H36" s="183"/>
      <c r="I36" s="166" t="s">
        <v>38</v>
      </c>
      <c r="J36" s="166" t="s">
        <v>39</v>
      </c>
      <c r="K36" s="184"/>
      <c r="N36" s="153">
        <v>480</v>
      </c>
    </row>
    <row r="37" spans="1:14" ht="17.45" customHeight="1" thickBot="1">
      <c r="A37" s="813" t="s">
        <v>70</v>
      </c>
      <c r="B37" s="814"/>
      <c r="C37" s="166" t="s">
        <v>71</v>
      </c>
      <c r="D37" s="185" t="s">
        <v>72</v>
      </c>
      <c r="E37" s="186" t="s">
        <v>73</v>
      </c>
      <c r="F37" s="317"/>
      <c r="G37" s="313"/>
      <c r="H37" s="188" t="s">
        <v>74</v>
      </c>
      <c r="I37" s="243">
        <f>(13*1155)/1155*G42*2.7*1155/1000000</f>
        <v>40.921533705937499</v>
      </c>
      <c r="J37" s="129">
        <f>+I37+'26'!J37</f>
        <v>913.32746270382938</v>
      </c>
      <c r="K37" s="130" t="s">
        <v>75</v>
      </c>
      <c r="N37" s="159">
        <f>+N34+N35+N36</f>
        <v>1155</v>
      </c>
    </row>
    <row r="38" spans="1:14" ht="17.45" customHeight="1">
      <c r="A38" s="797" t="s">
        <v>12</v>
      </c>
      <c r="B38" s="798"/>
      <c r="C38" s="168">
        <f>SUMIF($G$7:$G$31,"Process",$F$7:$F$31)</f>
        <v>254</v>
      </c>
      <c r="D38" s="122">
        <f>C38+'26'!D38</f>
        <v>1710</v>
      </c>
      <c r="E38" s="147">
        <f t="shared" ref="E38:E52" si="12">D38/60</f>
        <v>28.5</v>
      </c>
      <c r="F38" s="311">
        <v>1329.6458333333333</v>
      </c>
      <c r="G38" s="311">
        <v>1023.8272916666666</v>
      </c>
      <c r="H38" s="189" t="s">
        <v>76</v>
      </c>
      <c r="I38" s="534">
        <f>14.472+3.49+15.956</f>
        <v>33.917999999999999</v>
      </c>
      <c r="J38" s="131">
        <f>+I38+'26'!J38</f>
        <v>801.27400000000011</v>
      </c>
      <c r="K38" s="132" t="s">
        <v>75</v>
      </c>
    </row>
    <row r="39" spans="1:14" ht="17.45" customHeight="1">
      <c r="A39" s="799" t="s">
        <v>13</v>
      </c>
      <c r="B39" s="800"/>
      <c r="C39" s="168">
        <f>SUMIF($G$7:$G$31,"Cleaning",$F$7:$F$31)</f>
        <v>0</v>
      </c>
      <c r="D39" s="122">
        <f>C39+'26'!D39</f>
        <v>0</v>
      </c>
      <c r="E39" s="147">
        <f t="shared" si="12"/>
        <v>0</v>
      </c>
      <c r="F39" s="311">
        <v>1303.0769230769231</v>
      </c>
      <c r="G39" s="311">
        <v>1003.3692307692307</v>
      </c>
      <c r="H39" s="189" t="s">
        <v>77</v>
      </c>
      <c r="I39" s="146"/>
      <c r="J39" s="133">
        <f>J37/G4</f>
        <v>33.826943063104792</v>
      </c>
      <c r="K39" s="134" t="s">
        <v>75</v>
      </c>
    </row>
    <row r="40" spans="1:14" ht="17.45" customHeight="1">
      <c r="A40" s="799" t="s">
        <v>78</v>
      </c>
      <c r="B40" s="800"/>
      <c r="C40" s="168">
        <f>SUMIF($G$7:$G$31,"Mechanical",$F$7:$F$31)</f>
        <v>135</v>
      </c>
      <c r="D40" s="122">
        <f>C40+'26'!D40</f>
        <v>152</v>
      </c>
      <c r="E40" s="147">
        <f t="shared" si="12"/>
        <v>2.5333333333333332</v>
      </c>
      <c r="F40" s="311">
        <v>1300</v>
      </c>
      <c r="G40" s="311">
        <v>1001</v>
      </c>
      <c r="H40" s="189" t="s">
        <v>79</v>
      </c>
      <c r="I40" s="122">
        <f>(K34+L34)/1000</f>
        <v>27.523</v>
      </c>
      <c r="J40" s="135">
        <f>+I40+'26'!J40</f>
        <v>734.46199999999999</v>
      </c>
      <c r="K40" s="134" t="s">
        <v>75</v>
      </c>
    </row>
    <row r="41" spans="1:14" ht="17.45" customHeight="1">
      <c r="A41" s="799" t="s">
        <v>80</v>
      </c>
      <c r="B41" s="800"/>
      <c r="C41" s="168">
        <f>SUMIF($G$7:$G$31,"Electrical",$F$7:$F$31)</f>
        <v>0</v>
      </c>
      <c r="D41" s="122">
        <f>C41+'26'!D41</f>
        <v>70</v>
      </c>
      <c r="E41" s="147">
        <f t="shared" si="12"/>
        <v>1.1666666666666667</v>
      </c>
      <c r="F41" s="311"/>
      <c r="G41" s="311"/>
      <c r="H41" s="189" t="s">
        <v>81</v>
      </c>
      <c r="I41" s="146"/>
      <c r="J41" s="133">
        <f>J40/G4</f>
        <v>27.202296296296296</v>
      </c>
      <c r="K41" s="134" t="s">
        <v>75</v>
      </c>
    </row>
    <row r="42" spans="1:14" ht="17.45" customHeight="1">
      <c r="A42" s="799" t="s">
        <v>16</v>
      </c>
      <c r="B42" s="800"/>
      <c r="C42" s="168">
        <f>SUMIF($G$7:$G$31,"Instrument",$F$7:$F$31)</f>
        <v>0</v>
      </c>
      <c r="D42" s="122">
        <f>C42+'26'!D42</f>
        <v>0</v>
      </c>
      <c r="E42" s="147">
        <f t="shared" si="12"/>
        <v>0</v>
      </c>
      <c r="F42" s="187">
        <f>+(F38*480+F39*480+F40*480)/1440</f>
        <v>1310.9075854700855</v>
      </c>
      <c r="G42" s="187">
        <f>+(G38*480+G39*480+G40*480)/1440</f>
        <v>1009.3988408119657</v>
      </c>
      <c r="H42" s="189" t="s">
        <v>82</v>
      </c>
      <c r="I42" s="245" t="s">
        <v>736</v>
      </c>
      <c r="J42" s="136"/>
      <c r="K42" s="134" t="s">
        <v>83</v>
      </c>
    </row>
    <row r="43" spans="1:14" ht="17.45" customHeight="1">
      <c r="A43" s="799" t="s">
        <v>84</v>
      </c>
      <c r="B43" s="800"/>
      <c r="C43" s="168">
        <f>SUMIF($G$7:$G$31,"Water",$F$7:$F$31)</f>
        <v>0</v>
      </c>
      <c r="D43" s="122">
        <f>C43+'26'!D43</f>
        <v>0</v>
      </c>
      <c r="E43" s="147">
        <f t="shared" si="12"/>
        <v>0</v>
      </c>
      <c r="F43" s="311"/>
      <c r="G43" s="312"/>
      <c r="H43" s="190" t="s">
        <v>85</v>
      </c>
      <c r="I43" s="122">
        <f>+Report1!Z35</f>
        <v>78.7</v>
      </c>
      <c r="J43" s="137">
        <f>+I43+'26'!J43</f>
        <v>1765.0000000000002</v>
      </c>
      <c r="K43" s="134" t="s">
        <v>75</v>
      </c>
      <c r="L43" s="191"/>
    </row>
    <row r="44" spans="1:14" ht="17.45" customHeight="1">
      <c r="A44" s="799" t="s">
        <v>17</v>
      </c>
      <c r="B44" s="800"/>
      <c r="C44" s="168">
        <f>SUMIF($G$7:$G$31,"PLN",$F$7:$F$31)</f>
        <v>0</v>
      </c>
      <c r="D44" s="122">
        <f>C44+'26'!D44</f>
        <v>0</v>
      </c>
      <c r="E44" s="147">
        <f t="shared" si="12"/>
        <v>0</v>
      </c>
      <c r="F44" s="311"/>
      <c r="G44" s="312"/>
      <c r="H44" s="190" t="s">
        <v>86</v>
      </c>
      <c r="I44" s="122">
        <f>I43/I38</f>
        <v>2.3203019045934314</v>
      </c>
      <c r="J44" s="138">
        <f>J43/J38</f>
        <v>2.2027421331529538</v>
      </c>
      <c r="K44" s="134" t="s">
        <v>75</v>
      </c>
    </row>
    <row r="45" spans="1:14" ht="17.45" customHeight="1">
      <c r="A45" s="799" t="s">
        <v>18</v>
      </c>
      <c r="B45" s="800"/>
      <c r="C45" s="168">
        <f>SUMIF($G$7:$G$31,"Boiler",$F$7:$F$31)</f>
        <v>0</v>
      </c>
      <c r="D45" s="122">
        <f>C45+'26'!D45</f>
        <v>0</v>
      </c>
      <c r="E45" s="147">
        <f t="shared" si="12"/>
        <v>0</v>
      </c>
      <c r="F45" s="311"/>
      <c r="G45" s="314"/>
      <c r="H45" s="190" t="s">
        <v>87</v>
      </c>
      <c r="I45" s="122">
        <f>I43/I40</f>
        <v>2.8594266613377903</v>
      </c>
      <c r="J45" s="138">
        <f>J43/J40</f>
        <v>2.4031195623463164</v>
      </c>
      <c r="K45" s="134" t="s">
        <v>75</v>
      </c>
    </row>
    <row r="46" spans="1:14" ht="17.45" customHeight="1">
      <c r="A46" s="799" t="s">
        <v>88</v>
      </c>
      <c r="B46" s="800"/>
      <c r="C46" s="168">
        <f>SUMIF($G$7:$G$31,"Gas",$F$7:$F$31)</f>
        <v>0</v>
      </c>
      <c r="D46" s="122">
        <f>C46+'26'!D46</f>
        <v>0</v>
      </c>
      <c r="E46" s="147">
        <f t="shared" si="12"/>
        <v>0</v>
      </c>
      <c r="F46" s="311"/>
      <c r="G46" s="312"/>
      <c r="H46" s="190" t="s">
        <v>89</v>
      </c>
      <c r="I46" s="144">
        <f>+SUMIF(Listrik!X34,"&gt;0")</f>
        <v>36787.729999999829</v>
      </c>
      <c r="J46" s="139">
        <f>+I46+'26'!J46</f>
        <v>778998.00240000023</v>
      </c>
      <c r="K46" s="134" t="s">
        <v>90</v>
      </c>
    </row>
    <row r="47" spans="1:14" ht="17.45" customHeight="1">
      <c r="A47" s="799" t="s">
        <v>91</v>
      </c>
      <c r="B47" s="800"/>
      <c r="C47" s="168">
        <f>SUMIF($G$7:$G$31,"Gas",$F$7:$F$31)</f>
        <v>0</v>
      </c>
      <c r="D47" s="122">
        <f>C47+'26'!D47</f>
        <v>0</v>
      </c>
      <c r="E47" s="147">
        <f t="shared" si="12"/>
        <v>0</v>
      </c>
      <c r="F47" s="311"/>
      <c r="G47" s="312"/>
      <c r="H47" s="190" t="s">
        <v>92</v>
      </c>
      <c r="I47" s="122">
        <f>I46/I38</f>
        <v>1084.6078778229798</v>
      </c>
      <c r="J47" s="139">
        <f>J46/J38</f>
        <v>972.19927565352191</v>
      </c>
      <c r="K47" s="134" t="s">
        <v>24</v>
      </c>
    </row>
    <row r="48" spans="1:14" ht="17.45" customHeight="1">
      <c r="A48" s="799" t="s">
        <v>14</v>
      </c>
      <c r="B48" s="800"/>
      <c r="C48" s="168">
        <f>SUMIF($G$7:$G$31,"Start Up",$F$7:$F$31)</f>
        <v>0</v>
      </c>
      <c r="D48" s="122">
        <f>C48+'26'!D48</f>
        <v>0</v>
      </c>
      <c r="E48" s="147">
        <f t="shared" si="12"/>
        <v>0</v>
      </c>
      <c r="F48" s="311"/>
      <c r="G48" s="312"/>
      <c r="H48" s="190" t="s">
        <v>93</v>
      </c>
      <c r="I48" s="122">
        <f>I46/I40</f>
        <v>1336.6177378919388</v>
      </c>
      <c r="J48" s="139">
        <f>J46/J40</f>
        <v>1060.6375856068798</v>
      </c>
      <c r="K48" s="134" t="s">
        <v>24</v>
      </c>
    </row>
    <row r="49" spans="1:11" ht="17.45" customHeight="1">
      <c r="A49" s="799" t="s">
        <v>20</v>
      </c>
      <c r="B49" s="800"/>
      <c r="C49" s="168">
        <f>SUMIF($G$7:$G$31,"Others",$F$7:$F$31)</f>
        <v>0</v>
      </c>
      <c r="D49" s="122">
        <f>C49+'26'!D49</f>
        <v>11885</v>
      </c>
      <c r="E49" s="147">
        <f t="shared" si="12"/>
        <v>198.08333333333334</v>
      </c>
      <c r="F49" s="187"/>
      <c r="H49" s="190" t="s">
        <v>279</v>
      </c>
      <c r="I49" s="122">
        <f>+Report1!T35</f>
        <v>3279.5542487503676</v>
      </c>
      <c r="J49" s="139">
        <f>+I49+'26'!J49</f>
        <v>73238.405665644997</v>
      </c>
      <c r="K49" s="134" t="s">
        <v>94</v>
      </c>
    </row>
    <row r="50" spans="1:11" ht="17.45" customHeight="1">
      <c r="A50" s="799" t="s">
        <v>19</v>
      </c>
      <c r="B50" s="800"/>
      <c r="C50" s="168">
        <f>SUMIF($G$7:$G$31,"Steam",$F$7:$F$31)</f>
        <v>0</v>
      </c>
      <c r="D50" s="122">
        <f>C50+'26'!D50</f>
        <v>0</v>
      </c>
      <c r="E50" s="147">
        <f t="shared" si="12"/>
        <v>0</v>
      </c>
      <c r="F50" s="187"/>
      <c r="H50" s="190" t="s">
        <v>95</v>
      </c>
      <c r="I50" s="144">
        <f>I49/I38</f>
        <v>96.690673057089683</v>
      </c>
      <c r="J50" s="137">
        <f>J49/J38</f>
        <v>91.402448682529311</v>
      </c>
      <c r="K50" s="134" t="s">
        <v>94</v>
      </c>
    </row>
    <row r="51" spans="1:11" ht="17.45" customHeight="1">
      <c r="A51" s="801" t="s">
        <v>96</v>
      </c>
      <c r="B51" s="801"/>
      <c r="C51" s="168">
        <f>SUMIF($G$7:$G$31,"Planned shut",$F$7:$F$31)</f>
        <v>0</v>
      </c>
      <c r="D51" s="122">
        <f>C51+'26'!D51</f>
        <v>0</v>
      </c>
      <c r="E51" s="147">
        <f t="shared" si="12"/>
        <v>0</v>
      </c>
      <c r="F51" s="187"/>
      <c r="H51" s="192" t="s">
        <v>97</v>
      </c>
      <c r="I51" s="145">
        <f>I49/I40</f>
        <v>119.15685967192412</v>
      </c>
      <c r="J51" s="140">
        <f>J49/J40</f>
        <v>99.717079529839523</v>
      </c>
      <c r="K51" s="141" t="s">
        <v>94</v>
      </c>
    </row>
    <row r="52" spans="1:11" ht="13.5" thickBot="1">
      <c r="A52" s="802" t="s">
        <v>229</v>
      </c>
      <c r="B52" s="803"/>
      <c r="C52" s="168">
        <f>SUMIF($G$7:$G$31,"Change Grade",$F$7:$F$31)</f>
        <v>0</v>
      </c>
      <c r="D52" s="122">
        <f>C52+'26'!D52</f>
        <v>0</v>
      </c>
      <c r="E52" s="147">
        <f t="shared" si="12"/>
        <v>0</v>
      </c>
      <c r="F52" s="187"/>
      <c r="H52" s="193"/>
      <c r="I52" s="194"/>
      <c r="J52" s="142"/>
      <c r="K52" s="143"/>
    </row>
    <row r="53" spans="1:11">
      <c r="A53" s="797" t="s">
        <v>28</v>
      </c>
      <c r="B53" s="798"/>
      <c r="C53" s="148">
        <f>SUM(C38:C52)</f>
        <v>389</v>
      </c>
      <c r="D53" s="148">
        <f>SUM(D38:D52)</f>
        <v>13817</v>
      </c>
      <c r="E53" s="149">
        <f>SUM(E38:E52)</f>
        <v>230.28333333333333</v>
      </c>
      <c r="F53" s="187"/>
    </row>
    <row r="54" spans="1:11" ht="13.5" thickBot="1">
      <c r="A54" s="795"/>
      <c r="B54" s="796"/>
      <c r="C54" s="150">
        <f>C53/(24*60)</f>
        <v>0.27013888888888887</v>
      </c>
      <c r="D54" s="150">
        <f>D53/(24*60*G4)</f>
        <v>0.35537551440329218</v>
      </c>
      <c r="E54" s="151">
        <f>E53/(G4*24)</f>
        <v>0.35537551440329218</v>
      </c>
      <c r="F54" s="187"/>
    </row>
    <row r="55" spans="1:11">
      <c r="E55" s="195"/>
    </row>
    <row r="56" spans="1:11">
      <c r="A56" s="196" t="s">
        <v>98</v>
      </c>
      <c r="B56" s="197"/>
      <c r="C56" s="198"/>
      <c r="D56" s="198"/>
      <c r="E56" s="198"/>
      <c r="F56" s="199"/>
      <c r="G56" s="198"/>
      <c r="H56" s="200"/>
      <c r="I56" s="201" t="s">
        <v>99</v>
      </c>
      <c r="J56" s="202">
        <f>+D34+'26'!J56</f>
        <v>4852</v>
      </c>
      <c r="K56" s="203">
        <f>J56/(J40+J56/1000)/1000</f>
        <v>6.5628406874480944E-3</v>
      </c>
    </row>
    <row r="57" spans="1:11">
      <c r="A57" s="178"/>
      <c r="I57" s="201" t="s">
        <v>100</v>
      </c>
      <c r="J57" s="202">
        <f>+E34+'26'!J57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30"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B16" zoomScale="80" zoomScaleNormal="80" zoomScaleSheetLayoutView="80" workbookViewId="0">
      <selection activeCell="H11" sqref="H11"/>
    </sheetView>
  </sheetViews>
  <sheetFormatPr defaultColWidth="9.140625" defaultRowHeight="12.75"/>
  <cols>
    <col min="1" max="1" width="8" style="153" customWidth="1"/>
    <col min="2" max="2" width="7" style="153" bestFit="1" customWidth="1"/>
    <col min="3" max="3" width="1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7.1406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26</v>
      </c>
      <c r="H4" s="158" t="str">
        <f>+'1'!H4</f>
        <v>.10.25</v>
      </c>
      <c r="J4" s="153">
        <f>356+382+367</f>
        <v>1105</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669</v>
      </c>
      <c r="O6" s="153">
        <v>600</v>
      </c>
      <c r="P6" s="153">
        <f>+O6-O6*0.23</f>
        <v>462</v>
      </c>
      <c r="Q6" s="153">
        <f>60*3+47</f>
        <v>227</v>
      </c>
      <c r="R6" s="153">
        <f>+O6*Q6</f>
        <v>136200</v>
      </c>
      <c r="S6" s="153">
        <f>+P6*Q6</f>
        <v>104874</v>
      </c>
    </row>
    <row r="7" spans="1:19" ht="13.5" customHeight="1" thickBot="1">
      <c r="A7" s="804"/>
      <c r="B7" s="217" t="s">
        <v>678</v>
      </c>
      <c r="C7" s="218">
        <v>6219</v>
      </c>
      <c r="D7" s="219"/>
      <c r="E7" s="220"/>
      <c r="F7" s="235">
        <v>9</v>
      </c>
      <c r="G7" s="582" t="s">
        <v>12</v>
      </c>
      <c r="H7" s="583" t="s">
        <v>400</v>
      </c>
      <c r="I7" s="807" t="s">
        <v>715</v>
      </c>
      <c r="J7" s="216" t="str">
        <f>+'25'!J7</f>
        <v>TW 17 RC HW</v>
      </c>
      <c r="K7" s="237"/>
      <c r="L7" s="241"/>
      <c r="M7" s="121">
        <f>+K7+'25'!M7+L7</f>
        <v>3364</v>
      </c>
      <c r="O7" s="153">
        <v>650</v>
      </c>
      <c r="P7" s="153">
        <f t="shared" ref="P7:P8" si="0">+O7-O7*0.23</f>
        <v>500.5</v>
      </c>
      <c r="Q7" s="153">
        <f>60-47+60+25</f>
        <v>98</v>
      </c>
      <c r="R7" s="153">
        <f t="shared" ref="R7:R10" si="1">+O7*Q7</f>
        <v>63700</v>
      </c>
      <c r="S7" s="153">
        <f t="shared" ref="S7:S10" si="2">+P7*Q7</f>
        <v>49049</v>
      </c>
    </row>
    <row r="8" spans="1:19" ht="13.5" thickBot="1">
      <c r="A8" s="805"/>
      <c r="B8" s="217"/>
      <c r="C8" s="218"/>
      <c r="D8" s="219"/>
      <c r="E8" s="221"/>
      <c r="F8" s="231">
        <v>4</v>
      </c>
      <c r="G8" s="584" t="s">
        <v>12</v>
      </c>
      <c r="H8" s="230" t="s">
        <v>529</v>
      </c>
      <c r="I8" s="808"/>
      <c r="J8" s="216" t="str">
        <f>+'25'!J8</f>
        <v>T 14 VP OW</v>
      </c>
      <c r="K8" s="238"/>
      <c r="L8" s="238"/>
      <c r="M8" s="121">
        <f>+K8+'25'!M8+L8</f>
        <v>23832</v>
      </c>
      <c r="O8" s="153">
        <v>700</v>
      </c>
      <c r="P8" s="153">
        <f t="shared" si="0"/>
        <v>539</v>
      </c>
      <c r="Q8" s="153">
        <f>480-Q6-Q7</f>
        <v>155</v>
      </c>
      <c r="R8" s="153">
        <f t="shared" si="1"/>
        <v>108500</v>
      </c>
      <c r="S8" s="153">
        <f t="shared" si="2"/>
        <v>83545</v>
      </c>
    </row>
    <row r="9" spans="1:19" ht="13.5" thickBot="1">
      <c r="A9" s="805"/>
      <c r="B9" s="217"/>
      <c r="C9" s="218"/>
      <c r="D9" s="219"/>
      <c r="E9" s="222"/>
      <c r="F9" s="231">
        <v>15</v>
      </c>
      <c r="G9" s="584" t="s">
        <v>12</v>
      </c>
      <c r="H9" s="233" t="s">
        <v>458</v>
      </c>
      <c r="I9" s="808"/>
      <c r="J9" s="216" t="str">
        <f>+'25'!J9</f>
        <v>T 14,5 VP OW</v>
      </c>
      <c r="K9" s="238"/>
      <c r="L9" s="238"/>
      <c r="M9" s="121">
        <f>+K9+'25'!M9+L9</f>
        <v>224658</v>
      </c>
      <c r="R9" s="153">
        <f t="shared" si="1"/>
        <v>0</v>
      </c>
      <c r="S9" s="153">
        <f t="shared" si="2"/>
        <v>0</v>
      </c>
    </row>
    <row r="10" spans="1:19" ht="64.5" thickBot="1">
      <c r="A10" s="805"/>
      <c r="B10" s="217"/>
      <c r="C10" s="218"/>
      <c r="D10" s="219"/>
      <c r="E10" s="221"/>
      <c r="F10" s="231"/>
      <c r="G10" s="229"/>
      <c r="H10" s="233" t="s">
        <v>711</v>
      </c>
      <c r="I10" s="808"/>
      <c r="J10" s="216" t="str">
        <f>+'25'!J10</f>
        <v>T 13,5 VP OW</v>
      </c>
      <c r="K10" s="238"/>
      <c r="L10" s="238"/>
      <c r="M10" s="121">
        <f>+K10+'25'!M10+L10</f>
        <v>39850</v>
      </c>
      <c r="R10" s="153">
        <f t="shared" si="1"/>
        <v>0</v>
      </c>
      <c r="S10" s="153">
        <f t="shared" si="2"/>
        <v>0</v>
      </c>
    </row>
    <row r="11" spans="1:19" ht="128.25" thickBot="1">
      <c r="A11" s="805"/>
      <c r="B11" s="217"/>
      <c r="C11" s="218"/>
      <c r="D11" s="219"/>
      <c r="E11" s="221"/>
      <c r="F11" s="228"/>
      <c r="G11" s="232"/>
      <c r="H11" s="233" t="s">
        <v>700</v>
      </c>
      <c r="I11" s="808"/>
      <c r="J11" s="216" t="str">
        <f>+'25'!J11</f>
        <v>T 16,5 VP OW</v>
      </c>
      <c r="K11" s="238"/>
      <c r="L11" s="238"/>
      <c r="M11" s="121">
        <f>+K11+'25'!M11+L11</f>
        <v>9927</v>
      </c>
      <c r="P11" s="153">
        <f t="shared" ref="P11" si="3">+O11-O11*0.17</f>
        <v>0</v>
      </c>
    </row>
    <row r="12" spans="1:19" ht="13.5" thickBot="1">
      <c r="A12" s="805"/>
      <c r="B12" s="217"/>
      <c r="C12" s="218"/>
      <c r="D12" s="219"/>
      <c r="E12" s="221"/>
      <c r="F12" s="228"/>
      <c r="G12" s="232"/>
      <c r="H12" s="233"/>
      <c r="I12" s="808"/>
      <c r="J12" s="216" t="str">
        <f>+'25'!J12</f>
        <v>T 12,5 VP OW</v>
      </c>
      <c r="K12" s="238"/>
      <c r="L12" s="238"/>
      <c r="M12" s="121">
        <f>+K12+'25'!M12+L12</f>
        <v>41367</v>
      </c>
      <c r="Q12" s="153">
        <f>SUM(Q6:Q10)</f>
        <v>480</v>
      </c>
      <c r="R12" s="153">
        <f>SUM(R6:R10)</f>
        <v>308400</v>
      </c>
      <c r="S12" s="153">
        <f>SUM(S6:S10)</f>
        <v>237468</v>
      </c>
    </row>
    <row r="13" spans="1:19" ht="13.5" thickBot="1">
      <c r="A13" s="805"/>
      <c r="B13" s="217"/>
      <c r="C13" s="218"/>
      <c r="D13" s="218"/>
      <c r="E13" s="221"/>
      <c r="F13" s="228"/>
      <c r="G13" s="232"/>
      <c r="H13" s="233"/>
      <c r="I13" s="809"/>
      <c r="J13" s="216" t="str">
        <f>+'25'!J13</f>
        <v>TW 18 VP OW</v>
      </c>
      <c r="K13" s="238"/>
      <c r="L13" s="238"/>
      <c r="M13" s="121">
        <f>+K13+'25'!M13+L13</f>
        <v>234646</v>
      </c>
      <c r="N13" s="153" t="s">
        <v>421</v>
      </c>
      <c r="Q13" s="153">
        <f>480-Q12</f>
        <v>0</v>
      </c>
      <c r="R13" s="153">
        <f>+R12/Q12</f>
        <v>642.5</v>
      </c>
      <c r="S13" s="153">
        <f>+S12/Q12</f>
        <v>494.72500000000002</v>
      </c>
    </row>
    <row r="14" spans="1:19" ht="13.5" thickBot="1">
      <c r="A14" s="806"/>
      <c r="B14" s="169" t="s">
        <v>3</v>
      </c>
      <c r="C14" s="103">
        <f>SUM(C7:C13)</f>
        <v>6219</v>
      </c>
      <c r="D14" s="115">
        <f>SUM(D7:D13)</f>
        <v>0</v>
      </c>
      <c r="E14" s="116">
        <f>SUM(E5:E13)</f>
        <v>0</v>
      </c>
      <c r="F14" s="120">
        <f>SUM(F7:F13)</f>
        <v>28</v>
      </c>
      <c r="G14" s="163"/>
      <c r="H14" s="170"/>
      <c r="I14" s="171"/>
      <c r="J14" s="216" t="str">
        <f>+'25'!J14</f>
        <v>F 15 VP OW</v>
      </c>
      <c r="K14" s="238"/>
      <c r="L14" s="238"/>
      <c r="M14" s="121">
        <f>+K14+'25'!M14+L14</f>
        <v>5496</v>
      </c>
    </row>
    <row r="15" spans="1:19" ht="13.5" thickBot="1">
      <c r="A15" s="810"/>
      <c r="B15" s="528"/>
      <c r="C15" s="117">
        <f>C14/($C$23+$D$23+$E$23)</f>
        <v>0.79425287356321839</v>
      </c>
      <c r="D15" s="118">
        <f>D14/($C$23+$D$23+$E$23)</f>
        <v>0</v>
      </c>
      <c r="E15" s="119">
        <f>E14/($C$23+$D$23+$E$23)</f>
        <v>0</v>
      </c>
      <c r="F15" s="235"/>
      <c r="G15" s="582" t="s">
        <v>12</v>
      </c>
      <c r="H15" s="583" t="s">
        <v>418</v>
      </c>
      <c r="I15" s="807" t="s">
        <v>714</v>
      </c>
      <c r="J15" s="216" t="str">
        <f>+'25'!J15</f>
        <v>T 12 VP OW</v>
      </c>
      <c r="K15" s="238"/>
      <c r="L15" s="238"/>
      <c r="M15" s="121">
        <f>+K15+'25'!M15+L15</f>
        <v>37386</v>
      </c>
      <c r="N15" s="153" t="s">
        <v>669</v>
      </c>
      <c r="O15" s="153">
        <v>700</v>
      </c>
      <c r="P15" s="153">
        <f>+O15-O15*0.255</f>
        <v>521.5</v>
      </c>
      <c r="Q15" s="153">
        <v>480</v>
      </c>
      <c r="R15" s="153">
        <f>+O15*Q15</f>
        <v>336000</v>
      </c>
      <c r="S15" s="153">
        <f>+P15*Q15</f>
        <v>250320</v>
      </c>
    </row>
    <row r="16" spans="1:19" ht="13.5" thickBot="1">
      <c r="A16" s="805"/>
      <c r="B16" s="527" t="s">
        <v>678</v>
      </c>
      <c r="C16" s="526">
        <v>7830</v>
      </c>
      <c r="D16" s="223"/>
      <c r="E16" s="224"/>
      <c r="F16" s="231">
        <v>2</v>
      </c>
      <c r="G16" s="584" t="s">
        <v>12</v>
      </c>
      <c r="H16" s="230" t="s">
        <v>529</v>
      </c>
      <c r="I16" s="808"/>
      <c r="J16" s="216" t="str">
        <f>+'25'!J16</f>
        <v>T 13 VP OW</v>
      </c>
      <c r="K16" s="229">
        <f>+C34</f>
        <v>24103</v>
      </c>
      <c r="L16" s="229"/>
      <c r="M16" s="121">
        <f>+K16+'25'!M16+L16</f>
        <v>49210</v>
      </c>
    </row>
    <row r="17" spans="1:19" ht="13.5" thickBot="1">
      <c r="A17" s="805"/>
      <c r="B17" s="217"/>
      <c r="C17" s="218"/>
      <c r="D17" s="219"/>
      <c r="E17" s="225"/>
      <c r="F17" s="231">
        <v>4</v>
      </c>
      <c r="G17" s="584" t="s">
        <v>12</v>
      </c>
      <c r="H17" s="233" t="s">
        <v>459</v>
      </c>
      <c r="I17" s="808"/>
      <c r="J17" s="216" t="str">
        <f>+'25'!J17</f>
        <v>F 12 VP OW</v>
      </c>
      <c r="K17" s="229"/>
      <c r="L17" s="229"/>
      <c r="M17" s="121">
        <f>+K17+'25'!M17+L17</f>
        <v>31878</v>
      </c>
    </row>
    <row r="18" spans="1:19" ht="77.25" thickBot="1">
      <c r="A18" s="805"/>
      <c r="B18" s="217"/>
      <c r="C18" s="218"/>
      <c r="D18" s="219"/>
      <c r="E18" s="225"/>
      <c r="F18" s="231"/>
      <c r="G18" s="229"/>
      <c r="H18" s="233" t="s">
        <v>698</v>
      </c>
      <c r="I18" s="808"/>
      <c r="J18" s="216" t="str">
        <f>+'25'!J18</f>
        <v>F 16 VP OW</v>
      </c>
      <c r="K18" s="238"/>
      <c r="L18" s="238"/>
      <c r="M18" s="121">
        <f>+K18+'25'!M18+L18</f>
        <v>5325</v>
      </c>
      <c r="R18" s="153">
        <f t="shared" ref="R18:R19" si="4">+O18*Q18</f>
        <v>0</v>
      </c>
      <c r="S18" s="153">
        <f t="shared" ref="S18:S19" si="5">+P18*Q18</f>
        <v>0</v>
      </c>
    </row>
    <row r="19" spans="1:19" ht="178.5" customHeight="1" thickBot="1">
      <c r="A19" s="805"/>
      <c r="B19" s="217"/>
      <c r="C19" s="218"/>
      <c r="D19" s="219"/>
      <c r="E19" s="225"/>
      <c r="F19" s="234"/>
      <c r="G19" s="232"/>
      <c r="H19" s="233" t="s">
        <v>699</v>
      </c>
      <c r="I19" s="808"/>
      <c r="J19" s="216">
        <f>+'25'!J19</f>
        <v>0</v>
      </c>
      <c r="K19" s="238"/>
      <c r="L19" s="238"/>
      <c r="M19" s="121">
        <f>+K19+'25'!M19+L19</f>
        <v>0</v>
      </c>
      <c r="R19" s="153">
        <f t="shared" si="4"/>
        <v>0</v>
      </c>
      <c r="S19" s="153">
        <f t="shared" si="5"/>
        <v>0</v>
      </c>
    </row>
    <row r="20" spans="1:19" ht="13.5" thickBot="1">
      <c r="A20" s="805"/>
      <c r="B20" s="217"/>
      <c r="C20" s="218"/>
      <c r="D20" s="219"/>
      <c r="E20" s="225"/>
      <c r="F20" s="228"/>
      <c r="G20" s="232"/>
      <c r="H20" s="233"/>
      <c r="I20" s="808"/>
      <c r="J20" s="216">
        <f>+'25'!J20</f>
        <v>0</v>
      </c>
      <c r="K20" s="239"/>
      <c r="L20" s="239"/>
      <c r="M20" s="121">
        <f>+K20+'25'!M20+L20</f>
        <v>0</v>
      </c>
      <c r="P20" s="153">
        <f t="shared" ref="P20" si="6">+O20-O20*0.17</f>
        <v>0</v>
      </c>
    </row>
    <row r="21" spans="1:19" ht="13.5" thickBot="1">
      <c r="A21" s="805"/>
      <c r="B21" s="217"/>
      <c r="C21" s="218"/>
      <c r="D21" s="219"/>
      <c r="E21" s="225"/>
      <c r="F21" s="231"/>
      <c r="G21" s="232"/>
      <c r="H21" s="233"/>
      <c r="I21" s="808"/>
      <c r="J21" s="216">
        <f>+'25'!J21</f>
        <v>0</v>
      </c>
      <c r="K21" s="238"/>
      <c r="L21" s="238"/>
      <c r="M21" s="121">
        <f>+K21+'25'!M21+L21</f>
        <v>0</v>
      </c>
      <c r="Q21" s="153">
        <f>SUM(Q15:Q19)</f>
        <v>480</v>
      </c>
      <c r="R21" s="153">
        <f>SUM(R15:R19)</f>
        <v>336000</v>
      </c>
      <c r="S21" s="153">
        <f>SUM(S15:S19)</f>
        <v>250320</v>
      </c>
    </row>
    <row r="22" spans="1:19" ht="13.5" thickBot="1">
      <c r="A22" s="805"/>
      <c r="B22" s="217"/>
      <c r="C22" s="218"/>
      <c r="D22" s="219"/>
      <c r="E22" s="225"/>
      <c r="F22" s="235"/>
      <c r="G22" s="232"/>
      <c r="H22" s="233"/>
      <c r="I22" s="809"/>
      <c r="J22" s="216">
        <f>+'25'!J22</f>
        <v>0</v>
      </c>
      <c r="K22" s="238"/>
      <c r="L22" s="238"/>
      <c r="M22" s="121">
        <f>+K22+'25'!M22+L22</f>
        <v>0</v>
      </c>
      <c r="N22" s="153" t="s">
        <v>421</v>
      </c>
      <c r="Q22" s="153">
        <f>480-Q21</f>
        <v>0</v>
      </c>
      <c r="R22" s="153">
        <f>+R21/Q21</f>
        <v>700</v>
      </c>
      <c r="S22" s="153">
        <f>+S21/Q21</f>
        <v>521.5</v>
      </c>
    </row>
    <row r="23" spans="1:19" ht="13.5" thickBot="1">
      <c r="A23" s="806"/>
      <c r="B23" s="169" t="s">
        <v>3</v>
      </c>
      <c r="C23" s="103">
        <f>SUM(C16:C22)</f>
        <v>7830</v>
      </c>
      <c r="D23" s="115">
        <f>SUM(D16:D22)</f>
        <v>0</v>
      </c>
      <c r="E23" s="116">
        <f>SUM(E18:E22)</f>
        <v>0</v>
      </c>
      <c r="F23" s="120">
        <f>SUM(F15:F22)</f>
        <v>6</v>
      </c>
      <c r="G23" s="163"/>
      <c r="H23" s="170"/>
      <c r="I23" s="172"/>
      <c r="J23" s="216">
        <f>+'25'!J23</f>
        <v>0</v>
      </c>
      <c r="K23" s="238"/>
      <c r="L23" s="238"/>
      <c r="M23" s="121">
        <f>+K23+'25'!M23+L23</f>
        <v>0</v>
      </c>
    </row>
    <row r="24" spans="1:19" ht="13.5" thickBot="1">
      <c r="A24" s="810"/>
      <c r="B24" s="528"/>
      <c r="C24" s="117">
        <f>C23/($C$23+$D$23+$E$23)</f>
        <v>1</v>
      </c>
      <c r="D24" s="118">
        <f>D23/($C$23+$D$23+$E$23)</f>
        <v>0</v>
      </c>
      <c r="E24" s="119">
        <f>E23/($C$23+$D$23+$E$23)</f>
        <v>0</v>
      </c>
      <c r="F24" s="235">
        <v>20</v>
      </c>
      <c r="G24" s="582" t="s">
        <v>12</v>
      </c>
      <c r="H24" s="583" t="s">
        <v>506</v>
      </c>
      <c r="I24" s="807" t="s">
        <v>713</v>
      </c>
      <c r="J24" s="216">
        <f>+'25'!J24</f>
        <v>0</v>
      </c>
      <c r="K24" s="238"/>
      <c r="L24" s="238"/>
      <c r="M24" s="121">
        <f>+K24+'25'!M24+L24</f>
        <v>0</v>
      </c>
    </row>
    <row r="25" spans="1:19" ht="13.5" thickBot="1">
      <c r="A25" s="805"/>
      <c r="B25" s="527" t="s">
        <v>678</v>
      </c>
      <c r="C25" s="226">
        <v>10054</v>
      </c>
      <c r="D25" s="219"/>
      <c r="E25" s="225"/>
      <c r="F25" s="231">
        <v>6</v>
      </c>
      <c r="G25" s="584" t="s">
        <v>12</v>
      </c>
      <c r="H25" s="230" t="s">
        <v>540</v>
      </c>
      <c r="I25" s="808"/>
      <c r="J25" s="216">
        <f>+'25'!J25</f>
        <v>0</v>
      </c>
      <c r="K25" s="238"/>
      <c r="L25" s="238"/>
      <c r="M25" s="121">
        <f>+K25+'25'!M25+L25</f>
        <v>0</v>
      </c>
      <c r="N25" s="153" t="s">
        <v>669</v>
      </c>
      <c r="O25" s="153">
        <v>700</v>
      </c>
      <c r="P25" s="153">
        <f>+O25-O25*0.255</f>
        <v>521.5</v>
      </c>
      <c r="Q25" s="153">
        <f>60*3</f>
        <v>180</v>
      </c>
      <c r="R25" s="153">
        <f>+O25*Q25</f>
        <v>126000</v>
      </c>
      <c r="S25" s="153">
        <f>+P25*Q25</f>
        <v>93870</v>
      </c>
    </row>
    <row r="26" spans="1:19" ht="13.5" thickBot="1">
      <c r="A26" s="805"/>
      <c r="B26" s="217"/>
      <c r="C26" s="226"/>
      <c r="D26" s="219"/>
      <c r="E26" s="227"/>
      <c r="F26" s="231">
        <f>44-F24-F25</f>
        <v>18</v>
      </c>
      <c r="G26" s="584" t="s">
        <v>12</v>
      </c>
      <c r="H26" s="233" t="s">
        <v>483</v>
      </c>
      <c r="I26" s="808"/>
      <c r="J26" s="216">
        <f>+'25'!J26</f>
        <v>0</v>
      </c>
      <c r="K26" s="238"/>
      <c r="L26" s="238"/>
      <c r="M26" s="121">
        <f>+K26+'25'!M26+L26</f>
        <v>0</v>
      </c>
      <c r="O26" s="153">
        <v>900</v>
      </c>
      <c r="P26" s="153">
        <f t="shared" ref="P26:P30" si="7">+O26-O26*0.255</f>
        <v>670.5</v>
      </c>
      <c r="Q26" s="153">
        <v>10</v>
      </c>
      <c r="R26" s="153">
        <f t="shared" ref="R26:R30" si="8">+O26*Q26</f>
        <v>9000</v>
      </c>
      <c r="S26" s="153">
        <f t="shared" ref="S26:S30" si="9">+P26*Q26</f>
        <v>6705</v>
      </c>
    </row>
    <row r="27" spans="1:19" ht="64.5" thickBot="1">
      <c r="A27" s="805"/>
      <c r="B27" s="217"/>
      <c r="C27" s="218"/>
      <c r="D27" s="219"/>
      <c r="E27" s="225"/>
      <c r="F27" s="231"/>
      <c r="G27" s="229"/>
      <c r="H27" s="233" t="s">
        <v>723</v>
      </c>
      <c r="I27" s="808"/>
      <c r="J27" s="216">
        <f>+'25'!J27</f>
        <v>0</v>
      </c>
      <c r="K27" s="238"/>
      <c r="L27" s="238"/>
      <c r="M27" s="121">
        <f>+K27+'25'!M27+L27</f>
        <v>0</v>
      </c>
      <c r="O27" s="153">
        <v>1000</v>
      </c>
      <c r="P27" s="153">
        <f t="shared" si="7"/>
        <v>745</v>
      </c>
      <c r="Q27" s="153">
        <f>40-10</f>
        <v>30</v>
      </c>
      <c r="R27" s="153">
        <f t="shared" si="8"/>
        <v>30000</v>
      </c>
      <c r="S27" s="153">
        <f t="shared" si="9"/>
        <v>22350</v>
      </c>
    </row>
    <row r="28" spans="1:19" ht="370.5" thickBot="1">
      <c r="A28" s="805"/>
      <c r="B28" s="217"/>
      <c r="C28" s="218"/>
      <c r="D28" s="219"/>
      <c r="E28" s="225"/>
      <c r="F28" s="231"/>
      <c r="G28" s="229"/>
      <c r="H28" s="233" t="s">
        <v>696</v>
      </c>
      <c r="I28" s="808"/>
      <c r="J28" s="216">
        <f>+'25'!J28</f>
        <v>0</v>
      </c>
      <c r="K28" s="238"/>
      <c r="L28" s="238"/>
      <c r="M28" s="121">
        <f>+K28+'25'!M28+L28</f>
        <v>0</v>
      </c>
      <c r="O28" s="153">
        <v>1200</v>
      </c>
      <c r="P28" s="153">
        <f t="shared" si="7"/>
        <v>894</v>
      </c>
      <c r="Q28" s="153">
        <f>60-40+10</f>
        <v>30</v>
      </c>
      <c r="R28" s="153">
        <f t="shared" si="8"/>
        <v>36000</v>
      </c>
      <c r="S28" s="153">
        <f t="shared" si="9"/>
        <v>26820</v>
      </c>
    </row>
    <row r="29" spans="1:19" ht="13.5" thickBot="1">
      <c r="A29" s="805"/>
      <c r="B29" s="217"/>
      <c r="C29" s="218"/>
      <c r="D29" s="219"/>
      <c r="E29" s="225"/>
      <c r="F29" s="235"/>
      <c r="G29" s="232"/>
      <c r="H29" s="233" t="s">
        <v>697</v>
      </c>
      <c r="I29" s="808"/>
      <c r="J29" s="216">
        <f>+'25'!J29</f>
        <v>0</v>
      </c>
      <c r="K29" s="238"/>
      <c r="L29" s="238"/>
      <c r="M29" s="121">
        <f>+K29+'25'!M29+L29</f>
        <v>0</v>
      </c>
      <c r="O29" s="153">
        <v>1330</v>
      </c>
      <c r="P29" s="153">
        <f t="shared" si="7"/>
        <v>990.84999999999991</v>
      </c>
      <c r="Q29" s="153">
        <f>60-10+60+55</f>
        <v>165</v>
      </c>
      <c r="R29" s="153">
        <f t="shared" si="8"/>
        <v>219450</v>
      </c>
      <c r="S29" s="153">
        <f t="shared" si="9"/>
        <v>163490.24999999997</v>
      </c>
    </row>
    <row r="30" spans="1:19" ht="13.5" thickBot="1">
      <c r="A30" s="805"/>
      <c r="B30" s="217"/>
      <c r="C30" s="226"/>
      <c r="D30" s="219"/>
      <c r="E30" s="225"/>
      <c r="F30" s="235"/>
      <c r="G30" s="232"/>
      <c r="H30" s="233"/>
      <c r="I30" s="808"/>
      <c r="J30" s="216">
        <f>+'25'!J30</f>
        <v>0</v>
      </c>
      <c r="K30" s="238"/>
      <c r="L30" s="238"/>
      <c r="M30" s="121">
        <f>+K30+'25'!M30+L30</f>
        <v>0</v>
      </c>
      <c r="O30" s="153">
        <v>1320</v>
      </c>
      <c r="P30" s="153">
        <f t="shared" si="7"/>
        <v>983.4</v>
      </c>
      <c r="Q30" s="153">
        <f>60-55+60</f>
        <v>65</v>
      </c>
      <c r="R30" s="153">
        <f t="shared" si="8"/>
        <v>85800</v>
      </c>
      <c r="S30" s="153">
        <f t="shared" si="9"/>
        <v>63921</v>
      </c>
    </row>
    <row r="31" spans="1:19" ht="13.5" thickBot="1">
      <c r="A31" s="805"/>
      <c r="B31" s="217"/>
      <c r="C31" s="226"/>
      <c r="D31" s="219"/>
      <c r="E31" s="225"/>
      <c r="F31" s="235"/>
      <c r="G31" s="236"/>
      <c r="H31" s="413"/>
      <c r="I31" s="809"/>
      <c r="J31" s="216">
        <f>+'25'!J31</f>
        <v>0</v>
      </c>
      <c r="K31" s="238"/>
      <c r="L31" s="238"/>
      <c r="M31" s="121">
        <f>+K31+'25'!M31+L31</f>
        <v>0</v>
      </c>
    </row>
    <row r="32" spans="1:19" ht="13.5" thickBot="1">
      <c r="A32" s="806"/>
      <c r="B32" s="169" t="s">
        <v>3</v>
      </c>
      <c r="C32" s="103">
        <f>SUM(C25:C31)</f>
        <v>10054</v>
      </c>
      <c r="D32" s="104">
        <f>SUM(D25:D31)</f>
        <v>0</v>
      </c>
      <c r="E32" s="105">
        <f>SUM(E25:E31)</f>
        <v>0</v>
      </c>
      <c r="F32" s="103">
        <f>SUM(F24:F31)</f>
        <v>44</v>
      </c>
      <c r="G32" s="173"/>
      <c r="H32" s="174"/>
      <c r="I32" s="172"/>
      <c r="J32" s="216">
        <f>+'25'!J32</f>
        <v>0</v>
      </c>
      <c r="K32" s="240"/>
      <c r="L32" s="242"/>
      <c r="M32" s="121">
        <f>+K32+'25'!M32+L32</f>
        <v>0</v>
      </c>
      <c r="N32" s="153" t="s">
        <v>421</v>
      </c>
    </row>
    <row r="33" spans="1:19" ht="13.5" thickBot="1">
      <c r="A33" s="175"/>
      <c r="B33" s="176"/>
      <c r="C33" s="107">
        <f>C32/($C$32+$D$32+$E$32)</f>
        <v>1</v>
      </c>
      <c r="D33" s="108">
        <f>D32/($C$32+$D$32+$E$32)</f>
        <v>0</v>
      </c>
      <c r="E33" s="109">
        <f>E32/($C$32+$D$32+$E$32)</f>
        <v>0</v>
      </c>
      <c r="F33" s="110"/>
      <c r="G33" s="177"/>
      <c r="H33" s="178"/>
      <c r="I33" s="179"/>
      <c r="J33" s="125"/>
      <c r="K33" s="126"/>
      <c r="L33" s="215"/>
      <c r="M33" s="123"/>
    </row>
    <row r="34" spans="1:19" ht="13.5" thickBot="1">
      <c r="A34" s="811" t="s">
        <v>69</v>
      </c>
      <c r="B34" s="812"/>
      <c r="C34" s="111">
        <f>C14+C23+C32</f>
        <v>24103</v>
      </c>
      <c r="D34" s="111">
        <f>D14+D23+D32</f>
        <v>0</v>
      </c>
      <c r="E34" s="111">
        <f>E14+E23+E32</f>
        <v>0</v>
      </c>
      <c r="F34" s="112">
        <f>F14+F23+F32</f>
        <v>78</v>
      </c>
      <c r="H34" s="180"/>
      <c r="I34" s="180"/>
      <c r="J34" s="127" t="s">
        <v>28</v>
      </c>
      <c r="K34" s="128">
        <f>SUM(K7:K32)</f>
        <v>24103</v>
      </c>
      <c r="L34" s="214">
        <f>SUM(L7:L32)</f>
        <v>0</v>
      </c>
      <c r="M34" s="124">
        <f>SUM(M7:M32)</f>
        <v>706939</v>
      </c>
      <c r="N34" s="159"/>
      <c r="Q34" s="153">
        <f>SUM(Q25:Q30)</f>
        <v>480</v>
      </c>
      <c r="R34" s="153">
        <f>SUM(R25:R30)</f>
        <v>506250</v>
      </c>
      <c r="S34" s="153">
        <f>SUM(S25:S30)</f>
        <v>377156.25</v>
      </c>
    </row>
    <row r="35" spans="1:19" ht="13.5" thickBot="1">
      <c r="A35" s="181"/>
      <c r="B35" s="182"/>
      <c r="C35" s="108">
        <f>C34/($C$34+$D$34+$E$34)</f>
        <v>1</v>
      </c>
      <c r="D35" s="108">
        <f>D34/($C$34+$D$34+$E$34)</f>
        <v>0</v>
      </c>
      <c r="E35" s="113">
        <f>E34/($C$34+$D$34+$E$34)</f>
        <v>0</v>
      </c>
      <c r="K35" s="159"/>
      <c r="Q35" s="153">
        <f>480-Q34</f>
        <v>0</v>
      </c>
      <c r="R35" s="153">
        <f>+R34/Q34</f>
        <v>1054.6875</v>
      </c>
      <c r="S35" s="153">
        <f>+S34/Q34</f>
        <v>785.7421875</v>
      </c>
    </row>
    <row r="36" spans="1:19" ht="13.5" thickBot="1">
      <c r="A36" s="180"/>
      <c r="B36" s="180"/>
      <c r="C36" s="159"/>
      <c r="D36" s="159"/>
      <c r="E36" s="159"/>
      <c r="G36" s="159"/>
      <c r="H36" s="183"/>
      <c r="I36" s="166" t="s">
        <v>38</v>
      </c>
      <c r="J36" s="166" t="s">
        <v>39</v>
      </c>
      <c r="K36" s="184"/>
    </row>
    <row r="37" spans="1:19" ht="17.45" customHeight="1" thickBot="1">
      <c r="A37" s="813" t="s">
        <v>70</v>
      </c>
      <c r="B37" s="814"/>
      <c r="C37" s="166" t="s">
        <v>71</v>
      </c>
      <c r="D37" s="185" t="s">
        <v>72</v>
      </c>
      <c r="E37" s="186" t="s">
        <v>73</v>
      </c>
      <c r="F37" s="311"/>
      <c r="G37" s="313"/>
      <c r="H37" s="188" t="s">
        <v>74</v>
      </c>
      <c r="I37" s="243">
        <f>(13*1440)/1440*G42*2.7*1440/1000000</f>
        <v>30.359543175000002</v>
      </c>
      <c r="J37" s="129">
        <f>+I37+'25'!J37</f>
        <v>872.40592899789192</v>
      </c>
      <c r="K37" s="130" t="s">
        <v>75</v>
      </c>
    </row>
    <row r="38" spans="1:19" ht="17.45" customHeight="1">
      <c r="A38" s="797" t="s">
        <v>12</v>
      </c>
      <c r="B38" s="798"/>
      <c r="C38" s="168">
        <f>SUMIF($G$7:$G$31,"Process",$F$7:$F$31)</f>
        <v>78</v>
      </c>
      <c r="D38" s="122">
        <f>C38+'25'!D38</f>
        <v>1456</v>
      </c>
      <c r="E38" s="147">
        <f t="shared" ref="E38:E52" si="10">D38/60</f>
        <v>24.266666666666666</v>
      </c>
      <c r="F38" s="311">
        <v>642.5</v>
      </c>
      <c r="G38" s="311">
        <v>494.72500000000002</v>
      </c>
      <c r="H38" s="189" t="s">
        <v>76</v>
      </c>
      <c r="I38" s="534">
        <f>13.545+12.071+10.037</f>
        <v>35.652999999999999</v>
      </c>
      <c r="J38" s="131">
        <f>+I38+'25'!J38</f>
        <v>767.35600000000011</v>
      </c>
      <c r="K38" s="132" t="s">
        <v>75</v>
      </c>
    </row>
    <row r="39" spans="1:19" ht="17.45" customHeight="1">
      <c r="A39" s="799" t="s">
        <v>13</v>
      </c>
      <c r="B39" s="800"/>
      <c r="C39" s="168">
        <f>SUMIF($G$7:$G$31,"Cleaning",$F$7:$F$31)</f>
        <v>0</v>
      </c>
      <c r="D39" s="122">
        <f>C39+'25'!D39</f>
        <v>0</v>
      </c>
      <c r="E39" s="147">
        <f t="shared" si="10"/>
        <v>0</v>
      </c>
      <c r="F39" s="311">
        <v>700</v>
      </c>
      <c r="G39" s="311">
        <v>521.5</v>
      </c>
      <c r="H39" s="189" t="s">
        <v>77</v>
      </c>
      <c r="I39" s="146"/>
      <c r="J39" s="133">
        <f>J37/G4</f>
        <v>33.554074192226615</v>
      </c>
      <c r="K39" s="134" t="s">
        <v>75</v>
      </c>
    </row>
    <row r="40" spans="1:19" ht="17.45" customHeight="1">
      <c r="A40" s="799" t="s">
        <v>78</v>
      </c>
      <c r="B40" s="800"/>
      <c r="C40" s="168">
        <f>SUMIF($G$7:$G$31,"Mechanical",$F$7:$F$31)</f>
        <v>0</v>
      </c>
      <c r="D40" s="122">
        <f>C40+'25'!D40</f>
        <v>17</v>
      </c>
      <c r="E40" s="147">
        <f t="shared" si="10"/>
        <v>0.28333333333333333</v>
      </c>
      <c r="F40" s="311">
        <v>1054.6875</v>
      </c>
      <c r="G40" s="311">
        <v>785.7421875</v>
      </c>
      <c r="H40" s="189" t="s">
        <v>79</v>
      </c>
      <c r="I40" s="122">
        <f>(K34+L34)/1000</f>
        <v>24.103000000000002</v>
      </c>
      <c r="J40" s="135">
        <f>+I40+'25'!J40</f>
        <v>706.93899999999996</v>
      </c>
      <c r="K40" s="134" t="s">
        <v>75</v>
      </c>
    </row>
    <row r="41" spans="1:19" ht="17.45" customHeight="1">
      <c r="A41" s="799" t="s">
        <v>80</v>
      </c>
      <c r="B41" s="800"/>
      <c r="C41" s="168">
        <f>SUMIF($G$7:$G$31,"Electrical",$F$7:$F$31)</f>
        <v>0</v>
      </c>
      <c r="D41" s="122">
        <f>C41+'25'!D41</f>
        <v>70</v>
      </c>
      <c r="E41" s="147">
        <f t="shared" si="10"/>
        <v>1.1666666666666667</v>
      </c>
      <c r="F41" s="311"/>
      <c r="G41" s="311"/>
      <c r="H41" s="189" t="s">
        <v>81</v>
      </c>
      <c r="I41" s="146"/>
      <c r="J41" s="133">
        <f>J40/G4</f>
        <v>27.189961538461539</v>
      </c>
      <c r="K41" s="134" t="s">
        <v>75</v>
      </c>
    </row>
    <row r="42" spans="1:19" ht="17.45" customHeight="1">
      <c r="A42" s="799" t="s">
        <v>16</v>
      </c>
      <c r="B42" s="800"/>
      <c r="C42" s="168">
        <f>SUMIF($G$7:$G$31,"Instrument",$F$7:$F$31)</f>
        <v>0</v>
      </c>
      <c r="D42" s="122">
        <f>C42+'25'!D42</f>
        <v>0</v>
      </c>
      <c r="E42" s="147">
        <f t="shared" si="10"/>
        <v>0</v>
      </c>
      <c r="F42" s="187">
        <f>+(480*F38+480*F39+480*F40)/1440</f>
        <v>799.0625</v>
      </c>
      <c r="G42" s="187">
        <f>+(480*G38+480*G39+480*G40)/1440</f>
        <v>600.65572916666667</v>
      </c>
      <c r="H42" s="189" t="s">
        <v>82</v>
      </c>
      <c r="I42" s="245" t="s">
        <v>716</v>
      </c>
      <c r="J42" s="136"/>
      <c r="K42" s="134" t="s">
        <v>83</v>
      </c>
    </row>
    <row r="43" spans="1:19" ht="17.45" customHeight="1">
      <c r="A43" s="799" t="s">
        <v>84</v>
      </c>
      <c r="B43" s="800"/>
      <c r="C43" s="168">
        <f>SUMIF($G$7:$G$31,"Water",$F$7:$F$31)</f>
        <v>0</v>
      </c>
      <c r="D43" s="122">
        <f>C43+'25'!D43</f>
        <v>0</v>
      </c>
      <c r="E43" s="147">
        <f t="shared" si="10"/>
        <v>0</v>
      </c>
      <c r="F43" s="311"/>
      <c r="G43" s="312"/>
      <c r="H43" s="190" t="s">
        <v>85</v>
      </c>
      <c r="I43" s="122">
        <f>+Report1!Z34</f>
        <v>79.2</v>
      </c>
      <c r="J43" s="137">
        <f>+I43+'25'!J43</f>
        <v>1686.3000000000002</v>
      </c>
      <c r="K43" s="134" t="s">
        <v>75</v>
      </c>
      <c r="L43" s="191"/>
    </row>
    <row r="44" spans="1:19" ht="17.45" customHeight="1">
      <c r="A44" s="799" t="s">
        <v>17</v>
      </c>
      <c r="B44" s="800"/>
      <c r="C44" s="168">
        <f>SUMIF($G$7:$G$31,"PLN",$F$7:$F$31)</f>
        <v>0</v>
      </c>
      <c r="D44" s="122">
        <f>C44+'25'!D44</f>
        <v>0</v>
      </c>
      <c r="E44" s="147">
        <f t="shared" si="10"/>
        <v>0</v>
      </c>
      <c r="F44" s="311"/>
      <c r="G44" s="312"/>
      <c r="H44" s="190" t="s">
        <v>86</v>
      </c>
      <c r="I44" s="122">
        <f>I43/I38</f>
        <v>2.2214119428940062</v>
      </c>
      <c r="J44" s="138">
        <f>J43/J38</f>
        <v>2.1975458587669867</v>
      </c>
      <c r="K44" s="134" t="s">
        <v>75</v>
      </c>
    </row>
    <row r="45" spans="1:19" ht="17.45" customHeight="1">
      <c r="A45" s="799" t="s">
        <v>18</v>
      </c>
      <c r="B45" s="800"/>
      <c r="C45" s="168">
        <f>SUMIF($G$7:$G$31,"Boiler",$F$7:$F$31)</f>
        <v>0</v>
      </c>
      <c r="D45" s="122">
        <f>C45+'25'!D45</f>
        <v>0</v>
      </c>
      <c r="E45" s="147">
        <f t="shared" si="10"/>
        <v>0</v>
      </c>
      <c r="F45" s="311"/>
      <c r="G45" s="314"/>
      <c r="H45" s="190" t="s">
        <v>87</v>
      </c>
      <c r="I45" s="122">
        <f>I43/I40</f>
        <v>3.2858980209932374</v>
      </c>
      <c r="J45" s="138">
        <f>J43/J40</f>
        <v>2.3853543233574612</v>
      </c>
      <c r="K45" s="134" t="s">
        <v>75</v>
      </c>
    </row>
    <row r="46" spans="1:19" ht="17.45" customHeight="1">
      <c r="A46" s="799" t="s">
        <v>88</v>
      </c>
      <c r="B46" s="800"/>
      <c r="C46" s="168">
        <f>SUMIF($G$7:$G$31,"Gas",$F$7:$F$31)</f>
        <v>0</v>
      </c>
      <c r="D46" s="122">
        <f>C46+'25'!D46</f>
        <v>0</v>
      </c>
      <c r="E46" s="147">
        <f t="shared" si="10"/>
        <v>0</v>
      </c>
      <c r="F46" s="311"/>
      <c r="G46" s="312"/>
      <c r="H46" s="190" t="s">
        <v>89</v>
      </c>
      <c r="I46" s="144">
        <f>+SUMIF(Listrik!X33,"&gt;0")</f>
        <v>32910.330000000016</v>
      </c>
      <c r="J46" s="139">
        <f>+I46+'25'!J46</f>
        <v>742210.27240000037</v>
      </c>
      <c r="K46" s="134" t="s">
        <v>90</v>
      </c>
    </row>
    <row r="47" spans="1:19" ht="17.45" customHeight="1">
      <c r="A47" s="799" t="s">
        <v>91</v>
      </c>
      <c r="B47" s="800"/>
      <c r="C47" s="168">
        <f>SUMIF($G$7:$G$31,"Gas",$F$7:$F$31)</f>
        <v>0</v>
      </c>
      <c r="D47" s="122">
        <f>C47+'25'!D47</f>
        <v>0</v>
      </c>
      <c r="E47" s="147">
        <f t="shared" si="10"/>
        <v>0</v>
      </c>
      <c r="F47" s="311"/>
      <c r="G47" s="312"/>
      <c r="H47" s="190" t="s">
        <v>92</v>
      </c>
      <c r="I47" s="122">
        <f>I46/I38</f>
        <v>923.0732336689764</v>
      </c>
      <c r="J47" s="139">
        <f>J46/J38</f>
        <v>967.23068875463309</v>
      </c>
      <c r="K47" s="134" t="s">
        <v>24</v>
      </c>
    </row>
    <row r="48" spans="1:19" ht="17.45" customHeight="1">
      <c r="A48" s="799" t="s">
        <v>14</v>
      </c>
      <c r="B48" s="800"/>
      <c r="C48" s="168">
        <f>SUMIF($G$7:$G$31,"Start Up",$F$7:$F$31)</f>
        <v>0</v>
      </c>
      <c r="D48" s="122">
        <f>C48+'25'!D48</f>
        <v>0</v>
      </c>
      <c r="E48" s="147">
        <f t="shared" si="10"/>
        <v>0</v>
      </c>
      <c r="F48" s="311"/>
      <c r="G48" s="312"/>
      <c r="H48" s="190" t="s">
        <v>93</v>
      </c>
      <c r="I48" s="122">
        <f>I46/I40</f>
        <v>1365.4038916317477</v>
      </c>
      <c r="J48" s="139">
        <f>J46/J40</f>
        <v>1049.8929503111306</v>
      </c>
      <c r="K48" s="134" t="s">
        <v>24</v>
      </c>
    </row>
    <row r="49" spans="1:11" ht="17.45" customHeight="1">
      <c r="A49" s="799" t="s">
        <v>20</v>
      </c>
      <c r="B49" s="800"/>
      <c r="C49" s="168">
        <f>SUMIF($G$7:$G$31,"Others",$F$7:$F$31)</f>
        <v>0</v>
      </c>
      <c r="D49" s="122">
        <f>C49+'25'!D49</f>
        <v>11885</v>
      </c>
      <c r="E49" s="147">
        <f t="shared" si="10"/>
        <v>198.08333333333334</v>
      </c>
      <c r="F49" s="187"/>
      <c r="H49" s="190" t="s">
        <v>279</v>
      </c>
      <c r="I49" s="122">
        <f>+Report1!T34</f>
        <v>1235.101321585903</v>
      </c>
      <c r="J49" s="139">
        <f>+I49+'25'!J49</f>
        <v>69958.851416894628</v>
      </c>
      <c r="K49" s="134" t="s">
        <v>94</v>
      </c>
    </row>
    <row r="50" spans="1:11" ht="17.45" customHeight="1">
      <c r="A50" s="799" t="s">
        <v>19</v>
      </c>
      <c r="B50" s="800"/>
      <c r="C50" s="168">
        <f>SUMIF($G$7:$G$31,"Steam",$F$7:$F$31)</f>
        <v>0</v>
      </c>
      <c r="D50" s="122">
        <f>C50+'25'!D50</f>
        <v>0</v>
      </c>
      <c r="E50" s="147">
        <f t="shared" si="10"/>
        <v>0</v>
      </c>
      <c r="F50" s="187"/>
      <c r="H50" s="190" t="s">
        <v>95</v>
      </c>
      <c r="I50" s="144">
        <f>I49/I38</f>
        <v>34.642283162311813</v>
      </c>
      <c r="J50" s="137">
        <f>J49/J38</f>
        <v>91.168703205415241</v>
      </c>
      <c r="K50" s="134" t="s">
        <v>94</v>
      </c>
    </row>
    <row r="51" spans="1:11" ht="17.45" customHeight="1">
      <c r="A51" s="801" t="s">
        <v>96</v>
      </c>
      <c r="B51" s="801"/>
      <c r="C51" s="168">
        <f>SUMIF($G$7:$G$31,"Planned shut",$F$7:$F$31)</f>
        <v>0</v>
      </c>
      <c r="D51" s="122">
        <f>C51+'25'!D51</f>
        <v>0</v>
      </c>
      <c r="E51" s="147">
        <f t="shared" si="10"/>
        <v>0</v>
      </c>
      <c r="F51" s="187"/>
      <c r="H51" s="192" t="s">
        <v>97</v>
      </c>
      <c r="I51" s="145">
        <f>I49/I40</f>
        <v>51.242638741480434</v>
      </c>
      <c r="J51" s="140">
        <f>J49/J40</f>
        <v>98.960237611582656</v>
      </c>
      <c r="K51" s="141" t="s">
        <v>94</v>
      </c>
    </row>
    <row r="52" spans="1:11" ht="13.5" thickBot="1">
      <c r="A52" s="802" t="s">
        <v>229</v>
      </c>
      <c r="B52" s="803"/>
      <c r="C52" s="168">
        <f>SUMIF($G$7:$G$31,"Change Grade",$F$7:$F$31)</f>
        <v>0</v>
      </c>
      <c r="D52" s="122">
        <f>C52+'25'!D52</f>
        <v>0</v>
      </c>
      <c r="E52" s="147">
        <f t="shared" si="10"/>
        <v>0</v>
      </c>
      <c r="F52" s="187"/>
      <c r="H52" s="193"/>
      <c r="I52" s="194"/>
      <c r="J52" s="142"/>
      <c r="K52" s="143"/>
    </row>
    <row r="53" spans="1:11">
      <c r="A53" s="797" t="s">
        <v>28</v>
      </c>
      <c r="B53" s="798"/>
      <c r="C53" s="148">
        <f>SUM(C38:C52)</f>
        <v>78</v>
      </c>
      <c r="D53" s="148">
        <f>SUM(D38:D52)</f>
        <v>13428</v>
      </c>
      <c r="E53" s="149">
        <f>SUM(E38:E52)</f>
        <v>223.8</v>
      </c>
      <c r="F53" s="187"/>
    </row>
    <row r="54" spans="1:11" ht="13.5" thickBot="1">
      <c r="A54" s="795"/>
      <c r="B54" s="796"/>
      <c r="C54" s="150">
        <f>C53/(24*60)</f>
        <v>5.4166666666666669E-2</v>
      </c>
      <c r="D54" s="150">
        <f>D53/(24*60*G4)</f>
        <v>0.35865384615384616</v>
      </c>
      <c r="E54" s="151">
        <f>E53/(G4*24)</f>
        <v>0.35865384615384616</v>
      </c>
      <c r="F54" s="187"/>
    </row>
    <row r="55" spans="1:11">
      <c r="E55" s="195"/>
    </row>
    <row r="56" spans="1:11">
      <c r="A56" s="196" t="s">
        <v>98</v>
      </c>
      <c r="B56" s="197"/>
      <c r="C56" s="198"/>
      <c r="D56" s="198"/>
      <c r="E56" s="198"/>
      <c r="F56" s="199"/>
      <c r="G56" s="198"/>
      <c r="H56" s="200"/>
      <c r="I56" s="201" t="s">
        <v>99</v>
      </c>
      <c r="J56" s="202">
        <f>+D34+'25'!J56</f>
        <v>3552</v>
      </c>
      <c r="K56" s="203">
        <f>J56/(J40+J56/1000)/1000</f>
        <v>4.9993595977992685E-3</v>
      </c>
    </row>
    <row r="57" spans="1:11">
      <c r="A57" s="178"/>
      <c r="I57" s="201" t="s">
        <v>100</v>
      </c>
      <c r="J57" s="202">
        <f>+E34+'25'!J57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9" zoomScale="80" zoomScaleNormal="80" zoomScaleSheetLayoutView="80" workbookViewId="0">
      <selection activeCell="G19" sqref="G19"/>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4257812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25</v>
      </c>
      <c r="H4" s="158" t="str">
        <f>+'1'!H4</f>
        <v>.10.25</v>
      </c>
      <c r="J4" s="153">
        <f>251+375+393</f>
        <v>1019</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653</v>
      </c>
      <c r="O6" s="153">
        <v>1350</v>
      </c>
      <c r="P6" s="153">
        <f>+O6-O6*0.25</f>
        <v>1012.5</v>
      </c>
      <c r="Q6" s="153">
        <f>60*3+10</f>
        <v>190</v>
      </c>
      <c r="R6" s="153">
        <f>+O6*Q6</f>
        <v>256500</v>
      </c>
      <c r="S6" s="153">
        <f>+P6*Q6</f>
        <v>192375</v>
      </c>
    </row>
    <row r="7" spans="1:19" ht="13.5" customHeight="1" thickBot="1">
      <c r="A7" s="804"/>
      <c r="B7" s="217" t="s">
        <v>694</v>
      </c>
      <c r="C7" s="218">
        <f>3870+4446</f>
        <v>8316</v>
      </c>
      <c r="D7" s="219"/>
      <c r="E7" s="220"/>
      <c r="F7" s="235">
        <f>95-F9</f>
        <v>78</v>
      </c>
      <c r="G7" s="582" t="s">
        <v>12</v>
      </c>
      <c r="H7" s="583" t="s">
        <v>710</v>
      </c>
      <c r="I7" s="807" t="s">
        <v>708</v>
      </c>
      <c r="J7" s="216" t="str">
        <f>+'24'!J7</f>
        <v>TW 17 RC HW</v>
      </c>
      <c r="K7" s="237"/>
      <c r="L7" s="241"/>
      <c r="M7" s="121">
        <f>+K7+'24'!M7+L7</f>
        <v>3364</v>
      </c>
      <c r="N7" s="153" t="s">
        <v>669</v>
      </c>
      <c r="O7" s="153">
        <v>1350</v>
      </c>
      <c r="P7" s="153">
        <f>+O7-O7*0.2</f>
        <v>1080</v>
      </c>
      <c r="Q7" s="153">
        <f>480-Q6</f>
        <v>290</v>
      </c>
      <c r="R7" s="153">
        <f t="shared" ref="R7:R10" si="0">+O7*Q7</f>
        <v>391500</v>
      </c>
      <c r="S7" s="153">
        <f t="shared" ref="S7:S10" si="1">+P7*Q7</f>
        <v>313200</v>
      </c>
    </row>
    <row r="8" spans="1:19" ht="13.5" thickBot="1">
      <c r="A8" s="805"/>
      <c r="B8" s="217" t="s">
        <v>678</v>
      </c>
      <c r="C8" s="218">
        <v>2516</v>
      </c>
      <c r="D8" s="219"/>
      <c r="E8" s="221"/>
      <c r="F8" s="231"/>
      <c r="G8" s="584" t="s">
        <v>12</v>
      </c>
      <c r="H8" s="230" t="s">
        <v>419</v>
      </c>
      <c r="I8" s="808"/>
      <c r="J8" s="216" t="str">
        <f>+'24'!J8</f>
        <v>T 14 VP OW</v>
      </c>
      <c r="K8" s="238"/>
      <c r="L8" s="238"/>
      <c r="M8" s="121">
        <f>+K8+'24'!M8+L8</f>
        <v>23832</v>
      </c>
      <c r="P8" s="153">
        <f>+O8-O8*0.25</f>
        <v>0</v>
      </c>
      <c r="Q8" s="153">
        <f>480-Q6-Q7</f>
        <v>0</v>
      </c>
      <c r="R8" s="153">
        <f t="shared" si="0"/>
        <v>0</v>
      </c>
      <c r="S8" s="153">
        <f t="shared" si="1"/>
        <v>0</v>
      </c>
    </row>
    <row r="9" spans="1:19" ht="13.5" thickBot="1">
      <c r="A9" s="805"/>
      <c r="B9" s="217"/>
      <c r="C9" s="218"/>
      <c r="D9" s="219"/>
      <c r="E9" s="222"/>
      <c r="F9" s="231">
        <v>17</v>
      </c>
      <c r="G9" s="584" t="s">
        <v>12</v>
      </c>
      <c r="H9" s="233" t="s">
        <v>511</v>
      </c>
      <c r="I9" s="808"/>
      <c r="J9" s="216" t="str">
        <f>+'24'!J9</f>
        <v>T 14,5 VP OW</v>
      </c>
      <c r="K9" s="238"/>
      <c r="L9" s="238"/>
      <c r="M9" s="121">
        <f>+K9+'24'!M9+L9</f>
        <v>224658</v>
      </c>
      <c r="R9" s="153">
        <f t="shared" si="0"/>
        <v>0</v>
      </c>
      <c r="S9" s="153">
        <f t="shared" si="1"/>
        <v>0</v>
      </c>
    </row>
    <row r="10" spans="1:19" ht="90" thickBot="1">
      <c r="A10" s="805"/>
      <c r="B10" s="217"/>
      <c r="C10" s="218"/>
      <c r="D10" s="219"/>
      <c r="E10" s="221"/>
      <c r="F10" s="231"/>
      <c r="G10" s="229"/>
      <c r="H10" s="233" t="s">
        <v>706</v>
      </c>
      <c r="I10" s="808"/>
      <c r="J10" s="216" t="str">
        <f>+'24'!J10</f>
        <v>T 13,5 VP OW</v>
      </c>
      <c r="K10" s="238"/>
      <c r="L10" s="238"/>
      <c r="M10" s="121">
        <f>+K10+'24'!M10+L10</f>
        <v>39850</v>
      </c>
      <c r="R10" s="153">
        <f t="shared" si="0"/>
        <v>0</v>
      </c>
      <c r="S10" s="153">
        <f t="shared" si="1"/>
        <v>0</v>
      </c>
    </row>
    <row r="11" spans="1:19" ht="90" thickBot="1">
      <c r="A11" s="805"/>
      <c r="B11" s="217"/>
      <c r="C11" s="218"/>
      <c r="D11" s="219"/>
      <c r="E11" s="221"/>
      <c r="F11" s="228"/>
      <c r="G11" s="232"/>
      <c r="H11" s="233" t="s">
        <v>707</v>
      </c>
      <c r="I11" s="808"/>
      <c r="J11" s="216" t="str">
        <f>+'24'!J11</f>
        <v>T 16,5 VP OW</v>
      </c>
      <c r="K11" s="238"/>
      <c r="L11" s="238"/>
      <c r="M11" s="121">
        <f>+K11+'24'!M11+L11</f>
        <v>9927</v>
      </c>
      <c r="P11" s="153">
        <f t="shared" ref="P11" si="2">+O11-O11*0.17</f>
        <v>0</v>
      </c>
    </row>
    <row r="12" spans="1:19" ht="13.5" thickBot="1">
      <c r="A12" s="805"/>
      <c r="B12" s="217"/>
      <c r="C12" s="218"/>
      <c r="D12" s="219"/>
      <c r="E12" s="221"/>
      <c r="F12" s="228"/>
      <c r="G12" s="232"/>
      <c r="H12" s="233"/>
      <c r="I12" s="808"/>
      <c r="J12" s="216" t="str">
        <f>+'24'!J12</f>
        <v>T 12,5 VP OW</v>
      </c>
      <c r="K12" s="238"/>
      <c r="L12" s="238"/>
      <c r="M12" s="121">
        <f>+K12+'24'!M12+L12</f>
        <v>41367</v>
      </c>
      <c r="Q12" s="153">
        <f>SUM(Q6:Q10)</f>
        <v>480</v>
      </c>
      <c r="R12" s="153">
        <f>SUM(R6:R10)</f>
        <v>648000</v>
      </c>
      <c r="S12" s="153">
        <f>SUM(S6:S10)</f>
        <v>505575</v>
      </c>
    </row>
    <row r="13" spans="1:19" ht="13.5" thickBot="1">
      <c r="A13" s="805"/>
      <c r="B13" s="217"/>
      <c r="C13" s="218"/>
      <c r="D13" s="218"/>
      <c r="E13" s="221"/>
      <c r="F13" s="228"/>
      <c r="G13" s="232"/>
      <c r="H13" s="233"/>
      <c r="I13" s="809"/>
      <c r="J13" s="216" t="str">
        <f>+'24'!J13</f>
        <v>TW 18 VP OW</v>
      </c>
      <c r="K13" s="238"/>
      <c r="L13" s="238"/>
      <c r="M13" s="121">
        <f>+K13+'24'!M13+L13</f>
        <v>234646</v>
      </c>
      <c r="N13" s="153" t="s">
        <v>421</v>
      </c>
      <c r="Q13" s="153">
        <f>480-Q12</f>
        <v>0</v>
      </c>
      <c r="R13" s="153">
        <f>+R12/Q12</f>
        <v>1350</v>
      </c>
      <c r="S13" s="153">
        <f>+S12/Q12</f>
        <v>1053.28125</v>
      </c>
    </row>
    <row r="14" spans="1:19" ht="13.5" thickBot="1">
      <c r="A14" s="806"/>
      <c r="B14" s="169" t="s">
        <v>3</v>
      </c>
      <c r="C14" s="103">
        <f>SUM(C7:C13)</f>
        <v>10832</v>
      </c>
      <c r="D14" s="115">
        <f>SUM(D7:D13)</f>
        <v>0</v>
      </c>
      <c r="E14" s="116">
        <f>SUM(E5:E13)</f>
        <v>0</v>
      </c>
      <c r="F14" s="120">
        <f>SUM(F7:F13)</f>
        <v>95</v>
      </c>
      <c r="G14" s="163"/>
      <c r="H14" s="170"/>
      <c r="I14" s="171"/>
      <c r="J14" s="216" t="str">
        <f>+'24'!J14</f>
        <v>F 15 VP OW</v>
      </c>
      <c r="K14" s="238"/>
      <c r="L14" s="238"/>
      <c r="M14" s="121">
        <f>+K14+'24'!M14+L14</f>
        <v>5496</v>
      </c>
    </row>
    <row r="15" spans="1:19" ht="13.5" thickBot="1">
      <c r="A15" s="810"/>
      <c r="B15" s="528"/>
      <c r="C15" s="117">
        <f>C14/($C$23+$D$23+$E$23)</f>
        <v>1.1967738371450669</v>
      </c>
      <c r="D15" s="118">
        <f>D14/($C$23+$D$23+$E$23)</f>
        <v>0</v>
      </c>
      <c r="E15" s="119">
        <f>E14/($C$23+$D$23+$E$23)</f>
        <v>0</v>
      </c>
      <c r="F15" s="235">
        <v>45</v>
      </c>
      <c r="G15" s="582" t="s">
        <v>12</v>
      </c>
      <c r="H15" s="583" t="s">
        <v>636</v>
      </c>
      <c r="I15" s="807" t="s">
        <v>655</v>
      </c>
      <c r="J15" s="216" t="str">
        <f>+'24'!J15</f>
        <v>T 12 VP OW</v>
      </c>
      <c r="K15" s="238"/>
      <c r="L15" s="238"/>
      <c r="M15" s="121">
        <f>+K15+'24'!M15+L15</f>
        <v>37386</v>
      </c>
      <c r="N15" s="153" t="s">
        <v>669</v>
      </c>
      <c r="O15" s="153">
        <v>1350</v>
      </c>
      <c r="P15" s="153">
        <f>+O15-O15*0.23</f>
        <v>1039.5</v>
      </c>
      <c r="Q15" s="153">
        <v>480</v>
      </c>
      <c r="R15" s="153">
        <f>+O15*Q15</f>
        <v>648000</v>
      </c>
      <c r="S15" s="153">
        <f>+P15*Q15</f>
        <v>498960</v>
      </c>
    </row>
    <row r="16" spans="1:19" ht="13.5" thickBot="1">
      <c r="A16" s="805"/>
      <c r="B16" s="527" t="s">
        <v>694</v>
      </c>
      <c r="C16" s="526">
        <f>578+662</f>
        <v>1240</v>
      </c>
      <c r="D16" s="223"/>
      <c r="E16" s="224"/>
      <c r="F16" s="231"/>
      <c r="G16" s="584" t="s">
        <v>12</v>
      </c>
      <c r="H16" s="230" t="s">
        <v>419</v>
      </c>
      <c r="I16" s="808"/>
      <c r="J16" s="216" t="str">
        <f>+'24'!J16</f>
        <v>T 13 VP OW</v>
      </c>
      <c r="K16" s="229">
        <f>+C8+C17+C25</f>
        <v>13579</v>
      </c>
      <c r="L16" s="229"/>
      <c r="M16" s="121">
        <f>+K16+'24'!M16+L16</f>
        <v>25107</v>
      </c>
      <c r="P16" s="153">
        <f>+O16-O16*0.2</f>
        <v>0</v>
      </c>
      <c r="Q16" s="153">
        <f>480-Q15</f>
        <v>0</v>
      </c>
      <c r="R16" s="153">
        <f t="shared" ref="R16:R19" si="3">+O16*Q16</f>
        <v>0</v>
      </c>
      <c r="S16" s="153">
        <f t="shared" ref="S16:S19" si="4">+P16*Q16</f>
        <v>0</v>
      </c>
    </row>
    <row r="17" spans="1:26" ht="13.5" thickBot="1">
      <c r="A17" s="805"/>
      <c r="B17" s="217" t="s">
        <v>678</v>
      </c>
      <c r="C17" s="218">
        <v>6311</v>
      </c>
      <c r="D17" s="219">
        <v>1500</v>
      </c>
      <c r="E17" s="225"/>
      <c r="F17" s="231">
        <v>20</v>
      </c>
      <c r="G17" s="584" t="s">
        <v>12</v>
      </c>
      <c r="H17" s="233" t="s">
        <v>484</v>
      </c>
      <c r="I17" s="808"/>
      <c r="J17" s="216" t="str">
        <f>+'24'!J17</f>
        <v>F 12 VP OW</v>
      </c>
      <c r="K17" s="229">
        <f>+C7+C16</f>
        <v>9556</v>
      </c>
      <c r="L17" s="229"/>
      <c r="M17" s="121">
        <f>+K17+'24'!M17+L17</f>
        <v>31878</v>
      </c>
      <c r="P17" s="153">
        <f>+O17-O17*0.25</f>
        <v>0</v>
      </c>
      <c r="Q17" s="153">
        <f>480-Q15-Q16</f>
        <v>0</v>
      </c>
      <c r="R17" s="153">
        <f t="shared" si="3"/>
        <v>0</v>
      </c>
      <c r="S17" s="153">
        <f t="shared" si="4"/>
        <v>0</v>
      </c>
    </row>
    <row r="18" spans="1:26" ht="64.5" thickBot="1">
      <c r="A18" s="805"/>
      <c r="B18" s="217"/>
      <c r="C18" s="218"/>
      <c r="D18" s="219"/>
      <c r="E18" s="225"/>
      <c r="F18" s="231"/>
      <c r="G18" s="229"/>
      <c r="H18" s="233" t="s">
        <v>704</v>
      </c>
      <c r="I18" s="808"/>
      <c r="J18" s="216" t="str">
        <f>+'24'!J18</f>
        <v>F 16 VP OW</v>
      </c>
      <c r="K18" s="238"/>
      <c r="L18" s="238"/>
      <c r="M18" s="121">
        <f>+K18+'24'!M18+L18</f>
        <v>5325</v>
      </c>
      <c r="R18" s="153">
        <f t="shared" si="3"/>
        <v>0</v>
      </c>
      <c r="S18" s="153">
        <f t="shared" si="4"/>
        <v>0</v>
      </c>
    </row>
    <row r="19" spans="1:26" ht="138" customHeight="1" thickBot="1">
      <c r="A19" s="805"/>
      <c r="B19" s="217"/>
      <c r="C19" s="218"/>
      <c r="D19" s="219"/>
      <c r="E19" s="225"/>
      <c r="F19" s="234"/>
      <c r="G19" s="232"/>
      <c r="H19" s="233" t="s">
        <v>705</v>
      </c>
      <c r="I19" s="808"/>
      <c r="J19" s="216">
        <f>+'24'!J19</f>
        <v>0</v>
      </c>
      <c r="K19" s="238"/>
      <c r="L19" s="238"/>
      <c r="M19" s="121">
        <f>+K19+'24'!M19+L19</f>
        <v>0</v>
      </c>
      <c r="R19" s="153">
        <f t="shared" si="3"/>
        <v>0</v>
      </c>
      <c r="S19" s="153">
        <f t="shared" si="4"/>
        <v>0</v>
      </c>
    </row>
    <row r="20" spans="1:26" ht="13.5" thickBot="1">
      <c r="A20" s="805"/>
      <c r="B20" s="217"/>
      <c r="C20" s="218"/>
      <c r="D20" s="219"/>
      <c r="E20" s="225"/>
      <c r="F20" s="228"/>
      <c r="G20" s="232"/>
      <c r="H20" s="233"/>
      <c r="I20" s="808"/>
      <c r="J20" s="216">
        <f>+'24'!J20</f>
        <v>0</v>
      </c>
      <c r="K20" s="239"/>
      <c r="L20" s="239"/>
      <c r="M20" s="121">
        <f>+K20+'24'!M20+L20</f>
        <v>0</v>
      </c>
      <c r="P20" s="153">
        <f t="shared" ref="P20" si="5">+O20-O20*0.17</f>
        <v>0</v>
      </c>
    </row>
    <row r="21" spans="1:26" ht="13.5" thickBot="1">
      <c r="A21" s="805"/>
      <c r="B21" s="217"/>
      <c r="C21" s="218"/>
      <c r="D21" s="219"/>
      <c r="E21" s="225"/>
      <c r="F21" s="231"/>
      <c r="G21" s="232"/>
      <c r="H21" s="233"/>
      <c r="I21" s="808"/>
      <c r="J21" s="216">
        <f>+'24'!J21</f>
        <v>0</v>
      </c>
      <c r="K21" s="238"/>
      <c r="L21" s="238"/>
      <c r="M21" s="121">
        <f>+K21+'24'!M21+L21</f>
        <v>0</v>
      </c>
      <c r="Q21" s="153">
        <f>SUM(Q15:Q19)</f>
        <v>480</v>
      </c>
      <c r="R21" s="153">
        <f>SUM(R15:R19)</f>
        <v>648000</v>
      </c>
      <c r="S21" s="153">
        <f>SUM(S15:S19)</f>
        <v>498960</v>
      </c>
    </row>
    <row r="22" spans="1:26" ht="13.5" thickBot="1">
      <c r="A22" s="805"/>
      <c r="B22" s="217"/>
      <c r="C22" s="218"/>
      <c r="D22" s="219"/>
      <c r="E22" s="225"/>
      <c r="F22" s="235"/>
      <c r="G22" s="232"/>
      <c r="H22" s="233"/>
      <c r="I22" s="809"/>
      <c r="J22" s="216">
        <f>+'24'!J22</f>
        <v>0</v>
      </c>
      <c r="K22" s="238"/>
      <c r="L22" s="238"/>
      <c r="M22" s="121">
        <f>+K22+'24'!M22+L22</f>
        <v>0</v>
      </c>
      <c r="N22" s="153" t="s">
        <v>421</v>
      </c>
      <c r="Q22" s="153">
        <f>480-Q21</f>
        <v>0</v>
      </c>
      <c r="R22" s="153">
        <f>+R21/Q21</f>
        <v>1350</v>
      </c>
      <c r="S22" s="153">
        <f>+S21/Q21</f>
        <v>1039.5</v>
      </c>
    </row>
    <row r="23" spans="1:26" ht="13.5" thickBot="1">
      <c r="A23" s="806"/>
      <c r="B23" s="169" t="s">
        <v>3</v>
      </c>
      <c r="C23" s="103">
        <f>SUM(C16:C22)</f>
        <v>7551</v>
      </c>
      <c r="D23" s="115">
        <f>SUM(D16:D22)</f>
        <v>1500</v>
      </c>
      <c r="E23" s="116">
        <f>SUM(E18:E22)</f>
        <v>0</v>
      </c>
      <c r="F23" s="120">
        <f>SUM(F15:F22)</f>
        <v>65</v>
      </c>
      <c r="G23" s="163"/>
      <c r="H23" s="170"/>
      <c r="I23" s="172"/>
      <c r="J23" s="216">
        <f>+'24'!J23</f>
        <v>0</v>
      </c>
      <c r="K23" s="238"/>
      <c r="L23" s="238"/>
      <c r="M23" s="121">
        <f>+K23+'24'!M23+L23</f>
        <v>0</v>
      </c>
    </row>
    <row r="24" spans="1:26" ht="13.5" thickBot="1">
      <c r="A24" s="810"/>
      <c r="B24" s="528"/>
      <c r="C24" s="117">
        <f>C23/($C$23+$D$23+$E$23)</f>
        <v>0.83427245608220091</v>
      </c>
      <c r="D24" s="118">
        <f>D23/($C$23+$D$23+$E$23)</f>
        <v>0.16572754391779915</v>
      </c>
      <c r="E24" s="119">
        <f>E23/($C$23+$D$23+$E$23)</f>
        <v>0</v>
      </c>
      <c r="F24" s="235">
        <v>9</v>
      </c>
      <c r="G24" s="582" t="s">
        <v>12</v>
      </c>
      <c r="H24" s="583" t="s">
        <v>400</v>
      </c>
      <c r="I24" s="807" t="s">
        <v>709</v>
      </c>
      <c r="J24" s="216">
        <f>+'24'!J24</f>
        <v>0</v>
      </c>
      <c r="K24" s="238"/>
      <c r="L24" s="238"/>
      <c r="M24" s="121">
        <f>+K24+'24'!M24+L24</f>
        <v>0</v>
      </c>
      <c r="N24" s="153" t="s">
        <v>669</v>
      </c>
      <c r="O24" s="153">
        <v>1350</v>
      </c>
      <c r="P24" s="153">
        <f>+O24-O24*0.23</f>
        <v>1039.5</v>
      </c>
      <c r="Q24" s="153">
        <f>60*3+20</f>
        <v>200</v>
      </c>
      <c r="R24" s="153">
        <f>+O24*Q24</f>
        <v>270000</v>
      </c>
      <c r="S24" s="153">
        <f>+P24*Q24</f>
        <v>207900</v>
      </c>
      <c r="U24" s="153" t="s">
        <v>669</v>
      </c>
      <c r="V24" s="153">
        <v>1350</v>
      </c>
      <c r="W24" s="153">
        <f>+V24-V24*0.23</f>
        <v>1039.5</v>
      </c>
      <c r="X24" s="153">
        <f>60*3+20</f>
        <v>200</v>
      </c>
      <c r="Y24" s="153">
        <f>+V24*X24</f>
        <v>270000</v>
      </c>
      <c r="Z24" s="153">
        <f>+W24*X24</f>
        <v>207900</v>
      </c>
    </row>
    <row r="25" spans="1:26" ht="13.5" thickBot="1">
      <c r="A25" s="805"/>
      <c r="B25" s="527" t="s">
        <v>678</v>
      </c>
      <c r="C25" s="226">
        <v>4752</v>
      </c>
      <c r="D25" s="219"/>
      <c r="E25" s="225"/>
      <c r="F25" s="231">
        <v>4</v>
      </c>
      <c r="G25" s="584" t="s">
        <v>12</v>
      </c>
      <c r="H25" s="230" t="s">
        <v>529</v>
      </c>
      <c r="I25" s="808"/>
      <c r="J25" s="216">
        <f>+'24'!J25</f>
        <v>0</v>
      </c>
      <c r="K25" s="238"/>
      <c r="L25" s="238"/>
      <c r="M25" s="121">
        <f>+K25+'24'!M25+L25</f>
        <v>0</v>
      </c>
      <c r="O25" s="153">
        <v>800</v>
      </c>
      <c r="P25" s="153">
        <f t="shared" ref="P25:P31" si="6">+O25-O25*0.23</f>
        <v>616</v>
      </c>
      <c r="Q25" s="153">
        <f>160/3</f>
        <v>53.333333333333336</v>
      </c>
      <c r="R25" s="153">
        <f t="shared" ref="R25:R31" si="7">+O25*Q25</f>
        <v>42666.666666666672</v>
      </c>
      <c r="S25" s="153">
        <f t="shared" ref="S25:S31" si="8">+P25*Q25</f>
        <v>32853.333333333336</v>
      </c>
      <c r="V25" s="153">
        <v>800</v>
      </c>
      <c r="W25" s="153">
        <f t="shared" ref="W25:W31" si="9">+V25-V25*0.23</f>
        <v>616</v>
      </c>
      <c r="X25" s="153">
        <f>160/3</f>
        <v>53.333333333333336</v>
      </c>
      <c r="Y25" s="153">
        <f t="shared" ref="Y25:Y31" si="10">+V25*X25</f>
        <v>42666.666666666672</v>
      </c>
      <c r="Z25" s="153">
        <f t="shared" ref="Z25:Z31" si="11">+W25*X25</f>
        <v>32853.333333333336</v>
      </c>
    </row>
    <row r="26" spans="1:26" ht="13.5" thickBot="1">
      <c r="A26" s="805"/>
      <c r="B26" s="217"/>
      <c r="C26" s="226"/>
      <c r="D26" s="219"/>
      <c r="E26" s="227"/>
      <c r="F26" s="231">
        <f>28-13</f>
        <v>15</v>
      </c>
      <c r="G26" s="584" t="s">
        <v>12</v>
      </c>
      <c r="H26" s="233" t="s">
        <v>484</v>
      </c>
      <c r="I26" s="808"/>
      <c r="J26" s="216">
        <f>+'24'!J26</f>
        <v>0</v>
      </c>
      <c r="K26" s="238"/>
      <c r="L26" s="238"/>
      <c r="M26" s="121">
        <f>+K26+'24'!M26+L26</f>
        <v>0</v>
      </c>
      <c r="O26" s="153">
        <v>700</v>
      </c>
      <c r="P26" s="153">
        <f t="shared" si="6"/>
        <v>539</v>
      </c>
      <c r="Q26" s="153">
        <f>160/3</f>
        <v>53.333333333333336</v>
      </c>
      <c r="R26" s="153">
        <f t="shared" si="7"/>
        <v>37333.333333333336</v>
      </c>
      <c r="S26" s="153">
        <f t="shared" si="8"/>
        <v>28746.666666666668</v>
      </c>
      <c r="V26" s="153">
        <v>700</v>
      </c>
      <c r="W26" s="153">
        <f t="shared" si="9"/>
        <v>539</v>
      </c>
      <c r="X26" s="153">
        <f>160/3</f>
        <v>53.333333333333336</v>
      </c>
      <c r="Y26" s="153">
        <f t="shared" si="10"/>
        <v>37333.333333333336</v>
      </c>
      <c r="Z26" s="153">
        <f t="shared" si="11"/>
        <v>28746.666666666668</v>
      </c>
    </row>
    <row r="27" spans="1:26" ht="64.5" thickBot="1">
      <c r="A27" s="805"/>
      <c r="B27" s="217"/>
      <c r="C27" s="218"/>
      <c r="D27" s="219"/>
      <c r="E27" s="225"/>
      <c r="F27" s="231">
        <v>10</v>
      </c>
      <c r="G27" s="229" t="s">
        <v>80</v>
      </c>
      <c r="H27" s="233" t="s">
        <v>701</v>
      </c>
      <c r="I27" s="808"/>
      <c r="J27" s="216">
        <f>+'24'!J27</f>
        <v>0</v>
      </c>
      <c r="K27" s="238"/>
      <c r="L27" s="238"/>
      <c r="M27" s="121">
        <f>+K27+'24'!M27+L27</f>
        <v>0</v>
      </c>
      <c r="O27" s="153">
        <v>550</v>
      </c>
      <c r="P27" s="153">
        <f t="shared" si="6"/>
        <v>423.5</v>
      </c>
      <c r="Q27" s="153">
        <f>160/3</f>
        <v>53.333333333333336</v>
      </c>
      <c r="R27" s="153">
        <f t="shared" si="7"/>
        <v>29333.333333333336</v>
      </c>
      <c r="S27" s="153">
        <f t="shared" si="8"/>
        <v>22586.666666666668</v>
      </c>
      <c r="V27" s="153">
        <v>550</v>
      </c>
      <c r="W27" s="153">
        <f t="shared" si="9"/>
        <v>423.5</v>
      </c>
      <c r="X27" s="153">
        <f>160/3</f>
        <v>53.333333333333336</v>
      </c>
      <c r="Y27" s="153">
        <f t="shared" si="10"/>
        <v>29333.333333333336</v>
      </c>
      <c r="Z27" s="153">
        <f t="shared" si="11"/>
        <v>22586.666666666668</v>
      </c>
    </row>
    <row r="28" spans="1:26" ht="39" thickBot="1">
      <c r="A28" s="805"/>
      <c r="B28" s="217"/>
      <c r="C28" s="218"/>
      <c r="D28" s="219"/>
      <c r="E28" s="225"/>
      <c r="F28" s="231"/>
      <c r="G28" s="229"/>
      <c r="H28" s="233" t="s">
        <v>702</v>
      </c>
      <c r="I28" s="808"/>
      <c r="J28" s="216">
        <f>+'24'!J28</f>
        <v>0</v>
      </c>
      <c r="K28" s="238"/>
      <c r="L28" s="238"/>
      <c r="M28" s="121">
        <f>+K28+'24'!M28+L28</f>
        <v>0</v>
      </c>
      <c r="O28" s="153">
        <v>560</v>
      </c>
      <c r="P28" s="153">
        <f t="shared" si="6"/>
        <v>431.2</v>
      </c>
      <c r="Q28" s="153">
        <v>35</v>
      </c>
      <c r="R28" s="153">
        <f t="shared" si="7"/>
        <v>19600</v>
      </c>
      <c r="S28" s="153">
        <f t="shared" si="8"/>
        <v>15092</v>
      </c>
      <c r="V28" s="153">
        <v>560</v>
      </c>
      <c r="W28" s="153">
        <f t="shared" si="9"/>
        <v>431.2</v>
      </c>
      <c r="X28" s="153">
        <v>35</v>
      </c>
      <c r="Y28" s="153">
        <f t="shared" si="10"/>
        <v>19600</v>
      </c>
      <c r="Z28" s="153">
        <f t="shared" si="11"/>
        <v>15092</v>
      </c>
    </row>
    <row r="29" spans="1:26" ht="306.75" thickBot="1">
      <c r="A29" s="805"/>
      <c r="B29" s="217"/>
      <c r="C29" s="218"/>
      <c r="D29" s="219"/>
      <c r="E29" s="225"/>
      <c r="F29" s="235"/>
      <c r="G29" s="232"/>
      <c r="H29" s="233" t="s">
        <v>703</v>
      </c>
      <c r="I29" s="808"/>
      <c r="J29" s="216">
        <f>+'24'!J29</f>
        <v>0</v>
      </c>
      <c r="K29" s="238"/>
      <c r="L29" s="238"/>
      <c r="M29" s="121">
        <f>+K29+'24'!M29+L29</f>
        <v>0</v>
      </c>
      <c r="O29" s="153">
        <v>570</v>
      </c>
      <c r="P29" s="153">
        <f t="shared" si="6"/>
        <v>438.9</v>
      </c>
      <c r="Q29" s="153">
        <f>48-35</f>
        <v>13</v>
      </c>
      <c r="R29" s="153">
        <f t="shared" si="7"/>
        <v>7410</v>
      </c>
      <c r="S29" s="153">
        <f t="shared" si="8"/>
        <v>5705.7</v>
      </c>
      <c r="V29" s="153">
        <v>570</v>
      </c>
      <c r="W29" s="153">
        <f t="shared" si="9"/>
        <v>438.9</v>
      </c>
      <c r="X29" s="153">
        <f>48-35</f>
        <v>13</v>
      </c>
      <c r="Y29" s="153">
        <f t="shared" si="10"/>
        <v>7410</v>
      </c>
      <c r="Z29" s="153">
        <f t="shared" si="11"/>
        <v>5705.7</v>
      </c>
    </row>
    <row r="30" spans="1:26" ht="13.5" thickBot="1">
      <c r="A30" s="805"/>
      <c r="B30" s="217"/>
      <c r="C30" s="226"/>
      <c r="D30" s="219"/>
      <c r="E30" s="225"/>
      <c r="F30" s="235"/>
      <c r="G30" s="232"/>
      <c r="H30" s="233"/>
      <c r="I30" s="808"/>
      <c r="J30" s="216">
        <f>+'24'!J30</f>
        <v>0</v>
      </c>
      <c r="K30" s="238"/>
      <c r="L30" s="238"/>
      <c r="M30" s="121">
        <f>+K30+'24'!M30+L30</f>
        <v>0</v>
      </c>
      <c r="O30" s="153">
        <v>600</v>
      </c>
      <c r="P30" s="153">
        <f t="shared" si="6"/>
        <v>462</v>
      </c>
      <c r="Q30" s="153">
        <f>60-48</f>
        <v>12</v>
      </c>
      <c r="R30" s="153">
        <f t="shared" si="7"/>
        <v>7200</v>
      </c>
      <c r="S30" s="153">
        <f t="shared" si="8"/>
        <v>5544</v>
      </c>
      <c r="V30" s="153">
        <v>600</v>
      </c>
      <c r="W30" s="153">
        <f t="shared" si="9"/>
        <v>462</v>
      </c>
      <c r="X30" s="153">
        <f>60-48</f>
        <v>12</v>
      </c>
      <c r="Y30" s="153">
        <f t="shared" si="10"/>
        <v>7200</v>
      </c>
      <c r="Z30" s="153">
        <f t="shared" si="11"/>
        <v>5544</v>
      </c>
    </row>
    <row r="31" spans="1:26" ht="13.5" thickBot="1">
      <c r="A31" s="805"/>
      <c r="B31" s="217"/>
      <c r="C31" s="226"/>
      <c r="D31" s="219"/>
      <c r="E31" s="225"/>
      <c r="F31" s="235"/>
      <c r="G31" s="236"/>
      <c r="H31" s="413"/>
      <c r="I31" s="809"/>
      <c r="J31" s="216">
        <f>+'24'!J31</f>
        <v>0</v>
      </c>
      <c r="K31" s="238"/>
      <c r="L31" s="238"/>
      <c r="M31" s="121">
        <f>+K31+'24'!M31+L31</f>
        <v>0</v>
      </c>
      <c r="N31" s="153" t="s">
        <v>421</v>
      </c>
      <c r="O31" s="153">
        <v>650</v>
      </c>
      <c r="P31" s="153">
        <f t="shared" si="6"/>
        <v>500.5</v>
      </c>
      <c r="Q31" s="153">
        <v>60</v>
      </c>
      <c r="R31" s="153">
        <f t="shared" si="7"/>
        <v>39000</v>
      </c>
      <c r="S31" s="153">
        <f t="shared" si="8"/>
        <v>30030</v>
      </c>
      <c r="U31" s="153" t="s">
        <v>421</v>
      </c>
      <c r="V31" s="153">
        <v>650</v>
      </c>
      <c r="W31" s="153">
        <f t="shared" si="9"/>
        <v>500.5</v>
      </c>
      <c r="X31" s="153">
        <v>60</v>
      </c>
      <c r="Y31" s="153">
        <f t="shared" si="10"/>
        <v>39000</v>
      </c>
      <c r="Z31" s="153">
        <f t="shared" si="11"/>
        <v>30030</v>
      </c>
    </row>
    <row r="32" spans="1:26" ht="13.5" thickBot="1">
      <c r="A32" s="806"/>
      <c r="B32" s="169" t="s">
        <v>3</v>
      </c>
      <c r="C32" s="103">
        <f>SUM(C25:C31)</f>
        <v>4752</v>
      </c>
      <c r="D32" s="104">
        <f>SUM(D25:D31)</f>
        <v>0</v>
      </c>
      <c r="E32" s="105">
        <f>SUM(E25:E31)</f>
        <v>0</v>
      </c>
      <c r="F32" s="103">
        <f>SUM(F24:F31)</f>
        <v>38</v>
      </c>
      <c r="G32" s="173"/>
      <c r="H32" s="174"/>
      <c r="I32" s="172"/>
      <c r="J32" s="216">
        <f>+'24'!J32</f>
        <v>0</v>
      </c>
      <c r="K32" s="240"/>
      <c r="L32" s="242"/>
      <c r="M32" s="121">
        <f>+K32+'24'!M32+L32</f>
        <v>0</v>
      </c>
      <c r="Q32" s="153">
        <f>SUM(Q24:Q31)</f>
        <v>480</v>
      </c>
      <c r="R32" s="153">
        <f>SUM(R24:R31)</f>
        <v>452543.33333333331</v>
      </c>
      <c r="S32" s="153">
        <f>SUM(S24:S31)</f>
        <v>348458.3666666667</v>
      </c>
      <c r="V32" s="153">
        <v>1350</v>
      </c>
      <c r="W32" s="153">
        <v>1080</v>
      </c>
      <c r="X32" s="153">
        <v>290</v>
      </c>
      <c r="Y32" s="153">
        <f t="shared" ref="Y32:Y33" si="12">+V32*X32</f>
        <v>391500</v>
      </c>
      <c r="Z32" s="153">
        <f t="shared" ref="Z32:Z33" si="13">+W32*X32</f>
        <v>313200</v>
      </c>
    </row>
    <row r="33" spans="1:26" ht="13.5" thickBot="1">
      <c r="A33" s="175"/>
      <c r="B33" s="176"/>
      <c r="C33" s="107">
        <f>C32/($C$32+$D$32+$E$32)</f>
        <v>1</v>
      </c>
      <c r="D33" s="108">
        <f>D32/($C$32+$D$32+$E$32)</f>
        <v>0</v>
      </c>
      <c r="E33" s="109">
        <f>E32/($C$32+$D$32+$E$32)</f>
        <v>0</v>
      </c>
      <c r="F33" s="110"/>
      <c r="G33" s="177"/>
      <c r="H33" s="178"/>
      <c r="I33" s="179"/>
      <c r="J33" s="125"/>
      <c r="K33" s="126"/>
      <c r="L33" s="215"/>
      <c r="M33" s="123"/>
      <c r="Q33" s="153">
        <f>480-Q32</f>
        <v>0</v>
      </c>
      <c r="R33" s="153">
        <f>+R32/Q32</f>
        <v>942.79861111111109</v>
      </c>
      <c r="S33" s="153">
        <f>+S32/Q32</f>
        <v>725.95493055555562</v>
      </c>
      <c r="V33" s="153">
        <v>1350</v>
      </c>
      <c r="W33" s="153">
        <v>1039.5</v>
      </c>
      <c r="X33" s="153">
        <v>480</v>
      </c>
      <c r="Y33" s="153">
        <f t="shared" si="12"/>
        <v>648000</v>
      </c>
      <c r="Z33" s="153">
        <f t="shared" si="13"/>
        <v>498960</v>
      </c>
    </row>
    <row r="34" spans="1:26" ht="13.5" thickBot="1">
      <c r="A34" s="811" t="s">
        <v>69</v>
      </c>
      <c r="B34" s="812"/>
      <c r="C34" s="111">
        <f>C14+C23+C32</f>
        <v>23135</v>
      </c>
      <c r="D34" s="111">
        <f>D14+D23+D32</f>
        <v>1500</v>
      </c>
      <c r="E34" s="111">
        <f>E14+E23+E32</f>
        <v>0</v>
      </c>
      <c r="F34" s="112">
        <f>F14+F23+F32</f>
        <v>198</v>
      </c>
      <c r="G34" s="153">
        <f>132+56</f>
        <v>188</v>
      </c>
      <c r="H34" s="180"/>
      <c r="I34" s="180"/>
      <c r="J34" s="127" t="s">
        <v>28</v>
      </c>
      <c r="K34" s="128">
        <f>SUM(K7:K32)</f>
        <v>23135</v>
      </c>
      <c r="L34" s="214">
        <f>SUM(L7:L32)</f>
        <v>0</v>
      </c>
      <c r="M34" s="124">
        <f>SUM(M7:M32)</f>
        <v>682836</v>
      </c>
      <c r="N34" s="159"/>
    </row>
    <row r="35" spans="1:26" ht="13.5" thickBot="1">
      <c r="A35" s="573"/>
      <c r="B35" s="182"/>
      <c r="C35" s="108">
        <f>C34/($C$34+$D$34+$E$34)</f>
        <v>0.93911102090521614</v>
      </c>
      <c r="D35" s="108">
        <f>D34/($C$34+$D$34+$E$34)</f>
        <v>6.0888979094783843E-2</v>
      </c>
      <c r="E35" s="113">
        <f>E34/($C$34+$D$34+$E$34)</f>
        <v>0</v>
      </c>
      <c r="H35" s="153" t="s">
        <v>0</v>
      </c>
      <c r="K35" s="159"/>
    </row>
    <row r="36" spans="1:26" ht="13.5" thickBot="1">
      <c r="A36" s="180"/>
      <c r="B36" s="180"/>
      <c r="C36" s="159"/>
      <c r="D36" s="159"/>
      <c r="E36" s="159"/>
      <c r="G36" s="159"/>
      <c r="H36" s="183"/>
      <c r="I36" s="166" t="s">
        <v>38</v>
      </c>
      <c r="J36" s="166" t="s">
        <v>39</v>
      </c>
      <c r="K36" s="184"/>
    </row>
    <row r="37" spans="1:26" ht="17.45" customHeight="1" thickBot="1">
      <c r="A37" s="813" t="s">
        <v>70</v>
      </c>
      <c r="B37" s="814"/>
      <c r="C37" s="166" t="s">
        <v>71</v>
      </c>
      <c r="D37" s="185" t="s">
        <v>72</v>
      </c>
      <c r="E37" s="186" t="s">
        <v>73</v>
      </c>
      <c r="F37" s="311"/>
      <c r="G37" s="313"/>
      <c r="H37" s="188" t="s">
        <v>74</v>
      </c>
      <c r="I37" s="243">
        <f>(12*1440)/1440*G42*2.66*1440/1000000</f>
        <v>43.187548264</v>
      </c>
      <c r="J37" s="129">
        <f>+I37+'24'!J37</f>
        <v>842.04638582289192</v>
      </c>
      <c r="K37" s="130" t="s">
        <v>75</v>
      </c>
      <c r="N37" s="153" t="s">
        <v>653</v>
      </c>
      <c r="O37" s="153">
        <v>1350</v>
      </c>
      <c r="P37" s="153">
        <v>1012.5</v>
      </c>
      <c r="Q37" s="153">
        <v>190</v>
      </c>
      <c r="X37" s="153">
        <f>SUM(X24:X33)</f>
        <v>1250</v>
      </c>
      <c r="Y37" s="153">
        <f>SUM(Y24:Y33)</f>
        <v>1492043.3333333333</v>
      </c>
      <c r="Z37" s="153">
        <f>SUM(Z24:Z33)</f>
        <v>1160618.3666666667</v>
      </c>
    </row>
    <row r="38" spans="1:26" ht="17.45" customHeight="1">
      <c r="A38" s="797" t="s">
        <v>12</v>
      </c>
      <c r="B38" s="798"/>
      <c r="C38" s="168">
        <f>SUMIF($G$7:$G$31,"Process",$F$7:$F$31)</f>
        <v>188</v>
      </c>
      <c r="D38" s="122">
        <f>C38+'24'!D38</f>
        <v>1378</v>
      </c>
      <c r="E38" s="147">
        <f t="shared" ref="E38:E52" si="14">D38/60</f>
        <v>22.966666666666665</v>
      </c>
      <c r="F38" s="311">
        <v>1350</v>
      </c>
      <c r="G38" s="311">
        <v>1053.28125</v>
      </c>
      <c r="H38" s="189" t="s">
        <v>76</v>
      </c>
      <c r="I38" s="534">
        <f>13.545+10.037+6.436</f>
        <v>30.018000000000001</v>
      </c>
      <c r="J38" s="131">
        <f>+I38+'24'!J38</f>
        <v>731.70300000000009</v>
      </c>
      <c r="K38" s="132" t="s">
        <v>75</v>
      </c>
      <c r="N38" s="153" t="s">
        <v>669</v>
      </c>
      <c r="O38" s="153">
        <v>1193.6346666666666</v>
      </c>
      <c r="P38" s="153">
        <v>928.49469333333332</v>
      </c>
      <c r="Q38" s="153">
        <v>1250</v>
      </c>
      <c r="X38" s="153">
        <f>480-X37</f>
        <v>-770</v>
      </c>
      <c r="Y38" s="153">
        <f>+Y37/X37</f>
        <v>1193.6346666666666</v>
      </c>
      <c r="Z38" s="153">
        <f>+Z37/X37</f>
        <v>928.49469333333332</v>
      </c>
    </row>
    <row r="39" spans="1:26" ht="17.45" customHeight="1">
      <c r="A39" s="799" t="s">
        <v>13</v>
      </c>
      <c r="B39" s="800"/>
      <c r="C39" s="168">
        <f>SUMIF($G$7:$G$31,"Cleaning",$F$7:$F$31)</f>
        <v>0</v>
      </c>
      <c r="D39" s="122">
        <f>C39+'24'!D39</f>
        <v>0</v>
      </c>
      <c r="E39" s="147">
        <f t="shared" si="14"/>
        <v>0</v>
      </c>
      <c r="F39" s="311">
        <v>1350</v>
      </c>
      <c r="G39" s="311">
        <v>1039.5</v>
      </c>
      <c r="H39" s="189" t="s">
        <v>77</v>
      </c>
      <c r="I39" s="146"/>
      <c r="J39" s="133">
        <f>J37/G4</f>
        <v>33.681855432915675</v>
      </c>
      <c r="K39" s="134" t="s">
        <v>75</v>
      </c>
      <c r="Q39" s="153">
        <f>+Q37+Q38</f>
        <v>1440</v>
      </c>
    </row>
    <row r="40" spans="1:26" ht="17.45" customHeight="1">
      <c r="A40" s="799" t="s">
        <v>78</v>
      </c>
      <c r="B40" s="800"/>
      <c r="C40" s="168">
        <f>SUMIF($G$7:$G$31,"Mechanical",$F$7:$F$31)</f>
        <v>0</v>
      </c>
      <c r="D40" s="122">
        <f>C40+'24'!D40</f>
        <v>17</v>
      </c>
      <c r="E40" s="147">
        <f t="shared" si="14"/>
        <v>0.28333333333333333</v>
      </c>
      <c r="F40" s="311">
        <v>942.79861111111109</v>
      </c>
      <c r="G40" s="311">
        <v>725.95493055555562</v>
      </c>
      <c r="H40" s="189" t="s">
        <v>79</v>
      </c>
      <c r="I40" s="122">
        <f>(K34+L34)/1000</f>
        <v>23.135000000000002</v>
      </c>
      <c r="J40" s="135">
        <f>+I40+'24'!J40</f>
        <v>682.83600000000001</v>
      </c>
      <c r="K40" s="134" t="s">
        <v>75</v>
      </c>
    </row>
    <row r="41" spans="1:26" ht="17.45" customHeight="1">
      <c r="A41" s="799" t="s">
        <v>80</v>
      </c>
      <c r="B41" s="800"/>
      <c r="C41" s="168">
        <f>SUMIF($G$7:$G$31,"Electrical",$F$7:$F$31)</f>
        <v>10</v>
      </c>
      <c r="D41" s="122">
        <f>C41+'24'!D41</f>
        <v>70</v>
      </c>
      <c r="E41" s="147">
        <f t="shared" si="14"/>
        <v>1.1666666666666667</v>
      </c>
      <c r="F41" s="311"/>
      <c r="G41" s="311"/>
      <c r="H41" s="189" t="s">
        <v>81</v>
      </c>
      <c r="I41" s="146"/>
      <c r="J41" s="133">
        <f>J40/G4</f>
        <v>27.31344</v>
      </c>
      <c r="K41" s="134" t="s">
        <v>75</v>
      </c>
    </row>
    <row r="42" spans="1:26" ht="17.45" customHeight="1">
      <c r="A42" s="799" t="s">
        <v>16</v>
      </c>
      <c r="B42" s="800"/>
      <c r="C42" s="168">
        <f>SUMIF($G$7:$G$31,"Instrument",$F$7:$F$31)</f>
        <v>0</v>
      </c>
      <c r="D42" s="122">
        <f>C42+'24'!D42</f>
        <v>0</v>
      </c>
      <c r="E42" s="147">
        <f t="shared" si="14"/>
        <v>0</v>
      </c>
      <c r="F42" s="187">
        <f>+(F38*480+F39*480+F40*480)/1440</f>
        <v>1214.2662037037037</v>
      </c>
      <c r="G42" s="187">
        <f>+(G38*480+G39*480+G40*480)/1440</f>
        <v>939.57872685185191</v>
      </c>
      <c r="H42" s="189" t="s">
        <v>82</v>
      </c>
      <c r="I42" s="245" t="s">
        <v>712</v>
      </c>
      <c r="J42" s="136"/>
      <c r="K42" s="134" t="s">
        <v>83</v>
      </c>
    </row>
    <row r="43" spans="1:26" ht="17.45" customHeight="1">
      <c r="A43" s="799" t="s">
        <v>84</v>
      </c>
      <c r="B43" s="800"/>
      <c r="C43" s="168">
        <f>SUMIF($G$7:$G$31,"Water",$F$7:$F$31)</f>
        <v>0</v>
      </c>
      <c r="D43" s="122">
        <f>C43+'24'!D43</f>
        <v>0</v>
      </c>
      <c r="E43" s="147">
        <f t="shared" si="14"/>
        <v>0</v>
      </c>
      <c r="F43" s="311"/>
      <c r="G43" s="312"/>
      <c r="H43" s="190" t="s">
        <v>85</v>
      </c>
      <c r="I43" s="122">
        <f>+Report1!Z33</f>
        <v>87.7</v>
      </c>
      <c r="J43" s="137">
        <f>+I43+'24'!J43</f>
        <v>1607.1000000000001</v>
      </c>
      <c r="K43" s="134" t="s">
        <v>75</v>
      </c>
      <c r="L43" s="191"/>
    </row>
    <row r="44" spans="1:26" ht="17.45" customHeight="1">
      <c r="A44" s="799" t="s">
        <v>17</v>
      </c>
      <c r="B44" s="800"/>
      <c r="C44" s="168">
        <f>SUMIF($G$7:$G$31,"PLN",$F$7:$F$31)</f>
        <v>0</v>
      </c>
      <c r="D44" s="122">
        <f>C44+'24'!D44</f>
        <v>0</v>
      </c>
      <c r="E44" s="147">
        <f t="shared" si="14"/>
        <v>0</v>
      </c>
      <c r="F44" s="311"/>
      <c r="G44" s="312"/>
      <c r="H44" s="190" t="s">
        <v>86</v>
      </c>
      <c r="I44" s="122">
        <f>I43/I38</f>
        <v>2.9215803851022719</v>
      </c>
      <c r="J44" s="138">
        <f>J43/J38</f>
        <v>2.1963829586594561</v>
      </c>
      <c r="K44" s="134" t="s">
        <v>75</v>
      </c>
    </row>
    <row r="45" spans="1:26" ht="17.45" customHeight="1">
      <c r="A45" s="799" t="s">
        <v>18</v>
      </c>
      <c r="B45" s="800"/>
      <c r="C45" s="168">
        <f>SUMIF($G$7:$G$31,"Boiler",$F$7:$F$31)</f>
        <v>0</v>
      </c>
      <c r="D45" s="122">
        <f>C45+'24'!D45</f>
        <v>0</v>
      </c>
      <c r="E45" s="147">
        <f t="shared" si="14"/>
        <v>0</v>
      </c>
      <c r="F45" s="311"/>
      <c r="G45" s="314"/>
      <c r="H45" s="190" t="s">
        <v>87</v>
      </c>
      <c r="I45" s="122">
        <f>I43/I40</f>
        <v>3.7907931705208555</v>
      </c>
      <c r="J45" s="138">
        <f>J43/J40</f>
        <v>2.3535665957858112</v>
      </c>
      <c r="K45" s="134" t="s">
        <v>75</v>
      </c>
    </row>
    <row r="46" spans="1:26" ht="17.45" customHeight="1">
      <c r="A46" s="799" t="s">
        <v>88</v>
      </c>
      <c r="B46" s="800"/>
      <c r="C46" s="168">
        <f>SUMIF($G$7:$G$31,"Gas",$F$7:$F$31)</f>
        <v>0</v>
      </c>
      <c r="D46" s="122">
        <f>C46+'24'!D46</f>
        <v>0</v>
      </c>
      <c r="E46" s="147">
        <f t="shared" si="14"/>
        <v>0</v>
      </c>
      <c r="F46" s="311"/>
      <c r="G46" s="312"/>
      <c r="H46" s="190" t="s">
        <v>89</v>
      </c>
      <c r="I46" s="144">
        <f>+SUMIF(Listrik!X32,"&gt;0")</f>
        <v>42685.959999999992</v>
      </c>
      <c r="J46" s="139">
        <f>+I46+'24'!J46</f>
        <v>709299.94240000029</v>
      </c>
      <c r="K46" s="134" t="s">
        <v>90</v>
      </c>
    </row>
    <row r="47" spans="1:26" ht="17.45" customHeight="1">
      <c r="A47" s="799" t="s">
        <v>91</v>
      </c>
      <c r="B47" s="800"/>
      <c r="C47" s="168">
        <f>SUMIF($G$7:$G$31,"Gas",$F$7:$F$31)</f>
        <v>0</v>
      </c>
      <c r="D47" s="122">
        <f>C47+'24'!D47</f>
        <v>0</v>
      </c>
      <c r="E47" s="147">
        <f t="shared" si="14"/>
        <v>0</v>
      </c>
      <c r="F47" s="311"/>
      <c r="G47" s="312"/>
      <c r="H47" s="190" t="s">
        <v>92</v>
      </c>
      <c r="I47" s="122">
        <f>I46/I38</f>
        <v>1422.0121260576984</v>
      </c>
      <c r="J47" s="139">
        <f>J46/J38</f>
        <v>969.38230730228008</v>
      </c>
      <c r="K47" s="134" t="s">
        <v>24</v>
      </c>
    </row>
    <row r="48" spans="1:26" ht="17.45" customHeight="1">
      <c r="A48" s="799" t="s">
        <v>14</v>
      </c>
      <c r="B48" s="800"/>
      <c r="C48" s="168">
        <f>SUMIF($G$7:$G$31,"Start Up",$F$7:$F$31)</f>
        <v>0</v>
      </c>
      <c r="D48" s="122">
        <f>C48+'24'!D48</f>
        <v>0</v>
      </c>
      <c r="E48" s="147">
        <f t="shared" si="14"/>
        <v>0</v>
      </c>
      <c r="F48" s="311"/>
      <c r="G48" s="312"/>
      <c r="H48" s="190" t="s">
        <v>93</v>
      </c>
      <c r="I48" s="122">
        <f>I46/I40</f>
        <v>1845.0814782796624</v>
      </c>
      <c r="J48" s="139">
        <f>J46/J40</f>
        <v>1038.7559273383365</v>
      </c>
      <c r="K48" s="134" t="s">
        <v>24</v>
      </c>
    </row>
    <row r="49" spans="1:11" ht="17.45" customHeight="1">
      <c r="A49" s="799" t="s">
        <v>20</v>
      </c>
      <c r="B49" s="800"/>
      <c r="C49" s="168">
        <f>SUMIF($G$7:$G$31,"Others",$F$7:$F$31)</f>
        <v>0</v>
      </c>
      <c r="D49" s="122">
        <f>C49+'24'!D49</f>
        <v>11885</v>
      </c>
      <c r="E49" s="147">
        <f t="shared" si="14"/>
        <v>198.08333333333334</v>
      </c>
      <c r="F49" s="187"/>
      <c r="H49" s="190" t="s">
        <v>279</v>
      </c>
      <c r="I49" s="122">
        <f>+Report1!T33</f>
        <v>3112.4447263271391</v>
      </c>
      <c r="J49" s="139">
        <f>+I49+'24'!J49</f>
        <v>68723.750095308729</v>
      </c>
      <c r="K49" s="134" t="s">
        <v>94</v>
      </c>
    </row>
    <row r="50" spans="1:11" ht="17.45" customHeight="1">
      <c r="A50" s="799" t="s">
        <v>19</v>
      </c>
      <c r="B50" s="800"/>
      <c r="C50" s="168">
        <f>SUMIF($G$7:$G$31,"Steam",$F$7:$F$31)</f>
        <v>0</v>
      </c>
      <c r="D50" s="122">
        <f>C50+'24'!D50</f>
        <v>0</v>
      </c>
      <c r="E50" s="147">
        <f t="shared" si="14"/>
        <v>0</v>
      </c>
      <c r="F50" s="187"/>
      <c r="H50" s="190" t="s">
        <v>95</v>
      </c>
      <c r="I50" s="144">
        <f>I49/I38</f>
        <v>103.68594597665198</v>
      </c>
      <c r="J50" s="137">
        <f>J49/J38</f>
        <v>93.923012609362985</v>
      </c>
      <c r="K50" s="134" t="s">
        <v>94</v>
      </c>
    </row>
    <row r="51" spans="1:11" ht="17.45" customHeight="1">
      <c r="A51" s="801" t="s">
        <v>96</v>
      </c>
      <c r="B51" s="801"/>
      <c r="C51" s="168">
        <f>SUMIF($G$7:$G$31,"Planned shut",$F$7:$F$31)</f>
        <v>0</v>
      </c>
      <c r="D51" s="122">
        <f>C51+'24'!D51</f>
        <v>0</v>
      </c>
      <c r="E51" s="147">
        <f t="shared" si="14"/>
        <v>0</v>
      </c>
      <c r="F51" s="187"/>
      <c r="H51" s="192" t="s">
        <v>97</v>
      </c>
      <c r="I51" s="145">
        <f>I49/I40</f>
        <v>134.53402750495522</v>
      </c>
      <c r="J51" s="140">
        <f>J49/J40</f>
        <v>100.6445912273353</v>
      </c>
      <c r="K51" s="141" t="s">
        <v>94</v>
      </c>
    </row>
    <row r="52" spans="1:11" ht="13.5" thickBot="1">
      <c r="A52" s="802" t="s">
        <v>229</v>
      </c>
      <c r="B52" s="803"/>
      <c r="C52" s="168">
        <f>SUMIF($G$7:$G$31,"Change Grade",$F$7:$F$31)</f>
        <v>0</v>
      </c>
      <c r="D52" s="122">
        <f>C52+'24'!D52</f>
        <v>0</v>
      </c>
      <c r="E52" s="147">
        <f t="shared" si="14"/>
        <v>0</v>
      </c>
      <c r="F52" s="187"/>
      <c r="H52" s="193"/>
      <c r="I52" s="194"/>
      <c r="J52" s="142"/>
      <c r="K52" s="143"/>
    </row>
    <row r="53" spans="1:11">
      <c r="A53" s="797" t="s">
        <v>28</v>
      </c>
      <c r="B53" s="798"/>
      <c r="C53" s="148">
        <f>SUM(C38:C52)</f>
        <v>198</v>
      </c>
      <c r="D53" s="148">
        <f>SUM(D38:D52)</f>
        <v>13350</v>
      </c>
      <c r="E53" s="149">
        <f>SUM(E38:E52)</f>
        <v>222.5</v>
      </c>
      <c r="F53" s="187"/>
    </row>
    <row r="54" spans="1:11" ht="13.5" thickBot="1">
      <c r="A54" s="795"/>
      <c r="B54" s="796"/>
      <c r="C54" s="150">
        <f>C53/(24*60)</f>
        <v>0.13750000000000001</v>
      </c>
      <c r="D54" s="150">
        <f>D53/(24*60*G4)</f>
        <v>0.37083333333333335</v>
      </c>
      <c r="E54" s="151">
        <f>E53/(G4*24)</f>
        <v>0.37083333333333335</v>
      </c>
      <c r="F54" s="187"/>
    </row>
    <row r="55" spans="1:11">
      <c r="E55" s="195"/>
    </row>
    <row r="56" spans="1:11">
      <c r="A56" s="196" t="s">
        <v>98</v>
      </c>
      <c r="B56" s="197"/>
      <c r="C56" s="198"/>
      <c r="D56" s="198"/>
      <c r="E56" s="198"/>
      <c r="F56" s="199"/>
      <c r="G56" s="198"/>
      <c r="H56" s="200"/>
      <c r="I56" s="201" t="s">
        <v>99</v>
      </c>
      <c r="J56" s="202">
        <f>+D34+'24'!J56</f>
        <v>3552</v>
      </c>
      <c r="K56" s="203">
        <f>J56/(J40+J56/1000)/1000</f>
        <v>5.1749156453784152E-3</v>
      </c>
    </row>
    <row r="57" spans="1:11">
      <c r="A57" s="178"/>
      <c r="I57" s="201" t="s">
        <v>100</v>
      </c>
      <c r="J57" s="202">
        <f>+E34+'24'!J57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13" zoomScale="80" zoomScaleNormal="80"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3.570312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24</v>
      </c>
      <c r="H4" s="158" t="str">
        <f>+'1'!H4</f>
        <v>.10.25</v>
      </c>
      <c r="J4" s="153">
        <f>384+332+423</f>
        <v>1139</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1100</v>
      </c>
      <c r="P6" s="153">
        <f>+O6-O6*0.23</f>
        <v>847</v>
      </c>
      <c r="Q6" s="153">
        <f>60*2+55</f>
        <v>175</v>
      </c>
      <c r="R6" s="153">
        <f>+O6*Q6</f>
        <v>192500</v>
      </c>
      <c r="S6" s="153">
        <f>+P6*Q6</f>
        <v>148225</v>
      </c>
      <c r="U6" s="153" t="s">
        <v>685</v>
      </c>
      <c r="V6" s="153">
        <v>1100</v>
      </c>
      <c r="W6" s="153">
        <v>825</v>
      </c>
      <c r="X6" s="153">
        <v>175</v>
      </c>
      <c r="Y6" s="153">
        <f>+V6*X6</f>
        <v>192500</v>
      </c>
      <c r="Z6" s="153">
        <f>+W6*X6</f>
        <v>144375</v>
      </c>
    </row>
    <row r="7" spans="1:26" ht="13.5" thickBot="1">
      <c r="A7" s="804"/>
      <c r="B7" s="217" t="s">
        <v>471</v>
      </c>
      <c r="C7" s="218">
        <v>10273</v>
      </c>
      <c r="D7" s="219"/>
      <c r="E7" s="220"/>
      <c r="F7" s="235"/>
      <c r="G7" s="582" t="s">
        <v>12</v>
      </c>
      <c r="H7" s="583" t="s">
        <v>418</v>
      </c>
      <c r="I7" s="807" t="s">
        <v>688</v>
      </c>
      <c r="J7" s="216" t="str">
        <f>+'23'!J7</f>
        <v>TW 17 RC HW</v>
      </c>
      <c r="K7" s="237"/>
      <c r="L7" s="241"/>
      <c r="M7" s="121">
        <f>+K7+'23'!M7+L7</f>
        <v>3364</v>
      </c>
      <c r="N7" s="153" t="s">
        <v>653</v>
      </c>
      <c r="O7" s="153">
        <v>1350</v>
      </c>
      <c r="P7" s="153">
        <f>+O7-O7*0.25</f>
        <v>1012.5</v>
      </c>
      <c r="Q7" s="153">
        <f>60-55+120+5</f>
        <v>130</v>
      </c>
      <c r="R7" s="153">
        <f t="shared" ref="R7:R10" si="0">+O7*Q7</f>
        <v>175500</v>
      </c>
      <c r="S7" s="153">
        <f t="shared" ref="S7:S10" si="1">+P7*Q7</f>
        <v>131625</v>
      </c>
      <c r="U7" s="153" t="s">
        <v>685</v>
      </c>
      <c r="V7" s="153">
        <v>1100</v>
      </c>
      <c r="W7" s="153">
        <v>814</v>
      </c>
      <c r="X7" s="153">
        <v>50</v>
      </c>
      <c r="Y7" s="153">
        <f t="shared" ref="Y7:Y10" si="2">+V7*X7</f>
        <v>55000</v>
      </c>
      <c r="Z7" s="153">
        <f t="shared" ref="Z7:Z10" si="3">+W7*X7</f>
        <v>40700</v>
      </c>
    </row>
    <row r="8" spans="1:26" ht="13.5" thickBot="1">
      <c r="A8" s="805"/>
      <c r="B8" s="217"/>
      <c r="C8" s="218"/>
      <c r="D8" s="219"/>
      <c r="E8" s="221"/>
      <c r="F8" s="231">
        <v>2</v>
      </c>
      <c r="G8" s="584" t="s">
        <v>12</v>
      </c>
      <c r="H8" s="230" t="s">
        <v>571</v>
      </c>
      <c r="I8" s="808"/>
      <c r="J8" s="216" t="str">
        <f>+'23'!J8</f>
        <v>T 14 VP OW</v>
      </c>
      <c r="K8" s="238"/>
      <c r="L8" s="238"/>
      <c r="M8" s="121">
        <f>+K8+'23'!M8+L8</f>
        <v>23832</v>
      </c>
      <c r="N8" s="153" t="s">
        <v>685</v>
      </c>
      <c r="O8" s="153">
        <v>1100</v>
      </c>
      <c r="P8" s="153">
        <f>+O8-O8*0.25</f>
        <v>825</v>
      </c>
      <c r="Q8" s="153">
        <f>480-Q6-Q7</f>
        <v>175</v>
      </c>
      <c r="R8" s="153">
        <f t="shared" si="0"/>
        <v>192500</v>
      </c>
      <c r="S8" s="153">
        <f t="shared" si="1"/>
        <v>144375</v>
      </c>
      <c r="W8" s="153">
        <f>+V8-V8*0.25</f>
        <v>0</v>
      </c>
      <c r="Y8" s="153">
        <f t="shared" si="2"/>
        <v>0</v>
      </c>
      <c r="Z8" s="153">
        <f t="shared" si="3"/>
        <v>0</v>
      </c>
    </row>
    <row r="9" spans="1:26" ht="13.5" thickBot="1">
      <c r="A9" s="805"/>
      <c r="B9" s="217"/>
      <c r="C9" s="218"/>
      <c r="D9" s="219"/>
      <c r="E9" s="222"/>
      <c r="F9" s="231">
        <v>18</v>
      </c>
      <c r="G9" s="584" t="s">
        <v>12</v>
      </c>
      <c r="H9" s="233" t="s">
        <v>528</v>
      </c>
      <c r="I9" s="808"/>
      <c r="J9" s="216" t="str">
        <f>+'23'!J9</f>
        <v>T 14,5 VP OW</v>
      </c>
      <c r="K9" s="238">
        <f>+C7+C16</f>
        <v>10913</v>
      </c>
      <c r="L9" s="238"/>
      <c r="M9" s="121">
        <f>+K9+'23'!M9+L9</f>
        <v>224658</v>
      </c>
      <c r="R9" s="153">
        <f t="shared" si="0"/>
        <v>0</v>
      </c>
      <c r="S9" s="153">
        <f t="shared" si="1"/>
        <v>0</v>
      </c>
      <c r="Y9" s="153">
        <f t="shared" si="2"/>
        <v>0</v>
      </c>
      <c r="Z9" s="153">
        <f t="shared" si="3"/>
        <v>0</v>
      </c>
    </row>
    <row r="10" spans="1:26" ht="102.75" thickBot="1">
      <c r="A10" s="805"/>
      <c r="B10" s="217"/>
      <c r="C10" s="218"/>
      <c r="D10" s="219"/>
      <c r="E10" s="221"/>
      <c r="F10" s="231"/>
      <c r="G10" s="229"/>
      <c r="H10" s="233" t="s">
        <v>683</v>
      </c>
      <c r="I10" s="808"/>
      <c r="J10" s="216" t="str">
        <f>+'23'!J10</f>
        <v>T 13,5 VP OW</v>
      </c>
      <c r="K10" s="238"/>
      <c r="L10" s="238"/>
      <c r="M10" s="121">
        <f>+K10+'23'!M10+L10</f>
        <v>39850</v>
      </c>
      <c r="R10" s="153">
        <f t="shared" si="0"/>
        <v>0</v>
      </c>
      <c r="S10" s="153">
        <f t="shared" si="1"/>
        <v>0</v>
      </c>
      <c r="Y10" s="153">
        <f t="shared" si="2"/>
        <v>0</v>
      </c>
      <c r="Z10" s="153">
        <f t="shared" si="3"/>
        <v>0</v>
      </c>
    </row>
    <row r="11" spans="1:26" ht="77.25" thickBot="1">
      <c r="A11" s="805"/>
      <c r="B11" s="217"/>
      <c r="C11" s="218"/>
      <c r="D11" s="219"/>
      <c r="E11" s="221"/>
      <c r="F11" s="228">
        <v>40</v>
      </c>
      <c r="G11" s="232" t="s">
        <v>20</v>
      </c>
      <c r="H11" s="233" t="s">
        <v>684</v>
      </c>
      <c r="I11" s="808"/>
      <c r="J11" s="216" t="str">
        <f>+'23'!J11</f>
        <v>T 16,5 VP OW</v>
      </c>
      <c r="K11" s="238"/>
      <c r="L11" s="238"/>
      <c r="M11" s="121">
        <f>+K11+'23'!M11+L11</f>
        <v>9927</v>
      </c>
      <c r="P11" s="153">
        <f t="shared" ref="P11" si="4">+O11-O11*0.17</f>
        <v>0</v>
      </c>
      <c r="W11" s="153">
        <f t="shared" ref="W11" si="5">+V11-V11*0.17</f>
        <v>0</v>
      </c>
    </row>
    <row r="12" spans="1:26" ht="13.5" thickBot="1">
      <c r="A12" s="805"/>
      <c r="B12" s="217"/>
      <c r="C12" s="218"/>
      <c r="D12" s="219"/>
      <c r="E12" s="221"/>
      <c r="F12" s="228"/>
      <c r="G12" s="232"/>
      <c r="H12" s="233"/>
      <c r="I12" s="808"/>
      <c r="J12" s="216" t="str">
        <f>+'23'!J12</f>
        <v>T 12,5 VP OW</v>
      </c>
      <c r="K12" s="238"/>
      <c r="L12" s="238"/>
      <c r="M12" s="121">
        <f>+K12+'23'!M12+L12</f>
        <v>41367</v>
      </c>
      <c r="Q12" s="153">
        <f>SUM(Q6:Q10)</f>
        <v>480</v>
      </c>
      <c r="R12" s="153">
        <f>SUM(R6:R10)</f>
        <v>560500</v>
      </c>
      <c r="S12" s="153">
        <f>SUM(S6:S10)</f>
        <v>424225</v>
      </c>
      <c r="X12" s="153">
        <f>SUM(X6:X10)</f>
        <v>225</v>
      </c>
      <c r="Y12" s="153">
        <f>SUM(Y6:Y10)</f>
        <v>247500</v>
      </c>
      <c r="Z12" s="153">
        <f>SUM(Z6:Z10)</f>
        <v>185075</v>
      </c>
    </row>
    <row r="13" spans="1:26" ht="13.5" thickBot="1">
      <c r="A13" s="805"/>
      <c r="B13" s="217"/>
      <c r="C13" s="218"/>
      <c r="D13" s="218"/>
      <c r="E13" s="221"/>
      <c r="F13" s="228"/>
      <c r="G13" s="232"/>
      <c r="H13" s="233"/>
      <c r="I13" s="809"/>
      <c r="J13" s="216" t="str">
        <f>+'23'!J13</f>
        <v>TW 18 VP OW</v>
      </c>
      <c r="K13" s="238"/>
      <c r="L13" s="238"/>
      <c r="M13" s="121">
        <f>+K13+'23'!M13+L13</f>
        <v>234646</v>
      </c>
      <c r="N13" s="153" t="s">
        <v>421</v>
      </c>
      <c r="Q13" s="153">
        <f>480-Q12</f>
        <v>0</v>
      </c>
      <c r="R13" s="153">
        <f>+R12/Q12</f>
        <v>1167.7083333333333</v>
      </c>
      <c r="S13" s="153">
        <f>+S12/Q12</f>
        <v>883.80208333333337</v>
      </c>
      <c r="U13" s="153" t="s">
        <v>421</v>
      </c>
      <c r="X13" s="153">
        <f>480-X12</f>
        <v>255</v>
      </c>
      <c r="Y13" s="153">
        <f>+Y12/X12</f>
        <v>1100</v>
      </c>
      <c r="Z13" s="153">
        <f>+Z12/X12</f>
        <v>822.55555555555554</v>
      </c>
    </row>
    <row r="14" spans="1:26" ht="13.5" thickBot="1">
      <c r="A14" s="806"/>
      <c r="B14" s="169" t="s">
        <v>3</v>
      </c>
      <c r="C14" s="103">
        <f>SUM(C7:C13)</f>
        <v>10273</v>
      </c>
      <c r="D14" s="115">
        <f>SUM(D7:D13)</f>
        <v>0</v>
      </c>
      <c r="E14" s="116">
        <f>SUM(E5:E13)</f>
        <v>0</v>
      </c>
      <c r="F14" s="120">
        <f>SUM(F7:F13)</f>
        <v>60</v>
      </c>
      <c r="G14" s="163"/>
      <c r="H14" s="170"/>
      <c r="I14" s="171"/>
      <c r="J14" s="216" t="str">
        <f>+'23'!J14</f>
        <v>F 15 VP OW</v>
      </c>
      <c r="K14" s="238"/>
      <c r="L14" s="238"/>
      <c r="M14" s="121">
        <f>+K14+'23'!M14+L14</f>
        <v>5496</v>
      </c>
    </row>
    <row r="15" spans="1:26" ht="13.5" thickBot="1">
      <c r="A15" s="810"/>
      <c r="B15" s="528"/>
      <c r="C15" s="117">
        <f>C14/($C$23+$D$23+$E$23)</f>
        <v>0.71494188878836384</v>
      </c>
      <c r="D15" s="118">
        <f>D14/($C$23+$D$23+$E$23)</f>
        <v>0</v>
      </c>
      <c r="E15" s="119">
        <f>E14/($C$23+$D$23+$E$23)</f>
        <v>0</v>
      </c>
      <c r="F15" s="235"/>
      <c r="G15" s="582" t="s">
        <v>12</v>
      </c>
      <c r="H15" s="583" t="s">
        <v>418</v>
      </c>
      <c r="I15" s="807" t="s">
        <v>687</v>
      </c>
      <c r="J15" s="216" t="str">
        <f>+'23'!J15</f>
        <v>T 12 VP OW</v>
      </c>
      <c r="K15" s="238"/>
      <c r="L15" s="238"/>
      <c r="M15" s="121">
        <f>+K15+'23'!M15+L15</f>
        <v>37386</v>
      </c>
      <c r="N15" s="153" t="s">
        <v>685</v>
      </c>
      <c r="O15" s="153">
        <v>1100</v>
      </c>
      <c r="P15" s="153">
        <f>+O15-O15*0.26</f>
        <v>814</v>
      </c>
      <c r="Q15" s="153">
        <v>50</v>
      </c>
      <c r="R15" s="153">
        <f>+O15*Q15</f>
        <v>55000</v>
      </c>
      <c r="S15" s="153">
        <f>+P15*Q15</f>
        <v>40700</v>
      </c>
    </row>
    <row r="16" spans="1:26" ht="13.5" thickBot="1">
      <c r="A16" s="805"/>
      <c r="B16" s="527" t="s">
        <v>471</v>
      </c>
      <c r="C16" s="526">
        <v>640</v>
      </c>
      <c r="D16" s="223"/>
      <c r="E16" s="224"/>
      <c r="F16" s="231"/>
      <c r="G16" s="584" t="s">
        <v>12</v>
      </c>
      <c r="H16" s="230" t="s">
        <v>419</v>
      </c>
      <c r="I16" s="808"/>
      <c r="J16" s="216" t="str">
        <f>+'23'!J16</f>
        <v>T 13 VP OW</v>
      </c>
      <c r="K16" s="229"/>
      <c r="L16" s="229"/>
      <c r="M16" s="121">
        <f>+K16+'23'!M16+L16</f>
        <v>11528</v>
      </c>
      <c r="N16" s="153" t="s">
        <v>653</v>
      </c>
      <c r="O16" s="153">
        <v>1350</v>
      </c>
      <c r="P16" s="153">
        <f>+O16-O16*0.25</f>
        <v>1012.5</v>
      </c>
      <c r="Q16" s="153">
        <f>480-Q15</f>
        <v>430</v>
      </c>
      <c r="R16" s="153">
        <f t="shared" ref="R16:R19" si="6">+O16*Q16</f>
        <v>580500</v>
      </c>
      <c r="S16" s="153">
        <f t="shared" ref="S16:S19" si="7">+P16*Q16</f>
        <v>435375</v>
      </c>
    </row>
    <row r="17" spans="1:26" ht="13.5" thickBot="1">
      <c r="A17" s="805"/>
      <c r="B17" s="217" t="s">
        <v>694</v>
      </c>
      <c r="C17" s="218">
        <f>3916+4488</f>
        <v>8404</v>
      </c>
      <c r="D17" s="219"/>
      <c r="E17" s="225"/>
      <c r="F17" s="231">
        <v>9</v>
      </c>
      <c r="G17" s="584" t="s">
        <v>12</v>
      </c>
      <c r="H17" s="233" t="s">
        <v>484</v>
      </c>
      <c r="I17" s="808"/>
      <c r="J17" s="216" t="s">
        <v>694</v>
      </c>
      <c r="K17" s="229">
        <f>+C17+C25</f>
        <v>22322</v>
      </c>
      <c r="L17" s="229"/>
      <c r="M17" s="121">
        <f>+K17+'23'!M17+L17</f>
        <v>22322</v>
      </c>
      <c r="P17" s="153">
        <f>+O17-O17*0.25</f>
        <v>0</v>
      </c>
      <c r="Q17" s="153">
        <f>480-Q15-Q16</f>
        <v>0</v>
      </c>
      <c r="R17" s="153">
        <f t="shared" si="6"/>
        <v>0</v>
      </c>
      <c r="S17" s="153">
        <f t="shared" si="7"/>
        <v>0</v>
      </c>
    </row>
    <row r="18" spans="1:26" ht="90" thickBot="1">
      <c r="A18" s="805"/>
      <c r="B18" s="217" t="s">
        <v>695</v>
      </c>
      <c r="C18" s="218">
        <v>5325</v>
      </c>
      <c r="D18" s="219"/>
      <c r="E18" s="225"/>
      <c r="F18" s="231"/>
      <c r="G18" s="229"/>
      <c r="H18" s="233" t="s">
        <v>681</v>
      </c>
      <c r="I18" s="808"/>
      <c r="J18" s="216" t="s">
        <v>695</v>
      </c>
      <c r="K18" s="238">
        <f>+C18</f>
        <v>5325</v>
      </c>
      <c r="L18" s="238"/>
      <c r="M18" s="121">
        <f>+K18+'23'!M18+L18</f>
        <v>5325</v>
      </c>
      <c r="R18" s="153">
        <f t="shared" si="6"/>
        <v>0</v>
      </c>
      <c r="S18" s="153">
        <f t="shared" si="7"/>
        <v>0</v>
      </c>
    </row>
    <row r="19" spans="1:26" ht="145.5" customHeight="1" thickBot="1">
      <c r="A19" s="805"/>
      <c r="B19" s="217"/>
      <c r="C19" s="218"/>
      <c r="D19" s="219"/>
      <c r="E19" s="225"/>
      <c r="F19" s="234"/>
      <c r="G19" s="232"/>
      <c r="H19" s="233" t="s">
        <v>682</v>
      </c>
      <c r="I19" s="808"/>
      <c r="J19" s="216">
        <f>+'23'!J19</f>
        <v>0</v>
      </c>
      <c r="K19" s="238"/>
      <c r="L19" s="238"/>
      <c r="M19" s="121">
        <f>+K19+'23'!M19+L19</f>
        <v>0</v>
      </c>
      <c r="R19" s="153">
        <f t="shared" si="6"/>
        <v>0</v>
      </c>
      <c r="S19" s="153">
        <f t="shared" si="7"/>
        <v>0</v>
      </c>
    </row>
    <row r="20" spans="1:26" ht="13.5" thickBot="1">
      <c r="A20" s="805"/>
      <c r="B20" s="217"/>
      <c r="C20" s="218"/>
      <c r="D20" s="219"/>
      <c r="E20" s="225"/>
      <c r="F20" s="228"/>
      <c r="G20" s="232"/>
      <c r="H20" s="233"/>
      <c r="I20" s="808"/>
      <c r="J20" s="216">
        <f>+'23'!J20</f>
        <v>0</v>
      </c>
      <c r="K20" s="239"/>
      <c r="L20" s="239"/>
      <c r="M20" s="121">
        <f>+K20+'23'!M20+L20</f>
        <v>0</v>
      </c>
      <c r="P20" s="153">
        <f t="shared" ref="P20" si="8">+O20-O20*0.17</f>
        <v>0</v>
      </c>
    </row>
    <row r="21" spans="1:26" ht="13.5" thickBot="1">
      <c r="A21" s="805"/>
      <c r="B21" s="217"/>
      <c r="C21" s="218"/>
      <c r="D21" s="219"/>
      <c r="E21" s="225"/>
      <c r="F21" s="231"/>
      <c r="G21" s="232"/>
      <c r="H21" s="233"/>
      <c r="I21" s="808"/>
      <c r="J21" s="216">
        <f>+'23'!J21</f>
        <v>0</v>
      </c>
      <c r="K21" s="238"/>
      <c r="L21" s="238"/>
      <c r="M21" s="121">
        <f>+K21+'23'!M21+L21</f>
        <v>0</v>
      </c>
      <c r="Q21" s="153">
        <f>SUM(Q15:Q19)</f>
        <v>480</v>
      </c>
      <c r="R21" s="153">
        <f>SUM(R15:R19)</f>
        <v>635500</v>
      </c>
      <c r="S21" s="153">
        <f>SUM(S15:S19)</f>
        <v>476075</v>
      </c>
    </row>
    <row r="22" spans="1:26" ht="13.5" thickBot="1">
      <c r="A22" s="805"/>
      <c r="B22" s="217"/>
      <c r="C22" s="218"/>
      <c r="D22" s="219"/>
      <c r="E22" s="225"/>
      <c r="F22" s="235"/>
      <c r="G22" s="232"/>
      <c r="H22" s="233"/>
      <c r="I22" s="809"/>
      <c r="J22" s="216">
        <f>+'23'!J22</f>
        <v>0</v>
      </c>
      <c r="K22" s="238"/>
      <c r="L22" s="238"/>
      <c r="M22" s="121">
        <f>+K22+'23'!M22+L22</f>
        <v>0</v>
      </c>
      <c r="N22" s="153" t="s">
        <v>421</v>
      </c>
      <c r="Q22" s="153">
        <f>480-Q21</f>
        <v>0</v>
      </c>
      <c r="R22" s="153">
        <f>+R21/Q21</f>
        <v>1323.9583333333333</v>
      </c>
      <c r="S22" s="153">
        <f>+S21/Q21</f>
        <v>991.82291666666663</v>
      </c>
    </row>
    <row r="23" spans="1:26" ht="13.5" thickBot="1">
      <c r="A23" s="806"/>
      <c r="B23" s="169" t="s">
        <v>3</v>
      </c>
      <c r="C23" s="103">
        <f>SUM(C16:C22)</f>
        <v>14369</v>
      </c>
      <c r="D23" s="115">
        <f>SUM(D16:D22)</f>
        <v>0</v>
      </c>
      <c r="E23" s="116">
        <f>SUM(E18:E22)</f>
        <v>0</v>
      </c>
      <c r="F23" s="120">
        <f>SUM(F15:F22)</f>
        <v>9</v>
      </c>
      <c r="G23" s="163"/>
      <c r="H23" s="170"/>
      <c r="I23" s="172"/>
      <c r="J23" s="216">
        <f>+'23'!J23</f>
        <v>0</v>
      </c>
      <c r="K23" s="238"/>
      <c r="L23" s="238"/>
      <c r="M23" s="121">
        <f>+K23+'23'!M23+L23</f>
        <v>0</v>
      </c>
    </row>
    <row r="24" spans="1:26" ht="13.5" thickBot="1">
      <c r="A24" s="810"/>
      <c r="B24" s="528"/>
      <c r="C24" s="117">
        <f>C23/($C$23+$D$23+$E$23)</f>
        <v>1</v>
      </c>
      <c r="D24" s="118">
        <f>D23/($C$23+$D$23+$E$23)</f>
        <v>0</v>
      </c>
      <c r="E24" s="119">
        <f>E23/($C$23+$D$23+$E$23)</f>
        <v>0</v>
      </c>
      <c r="F24" s="235">
        <v>9</v>
      </c>
      <c r="G24" s="582" t="s">
        <v>12</v>
      </c>
      <c r="H24" s="583" t="s">
        <v>400</v>
      </c>
      <c r="I24" s="807" t="s">
        <v>656</v>
      </c>
      <c r="J24" s="216">
        <f>+'23'!J24</f>
        <v>0</v>
      </c>
      <c r="K24" s="238"/>
      <c r="L24" s="238"/>
      <c r="M24" s="121">
        <f>+K24+'23'!M24+L24</f>
        <v>0</v>
      </c>
      <c r="N24" s="153" t="s">
        <v>653</v>
      </c>
      <c r="O24" s="153">
        <v>1350</v>
      </c>
      <c r="P24" s="153">
        <f>+O24-O24*0.26</f>
        <v>999</v>
      </c>
      <c r="Q24" s="153">
        <f>480-Q23</f>
        <v>480</v>
      </c>
      <c r="R24" s="153">
        <f>+O24*Q24</f>
        <v>648000</v>
      </c>
      <c r="S24" s="153">
        <f>+P24*Q24</f>
        <v>479520</v>
      </c>
      <c r="U24" s="153" t="s">
        <v>653</v>
      </c>
      <c r="V24" s="153">
        <v>1350</v>
      </c>
      <c r="W24" s="153">
        <v>1012.5</v>
      </c>
      <c r="X24" s="153">
        <v>130</v>
      </c>
      <c r="Y24" s="153">
        <f>+V24*X24</f>
        <v>175500</v>
      </c>
      <c r="Z24" s="153">
        <f>+W24*X24</f>
        <v>131625</v>
      </c>
    </row>
    <row r="25" spans="1:26" ht="13.5" thickBot="1">
      <c r="A25" s="805"/>
      <c r="B25" s="527" t="s">
        <v>694</v>
      </c>
      <c r="C25" s="226">
        <v>13918</v>
      </c>
      <c r="D25" s="219"/>
      <c r="E25" s="225"/>
      <c r="F25" s="231"/>
      <c r="G25" s="584" t="s">
        <v>12</v>
      </c>
      <c r="H25" s="230" t="s">
        <v>419</v>
      </c>
      <c r="I25" s="808"/>
      <c r="J25" s="216">
        <f>+'23'!J25</f>
        <v>0</v>
      </c>
      <c r="K25" s="238"/>
      <c r="L25" s="238"/>
      <c r="M25" s="121">
        <f>+K25+'23'!M25+L25</f>
        <v>0</v>
      </c>
      <c r="Q25" s="153">
        <f>480-Q24</f>
        <v>0</v>
      </c>
      <c r="R25" s="153">
        <f t="shared" ref="R25:R28" si="9">+O25*Q25</f>
        <v>0</v>
      </c>
      <c r="S25" s="153">
        <f t="shared" ref="S25:S28" si="10">+P25*Q25</f>
        <v>0</v>
      </c>
      <c r="U25" s="153" t="s">
        <v>653</v>
      </c>
      <c r="V25" s="153">
        <v>1350</v>
      </c>
      <c r="W25" s="153">
        <v>1012.5</v>
      </c>
      <c r="X25" s="153">
        <v>430</v>
      </c>
      <c r="Y25" s="153">
        <f t="shared" ref="Y25:Y28" si="11">+V25*X25</f>
        <v>580500</v>
      </c>
      <c r="Z25" s="153">
        <f t="shared" ref="Z25:Z28" si="12">+W25*X25</f>
        <v>435375</v>
      </c>
    </row>
    <row r="26" spans="1:26" ht="13.5" thickBot="1">
      <c r="A26" s="805"/>
      <c r="B26" s="217"/>
      <c r="C26" s="226"/>
      <c r="D26" s="219"/>
      <c r="E26" s="227"/>
      <c r="F26" s="231">
        <v>11</v>
      </c>
      <c r="G26" s="584" t="s">
        <v>12</v>
      </c>
      <c r="H26" s="233" t="s">
        <v>399</v>
      </c>
      <c r="I26" s="808"/>
      <c r="J26" s="216">
        <f>+'23'!J26</f>
        <v>0</v>
      </c>
      <c r="K26" s="238"/>
      <c r="L26" s="238"/>
      <c r="M26" s="121">
        <f>+K26+'23'!M26+L26</f>
        <v>0</v>
      </c>
      <c r="P26" s="153">
        <f>+O26-O26*0.25</f>
        <v>0</v>
      </c>
      <c r="Q26" s="153">
        <f>480-Q24-Q25</f>
        <v>0</v>
      </c>
      <c r="R26" s="153">
        <f t="shared" si="9"/>
        <v>0</v>
      </c>
      <c r="S26" s="153">
        <f t="shared" si="10"/>
        <v>0</v>
      </c>
      <c r="U26" s="153" t="s">
        <v>653</v>
      </c>
      <c r="V26" s="153">
        <v>1350</v>
      </c>
      <c r="W26" s="153">
        <v>999</v>
      </c>
      <c r="X26" s="153">
        <v>480</v>
      </c>
      <c r="Y26" s="153">
        <f t="shared" si="11"/>
        <v>648000</v>
      </c>
      <c r="Z26" s="153">
        <f t="shared" si="12"/>
        <v>479520</v>
      </c>
    </row>
    <row r="27" spans="1:26" ht="64.5" thickBot="1">
      <c r="A27" s="805"/>
      <c r="B27" s="217"/>
      <c r="C27" s="218"/>
      <c r="D27" s="219"/>
      <c r="E27" s="225"/>
      <c r="F27" s="231"/>
      <c r="G27" s="229"/>
      <c r="H27" s="233" t="s">
        <v>686</v>
      </c>
      <c r="I27" s="808"/>
      <c r="J27" s="216">
        <f>+'23'!J27</f>
        <v>0</v>
      </c>
      <c r="K27" s="238"/>
      <c r="L27" s="238"/>
      <c r="M27" s="121">
        <f>+K27+'23'!M27+L27</f>
        <v>0</v>
      </c>
      <c r="R27" s="153">
        <f t="shared" si="9"/>
        <v>0</v>
      </c>
      <c r="S27" s="153">
        <f t="shared" si="10"/>
        <v>0</v>
      </c>
      <c r="Y27" s="153">
        <f t="shared" si="11"/>
        <v>0</v>
      </c>
      <c r="Z27" s="153">
        <f t="shared" si="12"/>
        <v>0</v>
      </c>
    </row>
    <row r="28" spans="1:26" ht="39" thickBot="1">
      <c r="A28" s="805"/>
      <c r="B28" s="217"/>
      <c r="C28" s="218"/>
      <c r="D28" s="219"/>
      <c r="E28" s="225"/>
      <c r="F28" s="231"/>
      <c r="G28" s="229"/>
      <c r="H28" s="233" t="s">
        <v>679</v>
      </c>
      <c r="I28" s="808"/>
      <c r="J28" s="216">
        <f>+'23'!J28</f>
        <v>0</v>
      </c>
      <c r="K28" s="238"/>
      <c r="L28" s="238"/>
      <c r="M28" s="121">
        <f>+K28+'23'!M28+L28</f>
        <v>0</v>
      </c>
      <c r="R28" s="153">
        <f t="shared" si="9"/>
        <v>0</v>
      </c>
      <c r="S28" s="153">
        <f t="shared" si="10"/>
        <v>0</v>
      </c>
      <c r="Y28" s="153">
        <f t="shared" si="11"/>
        <v>0</v>
      </c>
      <c r="Z28" s="153">
        <f t="shared" si="12"/>
        <v>0</v>
      </c>
    </row>
    <row r="29" spans="1:26" ht="64.5" thickBot="1">
      <c r="A29" s="805"/>
      <c r="B29" s="217"/>
      <c r="C29" s="218"/>
      <c r="D29" s="219"/>
      <c r="E29" s="225"/>
      <c r="F29" s="235"/>
      <c r="G29" s="232"/>
      <c r="H29" s="233" t="s">
        <v>680</v>
      </c>
      <c r="I29" s="808"/>
      <c r="J29" s="216">
        <f>+'23'!J29</f>
        <v>0</v>
      </c>
      <c r="K29" s="238"/>
      <c r="L29" s="238"/>
      <c r="M29" s="121">
        <f>+K29+'23'!M29+L29</f>
        <v>0</v>
      </c>
      <c r="P29" s="153">
        <f t="shared" ref="P29" si="13">+O29-O29*0.17</f>
        <v>0</v>
      </c>
      <c r="W29" s="153">
        <f t="shared" ref="W29" si="14">+V29-V29*0.17</f>
        <v>0</v>
      </c>
    </row>
    <row r="30" spans="1:26" ht="13.5" thickBot="1">
      <c r="A30" s="805"/>
      <c r="B30" s="217"/>
      <c r="C30" s="226"/>
      <c r="D30" s="219"/>
      <c r="E30" s="225"/>
      <c r="F30" s="235"/>
      <c r="G30" s="232"/>
      <c r="H30" s="233"/>
      <c r="I30" s="808"/>
      <c r="J30" s="216">
        <f>+'23'!J30</f>
        <v>0</v>
      </c>
      <c r="K30" s="238"/>
      <c r="L30" s="238"/>
      <c r="M30" s="121">
        <f>+K30+'23'!M30+L30</f>
        <v>0</v>
      </c>
      <c r="Q30" s="153">
        <f>SUM(Q24:Q28)</f>
        <v>480</v>
      </c>
      <c r="R30" s="153">
        <f>SUM(R24:R28)</f>
        <v>648000</v>
      </c>
      <c r="S30" s="153">
        <f>SUM(S24:S28)</f>
        <v>479520</v>
      </c>
      <c r="X30" s="153">
        <f>SUM(X24:X28)</f>
        <v>1040</v>
      </c>
      <c r="Y30" s="153">
        <f>SUM(Y24:Y28)</f>
        <v>1404000</v>
      </c>
      <c r="Z30" s="153">
        <f>SUM(Z24:Z28)</f>
        <v>1046520</v>
      </c>
    </row>
    <row r="31" spans="1:26" ht="13.5" thickBot="1">
      <c r="A31" s="805"/>
      <c r="B31" s="217"/>
      <c r="C31" s="226"/>
      <c r="D31" s="219"/>
      <c r="E31" s="225"/>
      <c r="F31" s="235"/>
      <c r="G31" s="236"/>
      <c r="H31" s="413"/>
      <c r="I31" s="809"/>
      <c r="J31" s="216">
        <f>+'23'!J31</f>
        <v>0</v>
      </c>
      <c r="K31" s="238"/>
      <c r="L31" s="238"/>
      <c r="M31" s="121">
        <f>+K31+'23'!M31+L31</f>
        <v>0</v>
      </c>
      <c r="N31" s="153" t="s">
        <v>421</v>
      </c>
      <c r="Q31" s="153">
        <f>480-Q30</f>
        <v>0</v>
      </c>
      <c r="R31" s="153">
        <f>+R30/Q30</f>
        <v>1350</v>
      </c>
      <c r="S31" s="153">
        <f>+S30/Q30</f>
        <v>999</v>
      </c>
      <c r="U31" s="153" t="s">
        <v>421</v>
      </c>
      <c r="X31" s="153">
        <f>480-X30</f>
        <v>-560</v>
      </c>
      <c r="Y31" s="153">
        <f>+Y30/X30</f>
        <v>1350</v>
      </c>
      <c r="Z31" s="153">
        <f>+Z30/X30</f>
        <v>1006.2692307692307</v>
      </c>
    </row>
    <row r="32" spans="1:26" ht="13.5" thickBot="1">
      <c r="A32" s="806"/>
      <c r="B32" s="169" t="s">
        <v>3</v>
      </c>
      <c r="C32" s="103">
        <f>SUM(C25:C31)</f>
        <v>13918</v>
      </c>
      <c r="D32" s="104">
        <f>SUM(D25:D31)</f>
        <v>0</v>
      </c>
      <c r="E32" s="105">
        <f>SUM(E25:E31)</f>
        <v>0</v>
      </c>
      <c r="F32" s="103">
        <f>SUM(F24:F31)</f>
        <v>20</v>
      </c>
      <c r="G32" s="173"/>
      <c r="H32" s="174"/>
      <c r="I32" s="172"/>
      <c r="J32" s="216">
        <f>+'23'!J32</f>
        <v>0</v>
      </c>
      <c r="K32" s="240"/>
      <c r="L32" s="242"/>
      <c r="M32" s="121">
        <f>+K32+'23'!M32+L32</f>
        <v>0</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38560</v>
      </c>
      <c r="D34" s="111">
        <f>D14+D23+D32</f>
        <v>0</v>
      </c>
      <c r="E34" s="111">
        <f>E14+E23+E32</f>
        <v>0</v>
      </c>
      <c r="F34" s="112">
        <f>F14+F23+F32</f>
        <v>89</v>
      </c>
      <c r="H34" s="180"/>
      <c r="I34" s="180"/>
      <c r="J34" s="127" t="s">
        <v>28</v>
      </c>
      <c r="K34" s="128">
        <f>SUM(K7:K32)</f>
        <v>38560</v>
      </c>
      <c r="L34" s="214">
        <f>SUM(L7:L32)</f>
        <v>0</v>
      </c>
      <c r="M34" s="124">
        <f>SUM(M7:M32)</f>
        <v>659701</v>
      </c>
      <c r="N34" s="159" t="s">
        <v>453</v>
      </c>
      <c r="O34" s="153">
        <v>1100</v>
      </c>
      <c r="P34" s="153">
        <v>847</v>
      </c>
      <c r="Q34" s="153">
        <v>175</v>
      </c>
    </row>
    <row r="35" spans="1:17" ht="13.5" thickBot="1">
      <c r="A35" s="573"/>
      <c r="B35" s="182"/>
      <c r="C35" s="108">
        <f>C34/($C$34+$D$34+$E$34)</f>
        <v>1</v>
      </c>
      <c r="D35" s="108">
        <f>D34/($C$34+$D$34+$E$34)</f>
        <v>0</v>
      </c>
      <c r="E35" s="113">
        <f>E34/($C$34+$D$34+$E$34)</f>
        <v>0</v>
      </c>
      <c r="H35" s="153" t="s">
        <v>0</v>
      </c>
      <c r="K35" s="159"/>
      <c r="N35" s="153" t="s">
        <v>653</v>
      </c>
      <c r="O35" s="153">
        <v>1350</v>
      </c>
      <c r="P35" s="153">
        <v>1006.2692307692307</v>
      </c>
      <c r="Q35" s="153">
        <v>1040</v>
      </c>
    </row>
    <row r="36" spans="1:17" ht="13.5" thickBot="1">
      <c r="A36" s="180"/>
      <c r="B36" s="180"/>
      <c r="C36" s="159"/>
      <c r="D36" s="159"/>
      <c r="E36" s="159"/>
      <c r="G36" s="159"/>
      <c r="H36" s="183"/>
      <c r="I36" s="166" t="s">
        <v>38</v>
      </c>
      <c r="J36" s="166" t="s">
        <v>39</v>
      </c>
      <c r="K36" s="184"/>
      <c r="N36" s="153" t="s">
        <v>685</v>
      </c>
      <c r="O36" s="153">
        <v>1100</v>
      </c>
      <c r="P36" s="153">
        <v>822.55555555555554</v>
      </c>
      <c r="Q36" s="153">
        <v>225</v>
      </c>
    </row>
    <row r="37" spans="1:17" ht="17.45" customHeight="1" thickBot="1">
      <c r="A37" s="813" t="s">
        <v>70</v>
      </c>
      <c r="B37" s="814"/>
      <c r="C37" s="166" t="s">
        <v>71</v>
      </c>
      <c r="D37" s="185" t="s">
        <v>72</v>
      </c>
      <c r="E37" s="186" t="s">
        <v>73</v>
      </c>
      <c r="F37" s="311"/>
      <c r="G37" s="313"/>
      <c r="H37" s="188" t="s">
        <v>74</v>
      </c>
      <c r="I37" s="243">
        <f>(14.5*175+1040*12+16*225)/1440*G42*2.7*1440/1000000</f>
        <v>48.166497843750008</v>
      </c>
      <c r="J37" s="129">
        <f>+I37+'23'!J37</f>
        <v>798.85883755889188</v>
      </c>
      <c r="K37" s="130" t="s">
        <v>75</v>
      </c>
      <c r="Q37" s="153">
        <f>+Q34+Q35+Q36</f>
        <v>1440</v>
      </c>
    </row>
    <row r="38" spans="1:17" ht="17.45" customHeight="1">
      <c r="A38" s="797" t="s">
        <v>12</v>
      </c>
      <c r="B38" s="798"/>
      <c r="C38" s="168">
        <f>SUMIF($G$7:$G$31,"Process",$F$7:$F$31)</f>
        <v>49</v>
      </c>
      <c r="D38" s="122">
        <f>C38+'23'!D38</f>
        <v>1190</v>
      </c>
      <c r="E38" s="147">
        <f t="shared" ref="E38:E52" si="15">D38/60</f>
        <v>19.833333333333332</v>
      </c>
      <c r="F38" s="311">
        <v>1167.7083333333333</v>
      </c>
      <c r="G38" s="311">
        <v>883.80208333333337</v>
      </c>
      <c r="H38" s="189" t="s">
        <v>76</v>
      </c>
      <c r="I38" s="534">
        <f>14.179+12.296+13.451</f>
        <v>39.926000000000002</v>
      </c>
      <c r="J38" s="131">
        <f>+I38+'23'!J38</f>
        <v>701.68500000000006</v>
      </c>
      <c r="K38" s="132" t="s">
        <v>75</v>
      </c>
    </row>
    <row r="39" spans="1:17" ht="17.45" customHeight="1">
      <c r="A39" s="799" t="s">
        <v>13</v>
      </c>
      <c r="B39" s="800"/>
      <c r="C39" s="168">
        <f>SUMIF($G$7:$G$31,"Cleaning",$F$7:$F$31)</f>
        <v>0</v>
      </c>
      <c r="D39" s="122">
        <f>C39+'23'!D39</f>
        <v>0</v>
      </c>
      <c r="E39" s="147">
        <f t="shared" si="15"/>
        <v>0</v>
      </c>
      <c r="F39" s="311">
        <v>1323.9583333333333</v>
      </c>
      <c r="G39" s="311">
        <v>991.82291666666663</v>
      </c>
      <c r="H39" s="189" t="s">
        <v>77</v>
      </c>
      <c r="I39" s="146"/>
      <c r="J39" s="133">
        <f>J37/G4</f>
        <v>33.285784898287162</v>
      </c>
      <c r="K39" s="134" t="s">
        <v>75</v>
      </c>
    </row>
    <row r="40" spans="1:17" ht="17.45" customHeight="1">
      <c r="A40" s="799" t="s">
        <v>78</v>
      </c>
      <c r="B40" s="800"/>
      <c r="C40" s="168">
        <f>SUMIF($G$7:$G$31,"Mechanical",$F$7:$F$31)</f>
        <v>0</v>
      </c>
      <c r="D40" s="122">
        <f>C40+'23'!D40</f>
        <v>17</v>
      </c>
      <c r="E40" s="147">
        <f t="shared" si="15"/>
        <v>0.28333333333333333</v>
      </c>
      <c r="F40" s="311">
        <v>1350</v>
      </c>
      <c r="G40" s="311">
        <v>999</v>
      </c>
      <c r="H40" s="189" t="s">
        <v>79</v>
      </c>
      <c r="I40" s="122">
        <f>(K34+L34)/1000</f>
        <v>38.56</v>
      </c>
      <c r="J40" s="135">
        <f>+I40+'23'!J40</f>
        <v>659.70100000000002</v>
      </c>
      <c r="K40" s="134" t="s">
        <v>75</v>
      </c>
    </row>
    <row r="41" spans="1:17" ht="17.45" customHeight="1">
      <c r="A41" s="799" t="s">
        <v>80</v>
      </c>
      <c r="B41" s="800"/>
      <c r="C41" s="168">
        <f>SUMIF($G$7:$G$31,"Electrical",$F$7:$F$31)</f>
        <v>0</v>
      </c>
      <c r="D41" s="122">
        <f>C41+'23'!D41</f>
        <v>60</v>
      </c>
      <c r="E41" s="147">
        <f t="shared" si="15"/>
        <v>1</v>
      </c>
      <c r="F41" s="311"/>
      <c r="G41" s="311"/>
      <c r="H41" s="189" t="s">
        <v>81</v>
      </c>
      <c r="I41" s="146"/>
      <c r="J41" s="133">
        <f>J40/G4</f>
        <v>27.487541666666669</v>
      </c>
      <c r="K41" s="134" t="s">
        <v>75</v>
      </c>
    </row>
    <row r="42" spans="1:17" ht="17.45" customHeight="1">
      <c r="A42" s="799" t="s">
        <v>16</v>
      </c>
      <c r="B42" s="800"/>
      <c r="C42" s="168">
        <f>SUMIF($G$7:$G$31,"Instrument",$F$7:$F$31)</f>
        <v>0</v>
      </c>
      <c r="D42" s="122">
        <f>C42+'23'!D42</f>
        <v>0</v>
      </c>
      <c r="E42" s="147">
        <f t="shared" si="15"/>
        <v>0</v>
      </c>
      <c r="F42" s="187">
        <f>+(F38*480+F39*480+F40*480)/1440</f>
        <v>1280.5555555555557</v>
      </c>
      <c r="G42" s="187">
        <f>+(G38*480+G39*480+G40*480)/1440</f>
        <v>958.20833333333337</v>
      </c>
      <c r="H42" s="189" t="s">
        <v>82</v>
      </c>
      <c r="I42" s="245" t="s">
        <v>689</v>
      </c>
      <c r="J42" s="136"/>
      <c r="K42" s="134" t="s">
        <v>83</v>
      </c>
    </row>
    <row r="43" spans="1:17" ht="17.45" customHeight="1">
      <c r="A43" s="799" t="s">
        <v>84</v>
      </c>
      <c r="B43" s="800"/>
      <c r="C43" s="168">
        <f>SUMIF($G$7:$G$31,"Water",$F$7:$F$31)</f>
        <v>0</v>
      </c>
      <c r="D43" s="122">
        <f>C43+'23'!D43</f>
        <v>0</v>
      </c>
      <c r="E43" s="147">
        <f t="shared" si="15"/>
        <v>0</v>
      </c>
      <c r="F43" s="311"/>
      <c r="G43" s="312"/>
      <c r="H43" s="190" t="s">
        <v>85</v>
      </c>
      <c r="I43" s="122">
        <f>+Report1!Z32</f>
        <v>89.9</v>
      </c>
      <c r="J43" s="137">
        <f>+I43+'23'!J43</f>
        <v>1519.4</v>
      </c>
      <c r="K43" s="134" t="s">
        <v>75</v>
      </c>
      <c r="L43" s="191"/>
    </row>
    <row r="44" spans="1:17" ht="17.45" customHeight="1">
      <c r="A44" s="799" t="s">
        <v>17</v>
      </c>
      <c r="B44" s="800"/>
      <c r="C44" s="168">
        <f>SUMIF($G$7:$G$31,"PLN",$F$7:$F$31)</f>
        <v>0</v>
      </c>
      <c r="D44" s="122">
        <f>C44+'23'!D44</f>
        <v>0</v>
      </c>
      <c r="E44" s="147">
        <f t="shared" si="15"/>
        <v>0</v>
      </c>
      <c r="F44" s="311"/>
      <c r="G44" s="312"/>
      <c r="H44" s="190" t="s">
        <v>86</v>
      </c>
      <c r="I44" s="122">
        <f>I43/I38</f>
        <v>2.2516655813254522</v>
      </c>
      <c r="J44" s="138">
        <f>J43/J38</f>
        <v>2.1653590998810008</v>
      </c>
      <c r="K44" s="134" t="s">
        <v>75</v>
      </c>
    </row>
    <row r="45" spans="1:17" ht="17.45" customHeight="1">
      <c r="A45" s="799" t="s">
        <v>18</v>
      </c>
      <c r="B45" s="800"/>
      <c r="C45" s="168">
        <f>SUMIF($G$7:$G$31,"Boiler",$F$7:$F$31)</f>
        <v>0</v>
      </c>
      <c r="D45" s="122">
        <f>C45+'23'!D45</f>
        <v>0</v>
      </c>
      <c r="E45" s="147">
        <f t="shared" si="15"/>
        <v>0</v>
      </c>
      <c r="F45" s="311"/>
      <c r="G45" s="314"/>
      <c r="H45" s="190" t="s">
        <v>87</v>
      </c>
      <c r="I45" s="122">
        <f>I43/I40</f>
        <v>2.3314315352697097</v>
      </c>
      <c r="J45" s="138">
        <f>J43/J40</f>
        <v>2.3031646154848939</v>
      </c>
      <c r="K45" s="134" t="s">
        <v>75</v>
      </c>
    </row>
    <row r="46" spans="1:17" ht="17.45" customHeight="1">
      <c r="A46" s="799" t="s">
        <v>88</v>
      </c>
      <c r="B46" s="800"/>
      <c r="C46" s="168">
        <f>SUMIF($G$7:$G$31,"Gas",$F$7:$F$31)</f>
        <v>0</v>
      </c>
      <c r="D46" s="122">
        <f>C46+'23'!D46</f>
        <v>0</v>
      </c>
      <c r="E46" s="147">
        <f t="shared" si="15"/>
        <v>0</v>
      </c>
      <c r="F46" s="311"/>
      <c r="G46" s="312"/>
      <c r="H46" s="190" t="s">
        <v>89</v>
      </c>
      <c r="I46" s="144">
        <f>+SUMIF(Listrik!X31,"&gt;0")</f>
        <v>44988.190000000031</v>
      </c>
      <c r="J46" s="139">
        <f>+I46+'23'!J46</f>
        <v>666613.98240000033</v>
      </c>
      <c r="K46" s="134" t="s">
        <v>90</v>
      </c>
    </row>
    <row r="47" spans="1:17" ht="17.45" customHeight="1">
      <c r="A47" s="799" t="s">
        <v>91</v>
      </c>
      <c r="B47" s="800"/>
      <c r="C47" s="168">
        <f>SUMIF($G$7:$G$31,"Gas",$F$7:$F$31)</f>
        <v>0</v>
      </c>
      <c r="D47" s="122">
        <f>C47+'23'!D47</f>
        <v>0</v>
      </c>
      <c r="E47" s="147">
        <f t="shared" si="15"/>
        <v>0</v>
      </c>
      <c r="F47" s="311"/>
      <c r="G47" s="312"/>
      <c r="H47" s="190" t="s">
        <v>92</v>
      </c>
      <c r="I47" s="122">
        <f>I46/I38</f>
        <v>1126.789310223915</v>
      </c>
      <c r="J47" s="139">
        <f>J46/J38</f>
        <v>950.01885803458856</v>
      </c>
      <c r="K47" s="134" t="s">
        <v>24</v>
      </c>
    </row>
    <row r="48" spans="1:17" ht="17.45" customHeight="1">
      <c r="A48" s="799" t="s">
        <v>14</v>
      </c>
      <c r="B48" s="800"/>
      <c r="C48" s="168">
        <f>SUMIF($G$7:$G$31,"Start Up",$F$7:$F$31)</f>
        <v>0</v>
      </c>
      <c r="D48" s="122">
        <f>C48+'23'!D48</f>
        <v>0</v>
      </c>
      <c r="E48" s="147">
        <f t="shared" si="15"/>
        <v>0</v>
      </c>
      <c r="F48" s="311"/>
      <c r="G48" s="312"/>
      <c r="H48" s="190" t="s">
        <v>93</v>
      </c>
      <c r="I48" s="122">
        <f>I46/I40</f>
        <v>1166.7061721991709</v>
      </c>
      <c r="J48" s="139">
        <f>J46/J40</f>
        <v>1010.4789630453802</v>
      </c>
      <c r="K48" s="134" t="s">
        <v>24</v>
      </c>
    </row>
    <row r="49" spans="1:13" ht="17.45" customHeight="1">
      <c r="A49" s="799" t="s">
        <v>20</v>
      </c>
      <c r="B49" s="800"/>
      <c r="C49" s="168">
        <f>SUMIF($G$7:$G$31,"Others",$F$7:$F$31)</f>
        <v>40</v>
      </c>
      <c r="D49" s="122">
        <f>C49+'23'!D49</f>
        <v>11885</v>
      </c>
      <c r="E49" s="147">
        <f t="shared" si="15"/>
        <v>198.08333333333334</v>
      </c>
      <c r="F49" s="187"/>
      <c r="H49" s="190" t="s">
        <v>279</v>
      </c>
      <c r="I49" s="122">
        <f>+Report1!T32</f>
        <v>4262.6399609581522</v>
      </c>
      <c r="J49" s="139">
        <f>+I49+'23'!J49</f>
        <v>65611.305368981586</v>
      </c>
      <c r="K49" s="134" t="s">
        <v>94</v>
      </c>
    </row>
    <row r="50" spans="1:13" ht="17.45" customHeight="1">
      <c r="A50" s="799" t="s">
        <v>19</v>
      </c>
      <c r="B50" s="800"/>
      <c r="C50" s="168">
        <f>SUMIF($G$7:$G$31,"Steam",$F$7:$F$31)</f>
        <v>0</v>
      </c>
      <c r="D50" s="122">
        <f>C50+'23'!D50</f>
        <v>0</v>
      </c>
      <c r="E50" s="147">
        <f t="shared" si="15"/>
        <v>0</v>
      </c>
      <c r="F50" s="187"/>
      <c r="H50" s="190" t="s">
        <v>95</v>
      </c>
      <c r="I50" s="144">
        <f>I49/I38</f>
        <v>106.76351152026629</v>
      </c>
      <c r="J50" s="137">
        <f>J49/J38</f>
        <v>93.505355492823099</v>
      </c>
      <c r="K50" s="134" t="s">
        <v>94</v>
      </c>
    </row>
    <row r="51" spans="1:13" ht="17.45" customHeight="1">
      <c r="A51" s="801" t="s">
        <v>96</v>
      </c>
      <c r="B51" s="801"/>
      <c r="C51" s="168">
        <f>SUMIF($G$7:$G$31,"Planned shut",$F$7:$F$31)</f>
        <v>0</v>
      </c>
      <c r="D51" s="122">
        <f>C51+'23'!D51</f>
        <v>0</v>
      </c>
      <c r="E51" s="147">
        <f t="shared" si="15"/>
        <v>0</v>
      </c>
      <c r="F51" s="187"/>
      <c r="H51" s="192" t="s">
        <v>97</v>
      </c>
      <c r="I51" s="145">
        <f>I49/I40</f>
        <v>110.54564214103091</v>
      </c>
      <c r="J51" s="140">
        <f>J49/J40</f>
        <v>99.456125379500079</v>
      </c>
      <c r="K51" s="141" t="s">
        <v>94</v>
      </c>
    </row>
    <row r="52" spans="1:13" ht="13.5" thickBot="1">
      <c r="A52" s="802" t="s">
        <v>229</v>
      </c>
      <c r="B52" s="803"/>
      <c r="C52" s="168">
        <f>SUMIF($G$7:$G$31,"Change Grade",$F$7:$F$31)</f>
        <v>0</v>
      </c>
      <c r="D52" s="122">
        <f>C52+'23'!D52</f>
        <v>0</v>
      </c>
      <c r="E52" s="147">
        <f t="shared" si="15"/>
        <v>0</v>
      </c>
      <c r="F52" s="187"/>
      <c r="H52" s="193"/>
      <c r="I52" s="194"/>
      <c r="J52" s="142"/>
      <c r="K52" s="143"/>
    </row>
    <row r="53" spans="1:13">
      <c r="A53" s="797" t="s">
        <v>28</v>
      </c>
      <c r="B53" s="798"/>
      <c r="C53" s="148">
        <f>SUM(C38:C52)</f>
        <v>89</v>
      </c>
      <c r="D53" s="148">
        <f>SUM(D38:D52)</f>
        <v>13152</v>
      </c>
      <c r="E53" s="149">
        <f>SUM(E38:E52)</f>
        <v>219.20000000000002</v>
      </c>
      <c r="F53" s="187"/>
    </row>
    <row r="54" spans="1:13" ht="13.5" thickBot="1">
      <c r="A54" s="795"/>
      <c r="B54" s="796"/>
      <c r="C54" s="150">
        <f>C53/(24*60)</f>
        <v>6.1805555555555558E-2</v>
      </c>
      <c r="D54" s="150">
        <f>D53/(24*60*G4)</f>
        <v>0.38055555555555554</v>
      </c>
      <c r="E54" s="151">
        <f>E53/(G4*24)</f>
        <v>0.38055555555555559</v>
      </c>
      <c r="F54" s="187"/>
    </row>
    <row r="55" spans="1:13">
      <c r="E55" s="195"/>
    </row>
    <row r="56" spans="1:13">
      <c r="A56" s="196" t="s">
        <v>98</v>
      </c>
      <c r="B56" s="197"/>
      <c r="C56" s="198"/>
      <c r="D56" s="198"/>
      <c r="E56" s="198"/>
      <c r="F56" s="199"/>
      <c r="G56" s="198"/>
      <c r="H56" s="200"/>
      <c r="I56" s="201" t="s">
        <v>99</v>
      </c>
      <c r="J56" s="202">
        <f>+D34+'23'!J56</f>
        <v>2052</v>
      </c>
      <c r="K56" s="203">
        <f>J56/(J40+J56/1000)/1000</f>
        <v>3.100854850676914E-3</v>
      </c>
      <c r="M56" s="153">
        <v>2052</v>
      </c>
    </row>
    <row r="57" spans="1:13">
      <c r="A57" s="178"/>
      <c r="I57" s="201" t="s">
        <v>100</v>
      </c>
      <c r="J57" s="202">
        <f>+E34+'23'!J57</f>
        <v>0</v>
      </c>
      <c r="K57" s="203">
        <f>J57/(J40+J57/1000)/1000</f>
        <v>0</v>
      </c>
      <c r="M57" s="603">
        <f>+M56-J56</f>
        <v>0</v>
      </c>
    </row>
    <row r="58" spans="1:13">
      <c r="A58" s="204"/>
      <c r="B58" s="205"/>
      <c r="F58" s="187"/>
      <c r="H58" s="206"/>
    </row>
    <row r="59" spans="1:13">
      <c r="A59" s="207"/>
      <c r="B59" s="178"/>
      <c r="C59" s="178"/>
      <c r="D59" s="178"/>
      <c r="E59" s="178"/>
      <c r="F59" s="191"/>
      <c r="G59" s="178"/>
      <c r="H59" s="206"/>
    </row>
    <row r="60" spans="1:13">
      <c r="H60" s="206"/>
    </row>
    <row r="61" spans="1:13">
      <c r="A61" s="208"/>
      <c r="B61" s="209"/>
      <c r="C61" s="209"/>
      <c r="D61" s="209"/>
      <c r="E61" s="209"/>
      <c r="F61" s="210"/>
      <c r="G61" s="209"/>
      <c r="H61" s="211"/>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C7" zoomScale="80" zoomScaleNormal="80" zoomScaleSheetLayoutView="80" workbookViewId="0">
      <selection activeCell="H14" sqref="H14"/>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3.710937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23</v>
      </c>
      <c r="H4" s="158" t="str">
        <f>+'1'!H4</f>
        <v>.10.25</v>
      </c>
      <c r="J4" s="153">
        <f>387+400+400</f>
        <v>1187</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551</v>
      </c>
      <c r="O6" s="153">
        <v>1350</v>
      </c>
      <c r="P6" s="153">
        <f>+O6-O6*0.25</f>
        <v>1012.5</v>
      </c>
      <c r="Q6" s="153">
        <v>45</v>
      </c>
      <c r="R6" s="153">
        <f>+O6*Q6</f>
        <v>60750</v>
      </c>
      <c r="S6" s="153">
        <f>+P6*Q6</f>
        <v>45562.5</v>
      </c>
    </row>
    <row r="7" spans="1:26" ht="13.5" thickBot="1">
      <c r="A7" s="804"/>
      <c r="B7" s="217" t="s">
        <v>579</v>
      </c>
      <c r="C7" s="218">
        <v>7092</v>
      </c>
      <c r="D7" s="219"/>
      <c r="E7" s="220"/>
      <c r="F7" s="235"/>
      <c r="G7" s="582" t="s">
        <v>12</v>
      </c>
      <c r="H7" s="583" t="s">
        <v>418</v>
      </c>
      <c r="I7" s="807" t="s">
        <v>672</v>
      </c>
      <c r="J7" s="216" t="str">
        <f>+'22'!J7</f>
        <v>TW 17 RC HW</v>
      </c>
      <c r="K7" s="237"/>
      <c r="L7" s="241"/>
      <c r="M7" s="121">
        <f>+K7+'22'!M7+L7</f>
        <v>3364</v>
      </c>
      <c r="N7" s="153" t="s">
        <v>669</v>
      </c>
      <c r="O7" s="153">
        <v>1350</v>
      </c>
      <c r="P7" s="153">
        <f>+O7-O7*0.25</f>
        <v>1012.5</v>
      </c>
      <c r="Q7" s="153">
        <f>480-Q6-Q8</f>
        <v>386</v>
      </c>
      <c r="R7" s="153">
        <f t="shared" ref="R7:R10" si="0">+O7*Q7</f>
        <v>521100</v>
      </c>
      <c r="S7" s="153">
        <f t="shared" ref="S7:S10" si="1">+P7*Q7</f>
        <v>390825</v>
      </c>
    </row>
    <row r="8" spans="1:26" ht="13.5" thickBot="1">
      <c r="A8" s="805"/>
      <c r="B8" s="217" t="s">
        <v>678</v>
      </c>
      <c r="C8" s="218">
        <v>9426</v>
      </c>
      <c r="D8" s="219"/>
      <c r="E8" s="221"/>
      <c r="F8" s="231">
        <v>2</v>
      </c>
      <c r="G8" s="584" t="s">
        <v>12</v>
      </c>
      <c r="H8" s="230" t="s">
        <v>529</v>
      </c>
      <c r="I8" s="808"/>
      <c r="J8" s="216" t="str">
        <f>+'22'!J8</f>
        <v>T 14 VP OW</v>
      </c>
      <c r="K8" s="238"/>
      <c r="L8" s="238"/>
      <c r="M8" s="121">
        <f>+K8+'22'!M8+L8</f>
        <v>23832</v>
      </c>
      <c r="N8" s="153" t="s">
        <v>453</v>
      </c>
      <c r="O8" s="153">
        <v>1300</v>
      </c>
      <c r="P8" s="153">
        <f>+O8-O8*0.25</f>
        <v>975</v>
      </c>
      <c r="Q8" s="153">
        <f>60-11</f>
        <v>49</v>
      </c>
      <c r="R8" s="153">
        <f t="shared" si="0"/>
        <v>63700</v>
      </c>
      <c r="S8" s="153">
        <f t="shared" si="1"/>
        <v>47775</v>
      </c>
    </row>
    <row r="9" spans="1:26" ht="13.5" thickBot="1">
      <c r="A9" s="805"/>
      <c r="B9" s="217"/>
      <c r="C9" s="218"/>
      <c r="D9" s="219"/>
      <c r="E9" s="222"/>
      <c r="F9" s="231">
        <v>8</v>
      </c>
      <c r="G9" s="584" t="s">
        <v>12</v>
      </c>
      <c r="H9" s="233" t="s">
        <v>528</v>
      </c>
      <c r="I9" s="808"/>
      <c r="J9" s="216" t="str">
        <f>+'22'!J9</f>
        <v>T 14,5 VP OW</v>
      </c>
      <c r="K9" s="238">
        <f>+C17+C25</f>
        <v>23593</v>
      </c>
      <c r="L9" s="238"/>
      <c r="M9" s="121">
        <f>+K9+'22'!M9+L9</f>
        <v>213745</v>
      </c>
      <c r="R9" s="153">
        <f t="shared" si="0"/>
        <v>0</v>
      </c>
      <c r="S9" s="153">
        <f t="shared" si="1"/>
        <v>0</v>
      </c>
    </row>
    <row r="10" spans="1:26" ht="118.5" customHeight="1" thickBot="1">
      <c r="A10" s="805"/>
      <c r="B10" s="217"/>
      <c r="C10" s="218"/>
      <c r="D10" s="219"/>
      <c r="E10" s="221"/>
      <c r="F10" s="231"/>
      <c r="G10" s="229"/>
      <c r="H10" s="233" t="s">
        <v>667</v>
      </c>
      <c r="I10" s="808"/>
      <c r="J10" s="216" t="str">
        <f>+'22'!J10</f>
        <v>T 13,5 VP OW</v>
      </c>
      <c r="K10" s="238"/>
      <c r="L10" s="238"/>
      <c r="M10" s="121">
        <f>+K10+'22'!M10+L10</f>
        <v>39850</v>
      </c>
      <c r="R10" s="153">
        <f t="shared" si="0"/>
        <v>0</v>
      </c>
      <c r="S10" s="153">
        <f t="shared" si="1"/>
        <v>0</v>
      </c>
    </row>
    <row r="11" spans="1:26" ht="64.5" thickBot="1">
      <c r="A11" s="805"/>
      <c r="B11" s="217"/>
      <c r="C11" s="218"/>
      <c r="D11" s="219"/>
      <c r="E11" s="221"/>
      <c r="F11" s="228"/>
      <c r="G11" s="232"/>
      <c r="H11" s="233" t="s">
        <v>668</v>
      </c>
      <c r="I11" s="808"/>
      <c r="J11" s="216" t="str">
        <f>+'22'!J11</f>
        <v>T 16,5 VP OW</v>
      </c>
      <c r="K11" s="238"/>
      <c r="L11" s="238"/>
      <c r="M11" s="121">
        <f>+K11+'22'!M11+L11</f>
        <v>9927</v>
      </c>
      <c r="P11" s="153">
        <f t="shared" ref="P11" si="2">+O11-O11*0.17</f>
        <v>0</v>
      </c>
    </row>
    <row r="12" spans="1:26" ht="13.5" thickBot="1">
      <c r="A12" s="805"/>
      <c r="B12" s="217"/>
      <c r="C12" s="218"/>
      <c r="D12" s="219"/>
      <c r="E12" s="221"/>
      <c r="F12" s="228"/>
      <c r="G12" s="232"/>
      <c r="H12" s="233"/>
      <c r="I12" s="808"/>
      <c r="J12" s="216" t="str">
        <f>+'22'!J12</f>
        <v>T 12,5 VP OW</v>
      </c>
      <c r="K12" s="238">
        <f>+C7</f>
        <v>7092</v>
      </c>
      <c r="L12" s="238"/>
      <c r="M12" s="121">
        <f>+K12+'22'!M12+L12</f>
        <v>41367</v>
      </c>
      <c r="Q12" s="153">
        <f>SUM(Q6:Q10)</f>
        <v>480</v>
      </c>
      <c r="R12" s="153">
        <f>SUM(R6:R10)</f>
        <v>645550</v>
      </c>
      <c r="S12" s="153">
        <f>SUM(S6:S10)</f>
        <v>484162.5</v>
      </c>
    </row>
    <row r="13" spans="1:26" ht="13.5" thickBot="1">
      <c r="A13" s="805"/>
      <c r="B13" s="217"/>
      <c r="C13" s="218"/>
      <c r="D13" s="218"/>
      <c r="E13" s="221"/>
      <c r="F13" s="228"/>
      <c r="G13" s="232"/>
      <c r="H13" s="233"/>
      <c r="I13" s="809"/>
      <c r="J13" s="216" t="str">
        <f>+'22'!J13</f>
        <v>TW 18 VP OW</v>
      </c>
      <c r="K13" s="238"/>
      <c r="L13" s="238"/>
      <c r="M13" s="121">
        <f>+K13+'22'!M13+L13</f>
        <v>234646</v>
      </c>
      <c r="N13" s="153" t="s">
        <v>421</v>
      </c>
      <c r="Q13" s="153">
        <f>480-Q12</f>
        <v>0</v>
      </c>
      <c r="R13" s="153">
        <f>+R12/Q12</f>
        <v>1344.8958333333333</v>
      </c>
      <c r="S13" s="153">
        <f>+S12/Q12</f>
        <v>1008.671875</v>
      </c>
    </row>
    <row r="14" spans="1:26" ht="13.5" thickBot="1">
      <c r="A14" s="806"/>
      <c r="B14" s="169" t="s">
        <v>3</v>
      </c>
      <c r="C14" s="103">
        <f>SUM(C7:C13)</f>
        <v>16518</v>
      </c>
      <c r="D14" s="115">
        <f>SUM(D7:D13)</f>
        <v>0</v>
      </c>
      <c r="E14" s="116">
        <f>SUM(E5:E13)</f>
        <v>0</v>
      </c>
      <c r="F14" s="120">
        <f>SUM(F7:F13)</f>
        <v>10</v>
      </c>
      <c r="G14" s="163"/>
      <c r="H14" s="170"/>
      <c r="I14" s="171"/>
      <c r="J14" s="216" t="str">
        <f>+'22'!J14</f>
        <v>F 15 VP OW</v>
      </c>
      <c r="K14" s="238"/>
      <c r="L14" s="238"/>
      <c r="M14" s="121">
        <f>+K14+'22'!M14+L14</f>
        <v>5496</v>
      </c>
    </row>
    <row r="15" spans="1:26" ht="13.5" thickBot="1">
      <c r="A15" s="810"/>
      <c r="B15" s="528"/>
      <c r="C15" s="117">
        <f>C14/($C$23+$D$23+$E$23)</f>
        <v>1.3521611001964637</v>
      </c>
      <c r="D15" s="118">
        <f>D14/($C$23+$D$23+$E$23)</f>
        <v>0</v>
      </c>
      <c r="E15" s="119">
        <f>E14/($C$23+$D$23+$E$23)</f>
        <v>0</v>
      </c>
      <c r="F15" s="235"/>
      <c r="G15" s="582" t="s">
        <v>12</v>
      </c>
      <c r="H15" s="583" t="s">
        <v>418</v>
      </c>
      <c r="I15" s="807" t="s">
        <v>671</v>
      </c>
      <c r="J15" s="216" t="str">
        <f>+'22'!J15</f>
        <v>T 12 VP OW</v>
      </c>
      <c r="K15" s="238"/>
      <c r="L15" s="238"/>
      <c r="M15" s="121">
        <f>+K15+'22'!M15+L15</f>
        <v>37386</v>
      </c>
      <c r="N15" s="153" t="s">
        <v>453</v>
      </c>
      <c r="O15" s="153">
        <v>1300</v>
      </c>
      <c r="P15" s="153">
        <f>+O15-O15*0.25</f>
        <v>975</v>
      </c>
      <c r="Q15" s="153">
        <f>60*2+56</f>
        <v>176</v>
      </c>
      <c r="R15" s="153">
        <f>+O15*Q15</f>
        <v>228800</v>
      </c>
      <c r="S15" s="153">
        <f>+P15*Q15</f>
        <v>171600</v>
      </c>
      <c r="U15" s="153" t="s">
        <v>453</v>
      </c>
      <c r="V15" s="153">
        <v>1300</v>
      </c>
      <c r="W15" s="153">
        <v>975</v>
      </c>
      <c r="X15" s="153">
        <v>49</v>
      </c>
      <c r="Y15" s="153">
        <f>+V15*X15</f>
        <v>63700</v>
      </c>
      <c r="Z15" s="153">
        <f>+W15*X15</f>
        <v>47775</v>
      </c>
    </row>
    <row r="16" spans="1:26" ht="13.5" thickBot="1">
      <c r="A16" s="805"/>
      <c r="B16" s="527" t="s">
        <v>678</v>
      </c>
      <c r="C16" s="526">
        <v>2102</v>
      </c>
      <c r="D16" s="223"/>
      <c r="E16" s="224"/>
      <c r="F16" s="231"/>
      <c r="G16" s="584" t="s">
        <v>12</v>
      </c>
      <c r="H16" s="230" t="s">
        <v>419</v>
      </c>
      <c r="I16" s="808"/>
      <c r="J16" s="216" t="s">
        <v>678</v>
      </c>
      <c r="K16" s="229">
        <f>+C8+C16</f>
        <v>11528</v>
      </c>
      <c r="L16" s="229"/>
      <c r="M16" s="121">
        <f>+K16+'22'!M16+L16</f>
        <v>11528</v>
      </c>
      <c r="N16" s="153" t="s">
        <v>453</v>
      </c>
      <c r="O16" s="153">
        <v>1250</v>
      </c>
      <c r="P16" s="153">
        <f>+O16-O16*0.25</f>
        <v>937.5</v>
      </c>
      <c r="Q16" s="153">
        <f>480-Q15</f>
        <v>304</v>
      </c>
      <c r="R16" s="153">
        <f t="shared" ref="R16:R19" si="3">+O16*Q16</f>
        <v>380000</v>
      </c>
      <c r="S16" s="153">
        <f t="shared" ref="S16:S19" si="4">+P16*Q16</f>
        <v>285000</v>
      </c>
      <c r="U16" s="153" t="s">
        <v>453</v>
      </c>
      <c r="V16" s="153">
        <v>1300</v>
      </c>
      <c r="W16" s="153">
        <v>975</v>
      </c>
      <c r="X16" s="153">
        <v>176</v>
      </c>
      <c r="Y16" s="153">
        <f t="shared" ref="Y16:Y19" si="5">+V16*X16</f>
        <v>228800</v>
      </c>
      <c r="Z16" s="153">
        <f t="shared" ref="Z16:Z19" si="6">+W16*X16</f>
        <v>171600</v>
      </c>
    </row>
    <row r="17" spans="1:26" ht="13.5" thickBot="1">
      <c r="A17" s="805"/>
      <c r="B17" s="217" t="s">
        <v>471</v>
      </c>
      <c r="C17" s="218">
        <v>9862</v>
      </c>
      <c r="D17" s="219">
        <v>252</v>
      </c>
      <c r="E17" s="225"/>
      <c r="F17" s="231">
        <v>4</v>
      </c>
      <c r="G17" s="584" t="s">
        <v>12</v>
      </c>
      <c r="H17" s="233" t="s">
        <v>399</v>
      </c>
      <c r="I17" s="808"/>
      <c r="J17" s="216">
        <f>+'22'!J17</f>
        <v>0</v>
      </c>
      <c r="K17" s="229"/>
      <c r="L17" s="229"/>
      <c r="M17" s="121">
        <f>+K17+'22'!M17+L17</f>
        <v>0</v>
      </c>
      <c r="R17" s="153">
        <f t="shared" si="3"/>
        <v>0</v>
      </c>
      <c r="S17" s="153">
        <f t="shared" si="4"/>
        <v>0</v>
      </c>
      <c r="U17" s="153" t="s">
        <v>453</v>
      </c>
      <c r="V17" s="153">
        <v>1250</v>
      </c>
      <c r="W17" s="153">
        <v>937.5</v>
      </c>
      <c r="X17" s="153">
        <v>304</v>
      </c>
      <c r="Y17" s="153">
        <f t="shared" si="5"/>
        <v>380000</v>
      </c>
      <c r="Z17" s="153">
        <f t="shared" si="6"/>
        <v>285000</v>
      </c>
    </row>
    <row r="18" spans="1:26" ht="64.5" thickBot="1">
      <c r="A18" s="805"/>
      <c r="B18" s="217"/>
      <c r="C18" s="218"/>
      <c r="D18" s="219"/>
      <c r="E18" s="225"/>
      <c r="F18" s="231"/>
      <c r="G18" s="229"/>
      <c r="H18" s="233" t="s">
        <v>665</v>
      </c>
      <c r="I18" s="808"/>
      <c r="J18" s="216">
        <f>+'22'!J18</f>
        <v>0</v>
      </c>
      <c r="K18" s="238"/>
      <c r="L18" s="238"/>
      <c r="M18" s="121">
        <f>+K18+'22'!M18+L18</f>
        <v>0</v>
      </c>
      <c r="R18" s="153">
        <f t="shared" si="3"/>
        <v>0</v>
      </c>
      <c r="S18" s="153">
        <f t="shared" si="4"/>
        <v>0</v>
      </c>
      <c r="U18" s="153" t="s">
        <v>453</v>
      </c>
      <c r="V18" s="153">
        <v>1250</v>
      </c>
      <c r="W18" s="153">
        <v>962.5</v>
      </c>
      <c r="X18" s="153">
        <v>480</v>
      </c>
      <c r="Y18" s="153">
        <f t="shared" si="5"/>
        <v>600000</v>
      </c>
      <c r="Z18" s="153">
        <f t="shared" si="6"/>
        <v>462000</v>
      </c>
    </row>
    <row r="19" spans="1:26" ht="64.5" thickBot="1">
      <c r="A19" s="805"/>
      <c r="B19" s="217"/>
      <c r="C19" s="218"/>
      <c r="D19" s="219"/>
      <c r="E19" s="225"/>
      <c r="F19" s="234"/>
      <c r="G19" s="232"/>
      <c r="H19" s="233" t="s">
        <v>666</v>
      </c>
      <c r="I19" s="808"/>
      <c r="J19" s="216">
        <f>+'22'!J19</f>
        <v>0</v>
      </c>
      <c r="K19" s="238"/>
      <c r="L19" s="238"/>
      <c r="M19" s="121">
        <f>+K19+'22'!M19+L19</f>
        <v>0</v>
      </c>
      <c r="R19" s="153">
        <f t="shared" si="3"/>
        <v>0</v>
      </c>
      <c r="S19" s="153">
        <f t="shared" si="4"/>
        <v>0</v>
      </c>
      <c r="Y19" s="153">
        <f t="shared" si="5"/>
        <v>0</v>
      </c>
      <c r="Z19" s="153">
        <f t="shared" si="6"/>
        <v>0</v>
      </c>
    </row>
    <row r="20" spans="1:26" ht="13.5" thickBot="1">
      <c r="A20" s="805"/>
      <c r="B20" s="217"/>
      <c r="C20" s="218"/>
      <c r="D20" s="219"/>
      <c r="E20" s="225"/>
      <c r="F20" s="228"/>
      <c r="G20" s="232"/>
      <c r="H20" s="233"/>
      <c r="I20" s="808"/>
      <c r="J20" s="216">
        <f>+'22'!J20</f>
        <v>0</v>
      </c>
      <c r="K20" s="239"/>
      <c r="L20" s="239"/>
      <c r="M20" s="121">
        <f>+K20+'22'!M20+L20</f>
        <v>0</v>
      </c>
      <c r="P20" s="153">
        <f t="shared" ref="P20" si="7">+O20-O20*0.17</f>
        <v>0</v>
      </c>
      <c r="W20" s="153">
        <f t="shared" ref="W20" si="8">+V20-V20*0.17</f>
        <v>0</v>
      </c>
    </row>
    <row r="21" spans="1:26" ht="13.5" thickBot="1">
      <c r="A21" s="805"/>
      <c r="B21" s="217"/>
      <c r="C21" s="218"/>
      <c r="D21" s="219"/>
      <c r="E21" s="225"/>
      <c r="F21" s="231"/>
      <c r="G21" s="232"/>
      <c r="H21" s="233"/>
      <c r="I21" s="808"/>
      <c r="J21" s="216">
        <f>+'22'!J21</f>
        <v>0</v>
      </c>
      <c r="K21" s="238"/>
      <c r="L21" s="238"/>
      <c r="M21" s="121">
        <f>+K21+'22'!M21+L21</f>
        <v>0</v>
      </c>
      <c r="Q21" s="153">
        <f>SUM(Q15:Q19)</f>
        <v>480</v>
      </c>
      <c r="R21" s="153">
        <f>SUM(R15:R19)</f>
        <v>608800</v>
      </c>
      <c r="S21" s="153">
        <f>SUM(S15:S19)</f>
        <v>456600</v>
      </c>
      <c r="X21" s="153">
        <f>SUM(X15:X19)</f>
        <v>1009</v>
      </c>
      <c r="Y21" s="153">
        <f>SUM(Y15:Y19)</f>
        <v>1272500</v>
      </c>
      <c r="Z21" s="153">
        <f>SUM(Z15:Z19)</f>
        <v>966375</v>
      </c>
    </row>
    <row r="22" spans="1:26" ht="13.5" thickBot="1">
      <c r="A22" s="805"/>
      <c r="B22" s="217"/>
      <c r="C22" s="218"/>
      <c r="D22" s="219"/>
      <c r="E22" s="225"/>
      <c r="F22" s="235"/>
      <c r="G22" s="232"/>
      <c r="H22" s="233"/>
      <c r="I22" s="809"/>
      <c r="J22" s="216">
        <f>+'22'!J22</f>
        <v>0</v>
      </c>
      <c r="K22" s="238"/>
      <c r="L22" s="238"/>
      <c r="M22" s="121">
        <f>+K22+'22'!M22+L22</f>
        <v>0</v>
      </c>
      <c r="N22" s="153" t="s">
        <v>421</v>
      </c>
      <c r="Q22" s="153">
        <f>480-Q21</f>
        <v>0</v>
      </c>
      <c r="R22" s="153">
        <f>+R21/Q21</f>
        <v>1268.3333333333333</v>
      </c>
      <c r="S22" s="153">
        <f>+S21/Q21</f>
        <v>951.25</v>
      </c>
      <c r="U22" s="153" t="s">
        <v>421</v>
      </c>
      <c r="X22" s="153">
        <f>480-X21</f>
        <v>-529</v>
      </c>
      <c r="Y22" s="153">
        <f>+Y21/X21</f>
        <v>1261.1496531219029</v>
      </c>
      <c r="Z22" s="153">
        <f>+Z21/X21</f>
        <v>957.75520317145686</v>
      </c>
    </row>
    <row r="23" spans="1:26" ht="13.5" thickBot="1">
      <c r="A23" s="806"/>
      <c r="B23" s="169" t="s">
        <v>3</v>
      </c>
      <c r="C23" s="103">
        <f>SUM(C16:C22)</f>
        <v>11964</v>
      </c>
      <c r="D23" s="115">
        <f>SUM(D16:D22)</f>
        <v>252</v>
      </c>
      <c r="E23" s="116">
        <f>SUM(E18:E22)</f>
        <v>0</v>
      </c>
      <c r="F23" s="120">
        <f>SUM(F15:F22)</f>
        <v>4</v>
      </c>
      <c r="G23" s="163"/>
      <c r="H23" s="170"/>
      <c r="I23" s="172"/>
      <c r="J23" s="216">
        <f>+'22'!J23</f>
        <v>0</v>
      </c>
      <c r="K23" s="238"/>
      <c r="L23" s="238"/>
      <c r="M23" s="121">
        <f>+K23+'22'!M23+L23</f>
        <v>0</v>
      </c>
    </row>
    <row r="24" spans="1:26" ht="13.5" thickBot="1">
      <c r="A24" s="810"/>
      <c r="B24" s="528"/>
      <c r="C24" s="117">
        <f>C23/($C$23+$D$23+$E$23)</f>
        <v>0.97937131630648333</v>
      </c>
      <c r="D24" s="118">
        <f>D23/($C$23+$D$23+$E$23)</f>
        <v>2.0628683693516701E-2</v>
      </c>
      <c r="E24" s="119">
        <f>E23/($C$23+$D$23+$E$23)</f>
        <v>0</v>
      </c>
      <c r="F24" s="235"/>
      <c r="G24" s="582" t="s">
        <v>12</v>
      </c>
      <c r="H24" s="583" t="s">
        <v>418</v>
      </c>
      <c r="I24" s="807" t="s">
        <v>670</v>
      </c>
      <c r="J24" s="216">
        <f>+'22'!J24</f>
        <v>0</v>
      </c>
      <c r="K24" s="238"/>
      <c r="L24" s="238"/>
      <c r="M24" s="121">
        <f>+K24+'22'!M24+L24</f>
        <v>0</v>
      </c>
      <c r="N24" s="153" t="s">
        <v>453</v>
      </c>
      <c r="O24" s="153">
        <v>1250</v>
      </c>
      <c r="P24" s="153">
        <f>+O24-O24*0.23</f>
        <v>962.5</v>
      </c>
      <c r="Q24" s="153">
        <v>480</v>
      </c>
      <c r="R24" s="153">
        <f>+O24*Q24</f>
        <v>600000</v>
      </c>
      <c r="S24" s="153">
        <f>+P24*Q24</f>
        <v>462000</v>
      </c>
    </row>
    <row r="25" spans="1:26" ht="13.5" thickBot="1">
      <c r="A25" s="805"/>
      <c r="B25" s="527" t="s">
        <v>471</v>
      </c>
      <c r="C25" s="226">
        <v>13731</v>
      </c>
      <c r="D25" s="219"/>
      <c r="E25" s="225"/>
      <c r="F25" s="231"/>
      <c r="G25" s="584" t="s">
        <v>12</v>
      </c>
      <c r="H25" s="230" t="s">
        <v>419</v>
      </c>
      <c r="I25" s="808"/>
      <c r="J25" s="216">
        <f>+'22'!J25</f>
        <v>0</v>
      </c>
      <c r="K25" s="238"/>
      <c r="L25" s="238"/>
      <c r="M25" s="121">
        <f>+K25+'22'!M25+L25</f>
        <v>0</v>
      </c>
      <c r="P25" s="153">
        <f>+O25-O25*0.25</f>
        <v>0</v>
      </c>
      <c r="R25" s="153">
        <f t="shared" ref="R25:R28" si="9">+O25*Q25</f>
        <v>0</v>
      </c>
      <c r="S25" s="153">
        <f t="shared" ref="S25:S28" si="10">+P25*Q25</f>
        <v>0</v>
      </c>
    </row>
    <row r="26" spans="1:26" ht="13.5" thickBot="1">
      <c r="A26" s="805"/>
      <c r="B26" s="217"/>
      <c r="C26" s="226"/>
      <c r="D26" s="219"/>
      <c r="E26" s="227"/>
      <c r="F26" s="231">
        <v>6</v>
      </c>
      <c r="G26" s="584" t="s">
        <v>12</v>
      </c>
      <c r="H26" s="233" t="s">
        <v>484</v>
      </c>
      <c r="I26" s="808"/>
      <c r="J26" s="216">
        <f>+'22'!J26</f>
        <v>0</v>
      </c>
      <c r="K26" s="238"/>
      <c r="L26" s="238"/>
      <c r="M26" s="121">
        <f>+K26+'22'!M26+L26</f>
        <v>0</v>
      </c>
      <c r="R26" s="153">
        <f t="shared" si="9"/>
        <v>0</v>
      </c>
      <c r="S26" s="153">
        <f t="shared" si="10"/>
        <v>0</v>
      </c>
    </row>
    <row r="27" spans="1:26" ht="77.25" thickBot="1">
      <c r="A27" s="805"/>
      <c r="B27" s="217"/>
      <c r="C27" s="218"/>
      <c r="D27" s="219"/>
      <c r="E27" s="225"/>
      <c r="F27" s="231"/>
      <c r="G27" s="229"/>
      <c r="H27" s="233" t="s">
        <v>663</v>
      </c>
      <c r="I27" s="808"/>
      <c r="J27" s="216">
        <f>+'22'!J27</f>
        <v>0</v>
      </c>
      <c r="K27" s="238"/>
      <c r="L27" s="238"/>
      <c r="M27" s="121">
        <f>+K27+'22'!M27+L27</f>
        <v>0</v>
      </c>
      <c r="R27" s="153">
        <f t="shared" si="9"/>
        <v>0</v>
      </c>
      <c r="S27" s="153">
        <f t="shared" si="10"/>
        <v>0</v>
      </c>
    </row>
    <row r="28" spans="1:26" ht="39" thickBot="1">
      <c r="A28" s="805"/>
      <c r="B28" s="217"/>
      <c r="C28" s="218"/>
      <c r="D28" s="219"/>
      <c r="E28" s="225"/>
      <c r="F28" s="231"/>
      <c r="G28" s="229"/>
      <c r="H28" s="233" t="s">
        <v>664</v>
      </c>
      <c r="I28" s="808"/>
      <c r="J28" s="216">
        <f>+'22'!J28</f>
        <v>0</v>
      </c>
      <c r="K28" s="238"/>
      <c r="L28" s="238"/>
      <c r="M28" s="121">
        <f>+K28+'22'!M28+L28</f>
        <v>0</v>
      </c>
      <c r="R28" s="153">
        <f t="shared" si="9"/>
        <v>0</v>
      </c>
      <c r="S28" s="153">
        <f t="shared" si="10"/>
        <v>0</v>
      </c>
    </row>
    <row r="29" spans="1:26" ht="13.5" thickBot="1">
      <c r="A29" s="805"/>
      <c r="B29" s="217"/>
      <c r="C29" s="218"/>
      <c r="D29" s="219"/>
      <c r="E29" s="225"/>
      <c r="F29" s="235"/>
      <c r="G29" s="232"/>
      <c r="H29" s="233"/>
      <c r="I29" s="808"/>
      <c r="J29" s="216">
        <f>+'22'!J29</f>
        <v>0</v>
      </c>
      <c r="K29" s="238"/>
      <c r="L29" s="238"/>
      <c r="M29" s="121">
        <f>+K29+'22'!M29+L29</f>
        <v>0</v>
      </c>
      <c r="P29" s="153">
        <f t="shared" ref="P29" si="11">+O29-O29*0.17</f>
        <v>0</v>
      </c>
    </row>
    <row r="30" spans="1:26" ht="13.5" thickBot="1">
      <c r="A30" s="805"/>
      <c r="B30" s="217"/>
      <c r="C30" s="226"/>
      <c r="D30" s="219"/>
      <c r="E30" s="225"/>
      <c r="F30" s="235"/>
      <c r="G30" s="232"/>
      <c r="H30" s="233"/>
      <c r="I30" s="808"/>
      <c r="J30" s="216">
        <f>+'22'!J30</f>
        <v>0</v>
      </c>
      <c r="K30" s="238"/>
      <c r="L30" s="238"/>
      <c r="M30" s="121">
        <f>+K30+'22'!M30+L30</f>
        <v>0</v>
      </c>
      <c r="Q30" s="153">
        <f>SUM(Q24:Q28)</f>
        <v>480</v>
      </c>
      <c r="R30" s="153">
        <f>SUM(R24:R28)</f>
        <v>600000</v>
      </c>
      <c r="S30" s="153">
        <f>SUM(S24:S28)</f>
        <v>462000</v>
      </c>
    </row>
    <row r="31" spans="1:26" ht="13.5" thickBot="1">
      <c r="A31" s="805"/>
      <c r="B31" s="217"/>
      <c r="C31" s="226"/>
      <c r="D31" s="219"/>
      <c r="E31" s="225"/>
      <c r="F31" s="235"/>
      <c r="G31" s="236"/>
      <c r="H31" s="413"/>
      <c r="I31" s="809"/>
      <c r="J31" s="216">
        <f>+'22'!J31</f>
        <v>0</v>
      </c>
      <c r="K31" s="238"/>
      <c r="L31" s="238"/>
      <c r="M31" s="121">
        <f>+K31+'22'!M31+L31</f>
        <v>0</v>
      </c>
      <c r="N31" s="153" t="s">
        <v>421</v>
      </c>
      <c r="Q31" s="153">
        <f>480-Q30</f>
        <v>0</v>
      </c>
      <c r="R31" s="153">
        <f>+R30/Q30</f>
        <v>1250</v>
      </c>
      <c r="S31" s="153">
        <f>+S30/Q30</f>
        <v>962.5</v>
      </c>
    </row>
    <row r="32" spans="1:26" ht="13.5" thickBot="1">
      <c r="A32" s="806"/>
      <c r="B32" s="169" t="s">
        <v>3</v>
      </c>
      <c r="C32" s="103">
        <f>SUM(C25:C31)</f>
        <v>13731</v>
      </c>
      <c r="D32" s="104">
        <f>SUM(D25:D31)</f>
        <v>0</v>
      </c>
      <c r="E32" s="105">
        <f>SUM(E25:E31)</f>
        <v>0</v>
      </c>
      <c r="F32" s="103">
        <f>SUM(F24:F31)</f>
        <v>6</v>
      </c>
      <c r="G32" s="173"/>
      <c r="H32" s="174"/>
      <c r="I32" s="172"/>
      <c r="J32" s="216">
        <f>+'22'!J32</f>
        <v>0</v>
      </c>
      <c r="K32" s="240"/>
      <c r="L32" s="242"/>
      <c r="M32" s="121">
        <f>+K32+'22'!M32+L32</f>
        <v>0</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42213</v>
      </c>
      <c r="D34" s="111">
        <f>D14+D23+D32</f>
        <v>252</v>
      </c>
      <c r="E34" s="111">
        <f>E14+E23+E32</f>
        <v>0</v>
      </c>
      <c r="F34" s="112">
        <f>F14+F23+F32</f>
        <v>20</v>
      </c>
      <c r="H34" s="180"/>
      <c r="I34" s="180"/>
      <c r="J34" s="127" t="s">
        <v>28</v>
      </c>
      <c r="K34" s="128">
        <f>SUM(K7:K32)</f>
        <v>42213</v>
      </c>
      <c r="L34" s="214">
        <f>SUM(L7:L32)</f>
        <v>0</v>
      </c>
      <c r="M34" s="124">
        <f>SUM(M7:M32)</f>
        <v>621141</v>
      </c>
      <c r="N34" s="159"/>
    </row>
    <row r="35" spans="1:17" ht="13.5" thickBot="1">
      <c r="A35" s="573"/>
      <c r="B35" s="182"/>
      <c r="C35" s="108">
        <f>C34/($C$34+$D$34+$E$34)</f>
        <v>0.99406570116566584</v>
      </c>
      <c r="D35" s="108">
        <f>D34/($C$34+$D$34+$E$34)</f>
        <v>5.9342988343341575E-3</v>
      </c>
      <c r="E35" s="113">
        <f>E34/($C$34+$D$34+$E$34)</f>
        <v>0</v>
      </c>
      <c r="H35" s="153" t="s">
        <v>0</v>
      </c>
      <c r="K35" s="159"/>
    </row>
    <row r="36" spans="1:17" ht="13.5" thickBot="1">
      <c r="A36" s="180"/>
      <c r="B36" s="180"/>
      <c r="C36" s="159"/>
      <c r="D36" s="159"/>
      <c r="E36" s="159"/>
      <c r="G36" s="159"/>
      <c r="H36" s="183"/>
      <c r="I36" s="166" t="s">
        <v>38</v>
      </c>
      <c r="J36" s="166" t="s">
        <v>39</v>
      </c>
      <c r="K36" s="184"/>
      <c r="N36" s="153" t="s">
        <v>551</v>
      </c>
      <c r="O36" s="153">
        <v>1350</v>
      </c>
      <c r="P36" s="153">
        <v>1012.5</v>
      </c>
      <c r="Q36" s="153">
        <v>45</v>
      </c>
    </row>
    <row r="37" spans="1:17" ht="17.45" customHeight="1" thickBot="1">
      <c r="A37" s="813" t="s">
        <v>70</v>
      </c>
      <c r="B37" s="814"/>
      <c r="C37" s="166" t="s">
        <v>71</v>
      </c>
      <c r="D37" s="185" t="s">
        <v>72</v>
      </c>
      <c r="E37" s="186" t="s">
        <v>73</v>
      </c>
      <c r="F37" s="311"/>
      <c r="G37" s="313"/>
      <c r="H37" s="188" t="s">
        <v>74</v>
      </c>
      <c r="I37" s="243">
        <f>(12.5*45+13*386+14.5*1009)/1440*G42*2.7*1440/1000000</f>
        <v>53.158561664062503</v>
      </c>
      <c r="J37" s="129">
        <f>+I37+'22'!J37</f>
        <v>750.69233971514188</v>
      </c>
      <c r="K37" s="130" t="s">
        <v>75</v>
      </c>
      <c r="N37" s="153" t="s">
        <v>669</v>
      </c>
      <c r="O37" s="153">
        <v>1350</v>
      </c>
      <c r="P37" s="153">
        <v>1012.5</v>
      </c>
      <c r="Q37" s="153">
        <v>386</v>
      </c>
    </row>
    <row r="38" spans="1:17" ht="17.45" customHeight="1">
      <c r="A38" s="797" t="s">
        <v>12</v>
      </c>
      <c r="B38" s="798"/>
      <c r="C38" s="168">
        <f>SUMIF($G$7:$G$31,"Process",$F$7:$F$31)</f>
        <v>20</v>
      </c>
      <c r="D38" s="122">
        <f>C38+'22'!D38</f>
        <v>1141</v>
      </c>
      <c r="E38" s="147">
        <f t="shared" ref="E38:E52" si="12">D38/60</f>
        <v>19.016666666666666</v>
      </c>
      <c r="F38" s="311">
        <v>1344.8958333333333</v>
      </c>
      <c r="G38" s="311">
        <v>1008.671875</v>
      </c>
      <c r="H38" s="189" t="s">
        <v>76</v>
      </c>
      <c r="I38" s="534">
        <f>14.872+16.927+16.604</f>
        <v>48.402999999999999</v>
      </c>
      <c r="J38" s="131">
        <f>+I38+'22'!J38</f>
        <v>661.75900000000001</v>
      </c>
      <c r="K38" s="132" t="s">
        <v>75</v>
      </c>
      <c r="N38" s="153" t="s">
        <v>453</v>
      </c>
      <c r="O38" s="153">
        <v>1261.1496531219029</v>
      </c>
      <c r="P38" s="153">
        <v>957.75520317145686</v>
      </c>
      <c r="Q38" s="153">
        <v>1009</v>
      </c>
    </row>
    <row r="39" spans="1:17" ht="17.45" customHeight="1">
      <c r="A39" s="799" t="s">
        <v>13</v>
      </c>
      <c r="B39" s="800"/>
      <c r="C39" s="168">
        <f>SUMIF($G$7:$G$31,"Cleaning",$F$7:$F$31)</f>
        <v>0</v>
      </c>
      <c r="D39" s="122">
        <f>C39+'22'!D39</f>
        <v>0</v>
      </c>
      <c r="E39" s="147">
        <f t="shared" si="12"/>
        <v>0</v>
      </c>
      <c r="F39" s="311">
        <v>1268.3333333333333</v>
      </c>
      <c r="G39" s="311">
        <v>951.25</v>
      </c>
      <c r="H39" s="189" t="s">
        <v>77</v>
      </c>
      <c r="I39" s="146"/>
      <c r="J39" s="133">
        <f>J37/G4</f>
        <v>32.638797378919215</v>
      </c>
      <c r="K39" s="134" t="s">
        <v>75</v>
      </c>
      <c r="Q39" s="153">
        <f>+Q36+Q37+Q38</f>
        <v>1440</v>
      </c>
    </row>
    <row r="40" spans="1:17" ht="17.45" customHeight="1">
      <c r="A40" s="799" t="s">
        <v>78</v>
      </c>
      <c r="B40" s="800"/>
      <c r="C40" s="168">
        <f>SUMIF($G$7:$G$31,"Mechanical",$F$7:$F$31)</f>
        <v>0</v>
      </c>
      <c r="D40" s="122">
        <f>C40+'22'!D40</f>
        <v>17</v>
      </c>
      <c r="E40" s="147">
        <f t="shared" si="12"/>
        <v>0.28333333333333333</v>
      </c>
      <c r="F40" s="311">
        <v>1250</v>
      </c>
      <c r="G40" s="311">
        <v>962.5</v>
      </c>
      <c r="H40" s="189" t="s">
        <v>79</v>
      </c>
      <c r="I40" s="122">
        <f>(K34+L34)/1000</f>
        <v>42.213000000000001</v>
      </c>
      <c r="J40" s="135">
        <f>+I40+'22'!J40</f>
        <v>621.14100000000008</v>
      </c>
      <c r="K40" s="134" t="s">
        <v>75</v>
      </c>
    </row>
    <row r="41" spans="1:17" ht="17.45" customHeight="1">
      <c r="A41" s="799" t="s">
        <v>80</v>
      </c>
      <c r="B41" s="800"/>
      <c r="C41" s="168">
        <f>SUMIF($G$7:$G$31,"Electrical",$F$7:$F$31)</f>
        <v>0</v>
      </c>
      <c r="D41" s="122">
        <f>C41+'22'!D41</f>
        <v>60</v>
      </c>
      <c r="E41" s="147">
        <f t="shared" si="12"/>
        <v>1</v>
      </c>
      <c r="F41" s="311"/>
      <c r="G41" s="311"/>
      <c r="H41" s="189" t="s">
        <v>81</v>
      </c>
      <c r="I41" s="146"/>
      <c r="J41" s="133">
        <f>J40/G4</f>
        <v>27.006130434782612</v>
      </c>
      <c r="K41" s="134" t="s">
        <v>75</v>
      </c>
    </row>
    <row r="42" spans="1:17" ht="17.45" customHeight="1">
      <c r="A42" s="799" t="s">
        <v>16</v>
      </c>
      <c r="B42" s="800"/>
      <c r="C42" s="168">
        <f>SUMIF($G$7:$G$31,"Instrument",$F$7:$F$31)</f>
        <v>0</v>
      </c>
      <c r="D42" s="122">
        <f>C42+'22'!D42</f>
        <v>0</v>
      </c>
      <c r="E42" s="147">
        <f t="shared" si="12"/>
        <v>0</v>
      </c>
      <c r="F42" s="187">
        <f>+(F38*480+F39*480+F40*480)/1440</f>
        <v>1287.7430555555557</v>
      </c>
      <c r="G42" s="187">
        <f>+(G38*480+G39*480+G40*480)/1440</f>
        <v>974.140625</v>
      </c>
      <c r="H42" s="189" t="s">
        <v>82</v>
      </c>
      <c r="I42" s="245" t="s">
        <v>673</v>
      </c>
      <c r="J42" s="136"/>
      <c r="K42" s="134" t="s">
        <v>83</v>
      </c>
    </row>
    <row r="43" spans="1:17" ht="17.45" customHeight="1">
      <c r="A43" s="799" t="s">
        <v>84</v>
      </c>
      <c r="B43" s="800"/>
      <c r="C43" s="168">
        <f>SUMIF($G$7:$G$31,"Water",$F$7:$F$31)</f>
        <v>0</v>
      </c>
      <c r="D43" s="122">
        <f>C43+'22'!D43</f>
        <v>0</v>
      </c>
      <c r="E43" s="147">
        <f t="shared" si="12"/>
        <v>0</v>
      </c>
      <c r="F43" s="311"/>
      <c r="G43" s="312"/>
      <c r="H43" s="190" t="s">
        <v>85</v>
      </c>
      <c r="I43" s="122">
        <f>+Report1!Z31</f>
        <v>96.3</v>
      </c>
      <c r="J43" s="137">
        <f>+I43+'22'!J43</f>
        <v>1429.5</v>
      </c>
      <c r="K43" s="134" t="s">
        <v>75</v>
      </c>
      <c r="L43" s="191"/>
    </row>
    <row r="44" spans="1:17" ht="17.45" customHeight="1">
      <c r="A44" s="799" t="s">
        <v>17</v>
      </c>
      <c r="B44" s="800"/>
      <c r="C44" s="168">
        <f>SUMIF($G$7:$G$31,"PLN",$F$7:$F$31)</f>
        <v>0</v>
      </c>
      <c r="D44" s="122">
        <f>C44+'22'!D44</f>
        <v>0</v>
      </c>
      <c r="E44" s="147">
        <f t="shared" si="12"/>
        <v>0</v>
      </c>
      <c r="F44" s="311"/>
      <c r="G44" s="312"/>
      <c r="H44" s="190" t="s">
        <v>86</v>
      </c>
      <c r="I44" s="122">
        <f>I43/I38</f>
        <v>1.9895461025143069</v>
      </c>
      <c r="J44" s="138">
        <f>J43/J38</f>
        <v>2.1601519586435547</v>
      </c>
      <c r="K44" s="134" t="s">
        <v>75</v>
      </c>
    </row>
    <row r="45" spans="1:17" ht="17.45" customHeight="1">
      <c r="A45" s="799" t="s">
        <v>18</v>
      </c>
      <c r="B45" s="800"/>
      <c r="C45" s="168">
        <f>SUMIF($G$7:$G$31,"Boiler",$F$7:$F$31)</f>
        <v>0</v>
      </c>
      <c r="D45" s="122">
        <f>C45+'22'!D45</f>
        <v>0</v>
      </c>
      <c r="E45" s="147">
        <f t="shared" si="12"/>
        <v>0</v>
      </c>
      <c r="F45" s="311"/>
      <c r="G45" s="314"/>
      <c r="H45" s="190" t="s">
        <v>87</v>
      </c>
      <c r="I45" s="122">
        <f>I43/I40</f>
        <v>2.2812877549570039</v>
      </c>
      <c r="J45" s="138">
        <f>J43/J40</f>
        <v>2.3014098248223829</v>
      </c>
      <c r="K45" s="134" t="s">
        <v>75</v>
      </c>
    </row>
    <row r="46" spans="1:17" ht="17.45" customHeight="1">
      <c r="A46" s="799" t="s">
        <v>88</v>
      </c>
      <c r="B46" s="800"/>
      <c r="C46" s="168">
        <f>SUMIF($G$7:$G$31,"Gas",$F$7:$F$31)</f>
        <v>0</v>
      </c>
      <c r="D46" s="122">
        <f>C46+'22'!D46</f>
        <v>0</v>
      </c>
      <c r="E46" s="147">
        <f t="shared" si="12"/>
        <v>0</v>
      </c>
      <c r="F46" s="311"/>
      <c r="G46" s="312"/>
      <c r="H46" s="190" t="s">
        <v>89</v>
      </c>
      <c r="I46" s="144">
        <f>+SUMIF(Listrik!X30,"&gt;0")</f>
        <v>44425.910000000142</v>
      </c>
      <c r="J46" s="139">
        <f>+I46+'22'!J46</f>
        <v>621625.79240000027</v>
      </c>
      <c r="K46" s="134" t="s">
        <v>90</v>
      </c>
    </row>
    <row r="47" spans="1:17" ht="17.45" customHeight="1">
      <c r="A47" s="799" t="s">
        <v>91</v>
      </c>
      <c r="B47" s="800"/>
      <c r="C47" s="168">
        <f>SUMIF($G$7:$G$31,"Gas",$F$7:$F$31)</f>
        <v>0</v>
      </c>
      <c r="D47" s="122">
        <f>C47+'22'!D47</f>
        <v>0</v>
      </c>
      <c r="E47" s="147">
        <f t="shared" si="12"/>
        <v>0</v>
      </c>
      <c r="F47" s="311"/>
      <c r="G47" s="312"/>
      <c r="H47" s="190" t="s">
        <v>92</v>
      </c>
      <c r="I47" s="122">
        <f>I46/I38</f>
        <v>917.83381195380741</v>
      </c>
      <c r="J47" s="139">
        <f>J46/J38</f>
        <v>939.35374116559092</v>
      </c>
      <c r="K47" s="134" t="s">
        <v>24</v>
      </c>
    </row>
    <row r="48" spans="1:17" ht="17.45" customHeight="1">
      <c r="A48" s="799" t="s">
        <v>14</v>
      </c>
      <c r="B48" s="800"/>
      <c r="C48" s="168">
        <f>SUMIF($G$7:$G$31,"Start Up",$F$7:$F$31)</f>
        <v>0</v>
      </c>
      <c r="D48" s="122">
        <f>C48+'22'!D48</f>
        <v>0</v>
      </c>
      <c r="E48" s="147">
        <f t="shared" si="12"/>
        <v>0</v>
      </c>
      <c r="F48" s="311"/>
      <c r="G48" s="312"/>
      <c r="H48" s="190" t="s">
        <v>93</v>
      </c>
      <c r="I48" s="122">
        <f>I46/I40</f>
        <v>1052.422476488289</v>
      </c>
      <c r="J48" s="139">
        <f>J46/J40</f>
        <v>1000.7804868781809</v>
      </c>
      <c r="K48" s="134" t="s">
        <v>24</v>
      </c>
    </row>
    <row r="49" spans="1:11" ht="17.45" customHeight="1">
      <c r="A49" s="799" t="s">
        <v>20</v>
      </c>
      <c r="B49" s="800"/>
      <c r="C49" s="168">
        <f>SUMIF($G$7:$G$31,"Others",$F$7:$F$31)</f>
        <v>0</v>
      </c>
      <c r="D49" s="122">
        <f>C49+'22'!D49</f>
        <v>11845</v>
      </c>
      <c r="E49" s="147">
        <f t="shared" si="12"/>
        <v>197.41666666666666</v>
      </c>
      <c r="F49" s="187"/>
      <c r="H49" s="190" t="s">
        <v>279</v>
      </c>
      <c r="I49" s="122">
        <f>+Report1!T31</f>
        <v>4680.1040255321714</v>
      </c>
      <c r="J49" s="139">
        <f>+I49+'22'!J49</f>
        <v>61348.665408023437</v>
      </c>
      <c r="K49" s="134" t="s">
        <v>94</v>
      </c>
    </row>
    <row r="50" spans="1:11" ht="17.45" customHeight="1">
      <c r="A50" s="799" t="s">
        <v>19</v>
      </c>
      <c r="B50" s="800"/>
      <c r="C50" s="168">
        <f>SUMIF($G$7:$G$31,"Steam",$F$7:$F$31)</f>
        <v>0</v>
      </c>
      <c r="D50" s="122">
        <f>C50+'22'!D50</f>
        <v>0</v>
      </c>
      <c r="E50" s="147">
        <f t="shared" si="12"/>
        <v>0</v>
      </c>
      <c r="F50" s="187"/>
      <c r="H50" s="190" t="s">
        <v>95</v>
      </c>
      <c r="I50" s="144">
        <f>I49/I38</f>
        <v>96.690370959076333</v>
      </c>
      <c r="J50" s="137">
        <f>J49/J38</f>
        <v>92.705449276886952</v>
      </c>
      <c r="K50" s="134" t="s">
        <v>94</v>
      </c>
    </row>
    <row r="51" spans="1:11" ht="17.45" customHeight="1">
      <c r="A51" s="801" t="s">
        <v>96</v>
      </c>
      <c r="B51" s="801"/>
      <c r="C51" s="168">
        <f>SUMIF($G$7:$G$31,"Planned shut",$F$7:$F$31)</f>
        <v>0</v>
      </c>
      <c r="D51" s="122">
        <f>C51+'22'!D51</f>
        <v>0</v>
      </c>
      <c r="E51" s="147">
        <f t="shared" si="12"/>
        <v>0</v>
      </c>
      <c r="F51" s="187"/>
      <c r="H51" s="192" t="s">
        <v>97</v>
      </c>
      <c r="I51" s="145">
        <f>I49/I40</f>
        <v>110.86878510250803</v>
      </c>
      <c r="J51" s="140">
        <f>J49/J40</f>
        <v>98.767695914491924</v>
      </c>
      <c r="K51" s="141" t="s">
        <v>94</v>
      </c>
    </row>
    <row r="52" spans="1:11" ht="13.5" thickBot="1">
      <c r="A52" s="802" t="s">
        <v>229</v>
      </c>
      <c r="B52" s="803"/>
      <c r="C52" s="168">
        <f>SUMIF($G$7:$G$31,"Change Grade",$F$7:$F$31)</f>
        <v>0</v>
      </c>
      <c r="D52" s="122">
        <f>C52+'22'!D52</f>
        <v>0</v>
      </c>
      <c r="E52" s="147">
        <f t="shared" si="12"/>
        <v>0</v>
      </c>
      <c r="F52" s="187"/>
      <c r="H52" s="193"/>
      <c r="I52" s="194"/>
      <c r="J52" s="142"/>
      <c r="K52" s="143"/>
    </row>
    <row r="53" spans="1:11">
      <c r="A53" s="797" t="s">
        <v>28</v>
      </c>
      <c r="B53" s="798"/>
      <c r="C53" s="148">
        <f>SUM(C38:C52)</f>
        <v>20</v>
      </c>
      <c r="D53" s="148">
        <f>SUM(D38:D52)</f>
        <v>13063</v>
      </c>
      <c r="E53" s="149">
        <f>SUM(E38:E52)</f>
        <v>217.71666666666667</v>
      </c>
      <c r="F53" s="187"/>
    </row>
    <row r="54" spans="1:11" ht="13.5" thickBot="1">
      <c r="A54" s="795"/>
      <c r="B54" s="796"/>
      <c r="C54" s="150">
        <f>C53/(24*60)</f>
        <v>1.3888888888888888E-2</v>
      </c>
      <c r="D54" s="150">
        <f>D53/(24*60*G4)</f>
        <v>0.39441425120772949</v>
      </c>
      <c r="E54" s="151">
        <f>E53/(G4*24)</f>
        <v>0.39441425120772949</v>
      </c>
      <c r="F54" s="187"/>
    </row>
    <row r="55" spans="1:11">
      <c r="E55" s="195"/>
    </row>
    <row r="56" spans="1:11">
      <c r="A56" s="196" t="s">
        <v>98</v>
      </c>
      <c r="B56" s="197"/>
      <c r="C56" s="198"/>
      <c r="D56" s="198"/>
      <c r="E56" s="198"/>
      <c r="F56" s="199"/>
      <c r="G56" s="198"/>
      <c r="H56" s="200"/>
      <c r="I56" s="201" t="s">
        <v>99</v>
      </c>
      <c r="J56" s="202">
        <f>+D34+'22'!J56</f>
        <v>2052</v>
      </c>
      <c r="K56" s="203">
        <f>J56/(J40+J56/1000)/1000</f>
        <v>3.2927199118090215E-3</v>
      </c>
    </row>
    <row r="57" spans="1:11">
      <c r="A57" s="178"/>
      <c r="I57" s="201" t="s">
        <v>100</v>
      </c>
      <c r="J57" s="202">
        <f>+E34+'22'!J57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B10" zoomScale="80" zoomScaleNormal="80" zoomScaleSheetLayoutView="80" workbookViewId="0">
      <selection activeCell="H22" sqref="H2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7109375" style="153" bestFit="1" customWidth="1"/>
    <col min="12" max="12" width="8.28515625" style="153" customWidth="1"/>
    <col min="13" max="13" width="15.28515625" style="153" customWidth="1"/>
    <col min="14" max="16384" width="9.140625" style="153"/>
  </cols>
  <sheetData>
    <row r="1" spans="1:27" ht="15.75">
      <c r="A1" s="152"/>
      <c r="V1" s="530"/>
      <c r="X1" s="533"/>
    </row>
    <row r="2" spans="1:27" ht="15.75">
      <c r="A2" s="152" t="s">
        <v>230</v>
      </c>
      <c r="V2" s="530"/>
      <c r="X2" s="533"/>
    </row>
    <row r="3" spans="1:27" ht="15">
      <c r="A3" s="154"/>
      <c r="Y3" s="531"/>
    </row>
    <row r="4" spans="1:27" ht="20.25">
      <c r="A4" s="155" t="s">
        <v>4</v>
      </c>
      <c r="B4" s="156"/>
      <c r="F4" s="157" t="s">
        <v>30</v>
      </c>
      <c r="G4" s="158">
        <v>22</v>
      </c>
      <c r="H4" s="158" t="str">
        <f>+'1'!H4</f>
        <v>.10.25</v>
      </c>
      <c r="J4" s="153">
        <f>400+438+363</f>
        <v>1201</v>
      </c>
      <c r="Z4" s="531"/>
      <c r="AA4" s="531"/>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629</v>
      </c>
      <c r="O6" s="153">
        <v>1320</v>
      </c>
      <c r="P6" s="153">
        <f>+O6-O6*0.285</f>
        <v>943.8</v>
      </c>
      <c r="Q6" s="153">
        <f>60*6+40</f>
        <v>400</v>
      </c>
      <c r="R6" s="153">
        <f>+O6*Q6</f>
        <v>528000</v>
      </c>
      <c r="S6" s="153">
        <f>+P6*Q6</f>
        <v>377520</v>
      </c>
      <c r="U6" s="153" t="s">
        <v>629</v>
      </c>
      <c r="V6" s="153">
        <v>1320</v>
      </c>
      <c r="W6" s="153">
        <f>+V6-V6*0.285</f>
        <v>943.8</v>
      </c>
      <c r="X6" s="153">
        <f>60*6+40</f>
        <v>400</v>
      </c>
      <c r="Y6" s="153">
        <f>+V6*X6</f>
        <v>528000</v>
      </c>
      <c r="Z6" s="153">
        <f>+W6*X6</f>
        <v>377520</v>
      </c>
    </row>
    <row r="7" spans="1:27" ht="13.5" customHeight="1" thickBot="1">
      <c r="A7" s="804"/>
      <c r="B7" s="217" t="s">
        <v>644</v>
      </c>
      <c r="C7" s="218">
        <v>12689</v>
      </c>
      <c r="D7" s="219"/>
      <c r="E7" s="220"/>
      <c r="F7" s="235"/>
      <c r="G7" s="582" t="s">
        <v>12</v>
      </c>
      <c r="H7" s="583" t="s">
        <v>418</v>
      </c>
      <c r="I7" s="807" t="s">
        <v>657</v>
      </c>
      <c r="J7" s="216" t="str">
        <f>+'21'!J7</f>
        <v>TW 17 RC HW</v>
      </c>
      <c r="K7" s="237"/>
      <c r="L7" s="241"/>
      <c r="M7" s="121">
        <f>+K7+'21'!M7+L7</f>
        <v>3364</v>
      </c>
      <c r="N7" s="153" t="s">
        <v>653</v>
      </c>
      <c r="O7" s="153">
        <v>1350</v>
      </c>
      <c r="P7" s="153">
        <f>+O7-O7*0.26</f>
        <v>999</v>
      </c>
      <c r="Q7" s="153">
        <f>60-40+60</f>
        <v>80</v>
      </c>
      <c r="R7" s="153">
        <f t="shared" ref="R7:R10" si="0">+O7*Q7</f>
        <v>108000</v>
      </c>
      <c r="S7" s="153">
        <f t="shared" ref="S7:S10" si="1">+P7*Q7</f>
        <v>79920</v>
      </c>
      <c r="U7" s="153" t="s">
        <v>629</v>
      </c>
      <c r="V7" s="153">
        <v>1350</v>
      </c>
      <c r="W7" s="153">
        <v>1039.5</v>
      </c>
      <c r="X7" s="153">
        <v>360</v>
      </c>
      <c r="Y7" s="153">
        <f t="shared" ref="Y7:Y10" si="2">+V7*X7</f>
        <v>486000</v>
      </c>
      <c r="Z7" s="153">
        <f t="shared" ref="Z7:Z10" si="3">+W7*X7</f>
        <v>374220</v>
      </c>
    </row>
    <row r="8" spans="1:27" ht="13.5" thickBot="1">
      <c r="A8" s="805"/>
      <c r="B8" s="217"/>
      <c r="C8" s="218"/>
      <c r="D8" s="219"/>
      <c r="E8" s="221"/>
      <c r="F8" s="231">
        <v>6</v>
      </c>
      <c r="G8" s="584" t="s">
        <v>12</v>
      </c>
      <c r="H8" s="230" t="s">
        <v>398</v>
      </c>
      <c r="I8" s="808"/>
      <c r="J8" s="216" t="str">
        <f>+'21'!J8</f>
        <v>T 14 VP OW</v>
      </c>
      <c r="K8" s="238"/>
      <c r="L8" s="238"/>
      <c r="M8" s="121">
        <f>+K8+'21'!M8+L8</f>
        <v>23832</v>
      </c>
      <c r="R8" s="153">
        <f t="shared" si="0"/>
        <v>0</v>
      </c>
      <c r="S8" s="153">
        <f t="shared" si="1"/>
        <v>0</v>
      </c>
      <c r="Y8" s="153">
        <f t="shared" si="2"/>
        <v>0</v>
      </c>
      <c r="Z8" s="153">
        <f t="shared" si="3"/>
        <v>0</v>
      </c>
    </row>
    <row r="9" spans="1:27" ht="13.5" thickBot="1">
      <c r="A9" s="805"/>
      <c r="B9" s="217"/>
      <c r="C9" s="218"/>
      <c r="D9" s="219"/>
      <c r="E9" s="222"/>
      <c r="F9" s="231">
        <v>11</v>
      </c>
      <c r="G9" s="584" t="s">
        <v>12</v>
      </c>
      <c r="H9" s="233" t="s">
        <v>484</v>
      </c>
      <c r="I9" s="808"/>
      <c r="J9" s="216" t="str">
        <f>+'21'!J9</f>
        <v>T 14,5 VP OW</v>
      </c>
      <c r="K9" s="238"/>
      <c r="L9" s="238"/>
      <c r="M9" s="121">
        <f>+K9+'21'!M9+L9</f>
        <v>190152</v>
      </c>
      <c r="R9" s="153">
        <f t="shared" si="0"/>
        <v>0</v>
      </c>
      <c r="S9" s="153">
        <f t="shared" si="1"/>
        <v>0</v>
      </c>
      <c r="Y9" s="153">
        <f t="shared" si="2"/>
        <v>0</v>
      </c>
      <c r="Z9" s="153">
        <f t="shared" si="3"/>
        <v>0</v>
      </c>
    </row>
    <row r="10" spans="1:27" ht="64.5" thickBot="1">
      <c r="A10" s="805"/>
      <c r="B10" s="217"/>
      <c r="C10" s="218"/>
      <c r="D10" s="219"/>
      <c r="E10" s="221"/>
      <c r="F10" s="231"/>
      <c r="G10" s="229"/>
      <c r="H10" s="233" t="s">
        <v>649</v>
      </c>
      <c r="I10" s="808"/>
      <c r="J10" s="216" t="str">
        <f>+'21'!J10</f>
        <v>T 13,5 VP OW</v>
      </c>
      <c r="K10" s="238"/>
      <c r="L10" s="238"/>
      <c r="M10" s="121">
        <f>+K10+'21'!M10+L10</f>
        <v>39850</v>
      </c>
      <c r="R10" s="153">
        <f t="shared" si="0"/>
        <v>0</v>
      </c>
      <c r="S10" s="153">
        <f t="shared" si="1"/>
        <v>0</v>
      </c>
      <c r="Y10" s="153">
        <f t="shared" si="2"/>
        <v>0</v>
      </c>
      <c r="Z10" s="153">
        <f t="shared" si="3"/>
        <v>0</v>
      </c>
    </row>
    <row r="11" spans="1:27" ht="79.5" customHeight="1" thickBot="1">
      <c r="A11" s="805"/>
      <c r="B11" s="217"/>
      <c r="C11" s="218"/>
      <c r="D11" s="219"/>
      <c r="E11" s="221"/>
      <c r="F11" s="228"/>
      <c r="G11" s="232"/>
      <c r="H11" s="233" t="s">
        <v>648</v>
      </c>
      <c r="I11" s="808"/>
      <c r="J11" s="216" t="str">
        <f>+'21'!J11</f>
        <v>T 16,5 VP OW</v>
      </c>
      <c r="K11" s="238"/>
      <c r="L11" s="238"/>
      <c r="M11" s="121">
        <f>+K11+'21'!M11+L11</f>
        <v>9927</v>
      </c>
      <c r="P11" s="153">
        <f t="shared" ref="P11" si="4">+O11-O11*0.17</f>
        <v>0</v>
      </c>
      <c r="W11" s="153">
        <f t="shared" ref="W11" si="5">+V11-V11*0.17</f>
        <v>0</v>
      </c>
      <c r="AA11" s="569"/>
    </row>
    <row r="12" spans="1:27" ht="26.25" thickBot="1">
      <c r="A12" s="805"/>
      <c r="B12" s="217"/>
      <c r="C12" s="218"/>
      <c r="D12" s="219"/>
      <c r="E12" s="221"/>
      <c r="F12" s="228"/>
      <c r="G12" s="232"/>
      <c r="H12" s="233" t="s">
        <v>650</v>
      </c>
      <c r="I12" s="808"/>
      <c r="J12" s="216" t="str">
        <f>+'21'!J12</f>
        <v>T 12,5 VP OW</v>
      </c>
      <c r="K12" s="238">
        <f>+C16+C25</f>
        <v>21356</v>
      </c>
      <c r="L12" s="238"/>
      <c r="M12" s="121">
        <f>+K12+'21'!M12+L12</f>
        <v>34275</v>
      </c>
      <c r="Q12" s="153">
        <f>SUM(Q6:Q10)</f>
        <v>480</v>
      </c>
      <c r="R12" s="153">
        <f>SUM(R6:R10)</f>
        <v>636000</v>
      </c>
      <c r="S12" s="153">
        <f>SUM(S6:S10)</f>
        <v>457440</v>
      </c>
      <c r="X12" s="153">
        <f>SUM(X6:X10)</f>
        <v>760</v>
      </c>
      <c r="Y12" s="153">
        <f>SUM(Y6:Y10)</f>
        <v>1014000</v>
      </c>
      <c r="Z12" s="153">
        <f>SUM(Z6:Z10)</f>
        <v>751740</v>
      </c>
    </row>
    <row r="13" spans="1:27" ht="13.5" thickBot="1">
      <c r="A13" s="805"/>
      <c r="B13" s="217"/>
      <c r="C13" s="218"/>
      <c r="D13" s="218"/>
      <c r="E13" s="221"/>
      <c r="F13" s="228"/>
      <c r="G13" s="232"/>
      <c r="H13" s="233"/>
      <c r="I13" s="809"/>
      <c r="J13" s="216" t="str">
        <f>+'21'!J13</f>
        <v>TW 18 VP OW</v>
      </c>
      <c r="K13" s="238"/>
      <c r="L13" s="238"/>
      <c r="M13" s="121">
        <f>+K13+'21'!M13+L13</f>
        <v>234646</v>
      </c>
      <c r="N13" s="153" t="s">
        <v>421</v>
      </c>
      <c r="Q13" s="153">
        <f>480-Q12</f>
        <v>0</v>
      </c>
      <c r="R13" s="153">
        <f>+R12/Q12</f>
        <v>1325</v>
      </c>
      <c r="S13" s="153">
        <f>+S12/Q12</f>
        <v>953</v>
      </c>
      <c r="U13" s="153" t="s">
        <v>421</v>
      </c>
      <c r="X13" s="153">
        <f>480-X12</f>
        <v>-280</v>
      </c>
      <c r="Y13" s="153">
        <f>+Y12/X12</f>
        <v>1334.2105263157894</v>
      </c>
      <c r="Z13" s="153">
        <f>+Z12/X12</f>
        <v>989.13157894736844</v>
      </c>
    </row>
    <row r="14" spans="1:27" ht="13.5" thickBot="1">
      <c r="A14" s="806"/>
      <c r="B14" s="169" t="s">
        <v>3</v>
      </c>
      <c r="C14" s="103">
        <f>SUM(C7:C13)</f>
        <v>12689</v>
      </c>
      <c r="D14" s="115">
        <f>SUM(D7:D13)</f>
        <v>0</v>
      </c>
      <c r="E14" s="116">
        <f>SUM(E5:E13)</f>
        <v>0</v>
      </c>
      <c r="F14" s="120">
        <f>SUM(F7:F13)</f>
        <v>17</v>
      </c>
      <c r="G14" s="163"/>
      <c r="H14" s="170"/>
      <c r="I14" s="171"/>
      <c r="J14" s="216" t="str">
        <f>+'21'!J14</f>
        <v>F 15 VP OW</v>
      </c>
      <c r="K14" s="238"/>
      <c r="L14" s="238"/>
      <c r="M14" s="121">
        <f>+K14+'21'!M14+L14</f>
        <v>5496</v>
      </c>
    </row>
    <row r="15" spans="1:27" ht="13.5" customHeight="1" thickBot="1">
      <c r="A15" s="810"/>
      <c r="B15" s="528"/>
      <c r="C15" s="117">
        <f>C14/($C$23+$D$23+$E$23)</f>
        <v>1.0443621399176954</v>
      </c>
      <c r="D15" s="118">
        <f>D14/($C$23+$D$23+$E$23)</f>
        <v>0</v>
      </c>
      <c r="E15" s="119">
        <f>E14/($C$23+$D$23+$E$23)</f>
        <v>0</v>
      </c>
      <c r="F15" s="235"/>
      <c r="G15" s="582" t="s">
        <v>12</v>
      </c>
      <c r="H15" s="583" t="s">
        <v>418</v>
      </c>
      <c r="I15" s="807" t="s">
        <v>656</v>
      </c>
      <c r="J15" s="216" t="str">
        <f>+'21'!J15</f>
        <v>T 12 VP OW</v>
      </c>
      <c r="K15" s="238">
        <f>+C7+C26</f>
        <v>16572</v>
      </c>
      <c r="L15" s="238"/>
      <c r="M15" s="121">
        <f>+K15+'21'!M15+L15</f>
        <v>37386</v>
      </c>
      <c r="N15" s="153" t="s">
        <v>653</v>
      </c>
      <c r="O15" s="153">
        <v>1350</v>
      </c>
      <c r="P15" s="153">
        <f>+O15-O15*0.26</f>
        <v>999</v>
      </c>
      <c r="Q15" s="153">
        <v>11</v>
      </c>
      <c r="R15" s="153">
        <f>+O15*Q15</f>
        <v>14850</v>
      </c>
      <c r="S15" s="153">
        <f>+P15*Q15</f>
        <v>10989</v>
      </c>
    </row>
    <row r="16" spans="1:27" ht="13.5" thickBot="1">
      <c r="A16" s="805"/>
      <c r="B16" s="527" t="s">
        <v>579</v>
      </c>
      <c r="C16" s="526">
        <v>12150</v>
      </c>
      <c r="D16" s="223"/>
      <c r="E16" s="224"/>
      <c r="F16" s="231">
        <v>2</v>
      </c>
      <c r="G16" s="584" t="s">
        <v>12</v>
      </c>
      <c r="H16" s="230" t="s">
        <v>529</v>
      </c>
      <c r="I16" s="808"/>
      <c r="J16" s="216">
        <f>+'21'!J16</f>
        <v>0</v>
      </c>
      <c r="K16" s="238"/>
      <c r="L16" s="229"/>
      <c r="M16" s="121">
        <f>+K16+'21'!M16+L16</f>
        <v>0</v>
      </c>
      <c r="N16" s="153" t="s">
        <v>551</v>
      </c>
      <c r="O16" s="153">
        <v>1350</v>
      </c>
      <c r="P16" s="153">
        <f>+O16-O16*0.26</f>
        <v>999</v>
      </c>
      <c r="Q16" s="153">
        <f>480-Q15</f>
        <v>469</v>
      </c>
      <c r="R16" s="153">
        <f t="shared" ref="R16:R19" si="6">+O16*Q16</f>
        <v>633150</v>
      </c>
      <c r="S16" s="153">
        <f t="shared" ref="S16:S19" si="7">+P16*Q16</f>
        <v>468531</v>
      </c>
    </row>
    <row r="17" spans="1:26" ht="13.5" thickBot="1">
      <c r="A17" s="805"/>
      <c r="B17" s="217"/>
      <c r="C17" s="218"/>
      <c r="D17" s="219"/>
      <c r="E17" s="225"/>
      <c r="F17" s="231">
        <v>5</v>
      </c>
      <c r="G17" s="584" t="s">
        <v>12</v>
      </c>
      <c r="H17" s="233" t="s">
        <v>484</v>
      </c>
      <c r="I17" s="808"/>
      <c r="J17" s="216">
        <f>+'21'!J17</f>
        <v>0</v>
      </c>
      <c r="K17" s="238"/>
      <c r="L17" s="229"/>
      <c r="M17" s="121">
        <f>+K17+'21'!M17+L17</f>
        <v>0</v>
      </c>
      <c r="R17" s="153">
        <f t="shared" si="6"/>
        <v>0</v>
      </c>
      <c r="S17" s="153">
        <f t="shared" si="7"/>
        <v>0</v>
      </c>
    </row>
    <row r="18" spans="1:26" ht="77.25" thickBot="1">
      <c r="A18" s="805"/>
      <c r="B18" s="217"/>
      <c r="C18" s="218"/>
      <c r="D18" s="219"/>
      <c r="E18" s="225"/>
      <c r="F18" s="231"/>
      <c r="G18" s="229"/>
      <c r="H18" s="233" t="s">
        <v>654</v>
      </c>
      <c r="I18" s="808"/>
      <c r="J18" s="216">
        <f>+'21'!J18</f>
        <v>0</v>
      </c>
      <c r="K18" s="238"/>
      <c r="L18" s="238"/>
      <c r="M18" s="121">
        <f>+K18+'21'!M18+L18</f>
        <v>0</v>
      </c>
      <c r="R18" s="153">
        <f t="shared" si="6"/>
        <v>0</v>
      </c>
      <c r="S18" s="153">
        <f t="shared" si="7"/>
        <v>0</v>
      </c>
    </row>
    <row r="19" spans="1:26" ht="60.75" customHeight="1" thickBot="1">
      <c r="A19" s="805"/>
      <c r="B19" s="217"/>
      <c r="C19" s="218"/>
      <c r="D19" s="219"/>
      <c r="E19" s="225"/>
      <c r="F19" s="234"/>
      <c r="G19" s="232"/>
      <c r="H19" s="233" t="s">
        <v>647</v>
      </c>
      <c r="I19" s="808"/>
      <c r="J19" s="216">
        <f>+'21'!J19</f>
        <v>0</v>
      </c>
      <c r="K19" s="238"/>
      <c r="L19" s="238"/>
      <c r="M19" s="121">
        <f>+K19+'21'!M19+L19</f>
        <v>0</v>
      </c>
      <c r="R19" s="153">
        <f t="shared" si="6"/>
        <v>0</v>
      </c>
      <c r="S19" s="153">
        <f t="shared" si="7"/>
        <v>0</v>
      </c>
    </row>
    <row r="20" spans="1:26" ht="26.25" thickBot="1">
      <c r="A20" s="805"/>
      <c r="B20" s="217"/>
      <c r="C20" s="218"/>
      <c r="D20" s="219"/>
      <c r="E20" s="225"/>
      <c r="F20" s="228"/>
      <c r="G20" s="232"/>
      <c r="H20" s="233" t="s">
        <v>651</v>
      </c>
      <c r="I20" s="808"/>
      <c r="J20" s="216">
        <f>+'21'!J20</f>
        <v>0</v>
      </c>
      <c r="K20" s="239"/>
      <c r="L20" s="239"/>
      <c r="M20" s="121">
        <f>+K20+'21'!M20+L20</f>
        <v>0</v>
      </c>
      <c r="P20" s="153">
        <f t="shared" ref="P20" si="8">+O20-O20*0.17</f>
        <v>0</v>
      </c>
    </row>
    <row r="21" spans="1:26" ht="13.5" thickBot="1">
      <c r="A21" s="805"/>
      <c r="B21" s="217"/>
      <c r="C21" s="218"/>
      <c r="D21" s="219"/>
      <c r="E21" s="225"/>
      <c r="F21" s="231"/>
      <c r="G21" s="232"/>
      <c r="H21" s="233"/>
      <c r="I21" s="808"/>
      <c r="J21" s="216">
        <f>+'21'!J21</f>
        <v>0</v>
      </c>
      <c r="K21" s="238"/>
      <c r="L21" s="238"/>
      <c r="M21" s="121">
        <f>+K21+'21'!M21+L21</f>
        <v>0</v>
      </c>
      <c r="Q21" s="153">
        <f>SUM(Q15:Q19)</f>
        <v>480</v>
      </c>
      <c r="R21" s="153">
        <f>SUM(R15:R19)</f>
        <v>648000</v>
      </c>
      <c r="S21" s="153">
        <f>SUM(S15:S19)</f>
        <v>479520</v>
      </c>
    </row>
    <row r="22" spans="1:26" ht="13.5" thickBot="1">
      <c r="A22" s="805"/>
      <c r="B22" s="217"/>
      <c r="C22" s="218"/>
      <c r="D22" s="219"/>
      <c r="E22" s="225"/>
      <c r="F22" s="235"/>
      <c r="G22" s="232"/>
      <c r="H22" s="233"/>
      <c r="I22" s="809"/>
      <c r="J22" s="216">
        <f>+'21'!J22</f>
        <v>0</v>
      </c>
      <c r="K22" s="238"/>
      <c r="L22" s="238"/>
      <c r="M22" s="121">
        <f>+K22+'21'!M22+L22</f>
        <v>0</v>
      </c>
      <c r="N22" s="153" t="s">
        <v>421</v>
      </c>
      <c r="Q22" s="153">
        <f>480-Q21</f>
        <v>0</v>
      </c>
      <c r="R22" s="153">
        <f>+R21/Q21</f>
        <v>1350</v>
      </c>
      <c r="S22" s="153">
        <f>+S21/Q21</f>
        <v>999</v>
      </c>
    </row>
    <row r="23" spans="1:26" ht="13.5" thickBot="1">
      <c r="A23" s="806"/>
      <c r="B23" s="169" t="s">
        <v>3</v>
      </c>
      <c r="C23" s="103">
        <f>SUM(C16:C22)</f>
        <v>12150</v>
      </c>
      <c r="D23" s="115">
        <f>SUM(D16:D22)</f>
        <v>0</v>
      </c>
      <c r="E23" s="116">
        <f>SUM(E18:E22)</f>
        <v>0</v>
      </c>
      <c r="F23" s="120">
        <f>SUM(F15:F22)</f>
        <v>7</v>
      </c>
      <c r="G23" s="163"/>
      <c r="H23" s="170"/>
      <c r="I23" s="172"/>
      <c r="J23" s="216">
        <f>+'21'!J23</f>
        <v>0</v>
      </c>
      <c r="K23" s="238"/>
      <c r="L23" s="238"/>
      <c r="M23" s="121">
        <f>+K23+'21'!M23+L23</f>
        <v>0</v>
      </c>
    </row>
    <row r="24" spans="1:26" ht="13.5" customHeight="1" thickBot="1">
      <c r="A24" s="810"/>
      <c r="B24" s="528"/>
      <c r="C24" s="117">
        <f>C23/($C$23+$D$23+$E$23)</f>
        <v>1</v>
      </c>
      <c r="D24" s="118">
        <f>D23/($C$23+$D$23+$E$23)</f>
        <v>0</v>
      </c>
      <c r="E24" s="119">
        <f>E23/($C$23+$D$23+$E$23)</f>
        <v>0</v>
      </c>
      <c r="F24" s="235"/>
      <c r="G24" s="582" t="s">
        <v>12</v>
      </c>
      <c r="H24" s="583" t="s">
        <v>418</v>
      </c>
      <c r="I24" s="807" t="s">
        <v>655</v>
      </c>
      <c r="J24" s="216">
        <f>+'21'!J24</f>
        <v>0</v>
      </c>
      <c r="K24" s="238"/>
      <c r="L24" s="238"/>
      <c r="M24" s="121">
        <f>+K24+'21'!M24+L24</f>
        <v>0</v>
      </c>
      <c r="N24" s="153" t="s">
        <v>551</v>
      </c>
      <c r="O24" s="153">
        <v>1350</v>
      </c>
      <c r="P24" s="153">
        <f>+O24-O24*0.23</f>
        <v>1039.5</v>
      </c>
      <c r="Q24" s="153">
        <f>60*2</f>
        <v>120</v>
      </c>
      <c r="R24" s="153">
        <f>+O24*Q24</f>
        <v>162000</v>
      </c>
      <c r="S24" s="153">
        <f>+P24*Q24</f>
        <v>124740</v>
      </c>
      <c r="U24" s="153" t="s">
        <v>551</v>
      </c>
      <c r="V24" s="153">
        <v>1350</v>
      </c>
      <c r="W24" s="153">
        <v>999</v>
      </c>
      <c r="X24" s="153">
        <v>469</v>
      </c>
      <c r="Y24" s="153">
        <f>+V24*X24</f>
        <v>633150</v>
      </c>
      <c r="Z24" s="153">
        <f>+W24*X24</f>
        <v>468531</v>
      </c>
    </row>
    <row r="25" spans="1:26" ht="13.5" thickBot="1">
      <c r="A25" s="805"/>
      <c r="B25" s="527" t="s">
        <v>579</v>
      </c>
      <c r="C25" s="226">
        <v>9206</v>
      </c>
      <c r="D25" s="219"/>
      <c r="E25" s="225"/>
      <c r="F25" s="231">
        <v>2</v>
      </c>
      <c r="G25" s="584" t="s">
        <v>12</v>
      </c>
      <c r="H25" s="230" t="s">
        <v>529</v>
      </c>
      <c r="I25" s="808"/>
      <c r="J25" s="216">
        <f>+'21'!J25</f>
        <v>0</v>
      </c>
      <c r="K25" s="238"/>
      <c r="L25" s="238"/>
      <c r="M25" s="121">
        <f>+K25+'21'!M25+L25</f>
        <v>0</v>
      </c>
      <c r="N25" s="153" t="s">
        <v>629</v>
      </c>
      <c r="O25" s="153">
        <v>1350</v>
      </c>
      <c r="P25" s="153">
        <f>+O25-O25*0.23</f>
        <v>1039.5</v>
      </c>
      <c r="Q25" s="153">
        <f>480-Q24</f>
        <v>360</v>
      </c>
      <c r="R25" s="153">
        <f t="shared" ref="R25:R28" si="9">+O25*Q25</f>
        <v>486000</v>
      </c>
      <c r="S25" s="153">
        <f t="shared" ref="S25:S28" si="10">+P25*Q25</f>
        <v>374220</v>
      </c>
      <c r="U25" s="153" t="s">
        <v>551</v>
      </c>
      <c r="V25" s="153">
        <v>1350</v>
      </c>
      <c r="W25" s="153">
        <v>1039.5</v>
      </c>
      <c r="X25" s="153">
        <v>120</v>
      </c>
      <c r="Y25" s="153">
        <f t="shared" ref="Y25:Y28" si="11">+V25*X25</f>
        <v>162000</v>
      </c>
      <c r="Z25" s="153">
        <f t="shared" ref="Z25:Z28" si="12">+W25*X25</f>
        <v>124740</v>
      </c>
    </row>
    <row r="26" spans="1:26" ht="13.5" thickBot="1">
      <c r="A26" s="805"/>
      <c r="B26" s="217" t="s">
        <v>644</v>
      </c>
      <c r="C26" s="226">
        <v>3883</v>
      </c>
      <c r="D26" s="219"/>
      <c r="E26" s="227"/>
      <c r="F26" s="231">
        <v>6</v>
      </c>
      <c r="G26" s="584" t="s">
        <v>12</v>
      </c>
      <c r="H26" s="233" t="s">
        <v>484</v>
      </c>
      <c r="I26" s="808"/>
      <c r="J26" s="216">
        <f>+'21'!J26</f>
        <v>0</v>
      </c>
      <c r="K26" s="238"/>
      <c r="L26" s="238"/>
      <c r="M26" s="121">
        <f>+K26+'21'!M26+L26</f>
        <v>0</v>
      </c>
      <c r="R26" s="153">
        <f t="shared" si="9"/>
        <v>0</v>
      </c>
      <c r="S26" s="153">
        <f t="shared" si="10"/>
        <v>0</v>
      </c>
      <c r="Y26" s="153">
        <f t="shared" si="11"/>
        <v>0</v>
      </c>
      <c r="Z26" s="153">
        <f t="shared" si="12"/>
        <v>0</v>
      </c>
    </row>
    <row r="27" spans="1:26" ht="64.5" thickBot="1">
      <c r="A27" s="805"/>
      <c r="B27" s="217"/>
      <c r="C27" s="218"/>
      <c r="D27" s="219"/>
      <c r="E27" s="225"/>
      <c r="F27" s="231"/>
      <c r="G27" s="229"/>
      <c r="H27" s="233" t="s">
        <v>645</v>
      </c>
      <c r="I27" s="808"/>
      <c r="J27" s="216">
        <f>+'21'!J27</f>
        <v>0</v>
      </c>
      <c r="K27" s="238"/>
      <c r="L27" s="238"/>
      <c r="M27" s="121">
        <f>+K27+'21'!M27+L27</f>
        <v>0</v>
      </c>
      <c r="R27" s="153">
        <f t="shared" si="9"/>
        <v>0</v>
      </c>
      <c r="S27" s="153">
        <f t="shared" si="10"/>
        <v>0</v>
      </c>
      <c r="Y27" s="153">
        <f t="shared" si="11"/>
        <v>0</v>
      </c>
      <c r="Z27" s="153">
        <f t="shared" si="12"/>
        <v>0</v>
      </c>
    </row>
    <row r="28" spans="1:26" ht="66.75" customHeight="1" thickBot="1">
      <c r="A28" s="805"/>
      <c r="B28" s="217"/>
      <c r="C28" s="218"/>
      <c r="D28" s="219"/>
      <c r="E28" s="225"/>
      <c r="F28" s="231"/>
      <c r="G28" s="229"/>
      <c r="H28" s="233" t="s">
        <v>646</v>
      </c>
      <c r="I28" s="808"/>
      <c r="J28" s="216">
        <f>+'21'!J28</f>
        <v>0</v>
      </c>
      <c r="K28" s="238"/>
      <c r="L28" s="238"/>
      <c r="M28" s="121">
        <f>+K28+'21'!M28+L28</f>
        <v>0</v>
      </c>
      <c r="R28" s="153">
        <f t="shared" si="9"/>
        <v>0</v>
      </c>
      <c r="S28" s="153">
        <f t="shared" si="10"/>
        <v>0</v>
      </c>
      <c r="Y28" s="153">
        <f t="shared" si="11"/>
        <v>0</v>
      </c>
      <c r="Z28" s="153">
        <f t="shared" si="12"/>
        <v>0</v>
      </c>
    </row>
    <row r="29" spans="1:26" ht="26.25" thickBot="1">
      <c r="A29" s="805"/>
      <c r="B29" s="217"/>
      <c r="C29" s="218"/>
      <c r="D29" s="219"/>
      <c r="E29" s="225"/>
      <c r="F29" s="235"/>
      <c r="G29" s="232"/>
      <c r="H29" s="233" t="s">
        <v>652</v>
      </c>
      <c r="I29" s="808"/>
      <c r="J29" s="216">
        <f>+'21'!J29</f>
        <v>0</v>
      </c>
      <c r="K29" s="238"/>
      <c r="L29" s="238"/>
      <c r="M29" s="121">
        <f>+K29+'21'!M29+L29</f>
        <v>0</v>
      </c>
      <c r="P29" s="153">
        <f t="shared" ref="P29" si="13">+O29-O29*0.17</f>
        <v>0</v>
      </c>
      <c r="W29" s="153">
        <f t="shared" ref="W29" si="14">+V29-V29*0.17</f>
        <v>0</v>
      </c>
    </row>
    <row r="30" spans="1:26" ht="13.5" thickBot="1">
      <c r="A30" s="805"/>
      <c r="B30" s="217"/>
      <c r="C30" s="226"/>
      <c r="D30" s="219"/>
      <c r="E30" s="225"/>
      <c r="F30" s="235"/>
      <c r="G30" s="232"/>
      <c r="H30" s="233"/>
      <c r="I30" s="808"/>
      <c r="J30" s="216">
        <f>+'21'!J30</f>
        <v>0</v>
      </c>
      <c r="K30" s="238"/>
      <c r="L30" s="238"/>
      <c r="M30" s="121">
        <f>+K30+'21'!M30+L30</f>
        <v>0</v>
      </c>
      <c r="Q30" s="153">
        <f>SUM(Q24:Q28)</f>
        <v>480</v>
      </c>
      <c r="R30" s="153">
        <f>SUM(R24:R28)</f>
        <v>648000</v>
      </c>
      <c r="S30" s="153">
        <f>SUM(S24:S28)</f>
        <v>498960</v>
      </c>
      <c r="X30" s="153">
        <f>SUM(X24:X28)</f>
        <v>589</v>
      </c>
      <c r="Y30" s="153">
        <f>SUM(Y24:Y28)</f>
        <v>795150</v>
      </c>
      <c r="Z30" s="153">
        <f>SUM(Z24:Z28)</f>
        <v>593271</v>
      </c>
    </row>
    <row r="31" spans="1:26" ht="13.5" thickBot="1">
      <c r="A31" s="805"/>
      <c r="B31" s="217"/>
      <c r="C31" s="226"/>
      <c r="D31" s="219"/>
      <c r="E31" s="225"/>
      <c r="F31" s="235"/>
      <c r="G31" s="236"/>
      <c r="H31" s="413"/>
      <c r="I31" s="809"/>
      <c r="J31" s="216">
        <f>+'21'!J31</f>
        <v>0</v>
      </c>
      <c r="K31" s="238"/>
      <c r="L31" s="238"/>
      <c r="M31" s="121">
        <f>+K31+'21'!M31+L31</f>
        <v>0</v>
      </c>
      <c r="N31" s="153" t="s">
        <v>421</v>
      </c>
      <c r="Q31" s="153">
        <f>480-Q30</f>
        <v>0</v>
      </c>
      <c r="R31" s="153">
        <f>+R30/Q30</f>
        <v>1350</v>
      </c>
      <c r="S31" s="153">
        <f>+S30/Q30</f>
        <v>1039.5</v>
      </c>
      <c r="U31" s="153" t="s">
        <v>421</v>
      </c>
      <c r="X31" s="153">
        <f>480-X30</f>
        <v>-109</v>
      </c>
      <c r="Y31" s="153">
        <f>+Y30/X30</f>
        <v>1350</v>
      </c>
      <c r="Z31" s="153">
        <f>+Z30/X30</f>
        <v>1007.251273344652</v>
      </c>
    </row>
    <row r="32" spans="1:26" ht="13.5" thickBot="1">
      <c r="A32" s="806"/>
      <c r="B32" s="169" t="s">
        <v>3</v>
      </c>
      <c r="C32" s="103">
        <f>SUM(C25:C31)</f>
        <v>13089</v>
      </c>
      <c r="D32" s="104">
        <f>SUM(D25:D31)</f>
        <v>0</v>
      </c>
      <c r="E32" s="105">
        <f>SUM(E25:E31)</f>
        <v>0</v>
      </c>
      <c r="F32" s="103">
        <f>SUM(F24:F31)</f>
        <v>8</v>
      </c>
      <c r="G32" s="173"/>
      <c r="H32" s="174"/>
      <c r="I32" s="172"/>
      <c r="J32" s="216">
        <f>+'21'!J32</f>
        <v>0</v>
      </c>
      <c r="K32" s="240"/>
      <c r="L32" s="242"/>
      <c r="M32" s="121">
        <f>+K32+'21'!M32+L32</f>
        <v>0</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37928</v>
      </c>
      <c r="D34" s="111">
        <f>D14+D23+D32</f>
        <v>0</v>
      </c>
      <c r="E34" s="111">
        <f>E14+E23+E32</f>
        <v>0</v>
      </c>
      <c r="F34" s="112">
        <f>F14+F23+F32</f>
        <v>32</v>
      </c>
      <c r="H34" s="180"/>
      <c r="I34" s="180"/>
      <c r="J34" s="127" t="s">
        <v>28</v>
      </c>
      <c r="K34" s="128">
        <f>SUM(K7:K32)</f>
        <v>37928</v>
      </c>
      <c r="L34" s="214">
        <f>SUM(L7:L32)</f>
        <v>0</v>
      </c>
      <c r="M34" s="124">
        <f>SUM(M7:M32)</f>
        <v>578928</v>
      </c>
      <c r="N34" s="159"/>
    </row>
    <row r="35" spans="1:17" ht="13.5" thickBot="1">
      <c r="A35" s="181"/>
      <c r="B35" s="182"/>
      <c r="C35" s="108">
        <f>C34/($C$34+$D$34+$E$34)</f>
        <v>1</v>
      </c>
      <c r="D35" s="108">
        <f>D34/($C$34+$D$34+$E$34)</f>
        <v>0</v>
      </c>
      <c r="E35" s="113">
        <f>E34/($C$34+$D$34+$E$34)</f>
        <v>0</v>
      </c>
      <c r="H35" s="153" t="s">
        <v>0</v>
      </c>
      <c r="K35" s="159"/>
      <c r="N35" s="153" t="s">
        <v>629</v>
      </c>
      <c r="O35" s="153">
        <v>1334.2105263157894</v>
      </c>
      <c r="P35" s="153">
        <v>989.13157894736844</v>
      </c>
      <c r="Q35" s="153">
        <v>760</v>
      </c>
    </row>
    <row r="36" spans="1:17" ht="13.5" thickBot="1">
      <c r="A36" s="180"/>
      <c r="B36" s="180"/>
      <c r="C36" s="159"/>
      <c r="D36" s="159"/>
      <c r="E36" s="159"/>
      <c r="G36" s="159"/>
      <c r="H36" s="183"/>
      <c r="I36" s="166" t="s">
        <v>38</v>
      </c>
      <c r="J36" s="166" t="s">
        <v>39</v>
      </c>
      <c r="K36" s="184"/>
      <c r="N36" s="153" t="s">
        <v>653</v>
      </c>
      <c r="O36" s="153">
        <v>1350</v>
      </c>
      <c r="P36" s="153">
        <v>999</v>
      </c>
      <c r="Q36" s="153">
        <v>91</v>
      </c>
    </row>
    <row r="37" spans="1:17" ht="17.45" customHeight="1" thickBot="1">
      <c r="A37" s="813" t="s">
        <v>70</v>
      </c>
      <c r="B37" s="814"/>
      <c r="C37" s="166" t="s">
        <v>71</v>
      </c>
      <c r="D37" s="185" t="s">
        <v>72</v>
      </c>
      <c r="E37" s="186" t="s">
        <v>73</v>
      </c>
      <c r="F37" s="311"/>
      <c r="G37" s="313"/>
      <c r="H37" s="188" t="s">
        <v>74</v>
      </c>
      <c r="I37" s="243">
        <f>(12*760+91*12+589*12.5)/1440*G42*2.7*1440/1000000</f>
        <v>47.316705074999994</v>
      </c>
      <c r="J37" s="129">
        <f>+I37+'21'!J37</f>
        <v>697.53377805107937</v>
      </c>
      <c r="K37" s="130" t="s">
        <v>75</v>
      </c>
      <c r="N37" s="153" t="s">
        <v>551</v>
      </c>
      <c r="O37" s="153">
        <v>1350</v>
      </c>
      <c r="P37" s="153">
        <v>1007.251273344652</v>
      </c>
      <c r="Q37" s="153">
        <v>589</v>
      </c>
    </row>
    <row r="38" spans="1:17" ht="17.45" customHeight="1">
      <c r="A38" s="797" t="s">
        <v>12</v>
      </c>
      <c r="B38" s="798"/>
      <c r="C38" s="168">
        <f>SUMIF($G$7:$G$31,"Process",$F$7:$F$31)</f>
        <v>32</v>
      </c>
      <c r="D38" s="122">
        <f>C38+'21'!D38</f>
        <v>1121</v>
      </c>
      <c r="E38" s="147">
        <f t="shared" ref="E38:E52" si="15">D38/60</f>
        <v>18.683333333333334</v>
      </c>
      <c r="F38" s="311">
        <v>1325</v>
      </c>
      <c r="G38" s="311">
        <v>953</v>
      </c>
      <c r="H38" s="189" t="s">
        <v>76</v>
      </c>
      <c r="I38" s="534">
        <f>13.538+13.144+14.277</f>
        <v>40.959000000000003</v>
      </c>
      <c r="J38" s="131">
        <f>+I38+'21'!J38</f>
        <v>613.35599999999999</v>
      </c>
      <c r="K38" s="132" t="s">
        <v>75</v>
      </c>
      <c r="Q38" s="153">
        <f>+Q35+Q36+Q37</f>
        <v>1440</v>
      </c>
    </row>
    <row r="39" spans="1:17" ht="17.45" customHeight="1">
      <c r="A39" s="799" t="s">
        <v>13</v>
      </c>
      <c r="B39" s="800"/>
      <c r="C39" s="168">
        <f>SUMIF($G$7:$G$31,"Cleaning",$F$7:$F$31)</f>
        <v>0</v>
      </c>
      <c r="D39" s="122">
        <f>C39+'21'!D39</f>
        <v>0</v>
      </c>
      <c r="E39" s="147">
        <f t="shared" si="15"/>
        <v>0</v>
      </c>
      <c r="F39" s="311">
        <v>1350</v>
      </c>
      <c r="G39" s="311">
        <v>999</v>
      </c>
      <c r="H39" s="189" t="s">
        <v>77</v>
      </c>
      <c r="I39" s="146"/>
      <c r="J39" s="133">
        <f>J37/G4</f>
        <v>31.706080820503608</v>
      </c>
      <c r="K39" s="134" t="s">
        <v>75</v>
      </c>
    </row>
    <row r="40" spans="1:17" ht="17.45" customHeight="1">
      <c r="A40" s="799" t="s">
        <v>78</v>
      </c>
      <c r="B40" s="800"/>
      <c r="C40" s="168">
        <f>SUMIF($G$7:$G$31,"Mechanical",$F$7:$F$31)</f>
        <v>0</v>
      </c>
      <c r="D40" s="122">
        <f>C40+'21'!D40</f>
        <v>17</v>
      </c>
      <c r="E40" s="147">
        <f t="shared" si="15"/>
        <v>0.28333333333333333</v>
      </c>
      <c r="F40" s="311">
        <v>1350</v>
      </c>
      <c r="G40" s="311">
        <v>1039.5</v>
      </c>
      <c r="H40" s="189" t="s">
        <v>79</v>
      </c>
      <c r="I40" s="122">
        <f>(K34+L34)/1000</f>
        <v>37.927999999999997</v>
      </c>
      <c r="J40" s="135">
        <f>+I40+'21'!J40</f>
        <v>578.92800000000011</v>
      </c>
      <c r="K40" s="134" t="s">
        <v>75</v>
      </c>
    </row>
    <row r="41" spans="1:17" ht="17.45" customHeight="1">
      <c r="A41" s="799" t="s">
        <v>80</v>
      </c>
      <c r="B41" s="800"/>
      <c r="C41" s="168">
        <f>SUMIF($G$7:$G$31,"Electrical",$F$7:$F$31)</f>
        <v>0</v>
      </c>
      <c r="D41" s="122">
        <f>C41+'21'!D41</f>
        <v>60</v>
      </c>
      <c r="E41" s="147">
        <f t="shared" si="15"/>
        <v>1</v>
      </c>
      <c r="F41" s="311"/>
      <c r="G41" s="311"/>
      <c r="H41" s="189" t="s">
        <v>81</v>
      </c>
      <c r="I41" s="146"/>
      <c r="J41" s="133">
        <f>J40/G4</f>
        <v>26.314909090909097</v>
      </c>
      <c r="K41" s="134" t="s">
        <v>75</v>
      </c>
    </row>
    <row r="42" spans="1:17" ht="17.45" customHeight="1">
      <c r="A42" s="799" t="s">
        <v>16</v>
      </c>
      <c r="B42" s="800"/>
      <c r="C42" s="168">
        <f>SUMIF($G$7:$G$31,"Instrument",$F$7:$F$31)</f>
        <v>0</v>
      </c>
      <c r="D42" s="122">
        <f>C42+'21'!D42</f>
        <v>0</v>
      </c>
      <c r="E42" s="147">
        <f t="shared" si="15"/>
        <v>0</v>
      </c>
      <c r="F42" s="187">
        <f>+(480*F38+480*F39+480*F40)/1440</f>
        <v>1341.6666666666667</v>
      </c>
      <c r="G42" s="187">
        <f>+(480*G38+480*G39+480*G40)/1440</f>
        <v>997.16666666666663</v>
      </c>
      <c r="H42" s="189" t="s">
        <v>82</v>
      </c>
      <c r="I42" s="245" t="s">
        <v>658</v>
      </c>
      <c r="J42" s="136"/>
      <c r="K42" s="134" t="s">
        <v>83</v>
      </c>
    </row>
    <row r="43" spans="1:17" ht="17.45" customHeight="1">
      <c r="A43" s="799" t="s">
        <v>84</v>
      </c>
      <c r="B43" s="800"/>
      <c r="C43" s="168">
        <f>SUMIF($G$7:$G$31,"Water",$F$7:$F$31)</f>
        <v>0</v>
      </c>
      <c r="D43" s="122">
        <f>C43+'21'!D43</f>
        <v>0</v>
      </c>
      <c r="E43" s="147">
        <f t="shared" si="15"/>
        <v>0</v>
      </c>
      <c r="F43" s="311"/>
      <c r="G43" s="312"/>
      <c r="H43" s="190" t="s">
        <v>85</v>
      </c>
      <c r="I43" s="122">
        <f>+Report1!Z30</f>
        <v>91.4</v>
      </c>
      <c r="J43" s="137">
        <f>+I43+'21'!J43</f>
        <v>1333.2</v>
      </c>
      <c r="K43" s="134" t="s">
        <v>75</v>
      </c>
      <c r="L43" s="191"/>
    </row>
    <row r="44" spans="1:17" ht="17.45" customHeight="1">
      <c r="A44" s="799" t="s">
        <v>17</v>
      </c>
      <c r="B44" s="800"/>
      <c r="C44" s="168">
        <f>SUMIF($G$7:$G$31,"PLN",$F$7:$F$31)</f>
        <v>0</v>
      </c>
      <c r="D44" s="122">
        <f>C44+'21'!D44</f>
        <v>0</v>
      </c>
      <c r="E44" s="147">
        <f t="shared" si="15"/>
        <v>0</v>
      </c>
      <c r="F44" s="311"/>
      <c r="G44" s="312"/>
      <c r="H44" s="190" t="s">
        <v>86</v>
      </c>
      <c r="I44" s="122">
        <f>I43/I38</f>
        <v>2.2314997924754021</v>
      </c>
      <c r="J44" s="138">
        <f>J43/J38</f>
        <v>2.1736153229119792</v>
      </c>
      <c r="K44" s="134" t="s">
        <v>75</v>
      </c>
    </row>
    <row r="45" spans="1:17" ht="17.45" customHeight="1">
      <c r="A45" s="799" t="s">
        <v>18</v>
      </c>
      <c r="B45" s="800"/>
      <c r="C45" s="168">
        <f>SUMIF($G$7:$G$31,"Boiler",$F$7:$F$31)</f>
        <v>0</v>
      </c>
      <c r="D45" s="122">
        <f>C45+'21'!D45</f>
        <v>0</v>
      </c>
      <c r="E45" s="147">
        <f t="shared" si="15"/>
        <v>0</v>
      </c>
      <c r="F45" s="311"/>
      <c r="G45" s="314"/>
      <c r="H45" s="190" t="s">
        <v>87</v>
      </c>
      <c r="I45" s="122">
        <f>I43/I40</f>
        <v>2.4098291499683615</v>
      </c>
      <c r="J45" s="138">
        <f>J43/J40</f>
        <v>2.3028770417046678</v>
      </c>
      <c r="K45" s="134" t="s">
        <v>75</v>
      </c>
    </row>
    <row r="46" spans="1:17" ht="17.45" customHeight="1">
      <c r="A46" s="799" t="s">
        <v>88</v>
      </c>
      <c r="B46" s="800"/>
      <c r="C46" s="168">
        <f>SUMIF($G$7:$G$31,"Gas",$F$7:$F$31)</f>
        <v>0</v>
      </c>
      <c r="D46" s="122">
        <f>C46+'21'!D46</f>
        <v>0</v>
      </c>
      <c r="E46" s="147">
        <f t="shared" si="15"/>
        <v>0</v>
      </c>
      <c r="F46" s="311"/>
      <c r="G46" s="312"/>
      <c r="H46" s="190" t="s">
        <v>89</v>
      </c>
      <c r="I46" s="144">
        <f>+SUMIF(Listrik!X29,"&gt;0")</f>
        <v>42396.219999999987</v>
      </c>
      <c r="J46" s="139">
        <f>+I46+'21'!J46</f>
        <v>577199.88240000012</v>
      </c>
      <c r="K46" s="134" t="s">
        <v>90</v>
      </c>
    </row>
    <row r="47" spans="1:17" ht="17.45" customHeight="1">
      <c r="A47" s="799" t="s">
        <v>91</v>
      </c>
      <c r="B47" s="800"/>
      <c r="C47" s="168">
        <f>SUMIF($G$7:$G$31,"Gas",$F$7:$F$31)</f>
        <v>0</v>
      </c>
      <c r="D47" s="122">
        <f>C47+'21'!D47</f>
        <v>0</v>
      </c>
      <c r="E47" s="147">
        <f t="shared" si="15"/>
        <v>0</v>
      </c>
      <c r="F47" s="311"/>
      <c r="G47" s="312"/>
      <c r="H47" s="190" t="s">
        <v>92</v>
      </c>
      <c r="I47" s="122">
        <f>I46/I38</f>
        <v>1035.08923557704</v>
      </c>
      <c r="J47" s="139">
        <f>J46/J38</f>
        <v>941.05198677440205</v>
      </c>
      <c r="K47" s="134" t="s">
        <v>24</v>
      </c>
    </row>
    <row r="48" spans="1:17" ht="17.45" customHeight="1">
      <c r="A48" s="799" t="s">
        <v>14</v>
      </c>
      <c r="B48" s="800"/>
      <c r="C48" s="168">
        <f>SUMIF($G$7:$G$31,"Start Up",$F$7:$F$31)</f>
        <v>0</v>
      </c>
      <c r="D48" s="122">
        <f>C48+'21'!D48</f>
        <v>0</v>
      </c>
      <c r="E48" s="147">
        <f t="shared" si="15"/>
        <v>0</v>
      </c>
      <c r="F48" s="311"/>
      <c r="G48" s="312"/>
      <c r="H48" s="190" t="s">
        <v>93</v>
      </c>
      <c r="I48" s="122">
        <f>I46/I40</f>
        <v>1117.8079519088797</v>
      </c>
      <c r="J48" s="139">
        <f>J46/J40</f>
        <v>997.01496973716939</v>
      </c>
      <c r="K48" s="134" t="s">
        <v>24</v>
      </c>
    </row>
    <row r="49" spans="1:11" ht="17.45" customHeight="1">
      <c r="A49" s="799" t="s">
        <v>20</v>
      </c>
      <c r="B49" s="800"/>
      <c r="C49" s="168">
        <f>SUMIF($G$7:$G$31,"Others",$F$7:$F$31)</f>
        <v>0</v>
      </c>
      <c r="D49" s="122">
        <f>C49+'21'!D49</f>
        <v>11845</v>
      </c>
      <c r="E49" s="147">
        <f t="shared" si="15"/>
        <v>197.41666666666666</v>
      </c>
      <c r="F49" s="187"/>
      <c r="H49" s="190" t="s">
        <v>279</v>
      </c>
      <c r="I49" s="122">
        <f>+Report1!T30</f>
        <v>4602.2885506487219</v>
      </c>
      <c r="J49" s="139">
        <f>+I49+'21'!J49</f>
        <v>56668.561382491265</v>
      </c>
      <c r="K49" s="134" t="s">
        <v>94</v>
      </c>
    </row>
    <row r="50" spans="1:11" ht="17.45" customHeight="1">
      <c r="A50" s="799" t="s">
        <v>19</v>
      </c>
      <c r="B50" s="800"/>
      <c r="C50" s="168">
        <f>SUMIF($G$7:$G$31,"Steam",$F$7:$F$31)</f>
        <v>0</v>
      </c>
      <c r="D50" s="122">
        <f>C50+'21'!D50</f>
        <v>0</v>
      </c>
      <c r="E50" s="147">
        <f t="shared" si="15"/>
        <v>0</v>
      </c>
      <c r="F50" s="187"/>
      <c r="H50" s="190" t="s">
        <v>95</v>
      </c>
      <c r="I50" s="144">
        <f>I49/I38</f>
        <v>112.3633035632882</v>
      </c>
      <c r="J50" s="137">
        <f>J49/J38</f>
        <v>92.390979109181728</v>
      </c>
      <c r="K50" s="134" t="s">
        <v>94</v>
      </c>
    </row>
    <row r="51" spans="1:11" ht="17.45" customHeight="1">
      <c r="A51" s="801" t="s">
        <v>96</v>
      </c>
      <c r="B51" s="801"/>
      <c r="C51" s="168">
        <f>SUMIF($G$7:$G$31,"Planned shut",$F$7:$F$31)</f>
        <v>0</v>
      </c>
      <c r="D51" s="122">
        <f>C51+'21'!D51</f>
        <v>0</v>
      </c>
      <c r="E51" s="147">
        <f t="shared" si="15"/>
        <v>0</v>
      </c>
      <c r="F51" s="187"/>
      <c r="H51" s="192" t="s">
        <v>97</v>
      </c>
      <c r="I51" s="145">
        <f>I49/I40</f>
        <v>121.34276921136686</v>
      </c>
      <c r="J51" s="140">
        <f>J49/J40</f>
        <v>97.885335279156052</v>
      </c>
      <c r="K51" s="141" t="s">
        <v>94</v>
      </c>
    </row>
    <row r="52" spans="1:11" ht="13.5" thickBot="1">
      <c r="A52" s="802" t="s">
        <v>229</v>
      </c>
      <c r="B52" s="803"/>
      <c r="C52" s="168">
        <f>SUMIF($G$7:$G$31,"Change Grade",$F$7:$F$31)</f>
        <v>0</v>
      </c>
      <c r="D52" s="122">
        <f>C52+'21'!D52</f>
        <v>0</v>
      </c>
      <c r="E52" s="147">
        <f t="shared" si="15"/>
        <v>0</v>
      </c>
      <c r="F52" s="187"/>
      <c r="H52" s="193"/>
      <c r="I52" s="194"/>
      <c r="J52" s="142"/>
      <c r="K52" s="143"/>
    </row>
    <row r="53" spans="1:11">
      <c r="A53" s="797" t="s">
        <v>28</v>
      </c>
      <c r="B53" s="798"/>
      <c r="C53" s="148">
        <f>SUM(C38:C52)</f>
        <v>32</v>
      </c>
      <c r="D53" s="148">
        <f>SUM(D38:D52)</f>
        <v>13043</v>
      </c>
      <c r="E53" s="149">
        <f>SUM(E38:E52)</f>
        <v>217.38333333333333</v>
      </c>
      <c r="F53" s="187"/>
    </row>
    <row r="54" spans="1:11" ht="13.5" thickBot="1">
      <c r="A54" s="795"/>
      <c r="B54" s="796"/>
      <c r="C54" s="150">
        <f>C53/(24*60)</f>
        <v>2.2222222222222223E-2</v>
      </c>
      <c r="D54" s="150">
        <f>D53/(24*60*G4)</f>
        <v>0.4117108585858586</v>
      </c>
      <c r="E54" s="151">
        <f>E53/(G4*24)</f>
        <v>0.4117108585858586</v>
      </c>
      <c r="F54" s="187"/>
    </row>
    <row r="55" spans="1:11">
      <c r="E55" s="195"/>
    </row>
    <row r="56" spans="1:11">
      <c r="A56" s="196" t="s">
        <v>98</v>
      </c>
      <c r="B56" s="197"/>
      <c r="C56" s="198"/>
      <c r="D56" s="198"/>
      <c r="E56" s="198"/>
      <c r="F56" s="199"/>
      <c r="G56" s="198"/>
      <c r="H56" s="200"/>
      <c r="I56" s="201" t="s">
        <v>99</v>
      </c>
      <c r="J56" s="202">
        <f>+D34+'21'!J56</f>
        <v>1800</v>
      </c>
      <c r="K56" s="203">
        <f>J56/(J40+J56/1000)/1000</f>
        <v>3.0995577964210439E-3</v>
      </c>
    </row>
    <row r="57" spans="1:11">
      <c r="A57" s="178"/>
      <c r="I57" s="201" t="s">
        <v>100</v>
      </c>
      <c r="J57" s="202">
        <f>+E34+'21'!J57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7" zoomScale="80" zoomScaleNormal="80" zoomScaleSheetLayoutView="80" workbookViewId="0">
      <selection activeCell="H25" sqref="C24:H25"/>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710937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7109375" style="153" customWidth="1"/>
    <col min="14" max="16384" width="9.140625" style="153"/>
  </cols>
  <sheetData>
    <row r="1" spans="1:26" ht="15.75">
      <c r="A1" s="152"/>
      <c r="U1" s="564"/>
      <c r="V1" s="533"/>
      <c r="W1" s="533"/>
      <c r="X1" s="533"/>
      <c r="Y1" s="533"/>
    </row>
    <row r="2" spans="1:26" ht="15.75">
      <c r="A2" s="152" t="s">
        <v>230</v>
      </c>
      <c r="U2" s="564"/>
      <c r="V2" s="533"/>
      <c r="W2" s="533"/>
      <c r="X2" s="533"/>
      <c r="Y2" s="533"/>
    </row>
    <row r="3" spans="1:26" ht="15">
      <c r="A3" s="154"/>
      <c r="X3" s="562"/>
    </row>
    <row r="4" spans="1:26" ht="20.25">
      <c r="A4" s="155" t="s">
        <v>4</v>
      </c>
      <c r="B4" s="156"/>
      <c r="F4" s="157" t="s">
        <v>30</v>
      </c>
      <c r="G4" s="158">
        <v>21</v>
      </c>
      <c r="H4" s="158" t="str">
        <f>+'1'!H4</f>
        <v>.10.25</v>
      </c>
      <c r="J4" s="153" t="s">
        <v>625</v>
      </c>
      <c r="Y4" s="562"/>
      <c r="Z4" s="562"/>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567</v>
      </c>
      <c r="O6" s="153">
        <v>1020</v>
      </c>
      <c r="P6" s="153">
        <f>+O6-O6*0.24</f>
        <v>775.2</v>
      </c>
      <c r="Q6" s="153">
        <f>60*3+10</f>
        <v>190</v>
      </c>
      <c r="R6" s="153">
        <f>+O6*Q6</f>
        <v>193800</v>
      </c>
      <c r="S6" s="153">
        <f>+P6*Q6</f>
        <v>147288</v>
      </c>
      <c r="U6" s="153" t="s">
        <v>629</v>
      </c>
      <c r="V6" s="153">
        <v>1350</v>
      </c>
      <c r="W6" s="153">
        <v>1026</v>
      </c>
      <c r="X6" s="153">
        <v>30</v>
      </c>
      <c r="Y6" s="153">
        <f>+V6*X6</f>
        <v>40500</v>
      </c>
      <c r="Z6" s="153">
        <f>+W6*X6</f>
        <v>30780</v>
      </c>
    </row>
    <row r="7" spans="1:26" ht="13.5" customHeight="1" thickBot="1">
      <c r="A7" s="804"/>
      <c r="B7" s="217" t="s">
        <v>581</v>
      </c>
      <c r="C7" s="218">
        <v>12037</v>
      </c>
      <c r="D7" s="219"/>
      <c r="E7" s="220"/>
      <c r="F7" s="235"/>
      <c r="G7" s="582" t="s">
        <v>12</v>
      </c>
      <c r="H7" s="583" t="s">
        <v>418</v>
      </c>
      <c r="I7" s="807" t="s">
        <v>633</v>
      </c>
      <c r="J7" s="315" t="str">
        <f>+'20'!J7</f>
        <v>TW 17 RC HW</v>
      </c>
      <c r="K7" s="237"/>
      <c r="L7" s="241"/>
      <c r="M7" s="121">
        <f>+K7+'20'!M7+L7</f>
        <v>3364</v>
      </c>
      <c r="N7" s="153" t="s">
        <v>628</v>
      </c>
      <c r="O7" s="153">
        <v>1200</v>
      </c>
      <c r="P7" s="153">
        <f t="shared" ref="P7:P8" si="0">+O7-O7*0.22</f>
        <v>936</v>
      </c>
      <c r="Q7" s="153">
        <f>50-10</f>
        <v>40</v>
      </c>
      <c r="R7" s="153">
        <f t="shared" ref="R7:R10" si="1">+O7*Q7</f>
        <v>48000</v>
      </c>
      <c r="S7" s="153">
        <f t="shared" ref="S7:S10" si="2">+P7*Q7</f>
        <v>37440</v>
      </c>
      <c r="U7" s="153" t="s">
        <v>629</v>
      </c>
      <c r="V7" s="153">
        <v>1350</v>
      </c>
      <c r="W7" s="153">
        <v>1012.5</v>
      </c>
      <c r="X7" s="153">
        <v>41</v>
      </c>
      <c r="Y7" s="153">
        <f t="shared" ref="Y7:Y10" si="3">+V7*X7</f>
        <v>55350</v>
      </c>
      <c r="Z7" s="153">
        <f t="shared" ref="Z7:Z10" si="4">+W7*X7</f>
        <v>41512.5</v>
      </c>
    </row>
    <row r="8" spans="1:26" ht="13.5" thickBot="1">
      <c r="A8" s="805"/>
      <c r="B8" s="217" t="s">
        <v>643</v>
      </c>
      <c r="C8" s="218">
        <v>2058</v>
      </c>
      <c r="D8" s="219"/>
      <c r="E8" s="221"/>
      <c r="F8" s="231">
        <v>2</v>
      </c>
      <c r="G8" s="584" t="s">
        <v>12</v>
      </c>
      <c r="H8" s="230" t="s">
        <v>540</v>
      </c>
      <c r="I8" s="808"/>
      <c r="J8" s="315" t="str">
        <f>+'20'!J8</f>
        <v>T 14 VP OW</v>
      </c>
      <c r="K8" s="238"/>
      <c r="L8" s="238"/>
      <c r="M8" s="121">
        <f>+K8+'20'!M8+L8</f>
        <v>23832</v>
      </c>
      <c r="N8" s="153" t="s">
        <v>628</v>
      </c>
      <c r="O8" s="153">
        <v>1200</v>
      </c>
      <c r="P8" s="153">
        <f t="shared" si="0"/>
        <v>936</v>
      </c>
      <c r="Q8" s="153">
        <f>60-20+60+30</f>
        <v>130</v>
      </c>
      <c r="R8" s="153">
        <f t="shared" si="1"/>
        <v>156000</v>
      </c>
      <c r="S8" s="153">
        <f t="shared" si="2"/>
        <v>121680</v>
      </c>
      <c r="U8" s="153" t="s">
        <v>629</v>
      </c>
      <c r="V8" s="153">
        <v>1320</v>
      </c>
      <c r="W8" s="153">
        <v>963.59999999999991</v>
      </c>
      <c r="X8" s="153">
        <v>156</v>
      </c>
      <c r="Y8" s="153">
        <f t="shared" si="3"/>
        <v>205920</v>
      </c>
      <c r="Z8" s="153">
        <f t="shared" si="4"/>
        <v>150321.59999999998</v>
      </c>
    </row>
    <row r="9" spans="1:26" ht="13.5" thickBot="1">
      <c r="A9" s="805"/>
      <c r="B9" s="217"/>
      <c r="C9" s="218"/>
      <c r="D9" s="219"/>
      <c r="E9" s="222"/>
      <c r="F9" s="231">
        <v>3</v>
      </c>
      <c r="G9" s="584" t="s">
        <v>12</v>
      </c>
      <c r="H9" s="233" t="s">
        <v>635</v>
      </c>
      <c r="I9" s="808"/>
      <c r="J9" s="315" t="str">
        <f>+'20'!J9</f>
        <v>T 14,5 VP OW</v>
      </c>
      <c r="K9" s="238"/>
      <c r="L9" s="238"/>
      <c r="M9" s="121">
        <f>+K9+'20'!M9+L9</f>
        <v>190152</v>
      </c>
      <c r="N9" s="153" t="s">
        <v>629</v>
      </c>
      <c r="O9" s="153">
        <v>1350</v>
      </c>
      <c r="P9" s="153">
        <f>+O9-O9*0.24</f>
        <v>1026</v>
      </c>
      <c r="Q9" s="153">
        <v>30</v>
      </c>
      <c r="R9" s="153">
        <f t="shared" si="1"/>
        <v>40500</v>
      </c>
      <c r="S9" s="153">
        <f t="shared" si="2"/>
        <v>30780</v>
      </c>
      <c r="U9" s="153" t="s">
        <v>629</v>
      </c>
      <c r="V9" s="153">
        <v>1320</v>
      </c>
      <c r="W9" s="153">
        <v>950.4</v>
      </c>
      <c r="X9" s="153">
        <v>283</v>
      </c>
      <c r="Y9" s="153">
        <f t="shared" si="3"/>
        <v>373560</v>
      </c>
      <c r="Z9" s="153">
        <f t="shared" si="4"/>
        <v>268963.20000000001</v>
      </c>
    </row>
    <row r="10" spans="1:26" ht="115.5" thickBot="1">
      <c r="A10" s="805"/>
      <c r="B10" s="217"/>
      <c r="C10" s="218"/>
      <c r="D10" s="219"/>
      <c r="E10" s="221"/>
      <c r="F10" s="231">
        <v>90</v>
      </c>
      <c r="G10" s="584" t="s">
        <v>12</v>
      </c>
      <c r="H10" s="233" t="s">
        <v>627</v>
      </c>
      <c r="I10" s="808"/>
      <c r="J10" s="315" t="str">
        <f>+'20'!J10</f>
        <v>T 13,5 VP OW</v>
      </c>
      <c r="K10" s="238"/>
      <c r="L10" s="238"/>
      <c r="M10" s="121">
        <f>+K10+'20'!M10+L10</f>
        <v>39850</v>
      </c>
      <c r="R10" s="153">
        <f t="shared" si="1"/>
        <v>0</v>
      </c>
      <c r="S10" s="153">
        <f t="shared" si="2"/>
        <v>0</v>
      </c>
      <c r="U10" s="153" t="s">
        <v>629</v>
      </c>
      <c r="V10" s="153">
        <v>1320</v>
      </c>
      <c r="W10" s="153">
        <v>950.4</v>
      </c>
      <c r="X10" s="153">
        <v>51</v>
      </c>
      <c r="Y10" s="153">
        <f t="shared" si="3"/>
        <v>67320</v>
      </c>
      <c r="Z10" s="153">
        <f t="shared" si="4"/>
        <v>48470.400000000001</v>
      </c>
    </row>
    <row r="11" spans="1:26" ht="64.5" thickBot="1">
      <c r="A11" s="805"/>
      <c r="B11" s="217"/>
      <c r="C11" s="218"/>
      <c r="D11" s="219"/>
      <c r="E11" s="221"/>
      <c r="F11" s="228"/>
      <c r="G11" s="232"/>
      <c r="H11" s="233" t="s">
        <v>630</v>
      </c>
      <c r="I11" s="808"/>
      <c r="J11" s="315" t="str">
        <f>+'20'!J11</f>
        <v>T 16,5 VP OW</v>
      </c>
      <c r="K11" s="238"/>
      <c r="L11" s="238"/>
      <c r="M11" s="121">
        <f>+K11+'20'!M11+L11</f>
        <v>9927</v>
      </c>
      <c r="P11" s="153">
        <f t="shared" ref="P11" si="5">+O11-O11*0.17</f>
        <v>0</v>
      </c>
      <c r="U11" s="153" t="s">
        <v>629</v>
      </c>
      <c r="V11" s="153">
        <v>1300</v>
      </c>
      <c r="W11" s="153">
        <v>936</v>
      </c>
      <c r="X11" s="153">
        <v>314</v>
      </c>
      <c r="Y11" s="153">
        <f t="shared" ref="Y11:Y13" si="6">+V11*X11</f>
        <v>408200</v>
      </c>
      <c r="Z11" s="153">
        <f t="shared" ref="Z11:Z13" si="7">+W11*X11</f>
        <v>293904</v>
      </c>
    </row>
    <row r="12" spans="1:26" ht="13.5" thickBot="1">
      <c r="A12" s="805"/>
      <c r="B12" s="217"/>
      <c r="C12" s="218"/>
      <c r="D12" s="219"/>
      <c r="E12" s="221"/>
      <c r="F12" s="228"/>
      <c r="G12" s="232"/>
      <c r="H12" s="233"/>
      <c r="I12" s="808"/>
      <c r="J12" s="315" t="str">
        <f>+'20'!J12</f>
        <v>T 12,5 VP OW</v>
      </c>
      <c r="K12" s="238"/>
      <c r="L12" s="238"/>
      <c r="M12" s="121">
        <f>+K12+'20'!M12+L12</f>
        <v>12919</v>
      </c>
      <c r="Q12" s="153">
        <f>SUM(Q6:Q10)</f>
        <v>390</v>
      </c>
      <c r="R12" s="153">
        <f>SUM(R6:R10)</f>
        <v>438300</v>
      </c>
      <c r="S12" s="153">
        <f>SUM(S6:S10)</f>
        <v>337188</v>
      </c>
      <c r="U12" s="153" t="s">
        <v>629</v>
      </c>
      <c r="V12" s="153">
        <v>1310</v>
      </c>
      <c r="W12" s="153">
        <v>943.2</v>
      </c>
      <c r="X12" s="153">
        <v>90</v>
      </c>
      <c r="Y12" s="153">
        <f t="shared" si="6"/>
        <v>117900</v>
      </c>
      <c r="Z12" s="153">
        <f t="shared" si="7"/>
        <v>84888</v>
      </c>
    </row>
    <row r="13" spans="1:26" ht="13.5" thickBot="1">
      <c r="A13" s="805"/>
      <c r="B13" s="217"/>
      <c r="C13" s="218"/>
      <c r="D13" s="218"/>
      <c r="E13" s="221"/>
      <c r="F13" s="228"/>
      <c r="G13" s="232"/>
      <c r="H13" s="233"/>
      <c r="I13" s="809"/>
      <c r="J13" s="315" t="str">
        <f>+'20'!J13</f>
        <v>TW 18 VP OW</v>
      </c>
      <c r="K13" s="238">
        <f>+C7</f>
        <v>12037</v>
      </c>
      <c r="L13" s="238"/>
      <c r="M13" s="121">
        <f>+K13+'20'!M13+L13</f>
        <v>234646</v>
      </c>
      <c r="N13" s="153" t="s">
        <v>421</v>
      </c>
      <c r="Q13" s="153">
        <f>480-Q12</f>
        <v>90</v>
      </c>
      <c r="R13" s="153">
        <f>+R12/Q12</f>
        <v>1123.8461538461538</v>
      </c>
      <c r="S13" s="153">
        <f>+S12/Q12</f>
        <v>864.5846153846154</v>
      </c>
      <c r="V13" s="153">
        <v>1320</v>
      </c>
      <c r="W13" s="153">
        <v>950.4</v>
      </c>
      <c r="X13" s="153">
        <v>25</v>
      </c>
      <c r="Y13" s="153">
        <f t="shared" si="6"/>
        <v>33000</v>
      </c>
      <c r="Z13" s="153">
        <f t="shared" si="7"/>
        <v>23760</v>
      </c>
    </row>
    <row r="14" spans="1:26" ht="13.5" thickBot="1">
      <c r="A14" s="806"/>
      <c r="B14" s="169" t="s">
        <v>3</v>
      </c>
      <c r="C14" s="103">
        <f>SUM(C7:C13)</f>
        <v>14095</v>
      </c>
      <c r="D14" s="115">
        <f>SUM(D7:D13)</f>
        <v>0</v>
      </c>
      <c r="E14" s="116">
        <f>SUM(E5:E13)</f>
        <v>0</v>
      </c>
      <c r="F14" s="120">
        <f>SUM(F7:F13)</f>
        <v>95</v>
      </c>
      <c r="G14" s="163"/>
      <c r="H14" s="170"/>
      <c r="I14" s="171"/>
      <c r="J14" s="216" t="s">
        <v>643</v>
      </c>
      <c r="K14" s="238">
        <f>+C8+C16</f>
        <v>5496</v>
      </c>
      <c r="L14" s="238"/>
      <c r="M14" s="121">
        <f>+K14+'20'!M14+L14</f>
        <v>5496</v>
      </c>
    </row>
    <row r="15" spans="1:26" ht="13.5" thickBot="1">
      <c r="A15" s="810"/>
      <c r="B15" s="528"/>
      <c r="C15" s="117">
        <f>C14/($C$23+$D$23+$E$23)</f>
        <v>1.6119624885635864</v>
      </c>
      <c r="D15" s="118">
        <f>D14/($C$23+$D$23+$E$23)</f>
        <v>0</v>
      </c>
      <c r="E15" s="119">
        <f>E14/($C$23+$D$23+$E$23)</f>
        <v>0</v>
      </c>
      <c r="F15" s="235"/>
      <c r="G15" s="582" t="s">
        <v>12</v>
      </c>
      <c r="H15" s="583" t="s">
        <v>418</v>
      </c>
      <c r="I15" s="807" t="s">
        <v>632</v>
      </c>
      <c r="J15" s="216" t="s">
        <v>644</v>
      </c>
      <c r="K15" s="238">
        <f>+C17+C25</f>
        <v>20814</v>
      </c>
      <c r="L15" s="238"/>
      <c r="M15" s="121">
        <f>+K15+'20'!M15+L15</f>
        <v>20814</v>
      </c>
      <c r="N15" s="153" t="s">
        <v>629</v>
      </c>
      <c r="O15" s="153">
        <v>1350</v>
      </c>
      <c r="P15" s="153">
        <f>+O15-O15*0.25</f>
        <v>1012.5</v>
      </c>
      <c r="Q15" s="153">
        <v>41</v>
      </c>
      <c r="R15" s="153">
        <f>+O15*Q15</f>
        <v>55350</v>
      </c>
      <c r="S15" s="153">
        <f>+P15*Q15</f>
        <v>41512.5</v>
      </c>
    </row>
    <row r="16" spans="1:26" ht="13.5" thickBot="1">
      <c r="A16" s="805"/>
      <c r="B16" s="527" t="s">
        <v>643</v>
      </c>
      <c r="C16" s="526">
        <v>3438</v>
      </c>
      <c r="D16" s="223"/>
      <c r="E16" s="224"/>
      <c r="F16" s="231">
        <v>3</v>
      </c>
      <c r="G16" s="584" t="s">
        <v>12</v>
      </c>
      <c r="H16" s="230" t="s">
        <v>529</v>
      </c>
      <c r="I16" s="808"/>
      <c r="J16" s="315">
        <f>+'20'!J16</f>
        <v>0</v>
      </c>
      <c r="K16" s="229"/>
      <c r="L16" s="229"/>
      <c r="M16" s="121">
        <f>+K16+'20'!M16+L16</f>
        <v>0</v>
      </c>
      <c r="N16" s="153" t="s">
        <v>629</v>
      </c>
      <c r="O16" s="153">
        <v>1320</v>
      </c>
      <c r="P16" s="153">
        <f>+O16-O16*0.27</f>
        <v>963.59999999999991</v>
      </c>
      <c r="Q16" s="153">
        <f>60-41+120+17</f>
        <v>156</v>
      </c>
      <c r="R16" s="153">
        <f t="shared" ref="R16:R19" si="8">+O16*Q16</f>
        <v>205920</v>
      </c>
      <c r="S16" s="153">
        <f t="shared" ref="S16:S19" si="9">+P16*Q16</f>
        <v>150321.59999999998</v>
      </c>
    </row>
    <row r="17" spans="1:26" ht="13.5" thickBot="1">
      <c r="A17" s="805"/>
      <c r="B17" s="217" t="s">
        <v>644</v>
      </c>
      <c r="C17" s="218">
        <v>5306</v>
      </c>
      <c r="D17" s="219"/>
      <c r="E17" s="225"/>
      <c r="F17" s="231">
        <v>7</v>
      </c>
      <c r="G17" s="584" t="s">
        <v>12</v>
      </c>
      <c r="H17" s="233" t="s">
        <v>484</v>
      </c>
      <c r="I17" s="808"/>
      <c r="J17" s="315">
        <f>+'20'!J17</f>
        <v>0</v>
      </c>
      <c r="K17" s="229"/>
      <c r="L17" s="229"/>
      <c r="M17" s="121">
        <f>+K17+'20'!M17+L17</f>
        <v>0</v>
      </c>
      <c r="N17" s="153" t="s">
        <v>629</v>
      </c>
      <c r="O17" s="153">
        <v>1320</v>
      </c>
      <c r="P17" s="153">
        <f>+O17-O17*0.28</f>
        <v>950.4</v>
      </c>
      <c r="Q17" s="153">
        <f>480-Q16-Q15</f>
        <v>283</v>
      </c>
      <c r="R17" s="153">
        <f t="shared" si="8"/>
        <v>373560</v>
      </c>
      <c r="S17" s="153">
        <f t="shared" si="9"/>
        <v>268963.20000000001</v>
      </c>
    </row>
    <row r="18" spans="1:26" ht="77.25" thickBot="1">
      <c r="A18" s="805"/>
      <c r="B18" s="217"/>
      <c r="C18" s="218"/>
      <c r="D18" s="219"/>
      <c r="E18" s="225"/>
      <c r="F18" s="231"/>
      <c r="G18" s="229"/>
      <c r="H18" s="233" t="s">
        <v>624</v>
      </c>
      <c r="I18" s="808"/>
      <c r="J18" s="315">
        <f>+'20'!J18</f>
        <v>0</v>
      </c>
      <c r="K18" s="238"/>
      <c r="L18" s="238"/>
      <c r="M18" s="121">
        <f>+K18+'20'!M18+L18</f>
        <v>0</v>
      </c>
      <c r="R18" s="153">
        <f t="shared" si="8"/>
        <v>0</v>
      </c>
      <c r="S18" s="153">
        <f t="shared" si="9"/>
        <v>0</v>
      </c>
      <c r="X18" s="153">
        <f>SUM(X6:X13)</f>
        <v>990</v>
      </c>
      <c r="Y18" s="153">
        <f>SUM(Y6:Y13)</f>
        <v>1301750</v>
      </c>
      <c r="Z18" s="153">
        <f>SUM(Z6:Z13)</f>
        <v>942599.7</v>
      </c>
    </row>
    <row r="19" spans="1:26" ht="126" customHeight="1" thickBot="1">
      <c r="A19" s="805"/>
      <c r="B19" s="217"/>
      <c r="C19" s="218"/>
      <c r="D19" s="219"/>
      <c r="E19" s="225"/>
      <c r="F19" s="234"/>
      <c r="G19" s="232"/>
      <c r="H19" s="233" t="s">
        <v>626</v>
      </c>
      <c r="I19" s="808"/>
      <c r="J19" s="315">
        <f>+'20'!J19</f>
        <v>0</v>
      </c>
      <c r="K19" s="238"/>
      <c r="L19" s="238"/>
      <c r="M19" s="121">
        <f>+K19+'20'!M19+L19</f>
        <v>0</v>
      </c>
      <c r="R19" s="153">
        <f t="shared" si="8"/>
        <v>0</v>
      </c>
      <c r="S19" s="153">
        <f t="shared" si="9"/>
        <v>0</v>
      </c>
      <c r="Y19" s="153">
        <f>+Y18/X18</f>
        <v>1314.8989898989898</v>
      </c>
      <c r="Z19" s="153">
        <f>+Z18/X18</f>
        <v>952.12090909090909</v>
      </c>
    </row>
    <row r="20" spans="1:26" ht="13.5" thickBot="1">
      <c r="A20" s="805"/>
      <c r="B20" s="217"/>
      <c r="C20" s="218"/>
      <c r="D20" s="219"/>
      <c r="E20" s="225"/>
      <c r="F20" s="228"/>
      <c r="G20" s="232"/>
      <c r="H20" s="233"/>
      <c r="I20" s="808"/>
      <c r="J20" s="315">
        <f>+'20'!J20</f>
        <v>0</v>
      </c>
      <c r="K20" s="239"/>
      <c r="L20" s="239"/>
      <c r="M20" s="121">
        <f>+K20+'20'!M20+L20</f>
        <v>0</v>
      </c>
      <c r="P20" s="153">
        <f t="shared" ref="P20" si="10">+O20-O20*0.17</f>
        <v>0</v>
      </c>
    </row>
    <row r="21" spans="1:26" ht="13.5" thickBot="1">
      <c r="A21" s="805"/>
      <c r="B21" s="217"/>
      <c r="C21" s="218"/>
      <c r="D21" s="219"/>
      <c r="E21" s="225"/>
      <c r="F21" s="231"/>
      <c r="G21" s="232"/>
      <c r="H21" s="233"/>
      <c r="I21" s="808"/>
      <c r="J21" s="315">
        <f>+'20'!J21</f>
        <v>0</v>
      </c>
      <c r="K21" s="238"/>
      <c r="L21" s="238"/>
      <c r="M21" s="121">
        <f>+K21+'20'!M21+L21</f>
        <v>0</v>
      </c>
      <c r="Q21" s="153">
        <f>SUM(Q15:Q19)</f>
        <v>480</v>
      </c>
      <c r="R21" s="153">
        <f>SUM(R15:R19)</f>
        <v>634830</v>
      </c>
      <c r="S21" s="153">
        <f>SUM(S15:S19)</f>
        <v>460797.3</v>
      </c>
    </row>
    <row r="22" spans="1:26" ht="13.5" thickBot="1">
      <c r="A22" s="805"/>
      <c r="B22" s="217"/>
      <c r="C22" s="218"/>
      <c r="D22" s="219"/>
      <c r="E22" s="225"/>
      <c r="F22" s="235"/>
      <c r="G22" s="232"/>
      <c r="H22" s="233"/>
      <c r="I22" s="809"/>
      <c r="J22" s="315">
        <f>+'20'!J22</f>
        <v>0</v>
      </c>
      <c r="K22" s="238"/>
      <c r="L22" s="238"/>
      <c r="M22" s="121">
        <f>+K22+'20'!M22+L22</f>
        <v>0</v>
      </c>
      <c r="N22" s="153" t="s">
        <v>421</v>
      </c>
      <c r="Q22" s="153">
        <f>480-Q21</f>
        <v>0</v>
      </c>
      <c r="R22" s="153">
        <f>+R21/Q21</f>
        <v>1322.5625</v>
      </c>
      <c r="S22" s="153">
        <f>+S21/Q21</f>
        <v>959.99437499999999</v>
      </c>
    </row>
    <row r="23" spans="1:26" ht="13.5" thickBot="1">
      <c r="A23" s="806"/>
      <c r="B23" s="169" t="s">
        <v>3</v>
      </c>
      <c r="C23" s="103">
        <f>SUM(C16:C22)</f>
        <v>8744</v>
      </c>
      <c r="D23" s="115">
        <f>SUM(D16:D22)</f>
        <v>0</v>
      </c>
      <c r="E23" s="116">
        <f>SUM(E18:E22)</f>
        <v>0</v>
      </c>
      <c r="F23" s="120">
        <f>SUM(F15:F22)</f>
        <v>10</v>
      </c>
      <c r="G23" s="163"/>
      <c r="H23" s="170"/>
      <c r="I23" s="172"/>
      <c r="J23" s="315">
        <f>+'20'!J23</f>
        <v>0</v>
      </c>
      <c r="K23" s="238"/>
      <c r="L23" s="238"/>
      <c r="M23" s="121">
        <f>+K23+'20'!M23+L23</f>
        <v>0</v>
      </c>
    </row>
    <row r="24" spans="1:26" ht="13.5" thickBot="1">
      <c r="A24" s="810"/>
      <c r="B24" s="528"/>
      <c r="C24" s="117">
        <f>C23/($C$23+$D$23+$E$23)</f>
        <v>1</v>
      </c>
      <c r="D24" s="118">
        <f>D23/($C$23+$D$23+$E$23)</f>
        <v>0</v>
      </c>
      <c r="E24" s="119">
        <f>E23/($C$23+$D$23+$E$23)</f>
        <v>0</v>
      </c>
      <c r="F24" s="235">
        <v>20</v>
      </c>
      <c r="G24" s="582" t="s">
        <v>12</v>
      </c>
      <c r="H24" s="583" t="s">
        <v>636</v>
      </c>
      <c r="I24" s="807" t="s">
        <v>631</v>
      </c>
      <c r="J24" s="216">
        <f>+'20'!J24</f>
        <v>0</v>
      </c>
      <c r="K24" s="238"/>
      <c r="L24" s="238"/>
      <c r="M24" s="121">
        <f>+K24+'20'!M24+L24</f>
        <v>0</v>
      </c>
      <c r="N24" s="153" t="s">
        <v>629</v>
      </c>
      <c r="O24" s="153">
        <v>1320</v>
      </c>
      <c r="P24" s="153">
        <f>+O24-O24*0.28</f>
        <v>950.4</v>
      </c>
      <c r="Q24" s="153">
        <v>51</v>
      </c>
      <c r="R24" s="153">
        <f>+O24*Q24</f>
        <v>67320</v>
      </c>
      <c r="S24" s="153">
        <f>+P24*Q24</f>
        <v>48470.400000000001</v>
      </c>
    </row>
    <row r="25" spans="1:26" ht="13.5" thickBot="1">
      <c r="A25" s="805"/>
      <c r="B25" s="527" t="s">
        <v>644</v>
      </c>
      <c r="C25" s="226">
        <v>15508</v>
      </c>
      <c r="D25" s="219"/>
      <c r="E25" s="225"/>
      <c r="F25" s="231">
        <v>8</v>
      </c>
      <c r="G25" s="584" t="s">
        <v>12</v>
      </c>
      <c r="H25" s="230" t="s">
        <v>505</v>
      </c>
      <c r="I25" s="808"/>
      <c r="J25" s="216">
        <f>+'20'!J25</f>
        <v>0</v>
      </c>
      <c r="K25" s="238"/>
      <c r="L25" s="238"/>
      <c r="M25" s="121">
        <f>+K25+'20'!M25+L25</f>
        <v>0</v>
      </c>
      <c r="N25" s="153" t="s">
        <v>629</v>
      </c>
      <c r="O25" s="153">
        <v>1300</v>
      </c>
      <c r="P25" s="153">
        <f t="shared" ref="P25:P27" si="11">+O25-O25*0.28</f>
        <v>936</v>
      </c>
      <c r="Q25" s="153">
        <f>480-Q24-Q26-Q27</f>
        <v>314</v>
      </c>
      <c r="R25" s="153">
        <f t="shared" ref="R25:R28" si="12">+O25*Q25</f>
        <v>408200</v>
      </c>
      <c r="S25" s="153">
        <f t="shared" ref="S25:S28" si="13">+P25*Q25</f>
        <v>293904</v>
      </c>
    </row>
    <row r="26" spans="1:26" ht="13.5" thickBot="1">
      <c r="A26" s="805"/>
      <c r="B26" s="217"/>
      <c r="C26" s="226"/>
      <c r="D26" s="219"/>
      <c r="E26" s="227"/>
      <c r="F26" s="231">
        <f>49-28</f>
        <v>21</v>
      </c>
      <c r="G26" s="584" t="s">
        <v>12</v>
      </c>
      <c r="H26" s="233" t="s">
        <v>484</v>
      </c>
      <c r="I26" s="808"/>
      <c r="J26" s="216">
        <f>+'20'!J26</f>
        <v>0</v>
      </c>
      <c r="K26" s="238"/>
      <c r="L26" s="238"/>
      <c r="M26" s="121">
        <f>+K26+'20'!M26+L26</f>
        <v>0</v>
      </c>
      <c r="N26" s="153" t="s">
        <v>629</v>
      </c>
      <c r="O26" s="153">
        <v>1310</v>
      </c>
      <c r="P26" s="153">
        <f t="shared" si="11"/>
        <v>943.2</v>
      </c>
      <c r="Q26" s="153">
        <f>60-5+35</f>
        <v>90</v>
      </c>
      <c r="R26" s="153">
        <f t="shared" si="12"/>
        <v>117900</v>
      </c>
      <c r="S26" s="153">
        <f t="shared" si="13"/>
        <v>84888</v>
      </c>
    </row>
    <row r="27" spans="1:26" ht="64.5" thickBot="1">
      <c r="A27" s="805"/>
      <c r="B27" s="217"/>
      <c r="C27" s="218"/>
      <c r="D27" s="219"/>
      <c r="E27" s="225"/>
      <c r="F27" s="231"/>
      <c r="G27" s="229"/>
      <c r="H27" s="233" t="s">
        <v>622</v>
      </c>
      <c r="I27" s="808"/>
      <c r="J27" s="216">
        <f>+'20'!J27</f>
        <v>0</v>
      </c>
      <c r="K27" s="238"/>
      <c r="L27" s="238"/>
      <c r="M27" s="121">
        <f>+K27+'20'!M27+L27</f>
        <v>0</v>
      </c>
      <c r="O27" s="153">
        <v>1320</v>
      </c>
      <c r="P27" s="153">
        <f t="shared" si="11"/>
        <v>950.4</v>
      </c>
      <c r="Q27" s="153">
        <f>60-35</f>
        <v>25</v>
      </c>
      <c r="R27" s="153">
        <f t="shared" si="12"/>
        <v>33000</v>
      </c>
      <c r="S27" s="153">
        <f t="shared" si="13"/>
        <v>23760</v>
      </c>
    </row>
    <row r="28" spans="1:26" ht="227.25" customHeight="1" thickBot="1">
      <c r="A28" s="805"/>
      <c r="B28" s="217"/>
      <c r="C28" s="218"/>
      <c r="D28" s="219"/>
      <c r="E28" s="225"/>
      <c r="F28" s="231"/>
      <c r="G28" s="229"/>
      <c r="H28" s="233" t="s">
        <v>623</v>
      </c>
      <c r="I28" s="808"/>
      <c r="J28" s="216">
        <f>+'20'!J28</f>
        <v>0</v>
      </c>
      <c r="K28" s="238"/>
      <c r="L28" s="238"/>
      <c r="M28" s="121">
        <f>+K28+'20'!M28+L28</f>
        <v>0</v>
      </c>
      <c r="R28" s="153">
        <f t="shared" si="12"/>
        <v>0</v>
      </c>
      <c r="S28" s="153">
        <f t="shared" si="13"/>
        <v>0</v>
      </c>
    </row>
    <row r="29" spans="1:26" ht="13.5" thickBot="1">
      <c r="A29" s="805"/>
      <c r="B29" s="217"/>
      <c r="C29" s="218"/>
      <c r="D29" s="219"/>
      <c r="E29" s="225"/>
      <c r="F29" s="235"/>
      <c r="G29" s="232"/>
      <c r="H29" s="233"/>
      <c r="I29" s="808"/>
      <c r="J29" s="216">
        <f>+'20'!J29</f>
        <v>0</v>
      </c>
      <c r="K29" s="238"/>
      <c r="L29" s="238"/>
      <c r="M29" s="121">
        <f>+K29+'20'!M29+L29</f>
        <v>0</v>
      </c>
      <c r="P29" s="153">
        <f t="shared" ref="P29" si="14">+O29-O29*0.17</f>
        <v>0</v>
      </c>
    </row>
    <row r="30" spans="1:26" ht="13.5" thickBot="1">
      <c r="A30" s="805"/>
      <c r="B30" s="217"/>
      <c r="C30" s="226"/>
      <c r="D30" s="219"/>
      <c r="E30" s="225"/>
      <c r="F30" s="235"/>
      <c r="G30" s="232"/>
      <c r="H30" s="233"/>
      <c r="I30" s="808"/>
      <c r="J30" s="216">
        <f>+'20'!J30</f>
        <v>0</v>
      </c>
      <c r="K30" s="238"/>
      <c r="L30" s="238"/>
      <c r="M30" s="121">
        <f>+K30+'20'!M30+L30</f>
        <v>0</v>
      </c>
      <c r="Q30" s="153">
        <f>SUM(Q24:Q28)</f>
        <v>480</v>
      </c>
      <c r="R30" s="153">
        <f>SUM(R24:R28)</f>
        <v>626420</v>
      </c>
      <c r="S30" s="153">
        <f>SUM(S24:S28)</f>
        <v>451022.4</v>
      </c>
    </row>
    <row r="31" spans="1:26" ht="13.5" thickBot="1">
      <c r="A31" s="805"/>
      <c r="B31" s="217"/>
      <c r="C31" s="226"/>
      <c r="D31" s="219"/>
      <c r="E31" s="225"/>
      <c r="F31" s="235"/>
      <c r="G31" s="236"/>
      <c r="H31" s="413"/>
      <c r="I31" s="809"/>
      <c r="J31" s="216">
        <f>+'20'!J31</f>
        <v>0</v>
      </c>
      <c r="K31" s="238"/>
      <c r="L31" s="238"/>
      <c r="M31" s="121">
        <f>+K31+'20'!M31+L31</f>
        <v>0</v>
      </c>
      <c r="N31" s="153" t="s">
        <v>421</v>
      </c>
      <c r="Q31" s="153">
        <f>480-Q30</f>
        <v>0</v>
      </c>
      <c r="R31" s="153">
        <f>+R30/Q30</f>
        <v>1305.0416666666667</v>
      </c>
      <c r="S31" s="153">
        <f>+S30/Q30</f>
        <v>939.63</v>
      </c>
    </row>
    <row r="32" spans="1:26" ht="13.5" thickBot="1">
      <c r="A32" s="806"/>
      <c r="B32" s="169" t="s">
        <v>3</v>
      </c>
      <c r="C32" s="103">
        <f>SUM(C25:C31)</f>
        <v>15508</v>
      </c>
      <c r="D32" s="104">
        <f>SUM(D25:D31)</f>
        <v>0</v>
      </c>
      <c r="E32" s="105">
        <f>SUM(E25:E31)</f>
        <v>0</v>
      </c>
      <c r="F32" s="103">
        <f>SUM(F24:F31)</f>
        <v>49</v>
      </c>
      <c r="G32" s="173"/>
      <c r="H32" s="174"/>
      <c r="I32" s="172"/>
      <c r="J32" s="216">
        <f>+'20'!J32</f>
        <v>0</v>
      </c>
      <c r="K32" s="240"/>
      <c r="L32" s="242"/>
      <c r="M32" s="121">
        <f>+K32+'20'!M32+L32</f>
        <v>0</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38347</v>
      </c>
      <c r="D34" s="111">
        <f>D14+D23+D32</f>
        <v>0</v>
      </c>
      <c r="E34" s="111">
        <f>E14+E23+E32</f>
        <v>0</v>
      </c>
      <c r="F34" s="112">
        <f>F14+F23+F32</f>
        <v>154</v>
      </c>
      <c r="H34" s="180"/>
      <c r="I34" s="180"/>
      <c r="J34" s="127" t="s">
        <v>28</v>
      </c>
      <c r="K34" s="128">
        <f>SUM(K7:K32)</f>
        <v>38347</v>
      </c>
      <c r="L34" s="214">
        <f>SUM(L7:L32)</f>
        <v>0</v>
      </c>
      <c r="M34" s="124">
        <f>SUM(M7:M32)</f>
        <v>541000</v>
      </c>
      <c r="N34" s="159" t="s">
        <v>567</v>
      </c>
      <c r="O34" s="153">
        <v>1020</v>
      </c>
      <c r="P34" s="153">
        <v>775.2</v>
      </c>
      <c r="Q34" s="153">
        <v>190</v>
      </c>
    </row>
    <row r="35" spans="1:17" ht="13.5" thickBot="1">
      <c r="A35" s="181"/>
      <c r="B35" s="182"/>
      <c r="C35" s="108">
        <f>C34/($C$34+$D$34+$E$34)</f>
        <v>1</v>
      </c>
      <c r="D35" s="108">
        <f>D34/($C$34+$D$34+$E$34)</f>
        <v>0</v>
      </c>
      <c r="E35" s="113">
        <f>E34/($C$34+$D$34+$E$34)</f>
        <v>0</v>
      </c>
      <c r="K35" s="159"/>
      <c r="N35" s="153" t="s">
        <v>628</v>
      </c>
      <c r="O35" s="153">
        <v>1200</v>
      </c>
      <c r="P35" s="153">
        <v>936</v>
      </c>
      <c r="Q35" s="153">
        <f>40+130</f>
        <v>170</v>
      </c>
    </row>
    <row r="36" spans="1:17" ht="13.5" thickBot="1">
      <c r="A36" s="180"/>
      <c r="B36" s="180"/>
      <c r="C36" s="159"/>
      <c r="D36" s="159"/>
      <c r="E36" s="159"/>
      <c r="G36" s="159"/>
      <c r="H36" s="183"/>
      <c r="I36" s="166" t="s">
        <v>38</v>
      </c>
      <c r="J36" s="166" t="s">
        <v>39</v>
      </c>
      <c r="K36" s="184"/>
      <c r="N36" s="153" t="s">
        <v>629</v>
      </c>
      <c r="O36" s="153">
        <v>1314.8989898989898</v>
      </c>
      <c r="P36" s="153">
        <v>952.12090909090909</v>
      </c>
      <c r="Q36" s="153">
        <v>990</v>
      </c>
    </row>
    <row r="37" spans="1:17" ht="17.45" customHeight="1" thickBot="1">
      <c r="A37" s="813" t="s">
        <v>70</v>
      </c>
      <c r="B37" s="814"/>
      <c r="C37" s="166" t="s">
        <v>71</v>
      </c>
      <c r="D37" s="185" t="s">
        <v>72</v>
      </c>
      <c r="E37" s="186" t="s">
        <v>73</v>
      </c>
      <c r="F37" s="311"/>
      <c r="G37" s="313"/>
      <c r="H37" s="188" t="s">
        <v>74</v>
      </c>
      <c r="I37" s="243">
        <f>(18*190+15*170+990*12)/1350*G42*2.7*1350/1000000</f>
        <v>44.589574890000009</v>
      </c>
      <c r="J37" s="129">
        <f>+I37+'20'!J37</f>
        <v>650.21707297607941</v>
      </c>
      <c r="K37" s="130" t="s">
        <v>75</v>
      </c>
      <c r="Q37" s="153">
        <f>+Q34+Q35+Q36</f>
        <v>1350</v>
      </c>
    </row>
    <row r="38" spans="1:17" ht="17.45" customHeight="1">
      <c r="A38" s="797" t="s">
        <v>12</v>
      </c>
      <c r="B38" s="798"/>
      <c r="C38" s="168">
        <f>SUMIF($G$7:$G$31,"Process",$F$7:$F$31)</f>
        <v>154</v>
      </c>
      <c r="D38" s="122">
        <f>C38+'20'!D38</f>
        <v>1089</v>
      </c>
      <c r="E38" s="147">
        <f t="shared" ref="E38:E52" si="15">D38/60</f>
        <v>18.149999999999999</v>
      </c>
      <c r="F38" s="311">
        <v>1123.8461538461538</v>
      </c>
      <c r="G38" s="311">
        <v>864.5846153846154</v>
      </c>
      <c r="H38" s="189" t="s">
        <v>76</v>
      </c>
      <c r="I38" s="534">
        <f>14.501+13.932+12.097</f>
        <v>40.53</v>
      </c>
      <c r="J38" s="131">
        <f>+I38+'20'!J38</f>
        <v>572.39699999999993</v>
      </c>
      <c r="K38" s="132" t="s">
        <v>75</v>
      </c>
    </row>
    <row r="39" spans="1:17" ht="17.45" customHeight="1">
      <c r="A39" s="799" t="s">
        <v>13</v>
      </c>
      <c r="B39" s="800"/>
      <c r="C39" s="168">
        <f>SUMIF($G$7:$G$31,"Cleaning",$F$7:$F$31)</f>
        <v>0</v>
      </c>
      <c r="D39" s="122">
        <f>C39+'20'!D39</f>
        <v>0</v>
      </c>
      <c r="E39" s="147">
        <f t="shared" si="15"/>
        <v>0</v>
      </c>
      <c r="F39" s="311">
        <v>1322.5625</v>
      </c>
      <c r="G39" s="311">
        <v>959.99437499999999</v>
      </c>
      <c r="H39" s="189" t="s">
        <v>77</v>
      </c>
      <c r="I39" s="146"/>
      <c r="J39" s="133">
        <f>J37/G4</f>
        <v>30.962717760765685</v>
      </c>
      <c r="K39" s="134" t="s">
        <v>75</v>
      </c>
      <c r="N39" s="153">
        <v>390</v>
      </c>
    </row>
    <row r="40" spans="1:17" ht="17.45" customHeight="1">
      <c r="A40" s="799" t="s">
        <v>78</v>
      </c>
      <c r="B40" s="800"/>
      <c r="C40" s="168">
        <f>SUMIF($G$7:$G$31,"Mechanical",$F$7:$F$31)</f>
        <v>0</v>
      </c>
      <c r="D40" s="122">
        <f>C40+'20'!D40</f>
        <v>17</v>
      </c>
      <c r="E40" s="147">
        <f t="shared" si="15"/>
        <v>0.28333333333333333</v>
      </c>
      <c r="F40" s="311">
        <v>1305.0416666666667</v>
      </c>
      <c r="G40" s="311">
        <v>939.63</v>
      </c>
      <c r="H40" s="189" t="s">
        <v>79</v>
      </c>
      <c r="I40" s="122">
        <f>(K34+L34)/1000</f>
        <v>38.347000000000001</v>
      </c>
      <c r="J40" s="135">
        <f>+I40+'20'!J40</f>
        <v>541.00000000000011</v>
      </c>
      <c r="K40" s="134" t="s">
        <v>75</v>
      </c>
      <c r="N40" s="153">
        <v>480</v>
      </c>
    </row>
    <row r="41" spans="1:17" ht="17.45" customHeight="1">
      <c r="A41" s="799" t="s">
        <v>80</v>
      </c>
      <c r="B41" s="800"/>
      <c r="C41" s="168">
        <f>SUMIF($G$7:$G$31,"Electrical",$F$7:$F$31)</f>
        <v>0</v>
      </c>
      <c r="D41" s="122">
        <f>C41+'20'!D41</f>
        <v>60</v>
      </c>
      <c r="E41" s="147">
        <f t="shared" si="15"/>
        <v>1</v>
      </c>
      <c r="F41" s="311"/>
      <c r="G41" s="311"/>
      <c r="H41" s="189" t="s">
        <v>81</v>
      </c>
      <c r="I41" s="146"/>
      <c r="J41" s="133">
        <f>J40/G4</f>
        <v>25.761904761904766</v>
      </c>
      <c r="K41" s="134" t="s">
        <v>75</v>
      </c>
      <c r="N41" s="153">
        <v>480</v>
      </c>
    </row>
    <row r="42" spans="1:17" ht="17.45" customHeight="1">
      <c r="A42" s="799" t="s">
        <v>16</v>
      </c>
      <c r="B42" s="800"/>
      <c r="C42" s="168">
        <f>SUMIF($G$7:$G$31,"Instrument",$F$7:$F$31)</f>
        <v>0</v>
      </c>
      <c r="D42" s="122">
        <f>C42+'20'!D42</f>
        <v>0</v>
      </c>
      <c r="E42" s="147">
        <f t="shared" si="15"/>
        <v>0</v>
      </c>
      <c r="F42" s="187">
        <f>+(390*F38+480*F39+480*F40)/1350</f>
        <v>1258.9259259259259</v>
      </c>
      <c r="G42" s="187">
        <f>+(390*G38+480*G39+480*G40)/1350</f>
        <v>925.19088888888905</v>
      </c>
      <c r="H42" s="189" t="s">
        <v>82</v>
      </c>
      <c r="I42" s="245" t="s">
        <v>634</v>
      </c>
      <c r="J42" s="136"/>
      <c r="K42" s="134" t="s">
        <v>83</v>
      </c>
      <c r="N42" s="153">
        <f>+N39+N40+N41</f>
        <v>1350</v>
      </c>
    </row>
    <row r="43" spans="1:17" ht="17.45" customHeight="1">
      <c r="A43" s="799" t="s">
        <v>84</v>
      </c>
      <c r="B43" s="800"/>
      <c r="C43" s="168">
        <f>SUMIF($G$7:$G$31,"Water",$F$7:$F$31)</f>
        <v>0</v>
      </c>
      <c r="D43" s="122">
        <f>C43+'20'!D43</f>
        <v>0</v>
      </c>
      <c r="E43" s="147">
        <f t="shared" si="15"/>
        <v>0</v>
      </c>
      <c r="F43" s="311"/>
      <c r="G43" s="312"/>
      <c r="H43" s="190" t="s">
        <v>85</v>
      </c>
      <c r="I43" s="122">
        <f>+Report1!Z29</f>
        <v>91.8</v>
      </c>
      <c r="J43" s="137">
        <f>+I43+'20'!J43</f>
        <v>1241.8</v>
      </c>
      <c r="K43" s="134" t="s">
        <v>75</v>
      </c>
      <c r="L43" s="191"/>
    </row>
    <row r="44" spans="1:17" ht="17.45" customHeight="1">
      <c r="A44" s="799" t="s">
        <v>17</v>
      </c>
      <c r="B44" s="800"/>
      <c r="C44" s="168">
        <f>SUMIF($G$7:$G$31,"PLN",$F$7:$F$31)</f>
        <v>0</v>
      </c>
      <c r="D44" s="122">
        <f>C44+'20'!D44</f>
        <v>0</v>
      </c>
      <c r="E44" s="147">
        <f t="shared" si="15"/>
        <v>0</v>
      </c>
      <c r="F44" s="311"/>
      <c r="G44" s="312"/>
      <c r="H44" s="190" t="s">
        <v>86</v>
      </c>
      <c r="I44" s="122">
        <f>I43/I38</f>
        <v>2.2649888971132492</v>
      </c>
      <c r="J44" s="138">
        <f>J43/J38</f>
        <v>2.169473285149992</v>
      </c>
      <c r="K44" s="134" t="s">
        <v>75</v>
      </c>
    </row>
    <row r="45" spans="1:17" ht="17.45" customHeight="1">
      <c r="A45" s="799" t="s">
        <v>18</v>
      </c>
      <c r="B45" s="800"/>
      <c r="C45" s="168">
        <f>SUMIF($G$7:$G$31,"Boiler",$F$7:$F$31)</f>
        <v>0</v>
      </c>
      <c r="D45" s="122">
        <f>C45+'20'!D45</f>
        <v>0</v>
      </c>
      <c r="E45" s="147">
        <f t="shared" si="15"/>
        <v>0</v>
      </c>
      <c r="F45" s="311"/>
      <c r="G45" s="314"/>
      <c r="H45" s="190" t="s">
        <v>87</v>
      </c>
      <c r="I45" s="122">
        <f>I43/I40</f>
        <v>2.3939291209221061</v>
      </c>
      <c r="J45" s="138">
        <f>J43/J40</f>
        <v>2.2953789279112748</v>
      </c>
      <c r="K45" s="134" t="s">
        <v>75</v>
      </c>
    </row>
    <row r="46" spans="1:17" ht="17.45" customHeight="1">
      <c r="A46" s="799" t="s">
        <v>88</v>
      </c>
      <c r="B46" s="800"/>
      <c r="C46" s="168">
        <f>SUMIF($G$7:$G$31,"Gas",$F$7:$F$31)</f>
        <v>0</v>
      </c>
      <c r="D46" s="122">
        <f>C46+'20'!D46</f>
        <v>0</v>
      </c>
      <c r="E46" s="147">
        <f t="shared" si="15"/>
        <v>0</v>
      </c>
      <c r="F46" s="311"/>
      <c r="G46" s="312"/>
      <c r="H46" s="190" t="s">
        <v>89</v>
      </c>
      <c r="I46" s="144">
        <f>+SUMIF(Listrik!X28,"&gt;0")</f>
        <v>41992.289999999921</v>
      </c>
      <c r="J46" s="139">
        <f>+I46+'20'!J46</f>
        <v>534803.66240000015</v>
      </c>
      <c r="K46" s="134" t="s">
        <v>90</v>
      </c>
    </row>
    <row r="47" spans="1:17" ht="17.45" customHeight="1">
      <c r="A47" s="799" t="s">
        <v>91</v>
      </c>
      <c r="B47" s="800"/>
      <c r="C47" s="168">
        <f>SUMIF($G$7:$G$31,"Gas",$F$7:$F$31)</f>
        <v>0</v>
      </c>
      <c r="D47" s="122">
        <f>C47+'20'!D47</f>
        <v>0</v>
      </c>
      <c r="E47" s="147">
        <f t="shared" si="15"/>
        <v>0</v>
      </c>
      <c r="F47" s="311"/>
      <c r="G47" s="312"/>
      <c r="H47" s="190" t="s">
        <v>92</v>
      </c>
      <c r="I47" s="122">
        <f>I46/I38</f>
        <v>1036.0792005921519</v>
      </c>
      <c r="J47" s="139">
        <f>J46/J38</f>
        <v>934.32296535446585</v>
      </c>
      <c r="K47" s="134" t="s">
        <v>24</v>
      </c>
    </row>
    <row r="48" spans="1:17" ht="17.45" customHeight="1">
      <c r="A48" s="799" t="s">
        <v>14</v>
      </c>
      <c r="B48" s="800"/>
      <c r="C48" s="168">
        <f>SUMIF($G$7:$G$31,"Start Up",$F$7:$F$31)</f>
        <v>0</v>
      </c>
      <c r="D48" s="122">
        <f>C48+'20'!D48</f>
        <v>0</v>
      </c>
      <c r="E48" s="147">
        <f t="shared" si="15"/>
        <v>0</v>
      </c>
      <c r="F48" s="311"/>
      <c r="G48" s="312"/>
      <c r="H48" s="190" t="s">
        <v>93</v>
      </c>
      <c r="I48" s="122">
        <f>I46/I40</f>
        <v>1095.060630557799</v>
      </c>
      <c r="J48" s="139">
        <f>J46/J40</f>
        <v>988.5465109057302</v>
      </c>
      <c r="K48" s="134" t="s">
        <v>24</v>
      </c>
    </row>
    <row r="49" spans="1:11" ht="17.45" customHeight="1">
      <c r="A49" s="799" t="s">
        <v>20</v>
      </c>
      <c r="B49" s="800"/>
      <c r="C49" s="168">
        <f>SUMIF($G$7:$G$31,"Others",$F$7:$F$31)</f>
        <v>0</v>
      </c>
      <c r="D49" s="122">
        <f>C49+'20'!D49</f>
        <v>11845</v>
      </c>
      <c r="E49" s="147">
        <f t="shared" si="15"/>
        <v>197.41666666666666</v>
      </c>
      <c r="F49" s="187"/>
      <c r="H49" s="190" t="s">
        <v>279</v>
      </c>
      <c r="I49" s="122">
        <f>+Report1!T29</f>
        <v>4524.8061245997733</v>
      </c>
      <c r="J49" s="139">
        <f>+I49+'20'!J49</f>
        <v>52066.272831842543</v>
      </c>
      <c r="K49" s="134" t="s">
        <v>94</v>
      </c>
    </row>
    <row r="50" spans="1:11" ht="17.45" customHeight="1">
      <c r="A50" s="799" t="s">
        <v>19</v>
      </c>
      <c r="B50" s="800"/>
      <c r="C50" s="168">
        <f>SUMIF($G$7:$G$31,"Steam",$F$7:$F$31)</f>
        <v>0</v>
      </c>
      <c r="D50" s="122">
        <f>C50+'20'!D50</f>
        <v>0</v>
      </c>
      <c r="E50" s="147">
        <f t="shared" si="15"/>
        <v>0</v>
      </c>
      <c r="F50" s="187"/>
      <c r="H50" s="190" t="s">
        <v>95</v>
      </c>
      <c r="I50" s="144">
        <f>I49/I38</f>
        <v>111.64091104366575</v>
      </c>
      <c r="J50" s="137">
        <f>J49/J38</f>
        <v>90.961819911429572</v>
      </c>
      <c r="K50" s="134" t="s">
        <v>94</v>
      </c>
    </row>
    <row r="51" spans="1:11" ht="17.45" customHeight="1">
      <c r="A51" s="801" t="s">
        <v>96</v>
      </c>
      <c r="B51" s="801"/>
      <c r="C51" s="168">
        <f>SUMIF($G$7:$G$31,"Planned shut",$F$7:$F$31)</f>
        <v>0</v>
      </c>
      <c r="D51" s="122">
        <f>C51+'20'!D51</f>
        <v>0</v>
      </c>
      <c r="E51" s="147">
        <f t="shared" si="15"/>
        <v>0</v>
      </c>
      <c r="F51" s="187"/>
      <c r="H51" s="192" t="s">
        <v>97</v>
      </c>
      <c r="I51" s="145">
        <f>I49/I40</f>
        <v>117.99635237697272</v>
      </c>
      <c r="J51" s="140">
        <f>J49/J40</f>
        <v>96.240800058858653</v>
      </c>
      <c r="K51" s="141" t="s">
        <v>94</v>
      </c>
    </row>
    <row r="52" spans="1:11" ht="13.5" thickBot="1">
      <c r="A52" s="802" t="s">
        <v>229</v>
      </c>
      <c r="B52" s="803"/>
      <c r="C52" s="168">
        <f>SUMIF($G$7:$G$31,"Change Grade",$F$7:$F$31)</f>
        <v>0</v>
      </c>
      <c r="D52" s="122">
        <f>C52+'20'!D52</f>
        <v>0</v>
      </c>
      <c r="E52" s="147">
        <f t="shared" si="15"/>
        <v>0</v>
      </c>
      <c r="F52" s="187"/>
      <c r="H52" s="193"/>
      <c r="I52" s="194"/>
      <c r="J52" s="142"/>
      <c r="K52" s="143"/>
    </row>
    <row r="53" spans="1:11">
      <c r="A53" s="797" t="s">
        <v>28</v>
      </c>
      <c r="B53" s="798"/>
      <c r="C53" s="148">
        <f>SUM(C38:C52)</f>
        <v>154</v>
      </c>
      <c r="D53" s="148">
        <f>SUM(D38:D52)</f>
        <v>13011</v>
      </c>
      <c r="E53" s="149">
        <f>SUM(E38:E52)</f>
        <v>216.85</v>
      </c>
      <c r="F53" s="187"/>
    </row>
    <row r="54" spans="1:11" ht="13.5" thickBot="1">
      <c r="A54" s="795"/>
      <c r="B54" s="796"/>
      <c r="C54" s="150">
        <f>C53/(24*60)</f>
        <v>0.10694444444444444</v>
      </c>
      <c r="D54" s="150">
        <f>D53/(24*60*G4)</f>
        <v>0.43025793650793653</v>
      </c>
      <c r="E54" s="151">
        <f>E53/(G4*24)</f>
        <v>0.43025793650793648</v>
      </c>
      <c r="F54" s="187"/>
    </row>
    <row r="55" spans="1:11">
      <c r="E55" s="195"/>
    </row>
    <row r="56" spans="1:11">
      <c r="A56" s="196" t="s">
        <v>98</v>
      </c>
      <c r="B56" s="197"/>
      <c r="C56" s="198"/>
      <c r="D56" s="198"/>
      <c r="E56" s="198"/>
      <c r="F56" s="199"/>
      <c r="G56" s="198"/>
      <c r="H56" s="200"/>
      <c r="I56" s="201" t="s">
        <v>99</v>
      </c>
      <c r="J56" s="202">
        <f>+D34+'20'!J56</f>
        <v>1800</v>
      </c>
      <c r="K56" s="203">
        <f>J56/(J40+J56/1000)/1000</f>
        <v>3.3161385408990414E-3</v>
      </c>
    </row>
    <row r="57" spans="1:11">
      <c r="A57" s="178"/>
      <c r="I57" s="201" t="s">
        <v>100</v>
      </c>
      <c r="J57" s="202">
        <f>+E34+'20'!J57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425781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20</v>
      </c>
      <c r="H4" s="158" t="str">
        <f>+'1'!H4</f>
        <v>.10.25</v>
      </c>
      <c r="J4" s="153">
        <f>407+438+427</f>
        <v>1272</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567</v>
      </c>
      <c r="O6" s="153">
        <v>1000</v>
      </c>
      <c r="P6" s="153">
        <f>+O6-O6*0.24</f>
        <v>760</v>
      </c>
      <c r="Q6" s="153">
        <f>480-Q7</f>
        <v>480</v>
      </c>
      <c r="R6" s="153">
        <f>+O6*Q6</f>
        <v>480000</v>
      </c>
      <c r="S6" s="153">
        <f>+P6*Q6</f>
        <v>364800</v>
      </c>
    </row>
    <row r="7" spans="1:19" ht="13.5" customHeight="1" thickBot="1">
      <c r="A7" s="804"/>
      <c r="B7" s="217" t="s">
        <v>581</v>
      </c>
      <c r="C7" s="218">
        <v>14476</v>
      </c>
      <c r="D7" s="219"/>
      <c r="E7" s="220"/>
      <c r="F7" s="235"/>
      <c r="G7" s="582" t="s">
        <v>12</v>
      </c>
      <c r="H7" s="583" t="s">
        <v>418</v>
      </c>
      <c r="I7" s="807" t="s">
        <v>618</v>
      </c>
      <c r="J7" s="216" t="str">
        <f>+'19'!J7</f>
        <v>TW 17 RC HW</v>
      </c>
      <c r="K7" s="237"/>
      <c r="L7" s="241"/>
      <c r="M7" s="121">
        <f>+K7+'19'!M7+L7</f>
        <v>3364</v>
      </c>
      <c r="P7" s="153">
        <f t="shared" ref="P7:P8" si="0">+O7-O7*0.22</f>
        <v>0</v>
      </c>
      <c r="R7" s="153">
        <f t="shared" ref="R7:R10" si="1">+O7*Q7</f>
        <v>0</v>
      </c>
      <c r="S7" s="153">
        <f t="shared" ref="S7:S10" si="2">+P7*Q7</f>
        <v>0</v>
      </c>
    </row>
    <row r="8" spans="1:19" ht="13.5" thickBot="1">
      <c r="A8" s="805"/>
      <c r="B8" s="217"/>
      <c r="C8" s="218"/>
      <c r="D8" s="219"/>
      <c r="E8" s="221"/>
      <c r="F8" s="231">
        <v>4</v>
      </c>
      <c r="G8" s="584" t="s">
        <v>12</v>
      </c>
      <c r="H8" s="230" t="s">
        <v>505</v>
      </c>
      <c r="I8" s="808"/>
      <c r="J8" s="216" t="str">
        <f>+'19'!J8</f>
        <v>T 14 VP OW</v>
      </c>
      <c r="K8" s="238"/>
      <c r="L8" s="238"/>
      <c r="M8" s="121">
        <f>+K8+'19'!M8+L8</f>
        <v>23832</v>
      </c>
      <c r="P8" s="153">
        <f t="shared" si="0"/>
        <v>0</v>
      </c>
      <c r="R8" s="153">
        <f t="shared" si="1"/>
        <v>0</v>
      </c>
      <c r="S8" s="153">
        <f t="shared" si="2"/>
        <v>0</v>
      </c>
    </row>
    <row r="9" spans="1:19" ht="13.5" thickBot="1">
      <c r="A9" s="805"/>
      <c r="B9" s="217"/>
      <c r="C9" s="218"/>
      <c r="D9" s="219"/>
      <c r="E9" s="222"/>
      <c r="F9" s="231">
        <v>6</v>
      </c>
      <c r="G9" s="584" t="s">
        <v>12</v>
      </c>
      <c r="H9" s="233" t="s">
        <v>484</v>
      </c>
      <c r="I9" s="808"/>
      <c r="J9" s="216" t="str">
        <f>+'19'!J9</f>
        <v>T 14,5 VP OW</v>
      </c>
      <c r="K9" s="238"/>
      <c r="L9" s="238"/>
      <c r="M9" s="121">
        <f>+K9+'19'!M9+L9</f>
        <v>190152</v>
      </c>
      <c r="R9" s="153">
        <f t="shared" si="1"/>
        <v>0</v>
      </c>
      <c r="S9" s="153">
        <f t="shared" si="2"/>
        <v>0</v>
      </c>
    </row>
    <row r="10" spans="1:19" ht="64.5" thickBot="1">
      <c r="A10" s="805"/>
      <c r="B10" s="217"/>
      <c r="C10" s="218"/>
      <c r="D10" s="219"/>
      <c r="E10" s="221"/>
      <c r="F10" s="231"/>
      <c r="G10" s="229"/>
      <c r="H10" s="233" t="s">
        <v>616</v>
      </c>
      <c r="I10" s="808"/>
      <c r="J10" s="216" t="str">
        <f>+'19'!J10</f>
        <v>T 13,5 VP OW</v>
      </c>
      <c r="K10" s="238"/>
      <c r="L10" s="238"/>
      <c r="M10" s="121">
        <f>+K10+'19'!M10+L10</f>
        <v>39850</v>
      </c>
      <c r="R10" s="153">
        <f t="shared" si="1"/>
        <v>0</v>
      </c>
      <c r="S10" s="153">
        <f t="shared" si="2"/>
        <v>0</v>
      </c>
    </row>
    <row r="11" spans="1:19" ht="64.5" thickBot="1">
      <c r="A11" s="805"/>
      <c r="B11" s="217"/>
      <c r="C11" s="218"/>
      <c r="D11" s="219"/>
      <c r="E11" s="221"/>
      <c r="F11" s="228"/>
      <c r="G11" s="232"/>
      <c r="H11" s="233" t="s">
        <v>617</v>
      </c>
      <c r="I11" s="808"/>
      <c r="J11" s="216" t="str">
        <f>+'19'!J11</f>
        <v>T 16,5 VP OW</v>
      </c>
      <c r="K11" s="238"/>
      <c r="L11" s="238"/>
      <c r="M11" s="121">
        <f>+K11+'19'!M11+L11</f>
        <v>9927</v>
      </c>
      <c r="P11" s="153">
        <f t="shared" ref="P11" si="3">+O11-O11*0.17</f>
        <v>0</v>
      </c>
    </row>
    <row r="12" spans="1:19" ht="13.5" thickBot="1">
      <c r="A12" s="805"/>
      <c r="B12" s="217"/>
      <c r="C12" s="218"/>
      <c r="D12" s="219"/>
      <c r="E12" s="221"/>
      <c r="F12" s="228"/>
      <c r="G12" s="232"/>
      <c r="H12" s="233"/>
      <c r="I12" s="808"/>
      <c r="J12" s="216" t="str">
        <f>+'19'!J12</f>
        <v>T 12,5 VP OW</v>
      </c>
      <c r="K12" s="238"/>
      <c r="L12" s="238"/>
      <c r="M12" s="121">
        <f>+K12+'19'!M12+L12</f>
        <v>12919</v>
      </c>
      <c r="Q12" s="153">
        <f>SUM(Q5:Q10)</f>
        <v>480</v>
      </c>
      <c r="R12" s="153">
        <f>SUM(R4:R10)</f>
        <v>480000</v>
      </c>
      <c r="S12" s="153">
        <f>SUM(S4:S10)</f>
        <v>364800</v>
      </c>
    </row>
    <row r="13" spans="1:19" ht="13.5" thickBot="1">
      <c r="A13" s="805"/>
      <c r="B13" s="217"/>
      <c r="C13" s="218"/>
      <c r="D13" s="218"/>
      <c r="E13" s="221"/>
      <c r="F13" s="228"/>
      <c r="G13" s="232"/>
      <c r="H13" s="233"/>
      <c r="I13" s="809"/>
      <c r="J13" s="216" t="str">
        <f>+'19'!J13</f>
        <v>TW 18 VP OW</v>
      </c>
      <c r="K13" s="238">
        <f>+C34</f>
        <v>48939</v>
      </c>
      <c r="L13" s="238"/>
      <c r="M13" s="121">
        <f>+K13+'19'!M13+L13</f>
        <v>222609</v>
      </c>
      <c r="N13" s="153" t="s">
        <v>421</v>
      </c>
      <c r="Q13" s="153">
        <f>480-Q12</f>
        <v>0</v>
      </c>
      <c r="R13" s="153">
        <f>+R12/Q12</f>
        <v>1000</v>
      </c>
      <c r="S13" s="153">
        <f>+S12/Q12</f>
        <v>760</v>
      </c>
    </row>
    <row r="14" spans="1:19" ht="13.5" thickBot="1">
      <c r="A14" s="806"/>
      <c r="B14" s="169" t="s">
        <v>3</v>
      </c>
      <c r="C14" s="103">
        <f>SUM(C7:C13)</f>
        <v>14476</v>
      </c>
      <c r="D14" s="115">
        <f>SUM(D7:D13)</f>
        <v>0</v>
      </c>
      <c r="E14" s="116">
        <f>SUM(E5:E13)</f>
        <v>0</v>
      </c>
      <c r="F14" s="120">
        <f>SUM(F7:F13)</f>
        <v>10</v>
      </c>
      <c r="G14" s="163"/>
      <c r="H14" s="170"/>
      <c r="I14" s="171"/>
      <c r="J14" s="216">
        <f>+'19'!J14</f>
        <v>0</v>
      </c>
      <c r="K14" s="238"/>
      <c r="L14" s="238"/>
      <c r="M14" s="121">
        <f>+K14+'19'!M14+L14</f>
        <v>0</v>
      </c>
    </row>
    <row r="15" spans="1:19" ht="13.5" thickBot="1">
      <c r="A15" s="810"/>
      <c r="B15" s="528"/>
      <c r="C15" s="117">
        <f>C14/($C$23+$D$23+$E$23)</f>
        <v>0.82460837368271145</v>
      </c>
      <c r="D15" s="118">
        <f>D14/($C$23+$D$23+$E$23)</f>
        <v>0</v>
      </c>
      <c r="E15" s="119">
        <f>E14/($C$23+$D$23+$E$23)</f>
        <v>0</v>
      </c>
      <c r="F15" s="235"/>
      <c r="G15" s="582" t="s">
        <v>12</v>
      </c>
      <c r="H15" s="583" t="s">
        <v>418</v>
      </c>
      <c r="I15" s="807" t="s">
        <v>619</v>
      </c>
      <c r="J15" s="216">
        <f>+'19'!J15</f>
        <v>0</v>
      </c>
      <c r="K15" s="238"/>
      <c r="L15" s="238"/>
      <c r="M15" s="121">
        <f>+K15+'19'!M15+L15</f>
        <v>0</v>
      </c>
      <c r="N15" s="153" t="s">
        <v>567</v>
      </c>
      <c r="O15" s="153">
        <v>1020</v>
      </c>
      <c r="P15" s="153">
        <f>+O15-O15*0.24</f>
        <v>775.2</v>
      </c>
      <c r="Q15" s="153">
        <v>480</v>
      </c>
      <c r="R15" s="153">
        <f>+O15*Q15</f>
        <v>489600</v>
      </c>
      <c r="S15" s="153">
        <f>+P15*Q15</f>
        <v>372096</v>
      </c>
    </row>
    <row r="16" spans="1:19" ht="13.5" thickBot="1">
      <c r="A16" s="805"/>
      <c r="B16" s="527" t="s">
        <v>581</v>
      </c>
      <c r="C16" s="526">
        <v>17555</v>
      </c>
      <c r="D16" s="223"/>
      <c r="E16" s="224"/>
      <c r="F16" s="231">
        <v>1</v>
      </c>
      <c r="G16" s="584" t="s">
        <v>12</v>
      </c>
      <c r="H16" s="230" t="s">
        <v>571</v>
      </c>
      <c r="I16" s="808"/>
      <c r="J16" s="216">
        <f>+'19'!J16</f>
        <v>0</v>
      </c>
      <c r="K16" s="229"/>
      <c r="L16" s="229"/>
      <c r="M16" s="121">
        <f>+K16+'19'!M16+L16</f>
        <v>0</v>
      </c>
      <c r="P16" s="153">
        <f t="shared" ref="P16:P17" si="4">+O16-O16*0.22</f>
        <v>0</v>
      </c>
      <c r="R16" s="153">
        <f t="shared" ref="R16:R19" si="5">+O16*Q16</f>
        <v>0</v>
      </c>
      <c r="S16" s="153">
        <f t="shared" ref="S16:S19" si="6">+P16*Q16</f>
        <v>0</v>
      </c>
    </row>
    <row r="17" spans="1:19" ht="13.5" thickBot="1">
      <c r="A17" s="805"/>
      <c r="B17" s="217"/>
      <c r="C17" s="218"/>
      <c r="D17" s="219"/>
      <c r="E17" s="225"/>
      <c r="F17" s="231">
        <v>6</v>
      </c>
      <c r="G17" s="584" t="s">
        <v>12</v>
      </c>
      <c r="H17" s="233" t="s">
        <v>511</v>
      </c>
      <c r="I17" s="808"/>
      <c r="J17" s="216">
        <f>+'19'!J17</f>
        <v>0</v>
      </c>
      <c r="K17" s="229"/>
      <c r="L17" s="229"/>
      <c r="M17" s="121">
        <f>+K17+'19'!M17+L17</f>
        <v>0</v>
      </c>
      <c r="P17" s="153">
        <f t="shared" si="4"/>
        <v>0</v>
      </c>
      <c r="R17" s="153">
        <f t="shared" si="5"/>
        <v>0</v>
      </c>
      <c r="S17" s="153">
        <f t="shared" si="6"/>
        <v>0</v>
      </c>
    </row>
    <row r="18" spans="1:19" ht="64.5" thickBot="1">
      <c r="A18" s="805"/>
      <c r="B18" s="217"/>
      <c r="C18" s="218"/>
      <c r="D18" s="219"/>
      <c r="E18" s="225"/>
      <c r="F18" s="231"/>
      <c r="G18" s="229"/>
      <c r="H18" s="233" t="s">
        <v>614</v>
      </c>
      <c r="I18" s="808"/>
      <c r="J18" s="216">
        <f>+'19'!J18</f>
        <v>0</v>
      </c>
      <c r="K18" s="238"/>
      <c r="L18" s="238"/>
      <c r="M18" s="121">
        <f>+K18+'19'!M18+L18</f>
        <v>0</v>
      </c>
      <c r="R18" s="153">
        <f t="shared" si="5"/>
        <v>0</v>
      </c>
      <c r="S18" s="153">
        <f t="shared" si="6"/>
        <v>0</v>
      </c>
    </row>
    <row r="19" spans="1:19" ht="13.5" thickBot="1">
      <c r="A19" s="805"/>
      <c r="B19" s="217"/>
      <c r="C19" s="218"/>
      <c r="D19" s="219"/>
      <c r="E19" s="225"/>
      <c r="F19" s="234"/>
      <c r="G19" s="232"/>
      <c r="H19" s="233" t="s">
        <v>615</v>
      </c>
      <c r="I19" s="808"/>
      <c r="J19" s="216">
        <f>+'19'!J19</f>
        <v>0</v>
      </c>
      <c r="K19" s="238"/>
      <c r="L19" s="238"/>
      <c r="M19" s="121">
        <f>+K19+'19'!M19+L19</f>
        <v>0</v>
      </c>
      <c r="R19" s="153">
        <f t="shared" si="5"/>
        <v>0</v>
      </c>
      <c r="S19" s="153">
        <f t="shared" si="6"/>
        <v>0</v>
      </c>
    </row>
    <row r="20" spans="1:19" ht="13.5" thickBot="1">
      <c r="A20" s="805"/>
      <c r="B20" s="217"/>
      <c r="C20" s="218"/>
      <c r="D20" s="219"/>
      <c r="E20" s="225"/>
      <c r="F20" s="228"/>
      <c r="G20" s="232"/>
      <c r="H20" s="233"/>
      <c r="I20" s="808"/>
      <c r="J20" s="216">
        <f>+'19'!J20</f>
        <v>0</v>
      </c>
      <c r="K20" s="239"/>
      <c r="L20" s="239"/>
      <c r="M20" s="121">
        <f>+K20+'19'!M20+L20</f>
        <v>0</v>
      </c>
      <c r="P20" s="153">
        <f t="shared" ref="P20" si="7">+O20-O20*0.17</f>
        <v>0</v>
      </c>
    </row>
    <row r="21" spans="1:19" ht="13.5" thickBot="1">
      <c r="A21" s="805"/>
      <c r="B21" s="217"/>
      <c r="C21" s="218"/>
      <c r="D21" s="219"/>
      <c r="E21" s="225"/>
      <c r="F21" s="231"/>
      <c r="G21" s="232"/>
      <c r="H21" s="233"/>
      <c r="I21" s="808"/>
      <c r="J21" s="216">
        <f>+'19'!J21</f>
        <v>0</v>
      </c>
      <c r="K21" s="238"/>
      <c r="L21" s="238"/>
      <c r="M21" s="121">
        <f>+K21+'19'!M21+L21</f>
        <v>0</v>
      </c>
      <c r="Q21" s="153">
        <f>SUM(Q15:Q19)</f>
        <v>480</v>
      </c>
      <c r="R21" s="153">
        <f>SUM(R15:R19)</f>
        <v>489600</v>
      </c>
      <c r="S21" s="153">
        <f>SUM(S15:S19)</f>
        <v>372096</v>
      </c>
    </row>
    <row r="22" spans="1:19" ht="13.5" thickBot="1">
      <c r="A22" s="805"/>
      <c r="B22" s="217"/>
      <c r="C22" s="218"/>
      <c r="D22" s="219"/>
      <c r="E22" s="225"/>
      <c r="F22" s="235"/>
      <c r="G22" s="232"/>
      <c r="H22" s="233"/>
      <c r="I22" s="809"/>
      <c r="J22" s="216">
        <f>+'19'!J22</f>
        <v>0</v>
      </c>
      <c r="K22" s="238"/>
      <c r="L22" s="238"/>
      <c r="M22" s="121">
        <f>+K22+'19'!M22+L22</f>
        <v>0</v>
      </c>
      <c r="N22" s="153" t="s">
        <v>421</v>
      </c>
      <c r="Q22" s="153">
        <f>480-Q21</f>
        <v>0</v>
      </c>
      <c r="R22" s="153">
        <f>+R21/Q21</f>
        <v>1020</v>
      </c>
      <c r="S22" s="153">
        <f>+S21/Q21</f>
        <v>775.2</v>
      </c>
    </row>
    <row r="23" spans="1:19" ht="13.5" thickBot="1">
      <c r="A23" s="806"/>
      <c r="B23" s="169" t="s">
        <v>3</v>
      </c>
      <c r="C23" s="103">
        <f>SUM(C16:C22)</f>
        <v>17555</v>
      </c>
      <c r="D23" s="115">
        <f>SUM(D16:D22)</f>
        <v>0</v>
      </c>
      <c r="E23" s="116">
        <f>SUM(E18:E22)</f>
        <v>0</v>
      </c>
      <c r="F23" s="120">
        <f>SUM(F15:F22)</f>
        <v>7</v>
      </c>
      <c r="G23" s="163"/>
      <c r="H23" s="170"/>
      <c r="I23" s="172"/>
      <c r="J23" s="216">
        <f>+'19'!J23</f>
        <v>0</v>
      </c>
      <c r="K23" s="238"/>
      <c r="L23" s="238"/>
      <c r="M23" s="121">
        <f>+K23+'19'!M23+L23</f>
        <v>0</v>
      </c>
    </row>
    <row r="24" spans="1:19" ht="13.5" thickBot="1">
      <c r="A24" s="810"/>
      <c r="B24" s="528"/>
      <c r="C24" s="117">
        <f>C23/($C$23+$D$23+$E$23)</f>
        <v>1</v>
      </c>
      <c r="D24" s="118">
        <f>D23/($C$23+$D$23+$E$23)</f>
        <v>0</v>
      </c>
      <c r="E24" s="119">
        <f>E23/($C$23+$D$23+$E$23)</f>
        <v>0</v>
      </c>
      <c r="F24" s="235"/>
      <c r="G24" s="582" t="s">
        <v>12</v>
      </c>
      <c r="H24" s="583" t="s">
        <v>418</v>
      </c>
      <c r="I24" s="807" t="s">
        <v>619</v>
      </c>
      <c r="J24" s="216">
        <f>+'19'!J24</f>
        <v>0</v>
      </c>
      <c r="K24" s="238"/>
      <c r="L24" s="238"/>
      <c r="M24" s="121">
        <f>+K24+'19'!M24+L24</f>
        <v>0</v>
      </c>
      <c r="N24" s="153" t="s">
        <v>567</v>
      </c>
      <c r="O24" s="153">
        <v>1020</v>
      </c>
      <c r="P24" s="153">
        <f>+O24-O24*0.24</f>
        <v>775.2</v>
      </c>
      <c r="Q24" s="153">
        <v>480</v>
      </c>
      <c r="R24" s="153">
        <f>+O24*Q24</f>
        <v>489600</v>
      </c>
      <c r="S24" s="153">
        <f>+P24*Q24</f>
        <v>372096</v>
      </c>
    </row>
    <row r="25" spans="1:19" ht="13.5" thickBot="1">
      <c r="A25" s="805"/>
      <c r="B25" s="527" t="s">
        <v>581</v>
      </c>
      <c r="C25" s="226">
        <v>16908</v>
      </c>
      <c r="D25" s="219"/>
      <c r="E25" s="225"/>
      <c r="F25" s="231">
        <v>1</v>
      </c>
      <c r="G25" s="584" t="s">
        <v>12</v>
      </c>
      <c r="H25" s="230" t="s">
        <v>571</v>
      </c>
      <c r="I25" s="808"/>
      <c r="J25" s="216">
        <f>+'19'!J25</f>
        <v>0</v>
      </c>
      <c r="K25" s="238"/>
      <c r="L25" s="238"/>
      <c r="M25" s="121">
        <f>+K25+'19'!M25+L25</f>
        <v>0</v>
      </c>
      <c r="P25" s="153">
        <f t="shared" ref="P25:P26" si="8">+O25-O25*0.22</f>
        <v>0</v>
      </c>
      <c r="R25" s="153">
        <f t="shared" ref="R25:R28" si="9">+O25*Q25</f>
        <v>0</v>
      </c>
      <c r="S25" s="153">
        <f t="shared" ref="S25:S28" si="10">+P25*Q25</f>
        <v>0</v>
      </c>
    </row>
    <row r="26" spans="1:19" ht="13.5" thickBot="1">
      <c r="A26" s="805"/>
      <c r="B26" s="217"/>
      <c r="C26" s="226"/>
      <c r="D26" s="219"/>
      <c r="E26" s="227"/>
      <c r="F26" s="231">
        <v>6</v>
      </c>
      <c r="G26" s="584" t="s">
        <v>12</v>
      </c>
      <c r="H26" s="233" t="s">
        <v>511</v>
      </c>
      <c r="I26" s="808"/>
      <c r="J26" s="216">
        <f>+'19'!J26</f>
        <v>0</v>
      </c>
      <c r="K26" s="238"/>
      <c r="L26" s="238"/>
      <c r="M26" s="121">
        <f>+K26+'19'!M26+L26</f>
        <v>0</v>
      </c>
      <c r="P26" s="153">
        <f t="shared" si="8"/>
        <v>0</v>
      </c>
      <c r="R26" s="153">
        <f t="shared" si="9"/>
        <v>0</v>
      </c>
      <c r="S26" s="153">
        <f t="shared" si="10"/>
        <v>0</v>
      </c>
    </row>
    <row r="27" spans="1:19" ht="64.5" thickBot="1">
      <c r="A27" s="805"/>
      <c r="B27" s="217"/>
      <c r="C27" s="218"/>
      <c r="D27" s="219"/>
      <c r="E27" s="225"/>
      <c r="F27" s="231"/>
      <c r="G27" s="229"/>
      <c r="H27" s="233" t="s">
        <v>612</v>
      </c>
      <c r="I27" s="808"/>
      <c r="J27" s="216">
        <f>+'19'!J27</f>
        <v>0</v>
      </c>
      <c r="K27" s="238"/>
      <c r="L27" s="238"/>
      <c r="M27" s="121">
        <f>+K27+'19'!M27+L27</f>
        <v>0</v>
      </c>
      <c r="R27" s="153">
        <f t="shared" si="9"/>
        <v>0</v>
      </c>
      <c r="S27" s="153">
        <f t="shared" si="10"/>
        <v>0</v>
      </c>
    </row>
    <row r="28" spans="1:19" ht="13.5" thickBot="1">
      <c r="A28" s="805"/>
      <c r="B28" s="217"/>
      <c r="C28" s="218"/>
      <c r="D28" s="219"/>
      <c r="E28" s="225"/>
      <c r="F28" s="231"/>
      <c r="G28" s="229"/>
      <c r="H28" s="233" t="s">
        <v>613</v>
      </c>
      <c r="I28" s="808"/>
      <c r="J28" s="216">
        <f>+'19'!J28</f>
        <v>0</v>
      </c>
      <c r="K28" s="238"/>
      <c r="L28" s="238"/>
      <c r="M28" s="121">
        <f>+K28+'19'!M28+L28</f>
        <v>0</v>
      </c>
      <c r="R28" s="153">
        <f t="shared" si="9"/>
        <v>0</v>
      </c>
      <c r="S28" s="153">
        <f t="shared" si="10"/>
        <v>0</v>
      </c>
    </row>
    <row r="29" spans="1:19" ht="13.5" thickBot="1">
      <c r="A29" s="805"/>
      <c r="B29" s="217"/>
      <c r="C29" s="218"/>
      <c r="D29" s="219"/>
      <c r="E29" s="225"/>
      <c r="F29" s="235"/>
      <c r="G29" s="232"/>
      <c r="H29" s="233"/>
      <c r="I29" s="808"/>
      <c r="J29" s="216">
        <f>+'19'!J29</f>
        <v>0</v>
      </c>
      <c r="K29" s="238"/>
      <c r="L29" s="238"/>
      <c r="M29" s="121">
        <f>+K29+'19'!M29+L29</f>
        <v>0</v>
      </c>
      <c r="P29" s="153">
        <f t="shared" ref="P29" si="11">+O29-O29*0.17</f>
        <v>0</v>
      </c>
    </row>
    <row r="30" spans="1:19" ht="13.5" thickBot="1">
      <c r="A30" s="805"/>
      <c r="B30" s="217"/>
      <c r="C30" s="226"/>
      <c r="D30" s="219"/>
      <c r="E30" s="225"/>
      <c r="F30" s="235"/>
      <c r="G30" s="232"/>
      <c r="H30" s="233"/>
      <c r="I30" s="808"/>
      <c r="J30" s="216">
        <f>+'19'!J30</f>
        <v>0</v>
      </c>
      <c r="K30" s="238"/>
      <c r="L30" s="238"/>
      <c r="M30" s="121">
        <f>+K30+'19'!M30+L30</f>
        <v>0</v>
      </c>
      <c r="Q30" s="153">
        <f>SUM(Q24:Q28)</f>
        <v>480</v>
      </c>
      <c r="R30" s="153">
        <f>SUM(R24:R28)</f>
        <v>489600</v>
      </c>
      <c r="S30" s="153">
        <f>SUM(S24:S28)</f>
        <v>372096</v>
      </c>
    </row>
    <row r="31" spans="1:19" ht="13.5" thickBot="1">
      <c r="A31" s="805"/>
      <c r="B31" s="217"/>
      <c r="C31" s="226"/>
      <c r="D31" s="219"/>
      <c r="E31" s="225"/>
      <c r="F31" s="235"/>
      <c r="G31" s="236"/>
      <c r="H31" s="413"/>
      <c r="I31" s="809"/>
      <c r="J31" s="216">
        <f>+'19'!J31</f>
        <v>0</v>
      </c>
      <c r="K31" s="238"/>
      <c r="L31" s="238"/>
      <c r="M31" s="121">
        <f>+K31+'19'!M31+L31</f>
        <v>0</v>
      </c>
      <c r="N31" s="153" t="s">
        <v>421</v>
      </c>
      <c r="Q31" s="153">
        <f>480-Q30</f>
        <v>0</v>
      </c>
      <c r="R31" s="153">
        <f>+R30/Q30</f>
        <v>1020</v>
      </c>
      <c r="S31" s="153">
        <f>+S30/Q30</f>
        <v>775.2</v>
      </c>
    </row>
    <row r="32" spans="1:19" ht="13.5" thickBot="1">
      <c r="A32" s="806"/>
      <c r="B32" s="169" t="s">
        <v>3</v>
      </c>
      <c r="C32" s="103">
        <f>SUM(C25:C31)</f>
        <v>16908</v>
      </c>
      <c r="D32" s="104">
        <f>SUM(D25:D31)</f>
        <v>0</v>
      </c>
      <c r="E32" s="105">
        <f>SUM(E25:E31)</f>
        <v>0</v>
      </c>
      <c r="F32" s="103">
        <f>SUM(F24:F31)</f>
        <v>7</v>
      </c>
      <c r="G32" s="173"/>
      <c r="H32" s="174"/>
      <c r="I32" s="172"/>
      <c r="J32" s="216">
        <f>+'19'!J32</f>
        <v>0</v>
      </c>
      <c r="K32" s="240"/>
      <c r="L32" s="242"/>
      <c r="M32" s="121">
        <f>+K32+'19'!M32+L32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11" t="s">
        <v>69</v>
      </c>
      <c r="B34" s="812"/>
      <c r="C34" s="111">
        <f>C14+C23+C32</f>
        <v>48939</v>
      </c>
      <c r="D34" s="111">
        <f>D14+D23+D32</f>
        <v>0</v>
      </c>
      <c r="E34" s="111">
        <f>E14+E23+E32</f>
        <v>0</v>
      </c>
      <c r="F34" s="112">
        <f>F14+F23+F32</f>
        <v>24</v>
      </c>
      <c r="H34" s="180"/>
      <c r="I34" s="180"/>
      <c r="J34" s="127" t="s">
        <v>28</v>
      </c>
      <c r="K34" s="128">
        <f>SUM(K7:K32)</f>
        <v>48939</v>
      </c>
      <c r="L34" s="214">
        <f>SUM(L7:L32)</f>
        <v>0</v>
      </c>
      <c r="M34" s="124">
        <f>SUM(M7:M32)</f>
        <v>502653</v>
      </c>
      <c r="N34" s="159"/>
    </row>
    <row r="35" spans="1:14" ht="13.5" thickBot="1">
      <c r="A35" s="573"/>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(18*1440)/1440*G42*2.7*1440/1000000</f>
        <v>53.897011200000001</v>
      </c>
      <c r="J37" s="129">
        <f>+I37+'19'!J37</f>
        <v>605.62749808607941</v>
      </c>
      <c r="K37" s="130" t="s">
        <v>75</v>
      </c>
    </row>
    <row r="38" spans="1:14" ht="17.45" customHeight="1">
      <c r="A38" s="797" t="s">
        <v>12</v>
      </c>
      <c r="B38" s="798"/>
      <c r="C38" s="168">
        <f>SUMIF($G$7:$G$31,"Process",$F$7:$F$31)</f>
        <v>24</v>
      </c>
      <c r="D38" s="122">
        <f>C38+'19'!D38</f>
        <v>935</v>
      </c>
      <c r="E38" s="147">
        <f t="shared" ref="E38:E52" si="12">D38/60</f>
        <v>15.583333333333334</v>
      </c>
      <c r="F38" s="311">
        <v>1000</v>
      </c>
      <c r="G38" s="311">
        <v>760</v>
      </c>
      <c r="H38" s="189" t="s">
        <v>76</v>
      </c>
      <c r="I38" s="534">
        <f>16.792+15.728+16.931</f>
        <v>49.451000000000008</v>
      </c>
      <c r="J38" s="131">
        <f>+I38+'19'!J38</f>
        <v>531.86699999999996</v>
      </c>
      <c r="K38" s="132" t="s">
        <v>75</v>
      </c>
    </row>
    <row r="39" spans="1:14" ht="17.45" customHeight="1">
      <c r="A39" s="799" t="s">
        <v>13</v>
      </c>
      <c r="B39" s="800"/>
      <c r="C39" s="168">
        <f>SUMIF($G$7:$G$31,"Cleaning",$F$7:$F$31)</f>
        <v>0</v>
      </c>
      <c r="D39" s="122">
        <f>C39+'19'!D39</f>
        <v>0</v>
      </c>
      <c r="E39" s="147">
        <f t="shared" si="12"/>
        <v>0</v>
      </c>
      <c r="F39" s="311">
        <v>1020</v>
      </c>
      <c r="G39" s="311">
        <v>775.2</v>
      </c>
      <c r="H39" s="189" t="s">
        <v>77</v>
      </c>
      <c r="I39" s="146"/>
      <c r="J39" s="133">
        <f>J37/G4</f>
        <v>30.28137490430397</v>
      </c>
      <c r="K39" s="134" t="s">
        <v>75</v>
      </c>
    </row>
    <row r="40" spans="1:14" ht="17.45" customHeight="1">
      <c r="A40" s="799" t="s">
        <v>78</v>
      </c>
      <c r="B40" s="800"/>
      <c r="C40" s="168">
        <f>SUMIF($G$7:$G$31,"Mechanical",$F$7:$F$31)</f>
        <v>0</v>
      </c>
      <c r="D40" s="122">
        <f>C40+'19'!D40</f>
        <v>17</v>
      </c>
      <c r="E40" s="147">
        <f t="shared" si="12"/>
        <v>0.28333333333333333</v>
      </c>
      <c r="F40" s="311">
        <v>1020</v>
      </c>
      <c r="G40" s="311">
        <v>775.2</v>
      </c>
      <c r="H40" s="189" t="s">
        <v>79</v>
      </c>
      <c r="I40" s="122">
        <f>(K34+L34)/1000</f>
        <v>48.939</v>
      </c>
      <c r="J40" s="135">
        <f>+I40+'19'!J40</f>
        <v>502.65300000000008</v>
      </c>
      <c r="K40" s="134" t="s">
        <v>75</v>
      </c>
    </row>
    <row r="41" spans="1:14" ht="17.45" customHeight="1">
      <c r="A41" s="799" t="s">
        <v>80</v>
      </c>
      <c r="B41" s="800"/>
      <c r="C41" s="168">
        <f>SUMIF($G$7:$G$31,"Electrical",$F$7:$F$31)</f>
        <v>0</v>
      </c>
      <c r="D41" s="122">
        <f>C41+'19'!D41</f>
        <v>60</v>
      </c>
      <c r="E41" s="147">
        <f t="shared" si="12"/>
        <v>1</v>
      </c>
      <c r="F41" s="311"/>
      <c r="G41" s="311"/>
      <c r="H41" s="189" t="s">
        <v>81</v>
      </c>
      <c r="I41" s="146"/>
      <c r="J41" s="133">
        <f>J40/G4</f>
        <v>25.132650000000005</v>
      </c>
      <c r="K41" s="134" t="s">
        <v>75</v>
      </c>
    </row>
    <row r="42" spans="1:14" ht="17.45" customHeight="1">
      <c r="A42" s="799" t="s">
        <v>16</v>
      </c>
      <c r="B42" s="800"/>
      <c r="C42" s="168">
        <f>SUMIF($G$7:$G$31,"Instrument",$F$7:$F$31)</f>
        <v>0</v>
      </c>
      <c r="D42" s="122">
        <f>C42+'19'!D42</f>
        <v>0</v>
      </c>
      <c r="E42" s="147">
        <f t="shared" si="12"/>
        <v>0</v>
      </c>
      <c r="F42" s="187">
        <f>+(F38*480+F39*480+F40*480)/1440</f>
        <v>1013.3333333333334</v>
      </c>
      <c r="G42" s="187">
        <f>+(G38*480+G39*480+G40*480)/1440</f>
        <v>770.13333333333333</v>
      </c>
      <c r="H42" s="189" t="s">
        <v>82</v>
      </c>
      <c r="I42" s="245" t="s">
        <v>620</v>
      </c>
      <c r="J42" s="136"/>
      <c r="K42" s="134" t="s">
        <v>83</v>
      </c>
    </row>
    <row r="43" spans="1:14" ht="17.45" customHeight="1">
      <c r="A43" s="799" t="s">
        <v>84</v>
      </c>
      <c r="B43" s="800"/>
      <c r="C43" s="168">
        <f>SUMIF($G$7:$G$31,"Water",$F$7:$F$31)</f>
        <v>0</v>
      </c>
      <c r="D43" s="122">
        <f>C43+'19'!D43</f>
        <v>0</v>
      </c>
      <c r="E43" s="147">
        <f t="shared" si="12"/>
        <v>0</v>
      </c>
      <c r="F43" s="311"/>
      <c r="G43" s="312"/>
      <c r="H43" s="190" t="s">
        <v>85</v>
      </c>
      <c r="I43" s="122">
        <f>+Report1!Z28</f>
        <v>102.9</v>
      </c>
      <c r="J43" s="137">
        <f>+I43+'19'!J43</f>
        <v>1150</v>
      </c>
      <c r="K43" s="134" t="s">
        <v>75</v>
      </c>
      <c r="L43" s="191"/>
    </row>
    <row r="44" spans="1:14" ht="17.45" customHeight="1">
      <c r="A44" s="799" t="s">
        <v>17</v>
      </c>
      <c r="B44" s="800"/>
      <c r="C44" s="168">
        <f>SUMIF($G$7:$G$31,"PLN",$F$7:$F$31)</f>
        <v>0</v>
      </c>
      <c r="D44" s="122">
        <f>C44+'19'!D44</f>
        <v>0</v>
      </c>
      <c r="E44" s="147">
        <f t="shared" si="12"/>
        <v>0</v>
      </c>
      <c r="F44" s="311"/>
      <c r="G44" s="312"/>
      <c r="H44" s="190" t="s">
        <v>86</v>
      </c>
      <c r="I44" s="122">
        <f>I43/I38</f>
        <v>2.0808477078319951</v>
      </c>
      <c r="J44" s="138">
        <f>J43/J38</f>
        <v>2.1621946840093482</v>
      </c>
      <c r="K44" s="134" t="s">
        <v>75</v>
      </c>
    </row>
    <row r="45" spans="1:14" ht="17.45" customHeight="1">
      <c r="A45" s="799" t="s">
        <v>18</v>
      </c>
      <c r="B45" s="800"/>
      <c r="C45" s="168">
        <f>SUMIF($G$7:$G$31,"Boiler",$F$7:$F$31)</f>
        <v>0</v>
      </c>
      <c r="D45" s="122">
        <f>C45+'19'!D45</f>
        <v>0</v>
      </c>
      <c r="E45" s="147">
        <f t="shared" si="12"/>
        <v>0</v>
      </c>
      <c r="F45" s="311"/>
      <c r="G45" s="314"/>
      <c r="H45" s="190" t="s">
        <v>87</v>
      </c>
      <c r="I45" s="122">
        <f>I43/I40</f>
        <v>2.1026175442898305</v>
      </c>
      <c r="J45" s="138">
        <f>J43/J40</f>
        <v>2.2878606115948772</v>
      </c>
      <c r="K45" s="134" t="s">
        <v>75</v>
      </c>
    </row>
    <row r="46" spans="1:14" ht="17.45" customHeight="1">
      <c r="A46" s="799" t="s">
        <v>88</v>
      </c>
      <c r="B46" s="800"/>
      <c r="C46" s="168">
        <f>SUMIF($G$7:$G$31,"Gas",$F$7:$F$31)</f>
        <v>0</v>
      </c>
      <c r="D46" s="122">
        <f>C46+'19'!D46</f>
        <v>0</v>
      </c>
      <c r="E46" s="147">
        <f t="shared" si="12"/>
        <v>0</v>
      </c>
      <c r="F46" s="311"/>
      <c r="G46" s="312"/>
      <c r="H46" s="190" t="s">
        <v>89</v>
      </c>
      <c r="I46" s="144">
        <f>+SUMIF(Listrik!X27,"&gt;0")</f>
        <v>40537.830000000045</v>
      </c>
      <c r="J46" s="139">
        <f>+I46+'19'!J46</f>
        <v>492811.37240000023</v>
      </c>
      <c r="K46" s="134" t="s">
        <v>90</v>
      </c>
    </row>
    <row r="47" spans="1:14" ht="17.45" customHeight="1">
      <c r="A47" s="799" t="s">
        <v>91</v>
      </c>
      <c r="B47" s="800"/>
      <c r="C47" s="168">
        <f>SUMIF($G$7:$G$31,"Gas",$F$7:$F$31)</f>
        <v>0</v>
      </c>
      <c r="D47" s="122">
        <f>C47+'19'!D47</f>
        <v>0</v>
      </c>
      <c r="E47" s="147">
        <f t="shared" si="12"/>
        <v>0</v>
      </c>
      <c r="F47" s="311"/>
      <c r="G47" s="312"/>
      <c r="H47" s="190" t="s">
        <v>92</v>
      </c>
      <c r="I47" s="122">
        <f>I46/I38</f>
        <v>819.75753776465672</v>
      </c>
      <c r="J47" s="139">
        <f>J46/J38</f>
        <v>926.56880836750588</v>
      </c>
      <c r="K47" s="134" t="s">
        <v>24</v>
      </c>
    </row>
    <row r="48" spans="1:14" ht="17.45" customHeight="1">
      <c r="A48" s="799" t="s">
        <v>14</v>
      </c>
      <c r="B48" s="800"/>
      <c r="C48" s="168">
        <f>SUMIF($G$7:$G$31,"Start Up",$F$7:$F$31)</f>
        <v>0</v>
      </c>
      <c r="D48" s="122">
        <f>C48+'19'!D48</f>
        <v>0</v>
      </c>
      <c r="E48" s="147">
        <f t="shared" si="12"/>
        <v>0</v>
      </c>
      <c r="F48" s="311"/>
      <c r="G48" s="312"/>
      <c r="H48" s="190" t="s">
        <v>93</v>
      </c>
      <c r="I48" s="122">
        <f>I46/I40</f>
        <v>828.33384417335958</v>
      </c>
      <c r="J48" s="139">
        <f>J46/J40</f>
        <v>980.4206329217177</v>
      </c>
      <c r="K48" s="134" t="s">
        <v>24</v>
      </c>
    </row>
    <row r="49" spans="1:11" ht="17.45" customHeight="1">
      <c r="A49" s="799" t="s">
        <v>20</v>
      </c>
      <c r="B49" s="800"/>
      <c r="C49" s="168">
        <f>SUMIF($G$7:$G$31,"Others",$F$7:$F$31)</f>
        <v>0</v>
      </c>
      <c r="D49" s="122">
        <f>C49+'19'!D49</f>
        <v>11845</v>
      </c>
      <c r="E49" s="147">
        <f t="shared" si="12"/>
        <v>197.41666666666666</v>
      </c>
      <c r="F49" s="187"/>
      <c r="H49" s="190" t="s">
        <v>279</v>
      </c>
      <c r="I49" s="122">
        <f>+Report1!T28</f>
        <v>4568.7659394722459</v>
      </c>
      <c r="J49" s="139">
        <f>+I49+'19'!J49</f>
        <v>47541.466707242769</v>
      </c>
      <c r="K49" s="134" t="s">
        <v>94</v>
      </c>
    </row>
    <row r="50" spans="1:11" ht="17.45" customHeight="1">
      <c r="A50" s="799" t="s">
        <v>19</v>
      </c>
      <c r="B50" s="800"/>
      <c r="C50" s="168">
        <f>SUMIF($G$7:$G$31,"Steam",$F$7:$F$31)</f>
        <v>0</v>
      </c>
      <c r="D50" s="122">
        <f>C50+'19'!D50</f>
        <v>0</v>
      </c>
      <c r="E50" s="147">
        <f t="shared" si="12"/>
        <v>0</v>
      </c>
      <c r="F50" s="187"/>
      <c r="H50" s="190" t="s">
        <v>95</v>
      </c>
      <c r="I50" s="144">
        <f>I49/I38</f>
        <v>92.389758335973895</v>
      </c>
      <c r="J50" s="137">
        <f>J49/J38</f>
        <v>89.386005725571948</v>
      </c>
      <c r="K50" s="134" t="s">
        <v>94</v>
      </c>
    </row>
    <row r="51" spans="1:11" ht="17.45" customHeight="1">
      <c r="A51" s="801" t="s">
        <v>96</v>
      </c>
      <c r="B51" s="801"/>
      <c r="C51" s="168">
        <f>SUMIF($G$7:$G$31,"Planned shut",$F$7:$F$31)</f>
        <v>0</v>
      </c>
      <c r="D51" s="122">
        <f>C51+'19'!D51</f>
        <v>0</v>
      </c>
      <c r="E51" s="147">
        <f t="shared" si="12"/>
        <v>0</v>
      </c>
      <c r="F51" s="187"/>
      <c r="H51" s="192" t="s">
        <v>97</v>
      </c>
      <c r="I51" s="145">
        <f>I49/I40</f>
        <v>93.356340331274566</v>
      </c>
      <c r="J51" s="140">
        <f>J49/J40</f>
        <v>94.581086171260807</v>
      </c>
      <c r="K51" s="141" t="s">
        <v>94</v>
      </c>
    </row>
    <row r="52" spans="1:11" ht="13.5" thickBot="1">
      <c r="A52" s="802" t="s">
        <v>229</v>
      </c>
      <c r="B52" s="803"/>
      <c r="C52" s="168">
        <f>SUMIF($G$7:$G$31,"Change Grade",$F$7:$F$31)</f>
        <v>0</v>
      </c>
      <c r="D52" s="122">
        <f>C52+'19'!D52</f>
        <v>0</v>
      </c>
      <c r="E52" s="147">
        <f t="shared" si="12"/>
        <v>0</v>
      </c>
      <c r="F52" s="187"/>
      <c r="H52" s="193"/>
      <c r="I52" s="194"/>
      <c r="J52" s="142"/>
      <c r="K52" s="143"/>
    </row>
    <row r="53" spans="1:11">
      <c r="A53" s="797" t="s">
        <v>28</v>
      </c>
      <c r="B53" s="798"/>
      <c r="C53" s="148">
        <f>SUM(C38:C52)</f>
        <v>24</v>
      </c>
      <c r="D53" s="148">
        <f>SUM(D38:D52)</f>
        <v>12857</v>
      </c>
      <c r="E53" s="149">
        <f>SUM(E38:E52)</f>
        <v>214.28333333333333</v>
      </c>
      <c r="F53" s="187"/>
    </row>
    <row r="54" spans="1:11" ht="13.5" thickBot="1">
      <c r="A54" s="795"/>
      <c r="B54" s="796"/>
      <c r="C54" s="150">
        <f>C53/(24*60)</f>
        <v>1.6666666666666666E-2</v>
      </c>
      <c r="D54" s="150">
        <f>D53/(24*60*G4)</f>
        <v>0.44642361111111112</v>
      </c>
      <c r="E54" s="151">
        <f>E53/(G4*24)</f>
        <v>0.44642361111111112</v>
      </c>
      <c r="F54" s="187"/>
    </row>
    <row r="55" spans="1:11">
      <c r="E55" s="195"/>
    </row>
    <row r="56" spans="1:11">
      <c r="A56" s="196" t="s">
        <v>98</v>
      </c>
      <c r="B56" s="197"/>
      <c r="C56" s="198"/>
      <c r="D56" s="198"/>
      <c r="E56" s="198"/>
      <c r="F56" s="199"/>
      <c r="G56" s="198"/>
      <c r="H56" s="200"/>
      <c r="I56" s="201" t="s">
        <v>99</v>
      </c>
      <c r="J56" s="202">
        <f>+D34+'19'!J56</f>
        <v>1800</v>
      </c>
      <c r="K56" s="203">
        <f>J56/(J40+J56/1000)/1000</f>
        <v>3.5682214200331835E-3</v>
      </c>
    </row>
    <row r="57" spans="1:11">
      <c r="A57" s="178"/>
      <c r="I57" s="201" t="s">
        <v>100</v>
      </c>
      <c r="J57" s="202">
        <f>+E34+'19'!J57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59027777777777779" header="0" footer="0"/>
  <pageSetup paperSize="9" scale="47"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C1" zoomScale="80" zoomScaleNormal="80" zoomScaleSheetLayoutView="80" workbookViewId="0">
      <selection activeCell="I24" sqref="D24:I3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27" ht="15.75">
      <c r="A1" s="152"/>
      <c r="V1" s="530"/>
      <c r="W1" s="533"/>
      <c r="X1" s="533"/>
      <c r="Y1" s="533"/>
    </row>
    <row r="2" spans="1:27" ht="15.75">
      <c r="A2" s="152" t="s">
        <v>230</v>
      </c>
      <c r="V2" s="530"/>
      <c r="W2" s="533"/>
      <c r="X2" s="533"/>
      <c r="Y2" s="533"/>
    </row>
    <row r="3" spans="1:27" ht="15">
      <c r="A3" s="154"/>
      <c r="Y3" s="531"/>
    </row>
    <row r="4" spans="1:27" ht="20.25">
      <c r="A4" s="155" t="s">
        <v>4</v>
      </c>
      <c r="B4" s="156"/>
      <c r="F4" s="157" t="s">
        <v>30</v>
      </c>
      <c r="G4" s="158">
        <v>19</v>
      </c>
      <c r="H4" s="158" t="str">
        <f>+'1'!H4</f>
        <v>.10.25</v>
      </c>
      <c r="J4" s="153">
        <f>440+380+426</f>
        <v>1246</v>
      </c>
      <c r="Z4" s="531"/>
      <c r="AA4" s="531"/>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567</v>
      </c>
      <c r="O6" s="153">
        <v>1020</v>
      </c>
      <c r="P6" s="153">
        <f>+O6-O6*0.22</f>
        <v>795.6</v>
      </c>
      <c r="Q6" s="153">
        <v>480</v>
      </c>
      <c r="R6" s="153">
        <f>+O6*Q6</f>
        <v>489600</v>
      </c>
      <c r="S6" s="153">
        <f>+P6*Q6</f>
        <v>381888</v>
      </c>
    </row>
    <row r="7" spans="1:27" ht="13.5" customHeight="1" thickBot="1">
      <c r="A7" s="804"/>
      <c r="B7" s="217" t="s">
        <v>581</v>
      </c>
      <c r="C7" s="218">
        <v>15610</v>
      </c>
      <c r="D7" s="219"/>
      <c r="E7" s="220"/>
      <c r="F7" s="235"/>
      <c r="G7" s="582" t="s">
        <v>12</v>
      </c>
      <c r="H7" s="583" t="s">
        <v>418</v>
      </c>
      <c r="I7" s="807" t="s">
        <v>608</v>
      </c>
      <c r="J7" s="216" t="str">
        <f>+'18'!J7</f>
        <v>TW 17 RC HW</v>
      </c>
      <c r="K7" s="237"/>
      <c r="L7" s="241"/>
      <c r="M7" s="121">
        <f>+K7+'18'!M7+L7</f>
        <v>3364</v>
      </c>
      <c r="P7" s="153">
        <f t="shared" ref="P7:P8" si="0">+O7-O7*0.22</f>
        <v>0</v>
      </c>
      <c r="R7" s="153">
        <f t="shared" ref="R7:R10" si="1">+O7*Q7</f>
        <v>0</v>
      </c>
      <c r="S7" s="153">
        <f t="shared" ref="S7:S10" si="2">+P7*Q7</f>
        <v>0</v>
      </c>
      <c r="V7" s="564"/>
      <c r="X7" s="533"/>
    </row>
    <row r="8" spans="1:27" ht="13.5" thickBot="1">
      <c r="A8" s="805"/>
      <c r="B8" s="217"/>
      <c r="C8" s="218"/>
      <c r="D8" s="219"/>
      <c r="E8" s="221"/>
      <c r="F8" s="231">
        <v>2</v>
      </c>
      <c r="G8" s="584" t="s">
        <v>12</v>
      </c>
      <c r="H8" s="230" t="s">
        <v>529</v>
      </c>
      <c r="I8" s="808"/>
      <c r="J8" s="216" t="str">
        <f>+'18'!J8</f>
        <v>T 14 VP OW</v>
      </c>
      <c r="K8" s="238"/>
      <c r="L8" s="238"/>
      <c r="M8" s="121">
        <f>+K8+'18'!M8+L8</f>
        <v>23832</v>
      </c>
      <c r="P8" s="153">
        <f t="shared" si="0"/>
        <v>0</v>
      </c>
      <c r="R8" s="153">
        <f t="shared" si="1"/>
        <v>0</v>
      </c>
      <c r="S8" s="153">
        <f t="shared" si="2"/>
        <v>0</v>
      </c>
      <c r="V8" s="532"/>
      <c r="W8" s="533"/>
      <c r="X8" s="533"/>
      <c r="Y8" s="533"/>
    </row>
    <row r="9" spans="1:27" ht="13.5" thickBot="1">
      <c r="A9" s="805"/>
      <c r="B9" s="217"/>
      <c r="C9" s="218"/>
      <c r="D9" s="219"/>
      <c r="E9" s="222"/>
      <c r="F9" s="231">
        <v>5</v>
      </c>
      <c r="G9" s="584" t="s">
        <v>12</v>
      </c>
      <c r="H9" s="233" t="s">
        <v>484</v>
      </c>
      <c r="I9" s="808"/>
      <c r="J9" s="216" t="str">
        <f>+'18'!J9</f>
        <v>T 14,5 VP OW</v>
      </c>
      <c r="K9" s="238"/>
      <c r="L9" s="238"/>
      <c r="M9" s="121">
        <f>+K9+'18'!M9+L9</f>
        <v>190152</v>
      </c>
      <c r="R9" s="153">
        <f t="shared" si="1"/>
        <v>0</v>
      </c>
      <c r="S9" s="153">
        <f t="shared" si="2"/>
        <v>0</v>
      </c>
      <c r="Y9" s="562"/>
    </row>
    <row r="10" spans="1:27" ht="64.5" thickBot="1">
      <c r="A10" s="805"/>
      <c r="B10" s="217"/>
      <c r="C10" s="218"/>
      <c r="D10" s="219"/>
      <c r="E10" s="221"/>
      <c r="F10" s="231"/>
      <c r="G10" s="229"/>
      <c r="H10" s="233" t="s">
        <v>596</v>
      </c>
      <c r="I10" s="808"/>
      <c r="J10" s="216" t="str">
        <f>+'18'!J10</f>
        <v>T 13,5 VP OW</v>
      </c>
      <c r="K10" s="238"/>
      <c r="L10" s="238"/>
      <c r="M10" s="121">
        <f>+K10+'18'!M10+L10</f>
        <v>39850</v>
      </c>
      <c r="R10" s="153">
        <f t="shared" si="1"/>
        <v>0</v>
      </c>
      <c r="S10" s="153">
        <f t="shared" si="2"/>
        <v>0</v>
      </c>
      <c r="Z10" s="562"/>
      <c r="AA10" s="562"/>
    </row>
    <row r="11" spans="1:27" ht="26.25" thickBot="1">
      <c r="A11" s="805"/>
      <c r="B11" s="217"/>
      <c r="C11" s="218"/>
      <c r="D11" s="219"/>
      <c r="E11" s="221"/>
      <c r="F11" s="228"/>
      <c r="G11" s="232"/>
      <c r="H11" s="233" t="s">
        <v>597</v>
      </c>
      <c r="I11" s="808"/>
      <c r="J11" s="216" t="str">
        <f>+'18'!J11</f>
        <v>T 16,5 VP OW</v>
      </c>
      <c r="K11" s="238"/>
      <c r="L11" s="238"/>
      <c r="M11" s="121">
        <f>+K11+'18'!M11+L11</f>
        <v>9927</v>
      </c>
      <c r="P11" s="153">
        <f t="shared" ref="P11" si="3">+O11-O11*0.17</f>
        <v>0</v>
      </c>
    </row>
    <row r="12" spans="1:27" ht="13.5" thickBot="1">
      <c r="A12" s="805"/>
      <c r="B12" s="217"/>
      <c r="C12" s="218"/>
      <c r="D12" s="219"/>
      <c r="E12" s="221"/>
      <c r="F12" s="228"/>
      <c r="G12" s="232"/>
      <c r="H12" s="233"/>
      <c r="I12" s="808"/>
      <c r="J12" s="216" t="str">
        <f>+'18'!J12</f>
        <v>T 12,5 VP OW</v>
      </c>
      <c r="K12" s="238"/>
      <c r="L12" s="238"/>
      <c r="M12" s="121">
        <f>+K12+'18'!M12+L12</f>
        <v>12919</v>
      </c>
      <c r="Q12" s="153">
        <f>SUM(Q5:Q10)</f>
        <v>480</v>
      </c>
      <c r="R12" s="153">
        <f>SUM(R4:R10)</f>
        <v>489600</v>
      </c>
      <c r="S12" s="153">
        <f>SUM(S4:S10)</f>
        <v>381888</v>
      </c>
    </row>
    <row r="13" spans="1:27" ht="13.5" thickBot="1">
      <c r="A13" s="805"/>
      <c r="B13" s="217"/>
      <c r="C13" s="218"/>
      <c r="D13" s="218"/>
      <c r="E13" s="221"/>
      <c r="F13" s="228"/>
      <c r="G13" s="232"/>
      <c r="H13" s="233"/>
      <c r="I13" s="809"/>
      <c r="J13" s="216" t="str">
        <f>+'18'!J13</f>
        <v>TW 18 VP OW</v>
      </c>
      <c r="K13" s="238">
        <f>+C34</f>
        <v>45658</v>
      </c>
      <c r="L13" s="238"/>
      <c r="M13" s="121">
        <f>+K13+'18'!M13+L13</f>
        <v>173670</v>
      </c>
      <c r="N13" s="153" t="s">
        <v>421</v>
      </c>
      <c r="Q13" s="153">
        <f>480-Q12</f>
        <v>0</v>
      </c>
      <c r="R13" s="153">
        <f>+R12/Q12</f>
        <v>1020</v>
      </c>
      <c r="S13" s="153">
        <f>+S12/Q12</f>
        <v>795.6</v>
      </c>
    </row>
    <row r="14" spans="1:27" ht="13.5" thickBot="1">
      <c r="A14" s="806"/>
      <c r="B14" s="169" t="s">
        <v>3</v>
      </c>
      <c r="C14" s="103">
        <f>SUM(C7:C13)</f>
        <v>15610</v>
      </c>
      <c r="D14" s="115">
        <f>SUM(D7:D13)</f>
        <v>0</v>
      </c>
      <c r="E14" s="116">
        <f>SUM(E5:E13)</f>
        <v>0</v>
      </c>
      <c r="F14" s="120">
        <f>SUM(F7:F13)</f>
        <v>7</v>
      </c>
      <c r="G14" s="163"/>
      <c r="H14" s="170"/>
      <c r="I14" s="171"/>
      <c r="J14" s="216">
        <f>+'18'!J14</f>
        <v>0</v>
      </c>
      <c r="K14" s="238"/>
      <c r="L14" s="238"/>
      <c r="M14" s="121">
        <f>+K14+'18'!M14+L14</f>
        <v>0</v>
      </c>
      <c r="O14" s="533"/>
      <c r="P14" s="533"/>
      <c r="Q14" s="533"/>
    </row>
    <row r="15" spans="1:27" ht="13.5" thickBot="1">
      <c r="A15" s="810"/>
      <c r="B15" s="528"/>
      <c r="C15" s="117">
        <f>C14/($C$23+$D$23+$E$23)</f>
        <v>1.1739490110551252</v>
      </c>
      <c r="D15" s="118">
        <f>D14/($C$23+$D$23+$E$23)</f>
        <v>0</v>
      </c>
      <c r="E15" s="119">
        <f>E14/($C$23+$D$23+$E$23)</f>
        <v>0</v>
      </c>
      <c r="F15" s="235">
        <v>6</v>
      </c>
      <c r="G15" s="582" t="s">
        <v>12</v>
      </c>
      <c r="H15" s="583" t="s">
        <v>400</v>
      </c>
      <c r="I15" s="807" t="s">
        <v>607</v>
      </c>
      <c r="J15" s="216">
        <f>+'18'!J15</f>
        <v>0</v>
      </c>
      <c r="K15" s="238"/>
      <c r="L15" s="238"/>
      <c r="M15" s="121">
        <f>+K15+'18'!M15+L15</f>
        <v>0</v>
      </c>
      <c r="N15" s="153" t="s">
        <v>567</v>
      </c>
      <c r="O15" s="153">
        <v>1020</v>
      </c>
      <c r="P15" s="153">
        <f>+O15-O15*0.26</f>
        <v>754.8</v>
      </c>
      <c r="Q15" s="153">
        <v>480</v>
      </c>
      <c r="R15" s="153">
        <f>+O15*Q15</f>
        <v>489600</v>
      </c>
      <c r="S15" s="153">
        <f>+P15*Q15</f>
        <v>362304</v>
      </c>
    </row>
    <row r="16" spans="1:27" ht="13.5" thickBot="1">
      <c r="A16" s="805"/>
      <c r="B16" s="217" t="s">
        <v>581</v>
      </c>
      <c r="C16" s="526">
        <v>13297</v>
      </c>
      <c r="D16" s="223"/>
      <c r="E16" s="224"/>
      <c r="F16" s="231">
        <v>2</v>
      </c>
      <c r="G16" s="584" t="s">
        <v>12</v>
      </c>
      <c r="H16" s="230" t="s">
        <v>571</v>
      </c>
      <c r="I16" s="808"/>
      <c r="J16" s="216">
        <f>+'18'!J16</f>
        <v>0</v>
      </c>
      <c r="K16" s="229"/>
      <c r="L16" s="229"/>
      <c r="M16" s="121">
        <f>+K16+'18'!M16+L16</f>
        <v>0</v>
      </c>
      <c r="P16" s="153">
        <f t="shared" ref="P16:P17" si="4">+O16-O16*0.22</f>
        <v>0</v>
      </c>
      <c r="R16" s="153">
        <f t="shared" ref="R16:R19" si="5">+O16*Q16</f>
        <v>0</v>
      </c>
      <c r="S16" s="153">
        <f t="shared" ref="S16:S19" si="6">+P16*Q16</f>
        <v>0</v>
      </c>
    </row>
    <row r="17" spans="1:19" ht="13.5" thickBot="1">
      <c r="A17" s="805"/>
      <c r="B17" s="217"/>
      <c r="C17" s="218"/>
      <c r="D17" s="219"/>
      <c r="E17" s="225"/>
      <c r="F17" s="231">
        <f>20-8</f>
        <v>12</v>
      </c>
      <c r="G17" s="584" t="s">
        <v>12</v>
      </c>
      <c r="H17" s="233" t="s">
        <v>511</v>
      </c>
      <c r="I17" s="808"/>
      <c r="J17" s="216">
        <f>+'18'!J17</f>
        <v>0</v>
      </c>
      <c r="K17" s="229"/>
      <c r="L17" s="229"/>
      <c r="M17" s="121">
        <f>+K17+'18'!M17+L17</f>
        <v>0</v>
      </c>
      <c r="P17" s="153">
        <f t="shared" si="4"/>
        <v>0</v>
      </c>
      <c r="R17" s="153">
        <f t="shared" si="5"/>
        <v>0</v>
      </c>
      <c r="S17" s="153">
        <f t="shared" si="6"/>
        <v>0</v>
      </c>
    </row>
    <row r="18" spans="1:19" ht="64.5" thickBot="1">
      <c r="A18" s="805"/>
      <c r="B18" s="217"/>
      <c r="C18" s="218"/>
      <c r="D18" s="219"/>
      <c r="E18" s="225"/>
      <c r="F18" s="231"/>
      <c r="G18" s="229"/>
      <c r="H18" s="233" t="s">
        <v>594</v>
      </c>
      <c r="I18" s="808"/>
      <c r="J18" s="216">
        <f>+'18'!J18</f>
        <v>0</v>
      </c>
      <c r="K18" s="238"/>
      <c r="L18" s="238"/>
      <c r="M18" s="121">
        <f>+K18+'18'!M18+L18</f>
        <v>0</v>
      </c>
      <c r="R18" s="153">
        <f t="shared" si="5"/>
        <v>0</v>
      </c>
      <c r="S18" s="153">
        <f t="shared" si="6"/>
        <v>0</v>
      </c>
    </row>
    <row r="19" spans="1:19" ht="39" thickBot="1">
      <c r="A19" s="805"/>
      <c r="B19" s="217"/>
      <c r="C19" s="218"/>
      <c r="D19" s="219"/>
      <c r="E19" s="225"/>
      <c r="F19" s="234"/>
      <c r="G19" s="232"/>
      <c r="H19" s="233" t="s">
        <v>595</v>
      </c>
      <c r="I19" s="808"/>
      <c r="J19" s="216">
        <f>+'18'!J19</f>
        <v>0</v>
      </c>
      <c r="K19" s="238"/>
      <c r="L19" s="238"/>
      <c r="M19" s="121">
        <f>+K19+'18'!M19+L19</f>
        <v>0</v>
      </c>
      <c r="R19" s="153">
        <f t="shared" si="5"/>
        <v>0</v>
      </c>
      <c r="S19" s="153">
        <f t="shared" si="6"/>
        <v>0</v>
      </c>
    </row>
    <row r="20" spans="1:19" ht="13.5" thickBot="1">
      <c r="A20" s="805"/>
      <c r="B20" s="217"/>
      <c r="C20" s="218"/>
      <c r="D20" s="219"/>
      <c r="E20" s="225"/>
      <c r="F20" s="228"/>
      <c r="G20" s="232"/>
      <c r="H20" s="233"/>
      <c r="I20" s="808"/>
      <c r="J20" s="216">
        <f>+'18'!J20</f>
        <v>0</v>
      </c>
      <c r="K20" s="239"/>
      <c r="L20" s="239"/>
      <c r="M20" s="121">
        <f>+K20+'18'!M20+L20</f>
        <v>0</v>
      </c>
      <c r="P20" s="153">
        <f t="shared" ref="P20" si="7">+O20-O20*0.17</f>
        <v>0</v>
      </c>
    </row>
    <row r="21" spans="1:19" ht="13.5" thickBot="1">
      <c r="A21" s="805"/>
      <c r="B21" s="217"/>
      <c r="C21" s="218"/>
      <c r="D21" s="219"/>
      <c r="E21" s="225"/>
      <c r="F21" s="231"/>
      <c r="G21" s="232"/>
      <c r="H21" s="233"/>
      <c r="I21" s="808"/>
      <c r="J21" s="216">
        <f>+'18'!J21</f>
        <v>0</v>
      </c>
      <c r="K21" s="238"/>
      <c r="L21" s="238"/>
      <c r="M21" s="121">
        <f>+K21+'18'!M21+L21</f>
        <v>0</v>
      </c>
      <c r="Q21" s="153">
        <f>SUM(Q14:Q19)</f>
        <v>480</v>
      </c>
      <c r="R21" s="153">
        <f>SUM(R13:R19)</f>
        <v>490620</v>
      </c>
      <c r="S21" s="153">
        <f>SUM(S13:S19)</f>
        <v>363099.6</v>
      </c>
    </row>
    <row r="22" spans="1:19" ht="13.5" thickBot="1">
      <c r="A22" s="805"/>
      <c r="B22" s="217"/>
      <c r="C22" s="218"/>
      <c r="D22" s="219"/>
      <c r="E22" s="225"/>
      <c r="F22" s="235"/>
      <c r="G22" s="232"/>
      <c r="H22" s="233"/>
      <c r="I22" s="809"/>
      <c r="J22" s="216">
        <f>+'18'!J22</f>
        <v>0</v>
      </c>
      <c r="K22" s="238"/>
      <c r="L22" s="238"/>
      <c r="M22" s="121">
        <f>+K22+'18'!M22+L22</f>
        <v>0</v>
      </c>
      <c r="N22" s="153" t="s">
        <v>421</v>
      </c>
      <c r="Q22" s="153">
        <f>480-Q21</f>
        <v>0</v>
      </c>
      <c r="R22" s="153">
        <f>+R21/Q21</f>
        <v>1022.125</v>
      </c>
      <c r="S22" s="153">
        <f>+S21/Q21</f>
        <v>756.45749999999998</v>
      </c>
    </row>
    <row r="23" spans="1:19" ht="13.5" thickBot="1">
      <c r="A23" s="806"/>
      <c r="B23" s="169" t="s">
        <v>3</v>
      </c>
      <c r="C23" s="103">
        <f>SUM(C16:C22)</f>
        <v>13297</v>
      </c>
      <c r="D23" s="115">
        <f>SUM(D16:D22)</f>
        <v>0</v>
      </c>
      <c r="E23" s="116">
        <f>SUM(E18:E22)</f>
        <v>0</v>
      </c>
      <c r="F23" s="120">
        <f>SUM(F15:F22)</f>
        <v>20</v>
      </c>
      <c r="G23" s="163"/>
      <c r="H23" s="170"/>
      <c r="I23" s="172"/>
      <c r="J23" s="216">
        <f>+'18'!J23</f>
        <v>0</v>
      </c>
      <c r="K23" s="238"/>
      <c r="L23" s="238"/>
      <c r="M23" s="121">
        <f>+K23+'18'!M23+L23</f>
        <v>0</v>
      </c>
    </row>
    <row r="24" spans="1:19" ht="13.5" thickBot="1">
      <c r="A24" s="810"/>
      <c r="B24" s="528"/>
      <c r="C24" s="117">
        <f>C23/($C$23+$D$23+$E$23)</f>
        <v>1</v>
      </c>
      <c r="D24" s="118">
        <f>D23/($C$23+$D$23+$E$23)</f>
        <v>0</v>
      </c>
      <c r="E24" s="119">
        <f>E23/($C$23+$D$23+$E$23)</f>
        <v>0</v>
      </c>
      <c r="F24" s="235"/>
      <c r="G24" s="582" t="s">
        <v>12</v>
      </c>
      <c r="H24" s="583" t="s">
        <v>418</v>
      </c>
      <c r="I24" s="807" t="s">
        <v>606</v>
      </c>
      <c r="J24" s="216">
        <f>+'18'!J24</f>
        <v>0</v>
      </c>
      <c r="K24" s="238"/>
      <c r="L24" s="238"/>
      <c r="M24" s="121">
        <f>+K24+'18'!M24+L24</f>
        <v>0</v>
      </c>
      <c r="N24" s="153" t="s">
        <v>567</v>
      </c>
      <c r="O24" s="153">
        <v>1020</v>
      </c>
      <c r="P24" s="153">
        <f>+O24-O24*0.25</f>
        <v>765</v>
      </c>
      <c r="Q24" s="153">
        <f>480-Q25</f>
        <v>210</v>
      </c>
      <c r="R24" s="153">
        <f>+O24*Q24</f>
        <v>214200</v>
      </c>
      <c r="S24" s="153">
        <f>+P24*Q24</f>
        <v>160650</v>
      </c>
    </row>
    <row r="25" spans="1:19" ht="13.5" thickBot="1">
      <c r="A25" s="805"/>
      <c r="B25" s="217" t="s">
        <v>581</v>
      </c>
      <c r="C25" s="226">
        <v>16751</v>
      </c>
      <c r="D25" s="219"/>
      <c r="E25" s="225"/>
      <c r="F25" s="231">
        <v>4</v>
      </c>
      <c r="G25" s="584" t="s">
        <v>12</v>
      </c>
      <c r="H25" s="230" t="s">
        <v>529</v>
      </c>
      <c r="I25" s="808"/>
      <c r="J25" s="216">
        <f>+'18'!J25</f>
        <v>0</v>
      </c>
      <c r="K25" s="238"/>
      <c r="L25" s="238"/>
      <c r="M25" s="121">
        <f>+K25+'18'!M25+L25</f>
        <v>0</v>
      </c>
      <c r="O25" s="153">
        <v>1000</v>
      </c>
      <c r="P25" s="153">
        <f t="shared" ref="P25:P26" si="8">+O25-O25*0.22</f>
        <v>780</v>
      </c>
      <c r="Q25" s="153">
        <f>60*4+30</f>
        <v>270</v>
      </c>
      <c r="R25" s="153">
        <f t="shared" ref="R25:R28" si="9">+O25*Q25</f>
        <v>270000</v>
      </c>
      <c r="S25" s="153">
        <f t="shared" ref="S25:S28" si="10">+P25*Q25</f>
        <v>210600</v>
      </c>
    </row>
    <row r="26" spans="1:19" ht="13.5" thickBot="1">
      <c r="A26" s="805"/>
      <c r="B26" s="217"/>
      <c r="C26" s="226"/>
      <c r="D26" s="219"/>
      <c r="E26" s="227"/>
      <c r="F26" s="231">
        <v>6</v>
      </c>
      <c r="G26" s="584" t="s">
        <v>12</v>
      </c>
      <c r="H26" s="233" t="s">
        <v>511</v>
      </c>
      <c r="I26" s="808"/>
      <c r="J26" s="216">
        <f>+'18'!J26</f>
        <v>0</v>
      </c>
      <c r="K26" s="238"/>
      <c r="L26" s="238"/>
      <c r="M26" s="121">
        <f>+K26+'18'!M26+L26</f>
        <v>0</v>
      </c>
      <c r="P26" s="153">
        <f t="shared" si="8"/>
        <v>0</v>
      </c>
      <c r="R26" s="153">
        <f t="shared" si="9"/>
        <v>0</v>
      </c>
      <c r="S26" s="153">
        <f t="shared" si="10"/>
        <v>0</v>
      </c>
    </row>
    <row r="27" spans="1:19" ht="64.5" thickBot="1">
      <c r="A27" s="805"/>
      <c r="B27" s="217"/>
      <c r="C27" s="218"/>
      <c r="D27" s="219"/>
      <c r="E27" s="225"/>
      <c r="F27" s="231"/>
      <c r="G27" s="229"/>
      <c r="H27" s="233" t="s">
        <v>583</v>
      </c>
      <c r="I27" s="808"/>
      <c r="J27" s="216">
        <f>+'18'!J27</f>
        <v>0</v>
      </c>
      <c r="K27" s="238"/>
      <c r="L27" s="238"/>
      <c r="M27" s="121">
        <f>+K27+'18'!M27+L27</f>
        <v>0</v>
      </c>
      <c r="R27" s="153">
        <f t="shared" si="9"/>
        <v>0</v>
      </c>
      <c r="S27" s="153">
        <f t="shared" si="10"/>
        <v>0</v>
      </c>
    </row>
    <row r="28" spans="1:19" ht="90" thickBot="1">
      <c r="A28" s="805"/>
      <c r="B28" s="217"/>
      <c r="C28" s="218"/>
      <c r="D28" s="219"/>
      <c r="E28" s="225"/>
      <c r="F28" s="231"/>
      <c r="G28" s="229"/>
      <c r="H28" s="233" t="s">
        <v>593</v>
      </c>
      <c r="I28" s="808"/>
      <c r="J28" s="216">
        <f>+'18'!J28</f>
        <v>0</v>
      </c>
      <c r="K28" s="238"/>
      <c r="L28" s="238"/>
      <c r="M28" s="121">
        <f>+K28+'18'!M28+L28</f>
        <v>0</v>
      </c>
      <c r="R28" s="153">
        <f t="shared" si="9"/>
        <v>0</v>
      </c>
      <c r="S28" s="153">
        <f t="shared" si="10"/>
        <v>0</v>
      </c>
    </row>
    <row r="29" spans="1:19" ht="13.5" thickBot="1">
      <c r="A29" s="805"/>
      <c r="B29" s="217"/>
      <c r="C29" s="218"/>
      <c r="D29" s="219"/>
      <c r="E29" s="225"/>
      <c r="F29" s="235"/>
      <c r="G29" s="232"/>
      <c r="H29" s="233"/>
      <c r="I29" s="808"/>
      <c r="J29" s="216">
        <f>+'18'!J29</f>
        <v>0</v>
      </c>
      <c r="K29" s="238"/>
      <c r="L29" s="238"/>
      <c r="M29" s="121">
        <f>+K29+'18'!M29+L29</f>
        <v>0</v>
      </c>
      <c r="P29" s="153">
        <f t="shared" ref="P29" si="11">+O29-O29*0.17</f>
        <v>0</v>
      </c>
    </row>
    <row r="30" spans="1:19" ht="13.5" thickBot="1">
      <c r="A30" s="805"/>
      <c r="B30" s="217"/>
      <c r="C30" s="226"/>
      <c r="D30" s="219"/>
      <c r="E30" s="225"/>
      <c r="F30" s="235"/>
      <c r="G30" s="232"/>
      <c r="H30" s="233"/>
      <c r="I30" s="808"/>
      <c r="J30" s="216">
        <f>+'18'!J30</f>
        <v>0</v>
      </c>
      <c r="K30" s="238"/>
      <c r="L30" s="238"/>
      <c r="M30" s="121">
        <f>+K30+'18'!M30+L30</f>
        <v>0</v>
      </c>
      <c r="Q30" s="153">
        <f>SUM(Q23:Q28)</f>
        <v>480</v>
      </c>
      <c r="R30" s="153">
        <f>SUM(R22:R28)</f>
        <v>485222.125</v>
      </c>
      <c r="S30" s="153">
        <f>SUM(S22:S28)</f>
        <v>372006.45750000002</v>
      </c>
    </row>
    <row r="31" spans="1:19" ht="13.5" thickBot="1">
      <c r="A31" s="805"/>
      <c r="B31" s="217"/>
      <c r="C31" s="226"/>
      <c r="D31" s="219"/>
      <c r="E31" s="225"/>
      <c r="F31" s="235"/>
      <c r="G31" s="236"/>
      <c r="H31" s="413"/>
      <c r="I31" s="809"/>
      <c r="J31" s="216">
        <f>+'18'!J31</f>
        <v>0</v>
      </c>
      <c r="K31" s="238"/>
      <c r="L31" s="238"/>
      <c r="M31" s="121">
        <f>+K31+'18'!M31+L31</f>
        <v>0</v>
      </c>
      <c r="N31" s="153" t="s">
        <v>421</v>
      </c>
      <c r="Q31" s="153">
        <f>480-Q30</f>
        <v>0</v>
      </c>
      <c r="R31" s="153">
        <f>+R30/Q30</f>
        <v>1010.8794270833333</v>
      </c>
      <c r="S31" s="153">
        <f>+S30/Q30</f>
        <v>775.01345312500007</v>
      </c>
    </row>
    <row r="32" spans="1:19" ht="13.5" thickBot="1">
      <c r="A32" s="806"/>
      <c r="B32" s="169" t="s">
        <v>3</v>
      </c>
      <c r="C32" s="103">
        <f>SUM(C25:C31)</f>
        <v>16751</v>
      </c>
      <c r="D32" s="104">
        <f>SUM(D25:D31)</f>
        <v>0</v>
      </c>
      <c r="E32" s="105">
        <f>SUM(E25:E31)</f>
        <v>0</v>
      </c>
      <c r="F32" s="103">
        <f>SUM(F24:F31)</f>
        <v>10</v>
      </c>
      <c r="G32" s="173"/>
      <c r="H32" s="174"/>
      <c r="I32" s="172"/>
      <c r="J32" s="216">
        <f>+'18'!J32</f>
        <v>0</v>
      </c>
      <c r="K32" s="240"/>
      <c r="L32" s="242"/>
      <c r="M32" s="121">
        <f>+K32+'18'!M32+L32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11" t="s">
        <v>69</v>
      </c>
      <c r="B34" s="812"/>
      <c r="C34" s="111">
        <f>C14+C23+C32</f>
        <v>45658</v>
      </c>
      <c r="D34" s="111">
        <f>D14+D23+D32</f>
        <v>0</v>
      </c>
      <c r="E34" s="111">
        <f>E14+E23+E32</f>
        <v>0</v>
      </c>
      <c r="F34" s="112">
        <f>F14+F23+F32</f>
        <v>37</v>
      </c>
      <c r="H34" s="180"/>
      <c r="I34" s="180"/>
      <c r="J34" s="127" t="s">
        <v>28</v>
      </c>
      <c r="K34" s="128">
        <f>SUM(K7:K32)</f>
        <v>45658</v>
      </c>
      <c r="L34" s="214">
        <f>SUM(L7:L32)</f>
        <v>0</v>
      </c>
      <c r="M34" s="124">
        <f>SUM(M7:M32)</f>
        <v>453714</v>
      </c>
      <c r="N34" s="159"/>
    </row>
    <row r="35" spans="1:14" ht="13.5" thickBot="1">
      <c r="A35" s="573"/>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(18*1440)/1440*G42*2.7*1440/1000000</f>
        <v>54.285911194500017</v>
      </c>
      <c r="J37" s="129">
        <f>+I37+'18'!J37</f>
        <v>551.73048688607946</v>
      </c>
      <c r="K37" s="130" t="s">
        <v>75</v>
      </c>
      <c r="N37" s="153">
        <v>480</v>
      </c>
    </row>
    <row r="38" spans="1:14" ht="17.45" customHeight="1">
      <c r="A38" s="797" t="s">
        <v>12</v>
      </c>
      <c r="B38" s="798"/>
      <c r="C38" s="168">
        <f>SUMIF($G$7:$G$31,"Process",$F$7:$F$31)</f>
        <v>37</v>
      </c>
      <c r="D38" s="122">
        <f>C38+'18'!D38</f>
        <v>911</v>
      </c>
      <c r="E38" s="147">
        <f t="shared" ref="E38:E52" si="12">D38/60</f>
        <v>15.183333333333334</v>
      </c>
      <c r="F38" s="311">
        <v>1020</v>
      </c>
      <c r="G38" s="311">
        <v>795.6</v>
      </c>
      <c r="H38" s="189" t="s">
        <v>76</v>
      </c>
      <c r="I38" s="534">
        <f>17.523+15.035+16.191</f>
        <v>48.748999999999995</v>
      </c>
      <c r="J38" s="131">
        <f>+I38+'18'!J38</f>
        <v>482.41599999999994</v>
      </c>
      <c r="K38" s="132" t="s">
        <v>75</v>
      </c>
      <c r="N38" s="153">
        <v>480</v>
      </c>
    </row>
    <row r="39" spans="1:14" ht="17.45" customHeight="1">
      <c r="A39" s="799" t="s">
        <v>13</v>
      </c>
      <c r="B39" s="800"/>
      <c r="C39" s="168">
        <f>SUMIF($G$7:$G$31,"Cleaning",$F$7:$F$31)</f>
        <v>0</v>
      </c>
      <c r="D39" s="122">
        <f>C39+'18'!D39</f>
        <v>0</v>
      </c>
      <c r="E39" s="147">
        <f t="shared" si="12"/>
        <v>0</v>
      </c>
      <c r="F39" s="311">
        <v>1022.125</v>
      </c>
      <c r="G39" s="311">
        <v>756.45749999999998</v>
      </c>
      <c r="H39" s="189" t="s">
        <v>77</v>
      </c>
      <c r="I39" s="146"/>
      <c r="J39" s="133">
        <f>J37/G4</f>
        <v>29.038446678214708</v>
      </c>
      <c r="K39" s="134" t="s">
        <v>75</v>
      </c>
      <c r="N39" s="153">
        <v>480</v>
      </c>
    </row>
    <row r="40" spans="1:14" ht="17.45" customHeight="1">
      <c r="A40" s="799" t="s">
        <v>78</v>
      </c>
      <c r="B40" s="800"/>
      <c r="C40" s="168">
        <f>SUMIF($G$7:$G$31,"Mechanical",$F$7:$F$31)</f>
        <v>0</v>
      </c>
      <c r="D40" s="122">
        <f>C40+'18'!D40</f>
        <v>17</v>
      </c>
      <c r="E40" s="147">
        <f t="shared" si="12"/>
        <v>0.28333333333333333</v>
      </c>
      <c r="F40" s="311">
        <v>1010.8794270833333</v>
      </c>
      <c r="G40" s="311">
        <v>775.01345312500007</v>
      </c>
      <c r="H40" s="189" t="s">
        <v>79</v>
      </c>
      <c r="I40" s="122">
        <f>(K34+L34)/1000</f>
        <v>45.658000000000001</v>
      </c>
      <c r="J40" s="135">
        <f>+I40+'18'!J40</f>
        <v>453.71400000000006</v>
      </c>
      <c r="K40" s="134" t="s">
        <v>75</v>
      </c>
    </row>
    <row r="41" spans="1:14" ht="17.45" customHeight="1">
      <c r="A41" s="799" t="s">
        <v>80</v>
      </c>
      <c r="B41" s="800"/>
      <c r="C41" s="168">
        <f>SUMIF($G$7:$G$31,"Electrical",$F$7:$F$31)</f>
        <v>0</v>
      </c>
      <c r="D41" s="122">
        <f>C41+'18'!D41</f>
        <v>60</v>
      </c>
      <c r="E41" s="147">
        <f t="shared" si="12"/>
        <v>1</v>
      </c>
      <c r="F41" s="311"/>
      <c r="G41" s="311"/>
      <c r="H41" s="189" t="s">
        <v>81</v>
      </c>
      <c r="I41" s="146"/>
      <c r="J41" s="133">
        <f>J40/G4</f>
        <v>23.879684210526317</v>
      </c>
      <c r="K41" s="134" t="s">
        <v>75</v>
      </c>
    </row>
    <row r="42" spans="1:14" ht="17.45" customHeight="1">
      <c r="A42" s="799" t="s">
        <v>16</v>
      </c>
      <c r="B42" s="800"/>
      <c r="C42" s="168">
        <f>SUMIF($G$7:$G$31,"Instrument",$F$7:$F$31)</f>
        <v>0</v>
      </c>
      <c r="D42" s="122">
        <f>C42+'18'!D42</f>
        <v>0</v>
      </c>
      <c r="E42" s="147">
        <f t="shared" si="12"/>
        <v>0</v>
      </c>
      <c r="F42" s="187">
        <f>+(F38*480+F39*480+F40*480)/1440</f>
        <v>1017.6681423611111</v>
      </c>
      <c r="G42" s="187">
        <f>+(G38*480+G39*480+G40*480)/1440</f>
        <v>775.6903177083334</v>
      </c>
      <c r="H42" s="189" t="s">
        <v>82</v>
      </c>
      <c r="I42" s="245" t="s">
        <v>609</v>
      </c>
      <c r="J42" s="136"/>
      <c r="K42" s="134" t="s">
        <v>83</v>
      </c>
    </row>
    <row r="43" spans="1:14" ht="17.45" customHeight="1">
      <c r="A43" s="799" t="s">
        <v>84</v>
      </c>
      <c r="B43" s="800"/>
      <c r="C43" s="168">
        <f>SUMIF($G$7:$G$31,"Water",$F$7:$F$31)</f>
        <v>0</v>
      </c>
      <c r="D43" s="122">
        <f>C43+'18'!D43</f>
        <v>0</v>
      </c>
      <c r="E43" s="147">
        <f t="shared" si="12"/>
        <v>0</v>
      </c>
      <c r="F43" s="311"/>
      <c r="G43" s="312"/>
      <c r="H43" s="190" t="s">
        <v>85</v>
      </c>
      <c r="I43" s="122">
        <f>+Report1!Z27</f>
        <v>102.9</v>
      </c>
      <c r="J43" s="137">
        <f>+I43+'18'!J43</f>
        <v>1047.0999999999999</v>
      </c>
      <c r="K43" s="134" t="s">
        <v>75</v>
      </c>
      <c r="L43" s="191"/>
    </row>
    <row r="44" spans="1:14" ht="17.45" customHeight="1">
      <c r="A44" s="799" t="s">
        <v>17</v>
      </c>
      <c r="B44" s="800"/>
      <c r="C44" s="168">
        <f>SUMIF($G$7:$G$31,"PLN",$F$7:$F$31)</f>
        <v>0</v>
      </c>
      <c r="D44" s="122">
        <f>C44+'18'!D44</f>
        <v>0</v>
      </c>
      <c r="E44" s="147">
        <f t="shared" si="12"/>
        <v>0</v>
      </c>
      <c r="F44" s="311"/>
      <c r="G44" s="312"/>
      <c r="H44" s="190" t="s">
        <v>86</v>
      </c>
      <c r="I44" s="122">
        <f>I43/I38</f>
        <v>2.1108125294877849</v>
      </c>
      <c r="J44" s="138">
        <f>J43/J38</f>
        <v>2.170533315644589</v>
      </c>
      <c r="K44" s="134" t="s">
        <v>75</v>
      </c>
    </row>
    <row r="45" spans="1:14" ht="17.45" customHeight="1">
      <c r="A45" s="799" t="s">
        <v>18</v>
      </c>
      <c r="B45" s="800"/>
      <c r="C45" s="168">
        <f>SUMIF($G$7:$G$31,"Boiler",$F$7:$F$31)</f>
        <v>0</v>
      </c>
      <c r="D45" s="122">
        <f>C45+'18'!D45</f>
        <v>0</v>
      </c>
      <c r="E45" s="147">
        <f t="shared" si="12"/>
        <v>0</v>
      </c>
      <c r="F45" s="311"/>
      <c r="G45" s="314"/>
      <c r="H45" s="190" t="s">
        <v>87</v>
      </c>
      <c r="I45" s="122">
        <f>I43/I40</f>
        <v>2.2537123833720267</v>
      </c>
      <c r="J45" s="138">
        <f>J43/J40</f>
        <v>2.3078415036785285</v>
      </c>
      <c r="K45" s="134" t="s">
        <v>75</v>
      </c>
    </row>
    <row r="46" spans="1:14" ht="17.45" customHeight="1">
      <c r="A46" s="799" t="s">
        <v>88</v>
      </c>
      <c r="B46" s="800"/>
      <c r="C46" s="168">
        <f>SUMIF($G$7:$G$31,"Gas",$F$7:$F$31)</f>
        <v>0</v>
      </c>
      <c r="D46" s="122">
        <f>C46+'18'!D46</f>
        <v>0</v>
      </c>
      <c r="E46" s="147">
        <f t="shared" si="12"/>
        <v>0</v>
      </c>
      <c r="F46" s="311"/>
      <c r="G46" s="312"/>
      <c r="H46" s="190" t="s">
        <v>89</v>
      </c>
      <c r="I46" s="144">
        <f>+SUMIF(Listrik!X26,"&gt;0")</f>
        <v>39424.869999999923</v>
      </c>
      <c r="J46" s="139">
        <f>+I46+'18'!J46</f>
        <v>452273.54240000021</v>
      </c>
      <c r="K46" s="134" t="s">
        <v>90</v>
      </c>
    </row>
    <row r="47" spans="1:14" ht="17.45" customHeight="1">
      <c r="A47" s="799" t="s">
        <v>91</v>
      </c>
      <c r="B47" s="800"/>
      <c r="C47" s="168">
        <f>SUMIF($G$7:$G$31,"Gas",$F$7:$F$31)</f>
        <v>0</v>
      </c>
      <c r="D47" s="122">
        <f>C47+'18'!D47</f>
        <v>0</v>
      </c>
      <c r="E47" s="147">
        <f t="shared" si="12"/>
        <v>0</v>
      </c>
      <c r="F47" s="311"/>
      <c r="G47" s="312"/>
      <c r="H47" s="190" t="s">
        <v>92</v>
      </c>
      <c r="I47" s="122">
        <f>I46/I38</f>
        <v>808.73187142300208</v>
      </c>
      <c r="J47" s="139">
        <f>J46/J38</f>
        <v>937.51770753872233</v>
      </c>
      <c r="K47" s="134" t="s">
        <v>24</v>
      </c>
    </row>
    <row r="48" spans="1:14" ht="17.45" customHeight="1">
      <c r="A48" s="799" t="s">
        <v>14</v>
      </c>
      <c r="B48" s="800"/>
      <c r="C48" s="168">
        <f>SUMIF($G$7:$G$31,"Start Up",$F$7:$F$31)</f>
        <v>0</v>
      </c>
      <c r="D48" s="122">
        <f>C48+'18'!D48</f>
        <v>0</v>
      </c>
      <c r="E48" s="147">
        <f t="shared" si="12"/>
        <v>0</v>
      </c>
      <c r="F48" s="311"/>
      <c r="G48" s="312"/>
      <c r="H48" s="190" t="s">
        <v>93</v>
      </c>
      <c r="I48" s="122">
        <f>I46/I40</f>
        <v>863.48219370099264</v>
      </c>
      <c r="J48" s="139">
        <f>J46/J40</f>
        <v>996.82518591006703</v>
      </c>
      <c r="K48" s="134" t="s">
        <v>24</v>
      </c>
    </row>
    <row r="49" spans="1:11" ht="17.45" customHeight="1">
      <c r="A49" s="799" t="s">
        <v>20</v>
      </c>
      <c r="B49" s="800"/>
      <c r="C49" s="168">
        <f>SUMIF($G$7:$G$31,"Others",$F$7:$F$31)</f>
        <v>0</v>
      </c>
      <c r="D49" s="122">
        <f>C49+'18'!D49</f>
        <v>11845</v>
      </c>
      <c r="E49" s="147">
        <f t="shared" si="12"/>
        <v>197.41666666666666</v>
      </c>
      <c r="F49" s="187"/>
      <c r="H49" s="190" t="s">
        <v>279</v>
      </c>
      <c r="I49" s="122">
        <f>+Report1!T27</f>
        <v>4757.3024394257272</v>
      </c>
      <c r="J49" s="139">
        <f>+I49+'18'!J49</f>
        <v>42972.700767770526</v>
      </c>
      <c r="K49" s="134" t="s">
        <v>94</v>
      </c>
    </row>
    <row r="50" spans="1:11" ht="17.45" customHeight="1">
      <c r="A50" s="799" t="s">
        <v>19</v>
      </c>
      <c r="B50" s="800"/>
      <c r="C50" s="168">
        <f>SUMIF($G$7:$G$31,"Steam",$F$7:$F$31)</f>
        <v>0</v>
      </c>
      <c r="D50" s="122">
        <f>C50+'18'!D50</f>
        <v>0</v>
      </c>
      <c r="E50" s="147">
        <f t="shared" si="12"/>
        <v>0</v>
      </c>
      <c r="F50" s="187"/>
      <c r="H50" s="190" t="s">
        <v>95</v>
      </c>
      <c r="I50" s="144">
        <f>I49/I38</f>
        <v>97.587692863971114</v>
      </c>
      <c r="J50" s="137">
        <f>J49/J38</f>
        <v>89.078100162039675</v>
      </c>
      <c r="K50" s="134" t="s">
        <v>94</v>
      </c>
    </row>
    <row r="51" spans="1:11" ht="17.45" customHeight="1">
      <c r="A51" s="801" t="s">
        <v>96</v>
      </c>
      <c r="B51" s="801"/>
      <c r="C51" s="168">
        <f>SUMIF($G$7:$G$31,"Planned shut",$F$7:$F$31)</f>
        <v>0</v>
      </c>
      <c r="D51" s="122">
        <f>C51+'18'!D51</f>
        <v>0</v>
      </c>
      <c r="E51" s="147">
        <f t="shared" si="12"/>
        <v>0</v>
      </c>
      <c r="F51" s="187"/>
      <c r="H51" s="192" t="s">
        <v>97</v>
      </c>
      <c r="I51" s="145">
        <f>I49/I40</f>
        <v>104.19428006977368</v>
      </c>
      <c r="J51" s="140">
        <f>J49/J40</f>
        <v>94.713191058178765</v>
      </c>
      <c r="K51" s="141" t="s">
        <v>94</v>
      </c>
    </row>
    <row r="52" spans="1:11" ht="13.5" thickBot="1">
      <c r="A52" s="802" t="s">
        <v>229</v>
      </c>
      <c r="B52" s="803"/>
      <c r="C52" s="168">
        <f>SUMIF($G$7:$G$31,"Change Grade",$F$7:$F$31)</f>
        <v>0</v>
      </c>
      <c r="D52" s="122">
        <f>C52+'18'!D52</f>
        <v>0</v>
      </c>
      <c r="E52" s="147">
        <f t="shared" si="12"/>
        <v>0</v>
      </c>
      <c r="F52" s="187"/>
      <c r="H52" s="193"/>
      <c r="I52" s="194"/>
      <c r="J52" s="142"/>
      <c r="K52" s="143"/>
    </row>
    <row r="53" spans="1:11">
      <c r="A53" s="797" t="s">
        <v>28</v>
      </c>
      <c r="B53" s="798"/>
      <c r="C53" s="148">
        <f>SUM(C38:C52)</f>
        <v>37</v>
      </c>
      <c r="D53" s="148">
        <f>SUM(D38:D52)</f>
        <v>12833</v>
      </c>
      <c r="E53" s="149">
        <f>SUM(E38:E52)</f>
        <v>213.88333333333333</v>
      </c>
      <c r="F53" s="187"/>
    </row>
    <row r="54" spans="1:11" ht="13.5" thickBot="1">
      <c r="A54" s="795"/>
      <c r="B54" s="796"/>
      <c r="C54" s="150">
        <f>C53/(24*60)</f>
        <v>2.5694444444444443E-2</v>
      </c>
      <c r="D54" s="150">
        <f>D53/(24*60*G4)</f>
        <v>0.46904239766081873</v>
      </c>
      <c r="E54" s="151">
        <f>E53/(G4*24)</f>
        <v>0.46904239766081868</v>
      </c>
      <c r="F54" s="187"/>
    </row>
    <row r="55" spans="1:11">
      <c r="E55" s="195"/>
    </row>
    <row r="56" spans="1:11">
      <c r="A56" s="196" t="s">
        <v>98</v>
      </c>
      <c r="B56" s="197"/>
      <c r="C56" s="198"/>
      <c r="D56" s="198"/>
      <c r="E56" s="198"/>
      <c r="F56" s="199"/>
      <c r="G56" s="198"/>
      <c r="H56" s="200"/>
      <c r="I56" s="201" t="s">
        <v>99</v>
      </c>
      <c r="J56" s="202">
        <f>+D34+'18'!J56</f>
        <v>1800</v>
      </c>
      <c r="K56" s="203">
        <f>J56/(J40+J56/1000)/1000</f>
        <v>3.9515799733926939E-3</v>
      </c>
    </row>
    <row r="57" spans="1:11">
      <c r="A57" s="178"/>
      <c r="I57" s="201" t="s">
        <v>100</v>
      </c>
      <c r="J57" s="202">
        <f>+E34+'18'!J57</f>
        <v>0</v>
      </c>
      <c r="K57" s="203">
        <f>J57/(J40+J57/1000)/1000</f>
        <v>0</v>
      </c>
    </row>
    <row r="58" spans="1:11">
      <c r="A58" s="204"/>
      <c r="B58" s="205"/>
      <c r="F58" s="187"/>
      <c r="H58" s="206"/>
    </row>
    <row r="59" spans="1:11">
      <c r="A59" s="207"/>
      <c r="B59" s="178"/>
      <c r="C59" s="178"/>
      <c r="D59" s="178"/>
      <c r="E59" s="178"/>
      <c r="F59" s="191"/>
      <c r="G59" s="178"/>
      <c r="H59" s="206"/>
    </row>
    <row r="61" spans="1:11">
      <c r="A61" s="208"/>
      <c r="B61" s="209"/>
      <c r="C61" s="209"/>
      <c r="D61" s="209"/>
      <c r="E61" s="209"/>
      <c r="F61" s="210"/>
      <c r="G61" s="209"/>
      <c r="H61" s="211"/>
    </row>
    <row r="62" spans="1:11">
      <c r="H62" s="206"/>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zoomScale="80" zoomScaleNormal="80" zoomScaleSheetLayoutView="80" workbookViewId="0">
      <selection activeCell="B7" sqref="B7:B25"/>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2.28515625" style="153"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140625" style="153" customWidth="1"/>
    <col min="14" max="16384" width="9.140625" style="153"/>
  </cols>
  <sheetData>
    <row r="1" spans="1:26" ht="15.75">
      <c r="A1" s="152"/>
      <c r="U1" s="529"/>
    </row>
    <row r="2" spans="1:26" ht="15.75">
      <c r="A2" s="152" t="s">
        <v>230</v>
      </c>
      <c r="U2" s="553"/>
    </row>
    <row r="3" spans="1:26" ht="15">
      <c r="A3" s="154"/>
      <c r="U3" s="529"/>
    </row>
    <row r="4" spans="1:26" ht="20.25">
      <c r="A4" s="155" t="s">
        <v>4</v>
      </c>
      <c r="B4" s="156"/>
      <c r="F4" s="157" t="s">
        <v>30</v>
      </c>
      <c r="G4" s="158">
        <v>18</v>
      </c>
      <c r="H4" s="158" t="str">
        <f>+'1'!H4</f>
        <v>.10.25</v>
      </c>
      <c r="J4" s="153">
        <f>427+328+375</f>
        <v>1130</v>
      </c>
      <c r="X4" s="178"/>
    </row>
    <row r="5" spans="1:26" ht="13.5" thickBot="1">
      <c r="C5" s="159"/>
      <c r="D5" s="159"/>
      <c r="Y5" s="178"/>
      <c r="Z5" s="178"/>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567</v>
      </c>
      <c r="O6" s="153">
        <v>1020</v>
      </c>
      <c r="P6" s="153">
        <f>+O6-O6*0.23</f>
        <v>785.4</v>
      </c>
      <c r="Q6" s="153">
        <v>480</v>
      </c>
      <c r="R6" s="153">
        <f>+O6*Q6</f>
        <v>489600</v>
      </c>
      <c r="S6" s="153">
        <f>+P6*Q6</f>
        <v>376992</v>
      </c>
    </row>
    <row r="7" spans="1:26" ht="13.5" customHeight="1" thickBot="1">
      <c r="A7" s="804"/>
      <c r="B7" s="217" t="s">
        <v>581</v>
      </c>
      <c r="C7" s="218">
        <v>18037</v>
      </c>
      <c r="D7" s="219"/>
      <c r="E7" s="220"/>
      <c r="F7" s="235"/>
      <c r="G7" s="582" t="s">
        <v>12</v>
      </c>
      <c r="H7" s="583" t="s">
        <v>418</v>
      </c>
      <c r="I7" s="807" t="s">
        <v>604</v>
      </c>
      <c r="J7" s="216" t="str">
        <f>+'17'!J7</f>
        <v>TW 17 RC HW</v>
      </c>
      <c r="K7" s="237"/>
      <c r="L7" s="241"/>
      <c r="M7" s="121">
        <f>+K7+'17'!M7+L7</f>
        <v>3364</v>
      </c>
      <c r="P7" s="153">
        <f t="shared" ref="P7:P8" si="0">+O7-O7*0.22</f>
        <v>0</v>
      </c>
      <c r="R7" s="153">
        <f t="shared" ref="R7:R10" si="1">+O7*Q7</f>
        <v>0</v>
      </c>
      <c r="S7" s="153">
        <f t="shared" ref="S7:S10" si="2">+P7*Q7</f>
        <v>0</v>
      </c>
    </row>
    <row r="8" spans="1:26" ht="13.5" thickBot="1">
      <c r="A8" s="805"/>
      <c r="B8" s="217"/>
      <c r="C8" s="218"/>
      <c r="D8" s="219"/>
      <c r="E8" s="221"/>
      <c r="F8" s="231">
        <v>2</v>
      </c>
      <c r="G8" s="584" t="s">
        <v>12</v>
      </c>
      <c r="H8" s="230" t="s">
        <v>529</v>
      </c>
      <c r="I8" s="808"/>
      <c r="J8" s="216" t="str">
        <f>+'17'!J8</f>
        <v>T 14 VP OW</v>
      </c>
      <c r="K8" s="238"/>
      <c r="L8" s="238"/>
      <c r="M8" s="121">
        <f>+K8+'17'!M8+L8</f>
        <v>23832</v>
      </c>
      <c r="P8" s="153">
        <f t="shared" si="0"/>
        <v>0</v>
      </c>
      <c r="R8" s="153">
        <f t="shared" si="1"/>
        <v>0</v>
      </c>
      <c r="S8" s="153">
        <f t="shared" si="2"/>
        <v>0</v>
      </c>
    </row>
    <row r="9" spans="1:26" ht="13.5" thickBot="1">
      <c r="A9" s="805"/>
      <c r="B9" s="217"/>
      <c r="C9" s="218"/>
      <c r="D9" s="219"/>
      <c r="E9" s="222"/>
      <c r="F9" s="231">
        <v>5</v>
      </c>
      <c r="G9" s="584" t="s">
        <v>12</v>
      </c>
      <c r="H9" s="233" t="s">
        <v>484</v>
      </c>
      <c r="I9" s="808"/>
      <c r="J9" s="216" t="str">
        <f>+'17'!J9</f>
        <v>T 14,5 VP OW</v>
      </c>
      <c r="K9" s="238"/>
      <c r="L9" s="238"/>
      <c r="M9" s="121">
        <f>+K9+'17'!M9+L9</f>
        <v>190152</v>
      </c>
      <c r="R9" s="153">
        <f t="shared" si="1"/>
        <v>0</v>
      </c>
      <c r="S9" s="153">
        <f t="shared" si="2"/>
        <v>0</v>
      </c>
    </row>
    <row r="10" spans="1:26" ht="64.5" thickBot="1">
      <c r="A10" s="805"/>
      <c r="B10" s="217"/>
      <c r="C10" s="218"/>
      <c r="D10" s="219"/>
      <c r="E10" s="221"/>
      <c r="F10" s="231"/>
      <c r="G10" s="229"/>
      <c r="H10" s="233" t="s">
        <v>601</v>
      </c>
      <c r="I10" s="808"/>
      <c r="J10" s="216" t="str">
        <f>+'17'!J10</f>
        <v>T 13,5 VP OW</v>
      </c>
      <c r="K10" s="238"/>
      <c r="L10" s="238"/>
      <c r="M10" s="121">
        <f>+K10+'17'!M10+L10</f>
        <v>39850</v>
      </c>
      <c r="R10" s="153">
        <f t="shared" si="1"/>
        <v>0</v>
      </c>
      <c r="S10" s="153">
        <f t="shared" si="2"/>
        <v>0</v>
      </c>
    </row>
    <row r="11" spans="1:26" ht="51.75" thickBot="1">
      <c r="A11" s="805"/>
      <c r="B11" s="217"/>
      <c r="C11" s="218"/>
      <c r="D11" s="219"/>
      <c r="E11" s="221"/>
      <c r="F11" s="228"/>
      <c r="G11" s="232"/>
      <c r="H11" s="233" t="s">
        <v>600</v>
      </c>
      <c r="I11" s="808"/>
      <c r="J11" s="216" t="str">
        <f>+'17'!J11</f>
        <v>T 16,5 VP OW</v>
      </c>
      <c r="K11" s="238"/>
      <c r="L11" s="238"/>
      <c r="M11" s="121">
        <f>+K11+'17'!M11+L11</f>
        <v>9927</v>
      </c>
      <c r="P11" s="153">
        <f t="shared" ref="P11" si="3">+O11-O11*0.17</f>
        <v>0</v>
      </c>
    </row>
    <row r="12" spans="1:26" ht="13.5" thickBot="1">
      <c r="A12" s="805"/>
      <c r="B12" s="217"/>
      <c r="C12" s="218"/>
      <c r="D12" s="219"/>
      <c r="E12" s="221"/>
      <c r="F12" s="228"/>
      <c r="G12" s="232"/>
      <c r="H12" s="233"/>
      <c r="I12" s="808"/>
      <c r="J12" s="216" t="str">
        <f>+'17'!J12</f>
        <v>T 12,5 VP OW</v>
      </c>
      <c r="K12" s="238"/>
      <c r="L12" s="238"/>
      <c r="M12" s="121">
        <f>+K12+'17'!M12+L12</f>
        <v>12919</v>
      </c>
      <c r="Q12" s="153">
        <f>SUM(Q5:Q10)</f>
        <v>480</v>
      </c>
      <c r="R12" s="153">
        <f>SUM(R4:R10)</f>
        <v>489600</v>
      </c>
      <c r="S12" s="153">
        <f>SUM(S4:S10)</f>
        <v>376992</v>
      </c>
    </row>
    <row r="13" spans="1:26" ht="13.5" thickBot="1">
      <c r="A13" s="805"/>
      <c r="B13" s="217"/>
      <c r="C13" s="218"/>
      <c r="D13" s="218"/>
      <c r="E13" s="221"/>
      <c r="F13" s="228"/>
      <c r="G13" s="232"/>
      <c r="H13" s="233"/>
      <c r="I13" s="809"/>
      <c r="J13" s="216" t="str">
        <f>+'17'!J13</f>
        <v>TW 18 VP OW</v>
      </c>
      <c r="K13" s="238">
        <f>+C34</f>
        <v>48030</v>
      </c>
      <c r="L13" s="238"/>
      <c r="M13" s="121">
        <f>+K13+'17'!M13+L13</f>
        <v>128012</v>
      </c>
      <c r="N13" s="153" t="s">
        <v>421</v>
      </c>
      <c r="Q13" s="153">
        <f>480-Q12</f>
        <v>0</v>
      </c>
      <c r="R13" s="153">
        <f>+R12/Q12</f>
        <v>1020</v>
      </c>
      <c r="S13" s="153">
        <f>+S12/Q12</f>
        <v>785.4</v>
      </c>
    </row>
    <row r="14" spans="1:26" ht="13.5" thickBot="1">
      <c r="A14" s="806"/>
      <c r="B14" s="169" t="s">
        <v>3</v>
      </c>
      <c r="C14" s="103">
        <f>SUM(C7:C13)</f>
        <v>18037</v>
      </c>
      <c r="D14" s="115">
        <f>SUM(D7:D13)</f>
        <v>0</v>
      </c>
      <c r="E14" s="116">
        <f>SUM(E5:E13)</f>
        <v>0</v>
      </c>
      <c r="F14" s="120">
        <f>SUM(F7:F13)</f>
        <v>7</v>
      </c>
      <c r="G14" s="163"/>
      <c r="H14" s="170"/>
      <c r="I14" s="171"/>
      <c r="J14" s="216">
        <f>+'17'!J14</f>
        <v>0</v>
      </c>
      <c r="K14" s="238"/>
      <c r="L14" s="238"/>
      <c r="M14" s="121">
        <f>+K14+'17'!M14+L14</f>
        <v>0</v>
      </c>
    </row>
    <row r="15" spans="1:26" ht="13.5" thickBot="1">
      <c r="A15" s="810"/>
      <c r="B15" s="528"/>
      <c r="C15" s="117">
        <f>C14/($C$23+$D$23+$E$23)</f>
        <v>1.2773174704341053</v>
      </c>
      <c r="D15" s="118">
        <f>D14/($C$23+$D$23+$E$23)</f>
        <v>0</v>
      </c>
      <c r="E15" s="119">
        <f>E14/($C$23+$D$23+$E$23)</f>
        <v>0</v>
      </c>
      <c r="F15" s="235"/>
      <c r="G15" s="582" t="s">
        <v>12</v>
      </c>
      <c r="H15" s="583" t="s">
        <v>418</v>
      </c>
      <c r="I15" s="807" t="s">
        <v>603</v>
      </c>
      <c r="J15" s="216">
        <f>+'17'!J15</f>
        <v>0</v>
      </c>
      <c r="K15" s="238"/>
      <c r="L15" s="238"/>
      <c r="M15" s="121">
        <f>+K15+'17'!M15+L15</f>
        <v>0</v>
      </c>
    </row>
    <row r="16" spans="1:26" ht="13.5" thickBot="1">
      <c r="A16" s="805"/>
      <c r="B16" s="217" t="s">
        <v>581</v>
      </c>
      <c r="C16" s="526">
        <v>14121</v>
      </c>
      <c r="D16" s="223"/>
      <c r="E16" s="224"/>
      <c r="F16" s="231">
        <v>4</v>
      </c>
      <c r="G16" s="584" t="s">
        <v>12</v>
      </c>
      <c r="H16" s="230" t="s">
        <v>529</v>
      </c>
      <c r="I16" s="808"/>
      <c r="J16" s="216">
        <f>+'17'!J16</f>
        <v>0</v>
      </c>
      <c r="K16" s="229"/>
      <c r="L16" s="229"/>
      <c r="M16" s="121">
        <f>+K16+'17'!M16+L16</f>
        <v>0</v>
      </c>
      <c r="N16" s="153" t="s">
        <v>567</v>
      </c>
      <c r="O16" s="153">
        <v>1020</v>
      </c>
      <c r="P16" s="153">
        <f>+O16-O16*0.26</f>
        <v>754.8</v>
      </c>
      <c r="Q16" s="153">
        <v>480</v>
      </c>
      <c r="R16" s="153">
        <f>+O16*Q16</f>
        <v>489600</v>
      </c>
      <c r="S16" s="153">
        <f>+P16*Q16</f>
        <v>362304</v>
      </c>
    </row>
    <row r="17" spans="1:19" ht="13.5" thickBot="1">
      <c r="A17" s="805"/>
      <c r="B17" s="217"/>
      <c r="C17" s="218"/>
      <c r="D17" s="219"/>
      <c r="E17" s="225"/>
      <c r="F17" s="231">
        <v>16</v>
      </c>
      <c r="G17" s="584" t="s">
        <v>12</v>
      </c>
      <c r="H17" s="233" t="s">
        <v>459</v>
      </c>
      <c r="I17" s="808"/>
      <c r="J17" s="216">
        <f>+'17'!J17</f>
        <v>0</v>
      </c>
      <c r="K17" s="229"/>
      <c r="L17" s="229"/>
      <c r="M17" s="121">
        <f>+K17+'17'!M17+L17</f>
        <v>0</v>
      </c>
      <c r="P17" s="153">
        <f t="shared" ref="P17:P18" si="4">+O17-O17*0.22</f>
        <v>0</v>
      </c>
      <c r="R17" s="153">
        <f t="shared" ref="R17:R20" si="5">+O17*Q17</f>
        <v>0</v>
      </c>
      <c r="S17" s="153">
        <f t="shared" ref="S17:S20" si="6">+P17*Q17</f>
        <v>0</v>
      </c>
    </row>
    <row r="18" spans="1:19" ht="64.5" thickBot="1">
      <c r="A18" s="805"/>
      <c r="B18" s="217"/>
      <c r="C18" s="218"/>
      <c r="D18" s="219"/>
      <c r="E18" s="225"/>
      <c r="F18" s="231"/>
      <c r="G18" s="229"/>
      <c r="H18" s="233" t="s">
        <v>594</v>
      </c>
      <c r="I18" s="808"/>
      <c r="J18" s="216">
        <f>+'17'!J18</f>
        <v>0</v>
      </c>
      <c r="K18" s="238"/>
      <c r="L18" s="238"/>
      <c r="M18" s="121">
        <f>+K18+'17'!M18+L18</f>
        <v>0</v>
      </c>
      <c r="P18" s="153">
        <f t="shared" si="4"/>
        <v>0</v>
      </c>
      <c r="R18" s="153">
        <f t="shared" si="5"/>
        <v>0</v>
      </c>
      <c r="S18" s="153">
        <f t="shared" si="6"/>
        <v>0</v>
      </c>
    </row>
    <row r="19" spans="1:19" ht="39" thickBot="1">
      <c r="A19" s="805"/>
      <c r="B19" s="217"/>
      <c r="C19" s="218"/>
      <c r="D19" s="219"/>
      <c r="E19" s="225"/>
      <c r="F19" s="234"/>
      <c r="G19" s="232"/>
      <c r="H19" s="233" t="s">
        <v>599</v>
      </c>
      <c r="I19" s="808"/>
      <c r="J19" s="216">
        <f>+'17'!J19</f>
        <v>0</v>
      </c>
      <c r="K19" s="238"/>
      <c r="L19" s="238"/>
      <c r="M19" s="121">
        <f>+K19+'17'!M19+L19</f>
        <v>0</v>
      </c>
      <c r="R19" s="153">
        <f t="shared" si="5"/>
        <v>0</v>
      </c>
      <c r="S19" s="153">
        <f t="shared" si="6"/>
        <v>0</v>
      </c>
    </row>
    <row r="20" spans="1:19" ht="13.5" thickBot="1">
      <c r="A20" s="805"/>
      <c r="B20" s="217"/>
      <c r="C20" s="218"/>
      <c r="D20" s="219"/>
      <c r="E20" s="225"/>
      <c r="F20" s="228"/>
      <c r="G20" s="232"/>
      <c r="H20" s="233"/>
      <c r="I20" s="808"/>
      <c r="J20" s="216">
        <f>+'17'!J20</f>
        <v>0</v>
      </c>
      <c r="K20" s="239"/>
      <c r="L20" s="239"/>
      <c r="M20" s="121">
        <f>+K20+'17'!M20+L20</f>
        <v>0</v>
      </c>
      <c r="R20" s="153">
        <f t="shared" si="5"/>
        <v>0</v>
      </c>
      <c r="S20" s="153">
        <f t="shared" si="6"/>
        <v>0</v>
      </c>
    </row>
    <row r="21" spans="1:19" ht="13.5" thickBot="1">
      <c r="A21" s="805"/>
      <c r="B21" s="217"/>
      <c r="C21" s="218"/>
      <c r="D21" s="219"/>
      <c r="E21" s="225"/>
      <c r="F21" s="231"/>
      <c r="G21" s="232"/>
      <c r="H21" s="233"/>
      <c r="I21" s="808"/>
      <c r="J21" s="216">
        <f>+'17'!J21</f>
        <v>0</v>
      </c>
      <c r="K21" s="238"/>
      <c r="L21" s="238"/>
      <c r="M21" s="121">
        <f>+K21+'17'!M21+L21</f>
        <v>0</v>
      </c>
      <c r="P21" s="153">
        <f t="shared" ref="P21" si="7">+O21-O21*0.17</f>
        <v>0</v>
      </c>
    </row>
    <row r="22" spans="1:19" ht="13.5" thickBot="1">
      <c r="A22" s="805"/>
      <c r="B22" s="217"/>
      <c r="C22" s="218"/>
      <c r="D22" s="219"/>
      <c r="E22" s="225"/>
      <c r="F22" s="235"/>
      <c r="G22" s="232"/>
      <c r="H22" s="233"/>
      <c r="I22" s="809"/>
      <c r="J22" s="216">
        <f>+'17'!J22</f>
        <v>0</v>
      </c>
      <c r="K22" s="238"/>
      <c r="L22" s="238"/>
      <c r="M22" s="121">
        <f>+K22+'17'!M22+L22</f>
        <v>0</v>
      </c>
      <c r="Q22" s="153">
        <f>SUM(Q15:Q20)</f>
        <v>480</v>
      </c>
      <c r="R22" s="153">
        <f>SUM(R14:R20)</f>
        <v>489600</v>
      </c>
      <c r="S22" s="153">
        <f>SUM(S14:S20)</f>
        <v>362304</v>
      </c>
    </row>
    <row r="23" spans="1:19" ht="13.5" thickBot="1">
      <c r="A23" s="806"/>
      <c r="B23" s="169" t="s">
        <v>3</v>
      </c>
      <c r="C23" s="103">
        <f>SUM(C16:C22)</f>
        <v>14121</v>
      </c>
      <c r="D23" s="115">
        <f>SUM(D16:D22)</f>
        <v>0</v>
      </c>
      <c r="E23" s="116">
        <f>SUM(E18:E22)</f>
        <v>0</v>
      </c>
      <c r="F23" s="120">
        <f>SUM(F15:F22)</f>
        <v>20</v>
      </c>
      <c r="G23" s="163"/>
      <c r="H23" s="170"/>
      <c r="I23" s="172"/>
      <c r="J23" s="216">
        <f>+'17'!J23</f>
        <v>0</v>
      </c>
      <c r="K23" s="238"/>
      <c r="L23" s="238"/>
      <c r="M23" s="121">
        <f>+K23+'17'!M23+L23</f>
        <v>0</v>
      </c>
      <c r="N23" s="153" t="s">
        <v>421</v>
      </c>
      <c r="Q23" s="153">
        <f>480-Q22</f>
        <v>0</v>
      </c>
      <c r="R23" s="153">
        <f>+R22/Q22</f>
        <v>1020</v>
      </c>
      <c r="S23" s="153">
        <f>+S22/Q22</f>
        <v>754.8</v>
      </c>
    </row>
    <row r="24" spans="1:19" ht="13.5" thickBot="1">
      <c r="A24" s="810"/>
      <c r="B24" s="528"/>
      <c r="C24" s="117">
        <f>C23/($C$23+$D$23+$E$23)</f>
        <v>1</v>
      </c>
      <c r="D24" s="118">
        <f>D23/($C$23+$D$23+$E$23)</f>
        <v>0</v>
      </c>
      <c r="E24" s="119">
        <f>E23/($C$23+$D$23+$E$23)</f>
        <v>0</v>
      </c>
      <c r="F24" s="235"/>
      <c r="G24" s="582" t="s">
        <v>12</v>
      </c>
      <c r="H24" s="583" t="s">
        <v>418</v>
      </c>
      <c r="I24" s="807" t="s">
        <v>602</v>
      </c>
      <c r="J24" s="216">
        <f>+'17'!J24</f>
        <v>0</v>
      </c>
      <c r="K24" s="238"/>
      <c r="L24" s="238"/>
      <c r="M24" s="121">
        <f>+K24+'17'!M24+L24</f>
        <v>0</v>
      </c>
      <c r="N24" s="529"/>
    </row>
    <row r="25" spans="1:19" ht="13.5" thickBot="1">
      <c r="A25" s="805"/>
      <c r="B25" s="217" t="s">
        <v>581</v>
      </c>
      <c r="C25" s="226">
        <v>15872</v>
      </c>
      <c r="D25" s="219"/>
      <c r="E25" s="225"/>
      <c r="F25" s="231">
        <v>4</v>
      </c>
      <c r="G25" s="584" t="s">
        <v>12</v>
      </c>
      <c r="H25" s="230" t="s">
        <v>529</v>
      </c>
      <c r="I25" s="808"/>
      <c r="J25" s="216">
        <f>+'17'!J25</f>
        <v>0</v>
      </c>
      <c r="K25" s="238"/>
      <c r="L25" s="238"/>
      <c r="M25" s="121">
        <f>+K25+'17'!M25+L25</f>
        <v>0</v>
      </c>
      <c r="N25" s="153" t="s">
        <v>567</v>
      </c>
      <c r="O25" s="153">
        <v>1020</v>
      </c>
      <c r="P25" s="153">
        <f>+O25-O25*0.26</f>
        <v>754.8</v>
      </c>
      <c r="Q25" s="153">
        <v>480</v>
      </c>
      <c r="R25" s="153">
        <f>+O25*Q25</f>
        <v>489600</v>
      </c>
      <c r="S25" s="153">
        <f>+P25*Q25</f>
        <v>362304</v>
      </c>
    </row>
    <row r="26" spans="1:19" ht="13.5" thickBot="1">
      <c r="A26" s="805"/>
      <c r="B26" s="217"/>
      <c r="C26" s="226"/>
      <c r="D26" s="219"/>
      <c r="E26" s="227"/>
      <c r="F26" s="231">
        <v>8</v>
      </c>
      <c r="G26" s="584" t="s">
        <v>12</v>
      </c>
      <c r="H26" s="233" t="s">
        <v>511</v>
      </c>
      <c r="I26" s="808"/>
      <c r="J26" s="216">
        <f>+'17'!J26</f>
        <v>0</v>
      </c>
      <c r="K26" s="238"/>
      <c r="L26" s="238"/>
      <c r="M26" s="121">
        <f>+K26+'17'!M26+L26</f>
        <v>0</v>
      </c>
      <c r="P26" s="153">
        <f t="shared" ref="P26:P27" si="8">+O26-O26*0.22</f>
        <v>0</v>
      </c>
      <c r="R26" s="153">
        <f t="shared" ref="R26:R29" si="9">+O26*Q26</f>
        <v>0</v>
      </c>
      <c r="S26" s="153">
        <f t="shared" ref="S26:S29" si="10">+P26*Q26</f>
        <v>0</v>
      </c>
    </row>
    <row r="27" spans="1:19" ht="64.5" thickBot="1">
      <c r="A27" s="805"/>
      <c r="B27" s="217"/>
      <c r="C27" s="218"/>
      <c r="D27" s="219"/>
      <c r="E27" s="225"/>
      <c r="F27" s="231"/>
      <c r="G27" s="229"/>
      <c r="H27" s="233" t="s">
        <v>594</v>
      </c>
      <c r="I27" s="808"/>
      <c r="J27" s="216">
        <f>+'17'!J27</f>
        <v>0</v>
      </c>
      <c r="K27" s="238"/>
      <c r="L27" s="238"/>
      <c r="M27" s="121">
        <f>+K27+'17'!M27+L27</f>
        <v>0</v>
      </c>
      <c r="P27" s="153">
        <f t="shared" si="8"/>
        <v>0</v>
      </c>
      <c r="R27" s="153">
        <f t="shared" si="9"/>
        <v>0</v>
      </c>
      <c r="S27" s="153">
        <f t="shared" si="10"/>
        <v>0</v>
      </c>
    </row>
    <row r="28" spans="1:19" ht="51.75" thickBot="1">
      <c r="A28" s="805"/>
      <c r="B28" s="217"/>
      <c r="C28" s="218"/>
      <c r="D28" s="219"/>
      <c r="E28" s="225"/>
      <c r="F28" s="231"/>
      <c r="G28" s="229"/>
      <c r="H28" s="233" t="s">
        <v>598</v>
      </c>
      <c r="I28" s="808"/>
      <c r="J28" s="216">
        <f>+'17'!J28</f>
        <v>0</v>
      </c>
      <c r="K28" s="238"/>
      <c r="L28" s="238"/>
      <c r="M28" s="121">
        <f>+K28+'17'!M28+L28</f>
        <v>0</v>
      </c>
      <c r="R28" s="153">
        <f t="shared" si="9"/>
        <v>0</v>
      </c>
      <c r="S28" s="153">
        <f t="shared" si="10"/>
        <v>0</v>
      </c>
    </row>
    <row r="29" spans="1:19" ht="13.5" thickBot="1">
      <c r="A29" s="805"/>
      <c r="B29" s="217"/>
      <c r="C29" s="218"/>
      <c r="D29" s="219"/>
      <c r="E29" s="225"/>
      <c r="F29" s="235"/>
      <c r="G29" s="232"/>
      <c r="H29" s="233"/>
      <c r="I29" s="808"/>
      <c r="J29" s="216">
        <f>+'17'!J29</f>
        <v>0</v>
      </c>
      <c r="K29" s="238"/>
      <c r="L29" s="238"/>
      <c r="M29" s="121">
        <f>+K29+'17'!M29+L29</f>
        <v>0</v>
      </c>
      <c r="R29" s="153">
        <f t="shared" si="9"/>
        <v>0</v>
      </c>
      <c r="S29" s="153">
        <f t="shared" si="10"/>
        <v>0</v>
      </c>
    </row>
    <row r="30" spans="1:19" ht="13.5" thickBot="1">
      <c r="A30" s="805"/>
      <c r="B30" s="217"/>
      <c r="C30" s="226"/>
      <c r="D30" s="219"/>
      <c r="E30" s="225"/>
      <c r="F30" s="235"/>
      <c r="G30" s="232"/>
      <c r="H30" s="233"/>
      <c r="I30" s="808"/>
      <c r="J30" s="216">
        <f>+'17'!J30</f>
        <v>0</v>
      </c>
      <c r="K30" s="238"/>
      <c r="L30" s="238"/>
      <c r="M30" s="121">
        <f>+K30+'17'!M30+L30</f>
        <v>0</v>
      </c>
      <c r="P30" s="153">
        <f t="shared" ref="P30" si="11">+O30-O30*0.17</f>
        <v>0</v>
      </c>
    </row>
    <row r="31" spans="1:19" ht="13.5" thickBot="1">
      <c r="A31" s="805"/>
      <c r="B31" s="217"/>
      <c r="C31" s="226"/>
      <c r="D31" s="219"/>
      <c r="E31" s="225"/>
      <c r="F31" s="235"/>
      <c r="G31" s="236"/>
      <c r="H31" s="413"/>
      <c r="I31" s="809"/>
      <c r="J31" s="216">
        <f>+'17'!J31</f>
        <v>0</v>
      </c>
      <c r="K31" s="238"/>
      <c r="L31" s="238"/>
      <c r="M31" s="121">
        <f>+K31+'17'!M31+L31</f>
        <v>0</v>
      </c>
      <c r="Q31" s="153">
        <f>SUM(Q24:Q29)</f>
        <v>480</v>
      </c>
      <c r="R31" s="153">
        <f>SUM(R23:R29)</f>
        <v>490620</v>
      </c>
      <c r="S31" s="153">
        <f>SUM(S23:S29)</f>
        <v>363058.8</v>
      </c>
    </row>
    <row r="32" spans="1:19" ht="13.5" thickBot="1">
      <c r="A32" s="806"/>
      <c r="B32" s="169" t="s">
        <v>3</v>
      </c>
      <c r="C32" s="103">
        <f>SUM(C25:C31)</f>
        <v>15872</v>
      </c>
      <c r="D32" s="104">
        <f>SUM(D25:D31)</f>
        <v>0</v>
      </c>
      <c r="E32" s="105">
        <f>SUM(E25:E31)</f>
        <v>0</v>
      </c>
      <c r="F32" s="103">
        <f>SUM(F24:F31)</f>
        <v>12</v>
      </c>
      <c r="G32" s="173"/>
      <c r="H32" s="174"/>
      <c r="I32" s="172"/>
      <c r="J32" s="216">
        <f>+'17'!J32</f>
        <v>0</v>
      </c>
      <c r="K32" s="240"/>
      <c r="L32" s="242"/>
      <c r="M32" s="121">
        <f>+K32+'17'!M32+L32</f>
        <v>0</v>
      </c>
      <c r="N32" s="153" t="s">
        <v>421</v>
      </c>
      <c r="Q32" s="153">
        <f>480-Q31</f>
        <v>0</v>
      </c>
      <c r="R32" s="153">
        <f>+R31/Q31</f>
        <v>1022.125</v>
      </c>
      <c r="S32" s="153">
        <f>+S31/Q31</f>
        <v>756.37249999999995</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11" t="s">
        <v>69</v>
      </c>
      <c r="B34" s="812"/>
      <c r="C34" s="111">
        <f>C14+C23+C32</f>
        <v>48030</v>
      </c>
      <c r="D34" s="111">
        <f>D14+D23+D32</f>
        <v>0</v>
      </c>
      <c r="E34" s="111">
        <f>E14+E23+E32</f>
        <v>0</v>
      </c>
      <c r="F34" s="112">
        <f>F14+F23+F32</f>
        <v>39</v>
      </c>
      <c r="H34" s="180"/>
      <c r="I34" s="180"/>
      <c r="J34" s="127" t="s">
        <v>28</v>
      </c>
      <c r="K34" s="128">
        <f>SUM(K7:K32)</f>
        <v>48030</v>
      </c>
      <c r="L34" s="214">
        <f>SUM(L7:L32)</f>
        <v>0</v>
      </c>
      <c r="M34" s="124">
        <f>SUM(M7:M32)</f>
        <v>408056</v>
      </c>
      <c r="N34" s="159"/>
    </row>
    <row r="35" spans="1:14" ht="13.5" thickBot="1">
      <c r="A35" s="573"/>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(18*1440)/1440*G42*2.7*1440/1000000</f>
        <v>53.574443280000011</v>
      </c>
      <c r="J37" s="129">
        <f>+I37+'17'!J37</f>
        <v>497.44457569157942</v>
      </c>
      <c r="K37" s="130" t="s">
        <v>75</v>
      </c>
    </row>
    <row r="38" spans="1:14" ht="17.45" customHeight="1">
      <c r="A38" s="797" t="s">
        <v>12</v>
      </c>
      <c r="B38" s="798"/>
      <c r="C38" s="168">
        <f>SUMIF($G$7:$G$31,"Process",$F$7:$F$31)</f>
        <v>39</v>
      </c>
      <c r="D38" s="122">
        <f>C38+'17'!D38</f>
        <v>874</v>
      </c>
      <c r="E38" s="147">
        <f t="shared" ref="E38:E52" si="12">D38/60</f>
        <v>14.566666666666666</v>
      </c>
      <c r="F38" s="311">
        <v>1020</v>
      </c>
      <c r="G38" s="311">
        <v>785.4</v>
      </c>
      <c r="H38" s="189" t="s">
        <v>76</v>
      </c>
      <c r="I38" s="534">
        <f>16.344+13.878+16.191</f>
        <v>46.412999999999997</v>
      </c>
      <c r="J38" s="131">
        <f>+I38+'17'!J38</f>
        <v>433.66699999999997</v>
      </c>
      <c r="K38" s="132" t="s">
        <v>75</v>
      </c>
    </row>
    <row r="39" spans="1:14" ht="17.45" customHeight="1">
      <c r="A39" s="799" t="s">
        <v>13</v>
      </c>
      <c r="B39" s="800"/>
      <c r="C39" s="168">
        <f>SUMIF($G$7:$G$31,"Cleaning",$F$7:$F$31)</f>
        <v>0</v>
      </c>
      <c r="D39" s="122">
        <f>C39+'17'!D39</f>
        <v>0</v>
      </c>
      <c r="E39" s="147">
        <f t="shared" si="12"/>
        <v>0</v>
      </c>
      <c r="F39" s="311">
        <v>1020</v>
      </c>
      <c r="G39" s="311">
        <v>754.8</v>
      </c>
      <c r="H39" s="189" t="s">
        <v>77</v>
      </c>
      <c r="I39" s="146"/>
      <c r="J39" s="133">
        <f>J37/G4</f>
        <v>27.635809760643301</v>
      </c>
      <c r="K39" s="134" t="s">
        <v>75</v>
      </c>
    </row>
    <row r="40" spans="1:14" ht="17.45" customHeight="1">
      <c r="A40" s="799" t="s">
        <v>78</v>
      </c>
      <c r="B40" s="800"/>
      <c r="C40" s="168">
        <f>SUMIF($G$7:$G$31,"Mechanical",$F$7:$F$31)</f>
        <v>0</v>
      </c>
      <c r="D40" s="122">
        <f>C40+'17'!D40</f>
        <v>17</v>
      </c>
      <c r="E40" s="147">
        <f t="shared" si="12"/>
        <v>0.28333333333333333</v>
      </c>
      <c r="F40" s="311">
        <v>1022.125</v>
      </c>
      <c r="G40" s="311">
        <v>756.37249999999995</v>
      </c>
      <c r="H40" s="189" t="s">
        <v>79</v>
      </c>
      <c r="I40" s="122">
        <f>(K34+L34)/1000</f>
        <v>48.03</v>
      </c>
      <c r="J40" s="135">
        <f>+I40+'17'!J40</f>
        <v>408.05600000000004</v>
      </c>
      <c r="K40" s="134" t="s">
        <v>75</v>
      </c>
    </row>
    <row r="41" spans="1:14" ht="17.45" customHeight="1">
      <c r="A41" s="799" t="s">
        <v>80</v>
      </c>
      <c r="B41" s="800"/>
      <c r="C41" s="168">
        <f>SUMIF($G$7:$G$31,"Electrical",$F$7:$F$31)</f>
        <v>0</v>
      </c>
      <c r="D41" s="122">
        <f>C41+'17'!D41</f>
        <v>60</v>
      </c>
      <c r="E41" s="147">
        <f t="shared" si="12"/>
        <v>1</v>
      </c>
      <c r="F41" s="311"/>
      <c r="G41" s="311"/>
      <c r="H41" s="189" t="s">
        <v>81</v>
      </c>
      <c r="I41" s="146"/>
      <c r="J41" s="133">
        <f>J40/G4</f>
        <v>22.669777777777782</v>
      </c>
      <c r="K41" s="134" t="s">
        <v>75</v>
      </c>
    </row>
    <row r="42" spans="1:14" ht="17.45" customHeight="1">
      <c r="A42" s="799" t="s">
        <v>16</v>
      </c>
      <c r="B42" s="800"/>
      <c r="C42" s="168">
        <f>SUMIF($G$7:$G$31,"Instrument",$F$7:$F$31)</f>
        <v>0</v>
      </c>
      <c r="D42" s="122">
        <f>C42+'17'!D42</f>
        <v>0</v>
      </c>
      <c r="E42" s="147">
        <f t="shared" si="12"/>
        <v>0</v>
      </c>
      <c r="F42" s="187">
        <f>+(F38*480+F39*480+F40*480)/1440</f>
        <v>1020.7083333333334</v>
      </c>
      <c r="G42" s="187">
        <f>+(G38*480+G39*480+G40*480)/1440</f>
        <v>765.5241666666667</v>
      </c>
      <c r="H42" s="189" t="s">
        <v>82</v>
      </c>
      <c r="I42" s="245" t="s">
        <v>605</v>
      </c>
      <c r="J42" s="136"/>
      <c r="K42" s="134" t="s">
        <v>83</v>
      </c>
    </row>
    <row r="43" spans="1:14" ht="17.45" customHeight="1">
      <c r="A43" s="799" t="s">
        <v>84</v>
      </c>
      <c r="B43" s="800"/>
      <c r="C43" s="168">
        <f>SUMIF($G$7:$G$31,"Water",$F$7:$F$31)</f>
        <v>0</v>
      </c>
      <c r="D43" s="122">
        <f>C43+'17'!D43</f>
        <v>0</v>
      </c>
      <c r="E43" s="147">
        <f t="shared" si="12"/>
        <v>0</v>
      </c>
      <c r="F43" s="311"/>
      <c r="G43" s="312"/>
      <c r="H43" s="190" t="s">
        <v>85</v>
      </c>
      <c r="I43" s="122">
        <f>+Report1!Z26</f>
        <v>102.8</v>
      </c>
      <c r="J43" s="137">
        <f>+I43+'17'!J43</f>
        <v>944.19999999999993</v>
      </c>
      <c r="K43" s="134" t="s">
        <v>75</v>
      </c>
      <c r="L43" s="191"/>
    </row>
    <row r="44" spans="1:14" ht="17.45" customHeight="1">
      <c r="A44" s="799" t="s">
        <v>17</v>
      </c>
      <c r="B44" s="800"/>
      <c r="C44" s="168">
        <f>SUMIF($G$7:$G$31,"PLN",$F$7:$F$31)</f>
        <v>0</v>
      </c>
      <c r="D44" s="122">
        <f>C44+'17'!D44</f>
        <v>0</v>
      </c>
      <c r="E44" s="147">
        <f t="shared" si="12"/>
        <v>0</v>
      </c>
      <c r="F44" s="311"/>
      <c r="G44" s="312"/>
      <c r="H44" s="190" t="s">
        <v>86</v>
      </c>
      <c r="I44" s="122">
        <f>I43/I38</f>
        <v>2.2148966884278112</v>
      </c>
      <c r="J44" s="138">
        <f>J43/J38</f>
        <v>2.1772465970433537</v>
      </c>
      <c r="K44" s="134" t="s">
        <v>75</v>
      </c>
    </row>
    <row r="45" spans="1:14" ht="17.45" customHeight="1">
      <c r="A45" s="799" t="s">
        <v>18</v>
      </c>
      <c r="B45" s="800"/>
      <c r="C45" s="168">
        <f>SUMIF($G$7:$G$31,"Boiler",$F$7:$F$31)</f>
        <v>0</v>
      </c>
      <c r="D45" s="122">
        <f>C45+'17'!D45</f>
        <v>0</v>
      </c>
      <c r="E45" s="147">
        <f t="shared" si="12"/>
        <v>0</v>
      </c>
      <c r="F45" s="311"/>
      <c r="G45" s="314"/>
      <c r="H45" s="190" t="s">
        <v>87</v>
      </c>
      <c r="I45" s="122">
        <f>I43/I40</f>
        <v>2.1403289610660003</v>
      </c>
      <c r="J45" s="138">
        <f>J43/J40</f>
        <v>2.3138980924186874</v>
      </c>
      <c r="K45" s="134" t="s">
        <v>75</v>
      </c>
    </row>
    <row r="46" spans="1:14" ht="17.45" customHeight="1">
      <c r="A46" s="799" t="s">
        <v>88</v>
      </c>
      <c r="B46" s="800"/>
      <c r="C46" s="168">
        <f>SUMIF($G$7:$G$31,"Gas",$F$7:$F$31)</f>
        <v>0</v>
      </c>
      <c r="D46" s="122">
        <f>C46+'17'!D46</f>
        <v>0</v>
      </c>
      <c r="E46" s="147">
        <f t="shared" si="12"/>
        <v>0</v>
      </c>
      <c r="F46" s="311"/>
      <c r="G46" s="312"/>
      <c r="H46" s="190" t="s">
        <v>89</v>
      </c>
      <c r="I46" s="144">
        <f>+SUMIF(Listrik!X25,"&gt;0")</f>
        <v>46691.970000000154</v>
      </c>
      <c r="J46" s="139">
        <f>+I46+'17'!J46</f>
        <v>412848.67240000027</v>
      </c>
      <c r="K46" s="134" t="s">
        <v>90</v>
      </c>
    </row>
    <row r="47" spans="1:14" ht="17.45" customHeight="1">
      <c r="A47" s="799" t="s">
        <v>91</v>
      </c>
      <c r="B47" s="800"/>
      <c r="C47" s="168">
        <f>SUMIF($G$7:$G$31,"Gas",$F$7:$F$31)</f>
        <v>0</v>
      </c>
      <c r="D47" s="122">
        <f>C47+'17'!D47</f>
        <v>0</v>
      </c>
      <c r="E47" s="147">
        <f t="shared" si="12"/>
        <v>0</v>
      </c>
      <c r="F47" s="311"/>
      <c r="G47" s="312"/>
      <c r="H47" s="190" t="s">
        <v>92</v>
      </c>
      <c r="I47" s="122">
        <f>I46/I38</f>
        <v>1006.0106004783177</v>
      </c>
      <c r="J47" s="139">
        <f>J46/J38</f>
        <v>951.99466964283727</v>
      </c>
      <c r="K47" s="134" t="s">
        <v>24</v>
      </c>
    </row>
    <row r="48" spans="1:14" ht="17.45" customHeight="1">
      <c r="A48" s="799" t="s">
        <v>14</v>
      </c>
      <c r="B48" s="800"/>
      <c r="C48" s="168">
        <f>SUMIF($G$7:$G$31,"Start Up",$F$7:$F$31)</f>
        <v>0</v>
      </c>
      <c r="D48" s="122">
        <f>C48+'17'!D48</f>
        <v>0</v>
      </c>
      <c r="E48" s="147">
        <f t="shared" si="12"/>
        <v>0</v>
      </c>
      <c r="F48" s="311"/>
      <c r="G48" s="312"/>
      <c r="H48" s="190" t="s">
        <v>93</v>
      </c>
      <c r="I48" s="122">
        <f>I46/I40</f>
        <v>972.14178638351348</v>
      </c>
      <c r="J48" s="139">
        <f>J46/J40</f>
        <v>1011.7451340012161</v>
      </c>
      <c r="K48" s="134" t="s">
        <v>24</v>
      </c>
    </row>
    <row r="49" spans="1:11" ht="17.45" customHeight="1">
      <c r="A49" s="799" t="s">
        <v>20</v>
      </c>
      <c r="B49" s="800"/>
      <c r="C49" s="168">
        <f>SUMIF($G$7:$G$31,"Others",$F$7:$F$31)</f>
        <v>0</v>
      </c>
      <c r="D49" s="122">
        <f>C49+'17'!D49</f>
        <v>11845</v>
      </c>
      <c r="E49" s="147">
        <f t="shared" si="12"/>
        <v>197.41666666666666</v>
      </c>
      <c r="F49" s="187"/>
      <c r="H49" s="190" t="s">
        <v>279</v>
      </c>
      <c r="I49" s="122">
        <f>+Report1!T26</f>
        <v>3881.8829291117518</v>
      </c>
      <c r="J49" s="139">
        <f>+I49+'17'!J49</f>
        <v>38215.398328344796</v>
      </c>
      <c r="K49" s="134" t="s">
        <v>94</v>
      </c>
    </row>
    <row r="50" spans="1:11" ht="17.45" customHeight="1">
      <c r="A50" s="799" t="s">
        <v>19</v>
      </c>
      <c r="B50" s="800"/>
      <c r="C50" s="168">
        <f>SUMIF($G$7:$G$31,"Steam",$F$7:$F$31)</f>
        <v>0</v>
      </c>
      <c r="D50" s="122">
        <f>C50+'17'!D50</f>
        <v>0</v>
      </c>
      <c r="E50" s="147">
        <f t="shared" si="12"/>
        <v>0</v>
      </c>
      <c r="F50" s="187"/>
      <c r="H50" s="190" t="s">
        <v>95</v>
      </c>
      <c r="I50" s="144">
        <f>I49/I38</f>
        <v>83.637837009280844</v>
      </c>
      <c r="J50" s="137">
        <f>J49/J38</f>
        <v>88.121527181788792</v>
      </c>
      <c r="K50" s="134" t="s">
        <v>94</v>
      </c>
    </row>
    <row r="51" spans="1:11" ht="17.45" customHeight="1">
      <c r="A51" s="801" t="s">
        <v>96</v>
      </c>
      <c r="B51" s="801"/>
      <c r="C51" s="168">
        <f>SUMIF($G$7:$G$31,"Planned shut",$F$7:$F$31)</f>
        <v>0</v>
      </c>
      <c r="D51" s="122">
        <f>C51+'17'!D51</f>
        <v>0</v>
      </c>
      <c r="E51" s="147">
        <f t="shared" si="12"/>
        <v>0</v>
      </c>
      <c r="F51" s="187"/>
      <c r="H51" s="192" t="s">
        <v>97</v>
      </c>
      <c r="I51" s="145">
        <f>I49/I40</f>
        <v>80.822047243634216</v>
      </c>
      <c r="J51" s="140">
        <f>J49/J40</f>
        <v>93.652337738802501</v>
      </c>
      <c r="K51" s="141" t="s">
        <v>94</v>
      </c>
    </row>
    <row r="52" spans="1:11" ht="13.5" thickBot="1">
      <c r="A52" s="802" t="s">
        <v>229</v>
      </c>
      <c r="B52" s="803"/>
      <c r="C52" s="168">
        <f>SUMIF($G$7:$G$31,"Change Grade",$F$7:$F$31)</f>
        <v>0</v>
      </c>
      <c r="D52" s="122">
        <f>C52+'17'!D52</f>
        <v>0</v>
      </c>
      <c r="E52" s="147">
        <f t="shared" si="12"/>
        <v>0</v>
      </c>
      <c r="F52" s="187"/>
      <c r="H52" s="193"/>
      <c r="I52" s="194"/>
      <c r="J52" s="142"/>
      <c r="K52" s="143"/>
    </row>
    <row r="53" spans="1:11">
      <c r="A53" s="797" t="s">
        <v>28</v>
      </c>
      <c r="B53" s="798"/>
      <c r="C53" s="148">
        <f>SUM(C38:C52)</f>
        <v>39</v>
      </c>
      <c r="D53" s="148">
        <f>SUM(D38:D52)</f>
        <v>12796</v>
      </c>
      <c r="E53" s="149">
        <f>SUM(E38:E52)</f>
        <v>213.26666666666665</v>
      </c>
      <c r="F53" s="187"/>
    </row>
    <row r="54" spans="1:11" ht="13.5" thickBot="1">
      <c r="A54" s="795"/>
      <c r="B54" s="796"/>
      <c r="C54" s="150">
        <f>C53/(24*60)</f>
        <v>2.7083333333333334E-2</v>
      </c>
      <c r="D54" s="150">
        <f>D53/(24*60*G4)</f>
        <v>0.49367283950617286</v>
      </c>
      <c r="E54" s="151">
        <f>E53/(G4*24)</f>
        <v>0.4936728395061728</v>
      </c>
      <c r="F54" s="187"/>
    </row>
    <row r="55" spans="1:11">
      <c r="E55" s="195"/>
    </row>
    <row r="56" spans="1:11">
      <c r="A56" s="196" t="s">
        <v>98</v>
      </c>
      <c r="B56" s="197"/>
      <c r="C56" s="198"/>
      <c r="D56" s="198"/>
      <c r="E56" s="198"/>
      <c r="F56" s="199"/>
      <c r="G56" s="198"/>
      <c r="H56" s="200"/>
      <c r="I56" s="201" t="s">
        <v>99</v>
      </c>
      <c r="J56" s="202">
        <f>+D34+'17'!J56</f>
        <v>1800</v>
      </c>
      <c r="K56" s="203">
        <f>J56/(J40+J56/1000)/1000</f>
        <v>4.3917863835103059E-3</v>
      </c>
    </row>
    <row r="57" spans="1:11">
      <c r="A57" s="178"/>
      <c r="I57" s="201" t="s">
        <v>100</v>
      </c>
      <c r="J57" s="202">
        <f>+E34+'17'!J57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C1" zoomScale="80" zoomScaleNormal="80"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27" ht="15.75">
      <c r="A1" s="152"/>
      <c r="V1" s="529"/>
    </row>
    <row r="2" spans="1:27" ht="15.75">
      <c r="A2" s="152" t="s">
        <v>230</v>
      </c>
      <c r="V2" s="529"/>
    </row>
    <row r="3" spans="1:27" ht="15">
      <c r="A3" s="154"/>
      <c r="Y3" s="178"/>
    </row>
    <row r="4" spans="1:27" ht="20.25">
      <c r="A4" s="155" t="s">
        <v>4</v>
      </c>
      <c r="B4" s="156"/>
      <c r="F4" s="157" t="s">
        <v>30</v>
      </c>
      <c r="G4" s="158">
        <v>17</v>
      </c>
      <c r="H4" s="158" t="str">
        <f>+'1'!H4</f>
        <v>.10.25</v>
      </c>
      <c r="J4" s="153">
        <f>363+397+409</f>
        <v>1169</v>
      </c>
      <c r="Z4" s="178"/>
      <c r="AA4" s="178"/>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567</v>
      </c>
      <c r="O6" s="153">
        <v>1040</v>
      </c>
      <c r="P6" s="153">
        <f>+O6-O6*0.23</f>
        <v>800.8</v>
      </c>
      <c r="Q6" s="153">
        <v>480</v>
      </c>
      <c r="R6" s="153">
        <f>+O6*Q6</f>
        <v>499200</v>
      </c>
      <c r="S6" s="153">
        <f>+P6*Q6</f>
        <v>384384</v>
      </c>
      <c r="V6" s="530"/>
    </row>
    <row r="7" spans="1:27" ht="13.5" customHeight="1" thickBot="1">
      <c r="A7" s="804"/>
      <c r="B7" s="217" t="s">
        <v>581</v>
      </c>
      <c r="C7" s="218">
        <v>17222</v>
      </c>
      <c r="D7" s="219">
        <v>900</v>
      </c>
      <c r="E7" s="220"/>
      <c r="F7" s="235"/>
      <c r="G7" s="582" t="s">
        <v>12</v>
      </c>
      <c r="H7" s="583" t="s">
        <v>418</v>
      </c>
      <c r="I7" s="807" t="s">
        <v>588</v>
      </c>
      <c r="J7" s="216" t="str">
        <f>+'16'!J7</f>
        <v>TW 17 RC HW</v>
      </c>
      <c r="K7" s="237"/>
      <c r="L7" s="241"/>
      <c r="M7" s="121">
        <f>+K7+'16'!M7+L7</f>
        <v>3364</v>
      </c>
      <c r="P7" s="153">
        <f t="shared" ref="P7:P8" si="0">+O7-O7*0.22</f>
        <v>0</v>
      </c>
      <c r="R7" s="153">
        <f t="shared" ref="R7:R10" si="1">+O7*Q7</f>
        <v>0</v>
      </c>
      <c r="S7" s="153">
        <f t="shared" ref="S7:S10" si="2">+P7*Q7</f>
        <v>0</v>
      </c>
      <c r="V7" s="532"/>
      <c r="W7" s="533"/>
      <c r="X7" s="533"/>
      <c r="Y7" s="533"/>
    </row>
    <row r="8" spans="1:27" ht="13.5" thickBot="1">
      <c r="A8" s="805"/>
      <c r="B8" s="217"/>
      <c r="C8" s="218"/>
      <c r="D8" s="219"/>
      <c r="E8" s="221"/>
      <c r="F8" s="231">
        <v>2</v>
      </c>
      <c r="G8" s="584" t="s">
        <v>12</v>
      </c>
      <c r="H8" s="230" t="s">
        <v>529</v>
      </c>
      <c r="I8" s="808"/>
      <c r="J8" s="216" t="str">
        <f>+'16'!J8</f>
        <v>T 14 VP OW</v>
      </c>
      <c r="K8" s="238"/>
      <c r="L8" s="238"/>
      <c r="M8" s="121">
        <f>+K8+'16'!M8+L8</f>
        <v>23832</v>
      </c>
      <c r="P8" s="153">
        <f t="shared" si="0"/>
        <v>0</v>
      </c>
      <c r="R8" s="153">
        <f t="shared" si="1"/>
        <v>0</v>
      </c>
      <c r="S8" s="153">
        <f t="shared" si="2"/>
        <v>0</v>
      </c>
      <c r="Y8" s="531"/>
    </row>
    <row r="9" spans="1:27" ht="13.5" thickBot="1">
      <c r="A9" s="805"/>
      <c r="B9" s="217"/>
      <c r="C9" s="218"/>
      <c r="D9" s="219"/>
      <c r="E9" s="222"/>
      <c r="F9" s="231">
        <v>5</v>
      </c>
      <c r="G9" s="584" t="s">
        <v>12</v>
      </c>
      <c r="H9" s="233" t="s">
        <v>511</v>
      </c>
      <c r="I9" s="808"/>
      <c r="J9" s="216" t="str">
        <f>+'16'!J9</f>
        <v>T 14,5 VP OW</v>
      </c>
      <c r="K9" s="238"/>
      <c r="L9" s="238"/>
      <c r="M9" s="121">
        <f>+K9+'16'!M9+L9</f>
        <v>190152</v>
      </c>
      <c r="R9" s="153">
        <f t="shared" si="1"/>
        <v>0</v>
      </c>
      <c r="S9" s="153">
        <f t="shared" si="2"/>
        <v>0</v>
      </c>
      <c r="Z9" s="531"/>
      <c r="AA9" s="531"/>
    </row>
    <row r="10" spans="1:27" ht="64.5" thickBot="1">
      <c r="A10" s="805"/>
      <c r="B10" s="217"/>
      <c r="C10" s="218"/>
      <c r="D10" s="219"/>
      <c r="E10" s="221"/>
      <c r="F10" s="231"/>
      <c r="G10" s="229"/>
      <c r="H10" s="233" t="s">
        <v>586</v>
      </c>
      <c r="I10" s="808"/>
      <c r="J10" s="216" t="str">
        <f>+'16'!J10</f>
        <v>T 13,5 VP OW</v>
      </c>
      <c r="K10" s="238"/>
      <c r="L10" s="238"/>
      <c r="M10" s="121">
        <f>+K10+'16'!M10+L10</f>
        <v>39850</v>
      </c>
      <c r="R10" s="153">
        <f t="shared" si="1"/>
        <v>0</v>
      </c>
      <c r="S10" s="153">
        <f t="shared" si="2"/>
        <v>0</v>
      </c>
    </row>
    <row r="11" spans="1:27" ht="26.25" thickBot="1">
      <c r="A11" s="805"/>
      <c r="B11" s="217"/>
      <c r="C11" s="218"/>
      <c r="D11" s="219"/>
      <c r="E11" s="221"/>
      <c r="F11" s="228"/>
      <c r="G11" s="232"/>
      <c r="H11" s="233" t="s">
        <v>587</v>
      </c>
      <c r="I11" s="808"/>
      <c r="J11" s="216" t="str">
        <f>+'16'!J11</f>
        <v>T 16,5 VP OW</v>
      </c>
      <c r="K11" s="238"/>
      <c r="L11" s="238"/>
      <c r="M11" s="121">
        <f>+K11+'16'!M11+L11</f>
        <v>9927</v>
      </c>
      <c r="P11" s="153">
        <f t="shared" ref="P11" si="3">+O11-O11*0.17</f>
        <v>0</v>
      </c>
    </row>
    <row r="12" spans="1:27" ht="13.5" thickBot="1">
      <c r="A12" s="805"/>
      <c r="B12" s="217"/>
      <c r="C12" s="218"/>
      <c r="D12" s="219"/>
      <c r="E12" s="221"/>
      <c r="F12" s="228"/>
      <c r="G12" s="232"/>
      <c r="H12" s="233"/>
      <c r="I12" s="808"/>
      <c r="J12" s="216" t="str">
        <f>+'16'!J12</f>
        <v>T 12,5 VP OW</v>
      </c>
      <c r="K12" s="238"/>
      <c r="L12" s="238"/>
      <c r="M12" s="121">
        <f>+K12+'16'!M12+L12</f>
        <v>12919</v>
      </c>
      <c r="Q12" s="153">
        <f>SUM(Q5:Q10)</f>
        <v>480</v>
      </c>
      <c r="R12" s="153">
        <f>SUM(R4:R10)</f>
        <v>499200</v>
      </c>
      <c r="S12" s="153">
        <f>SUM(S4:S10)</f>
        <v>384384</v>
      </c>
    </row>
    <row r="13" spans="1:27" ht="13.5" thickBot="1">
      <c r="A13" s="805"/>
      <c r="B13" s="217"/>
      <c r="C13" s="218"/>
      <c r="D13" s="218"/>
      <c r="E13" s="221"/>
      <c r="F13" s="228"/>
      <c r="G13" s="232"/>
      <c r="H13" s="233"/>
      <c r="I13" s="809"/>
      <c r="J13" s="216" t="str">
        <f>+'16'!J13</f>
        <v>TW 18 VP OW</v>
      </c>
      <c r="K13" s="238">
        <f>+C34</f>
        <v>55053</v>
      </c>
      <c r="L13" s="238"/>
      <c r="M13" s="121">
        <f>+K13+'16'!M13+L13</f>
        <v>79982</v>
      </c>
      <c r="N13" s="153" t="s">
        <v>421</v>
      </c>
      <c r="Q13" s="153">
        <f>480-Q12</f>
        <v>0</v>
      </c>
      <c r="R13" s="153">
        <f>+R12/Q12</f>
        <v>1040</v>
      </c>
      <c r="S13" s="153">
        <f>+S12/Q12</f>
        <v>800.8</v>
      </c>
    </row>
    <row r="14" spans="1:27" ht="13.5" thickBot="1">
      <c r="A14" s="806"/>
      <c r="B14" s="169" t="s">
        <v>3</v>
      </c>
      <c r="C14" s="103">
        <f>SUM(C7:C13)</f>
        <v>17222</v>
      </c>
      <c r="D14" s="115">
        <f>SUM(D7:D13)</f>
        <v>900</v>
      </c>
      <c r="E14" s="116">
        <f>SUM(E5:E13)</f>
        <v>0</v>
      </c>
      <c r="F14" s="120">
        <f>SUM(F7:F13)</f>
        <v>7</v>
      </c>
      <c r="G14" s="163"/>
      <c r="H14" s="170"/>
      <c r="I14" s="171"/>
      <c r="J14" s="216">
        <f>+'16'!J14</f>
        <v>0</v>
      </c>
      <c r="K14" s="238"/>
      <c r="L14" s="238"/>
      <c r="M14" s="121">
        <f>+K14+'16'!M14+L14</f>
        <v>0</v>
      </c>
    </row>
    <row r="15" spans="1:27" ht="13.5" thickBot="1">
      <c r="A15" s="810"/>
      <c r="B15" s="528"/>
      <c r="C15" s="117">
        <f>C14/($C$23+$D$23+$E$23)</f>
        <v>0.83097708082026533</v>
      </c>
      <c r="D15" s="118">
        <f>D14/($C$23+$D$23+$E$23)</f>
        <v>4.3425814234016889E-2</v>
      </c>
      <c r="E15" s="119">
        <f>E14/($C$23+$D$23+$E$23)</f>
        <v>0</v>
      </c>
      <c r="F15" s="235"/>
      <c r="G15" s="582" t="s">
        <v>12</v>
      </c>
      <c r="H15" s="583" t="s">
        <v>418</v>
      </c>
      <c r="I15" s="807" t="s">
        <v>589</v>
      </c>
      <c r="J15" s="216">
        <f>+'16'!J15</f>
        <v>0</v>
      </c>
      <c r="K15" s="238"/>
      <c r="L15" s="238"/>
      <c r="M15" s="121">
        <f>+K15+'16'!M15+L15</f>
        <v>0</v>
      </c>
      <c r="N15" s="153" t="s">
        <v>567</v>
      </c>
      <c r="O15" s="153">
        <v>1020</v>
      </c>
      <c r="P15" s="153">
        <f>+O15-O15*0.25</f>
        <v>765</v>
      </c>
      <c r="Q15" s="153">
        <v>480</v>
      </c>
      <c r="R15" s="153">
        <f>+O15*Q15</f>
        <v>489600</v>
      </c>
      <c r="S15" s="153">
        <f>+P15*Q15</f>
        <v>367200</v>
      </c>
    </row>
    <row r="16" spans="1:27" ht="13.5" thickBot="1">
      <c r="A16" s="805"/>
      <c r="B16" s="217" t="s">
        <v>581</v>
      </c>
      <c r="C16" s="526">
        <v>19825</v>
      </c>
      <c r="D16" s="223">
        <v>900</v>
      </c>
      <c r="E16" s="224"/>
      <c r="F16" s="231">
        <v>3</v>
      </c>
      <c r="G16" s="584" t="s">
        <v>12</v>
      </c>
      <c r="H16" s="230" t="s">
        <v>571</v>
      </c>
      <c r="I16" s="808"/>
      <c r="J16" s="216">
        <f>+'16'!J16</f>
        <v>0</v>
      </c>
      <c r="K16" s="229"/>
      <c r="L16" s="229"/>
      <c r="M16" s="121">
        <f>+K16+'16'!M16+L16</f>
        <v>0</v>
      </c>
      <c r="P16" s="153">
        <f t="shared" ref="P16:P17" si="4">+O16-O16*0.22</f>
        <v>0</v>
      </c>
      <c r="R16" s="153">
        <f t="shared" ref="R16:R19" si="5">+O16*Q16</f>
        <v>0</v>
      </c>
      <c r="S16" s="153">
        <f t="shared" ref="S16:S19" si="6">+P16*Q16</f>
        <v>0</v>
      </c>
    </row>
    <row r="17" spans="1:19" ht="13.5" thickBot="1">
      <c r="A17" s="805"/>
      <c r="B17" s="217"/>
      <c r="C17" s="218"/>
      <c r="D17" s="219"/>
      <c r="E17" s="225"/>
      <c r="F17" s="231">
        <v>9</v>
      </c>
      <c r="G17" s="584" t="s">
        <v>12</v>
      </c>
      <c r="H17" s="233" t="s">
        <v>511</v>
      </c>
      <c r="I17" s="808"/>
      <c r="J17" s="216">
        <f>+'16'!J17</f>
        <v>0</v>
      </c>
      <c r="K17" s="229"/>
      <c r="L17" s="229"/>
      <c r="M17" s="121">
        <f>+K17+'16'!M17+L17</f>
        <v>0</v>
      </c>
      <c r="P17" s="153">
        <f t="shared" si="4"/>
        <v>0</v>
      </c>
      <c r="R17" s="153">
        <f t="shared" si="5"/>
        <v>0</v>
      </c>
      <c r="S17" s="153">
        <f t="shared" si="6"/>
        <v>0</v>
      </c>
    </row>
    <row r="18" spans="1:19" ht="64.5" thickBot="1">
      <c r="A18" s="805"/>
      <c r="B18" s="217"/>
      <c r="C18" s="218"/>
      <c r="D18" s="219"/>
      <c r="E18" s="225"/>
      <c r="F18" s="231"/>
      <c r="G18" s="229"/>
      <c r="H18" s="233" t="s">
        <v>583</v>
      </c>
      <c r="I18" s="808"/>
      <c r="J18" s="216">
        <f>+'16'!J18</f>
        <v>0</v>
      </c>
      <c r="K18" s="238"/>
      <c r="L18" s="238"/>
      <c r="M18" s="121">
        <f>+K18+'16'!M18+L18</f>
        <v>0</v>
      </c>
      <c r="R18" s="153">
        <f t="shared" si="5"/>
        <v>0</v>
      </c>
      <c r="S18" s="153">
        <f t="shared" si="6"/>
        <v>0</v>
      </c>
    </row>
    <row r="19" spans="1:19" ht="13.5" thickBot="1">
      <c r="A19" s="805"/>
      <c r="B19" s="217"/>
      <c r="C19" s="218"/>
      <c r="D19" s="219"/>
      <c r="E19" s="225"/>
      <c r="F19" s="234"/>
      <c r="G19" s="232"/>
      <c r="H19" s="233" t="s">
        <v>585</v>
      </c>
      <c r="I19" s="808"/>
      <c r="J19" s="216">
        <f>+'16'!J19</f>
        <v>0</v>
      </c>
      <c r="K19" s="238"/>
      <c r="L19" s="238"/>
      <c r="M19" s="121">
        <f>+K19+'16'!M19+L19</f>
        <v>0</v>
      </c>
      <c r="R19" s="153">
        <f t="shared" si="5"/>
        <v>0</v>
      </c>
      <c r="S19" s="153">
        <f t="shared" si="6"/>
        <v>0</v>
      </c>
    </row>
    <row r="20" spans="1:19" ht="13.5" thickBot="1">
      <c r="A20" s="805"/>
      <c r="B20" s="217"/>
      <c r="C20" s="218"/>
      <c r="D20" s="219"/>
      <c r="E20" s="225"/>
      <c r="F20" s="228"/>
      <c r="G20" s="232"/>
      <c r="H20" s="233"/>
      <c r="I20" s="808"/>
      <c r="J20" s="216">
        <f>+'16'!J20</f>
        <v>0</v>
      </c>
      <c r="K20" s="239"/>
      <c r="L20" s="239"/>
      <c r="M20" s="121">
        <f>+K20+'16'!M20+L20</f>
        <v>0</v>
      </c>
      <c r="P20" s="153">
        <f t="shared" ref="P20" si="7">+O20-O20*0.17</f>
        <v>0</v>
      </c>
    </row>
    <row r="21" spans="1:19" ht="13.5" thickBot="1">
      <c r="A21" s="805"/>
      <c r="B21" s="217"/>
      <c r="C21" s="218"/>
      <c r="D21" s="219"/>
      <c r="E21" s="225"/>
      <c r="F21" s="231"/>
      <c r="G21" s="232"/>
      <c r="H21" s="233"/>
      <c r="I21" s="808"/>
      <c r="J21" s="216">
        <f>+'16'!J21</f>
        <v>0</v>
      </c>
      <c r="K21" s="238"/>
      <c r="L21" s="238"/>
      <c r="M21" s="121">
        <f>+K21+'16'!M21+L21</f>
        <v>0</v>
      </c>
      <c r="Q21" s="153">
        <f>SUM(Q14:Q19)</f>
        <v>480</v>
      </c>
      <c r="R21" s="153">
        <f>SUM(R14:R19)</f>
        <v>489600</v>
      </c>
      <c r="S21" s="153">
        <f>SUM(S14:S19)</f>
        <v>367200</v>
      </c>
    </row>
    <row r="22" spans="1:19" ht="13.5" thickBot="1">
      <c r="A22" s="805"/>
      <c r="B22" s="217"/>
      <c r="C22" s="218"/>
      <c r="D22" s="219"/>
      <c r="E22" s="225"/>
      <c r="F22" s="235"/>
      <c r="G22" s="232"/>
      <c r="H22" s="233"/>
      <c r="I22" s="809"/>
      <c r="J22" s="216">
        <f>+'16'!J22</f>
        <v>0</v>
      </c>
      <c r="K22" s="238"/>
      <c r="L22" s="238"/>
      <c r="M22" s="121">
        <f>+K22+'16'!M22+L22</f>
        <v>0</v>
      </c>
      <c r="N22" s="153" t="s">
        <v>421</v>
      </c>
      <c r="Q22" s="153">
        <f>480-Q21</f>
        <v>0</v>
      </c>
      <c r="R22" s="153">
        <f>+R21/Q21</f>
        <v>1020</v>
      </c>
      <c r="S22" s="153">
        <f>+S21/Q21</f>
        <v>765</v>
      </c>
    </row>
    <row r="23" spans="1:19" ht="13.5" thickBot="1">
      <c r="A23" s="806"/>
      <c r="B23" s="169" t="s">
        <v>3</v>
      </c>
      <c r="C23" s="103">
        <f>SUM(C16:C22)</f>
        <v>19825</v>
      </c>
      <c r="D23" s="115">
        <f>SUM(D16:D22)</f>
        <v>900</v>
      </c>
      <c r="E23" s="116">
        <f>SUM(E18:E22)</f>
        <v>0</v>
      </c>
      <c r="F23" s="120">
        <f>SUM(F15:F22)</f>
        <v>12</v>
      </c>
      <c r="G23" s="163"/>
      <c r="H23" s="170"/>
      <c r="I23" s="172"/>
      <c r="J23" s="216">
        <f>+'16'!J23</f>
        <v>0</v>
      </c>
      <c r="K23" s="238"/>
      <c r="L23" s="238"/>
      <c r="M23" s="121">
        <f>+K23+'16'!M23+L23</f>
        <v>0</v>
      </c>
    </row>
    <row r="24" spans="1:19" ht="13.5" thickBot="1">
      <c r="A24" s="810"/>
      <c r="B24" s="528"/>
      <c r="C24" s="117">
        <f>C23/($C$23+$D$23+$E$23)</f>
        <v>0.95657418576598308</v>
      </c>
      <c r="D24" s="118">
        <f>D23/($C$23+$D$23+$E$23)</f>
        <v>4.3425814234016889E-2</v>
      </c>
      <c r="E24" s="119">
        <f>E23/($C$23+$D$23+$E$23)</f>
        <v>0</v>
      </c>
      <c r="F24" s="235"/>
      <c r="G24" s="582" t="s">
        <v>12</v>
      </c>
      <c r="H24" s="583" t="s">
        <v>418</v>
      </c>
      <c r="I24" s="807" t="s">
        <v>589</v>
      </c>
      <c r="J24" s="216">
        <f>+'16'!J24</f>
        <v>0</v>
      </c>
      <c r="K24" s="238"/>
      <c r="L24" s="238"/>
      <c r="M24" s="121">
        <f>+K24+'16'!M24+L24</f>
        <v>0</v>
      </c>
    </row>
    <row r="25" spans="1:19" ht="13.5" thickBot="1">
      <c r="A25" s="805"/>
      <c r="B25" s="217" t="s">
        <v>581</v>
      </c>
      <c r="C25" s="226">
        <v>18006</v>
      </c>
      <c r="D25" s="219"/>
      <c r="E25" s="225"/>
      <c r="F25" s="231">
        <v>2</v>
      </c>
      <c r="G25" s="584" t="s">
        <v>12</v>
      </c>
      <c r="H25" s="230" t="s">
        <v>529</v>
      </c>
      <c r="I25" s="808"/>
      <c r="J25" s="216">
        <f>+'16'!J25</f>
        <v>0</v>
      </c>
      <c r="K25" s="238"/>
      <c r="L25" s="238"/>
      <c r="M25" s="121">
        <f>+K25+'16'!M25+L25</f>
        <v>0</v>
      </c>
      <c r="N25" s="153" t="s">
        <v>567</v>
      </c>
      <c r="O25" s="153">
        <v>1020</v>
      </c>
      <c r="P25" s="153">
        <f>+O25-O25*0.25</f>
        <v>765</v>
      </c>
      <c r="Q25" s="153">
        <v>480</v>
      </c>
      <c r="R25" s="153">
        <f>+O25*Q25</f>
        <v>489600</v>
      </c>
      <c r="S25" s="153">
        <f>+P25*Q25</f>
        <v>367200</v>
      </c>
    </row>
    <row r="26" spans="1:19" ht="13.5" thickBot="1">
      <c r="A26" s="805"/>
      <c r="B26" s="217"/>
      <c r="C26" s="226"/>
      <c r="D26" s="219"/>
      <c r="E26" s="227"/>
      <c r="F26" s="231">
        <v>5</v>
      </c>
      <c r="G26" s="584" t="s">
        <v>12</v>
      </c>
      <c r="H26" s="233" t="s">
        <v>511</v>
      </c>
      <c r="I26" s="808"/>
      <c r="J26" s="216">
        <f>+'16'!J26</f>
        <v>0</v>
      </c>
      <c r="K26" s="238"/>
      <c r="L26" s="238"/>
      <c r="M26" s="121">
        <f>+K26+'16'!M26+L26</f>
        <v>0</v>
      </c>
      <c r="P26" s="153">
        <f t="shared" ref="P26:P27" si="8">+O26-O26*0.22</f>
        <v>0</v>
      </c>
      <c r="R26" s="153">
        <f t="shared" ref="R26:R29" si="9">+O26*Q26</f>
        <v>0</v>
      </c>
      <c r="S26" s="153">
        <f t="shared" ref="S26:S29" si="10">+P26*Q26</f>
        <v>0</v>
      </c>
    </row>
    <row r="27" spans="1:19" ht="64.5" thickBot="1">
      <c r="A27" s="805"/>
      <c r="B27" s="217"/>
      <c r="C27" s="218"/>
      <c r="D27" s="219"/>
      <c r="E27" s="225"/>
      <c r="F27" s="231"/>
      <c r="G27" s="229"/>
      <c r="H27" s="233" t="s">
        <v>583</v>
      </c>
      <c r="I27" s="808"/>
      <c r="J27" s="216">
        <f>+'16'!J27</f>
        <v>0</v>
      </c>
      <c r="K27" s="238"/>
      <c r="L27" s="238"/>
      <c r="M27" s="121">
        <f>+K27+'16'!M27+L27</f>
        <v>0</v>
      </c>
      <c r="P27" s="153">
        <f t="shared" si="8"/>
        <v>0</v>
      </c>
      <c r="R27" s="153">
        <f t="shared" si="9"/>
        <v>0</v>
      </c>
      <c r="S27" s="153">
        <f t="shared" si="10"/>
        <v>0</v>
      </c>
    </row>
    <row r="28" spans="1:19" ht="26.25" thickBot="1">
      <c r="A28" s="805"/>
      <c r="B28" s="217"/>
      <c r="C28" s="218"/>
      <c r="D28" s="219"/>
      <c r="E28" s="225"/>
      <c r="F28" s="231"/>
      <c r="G28" s="229"/>
      <c r="H28" s="233" t="s">
        <v>584</v>
      </c>
      <c r="I28" s="808"/>
      <c r="J28" s="216">
        <f>+'16'!J28</f>
        <v>0</v>
      </c>
      <c r="K28" s="238"/>
      <c r="L28" s="238"/>
      <c r="M28" s="121">
        <f>+K28+'16'!M28+L28</f>
        <v>0</v>
      </c>
      <c r="R28" s="153">
        <f t="shared" si="9"/>
        <v>0</v>
      </c>
      <c r="S28" s="153">
        <f t="shared" si="10"/>
        <v>0</v>
      </c>
    </row>
    <row r="29" spans="1:19" ht="13.5" thickBot="1">
      <c r="A29" s="805"/>
      <c r="B29" s="217"/>
      <c r="C29" s="218"/>
      <c r="D29" s="219"/>
      <c r="E29" s="225"/>
      <c r="F29" s="235"/>
      <c r="G29" s="232"/>
      <c r="H29" s="233"/>
      <c r="I29" s="808"/>
      <c r="J29" s="216">
        <f>+'16'!J29</f>
        <v>0</v>
      </c>
      <c r="K29" s="238"/>
      <c r="L29" s="238"/>
      <c r="M29" s="121">
        <f>+K29+'16'!M29+L29</f>
        <v>0</v>
      </c>
      <c r="R29" s="153">
        <f t="shared" si="9"/>
        <v>0</v>
      </c>
      <c r="S29" s="153">
        <f t="shared" si="10"/>
        <v>0</v>
      </c>
    </row>
    <row r="30" spans="1:19" ht="13.5" thickBot="1">
      <c r="A30" s="805"/>
      <c r="B30" s="217"/>
      <c r="C30" s="226"/>
      <c r="D30" s="219"/>
      <c r="E30" s="225"/>
      <c r="F30" s="235"/>
      <c r="G30" s="232"/>
      <c r="H30" s="233"/>
      <c r="I30" s="808"/>
      <c r="J30" s="216">
        <f>+'16'!J30</f>
        <v>0</v>
      </c>
      <c r="K30" s="238"/>
      <c r="L30" s="238"/>
      <c r="M30" s="121">
        <f>+K30+'16'!M30+L30</f>
        <v>0</v>
      </c>
      <c r="P30" s="153">
        <f t="shared" ref="P30" si="11">+O30-O30*0.17</f>
        <v>0</v>
      </c>
    </row>
    <row r="31" spans="1:19" ht="13.5" thickBot="1">
      <c r="A31" s="805"/>
      <c r="B31" s="217"/>
      <c r="C31" s="226"/>
      <c r="D31" s="219"/>
      <c r="E31" s="225"/>
      <c r="F31" s="235"/>
      <c r="G31" s="236"/>
      <c r="H31" s="413"/>
      <c r="I31" s="809"/>
      <c r="J31" s="216">
        <f>+'16'!J31</f>
        <v>0</v>
      </c>
      <c r="K31" s="238"/>
      <c r="L31" s="238"/>
      <c r="M31" s="121">
        <f>+K31+'16'!M31+L31</f>
        <v>0</v>
      </c>
      <c r="Q31" s="153">
        <f>SUM(Q24:Q29)</f>
        <v>480</v>
      </c>
      <c r="R31" s="153">
        <f>SUM(R23:R29)</f>
        <v>489600</v>
      </c>
      <c r="S31" s="153">
        <f>SUM(S23:S29)</f>
        <v>367200</v>
      </c>
    </row>
    <row r="32" spans="1:19" ht="13.5" thickBot="1">
      <c r="A32" s="806"/>
      <c r="B32" s="169" t="s">
        <v>3</v>
      </c>
      <c r="C32" s="103">
        <f>SUM(C25:C31)</f>
        <v>18006</v>
      </c>
      <c r="D32" s="104">
        <f>SUM(D25:D31)</f>
        <v>0</v>
      </c>
      <c r="E32" s="105">
        <f>SUM(E25:E31)</f>
        <v>0</v>
      </c>
      <c r="F32" s="103">
        <f>SUM(F24:F31)</f>
        <v>7</v>
      </c>
      <c r="G32" s="173"/>
      <c r="H32" s="174"/>
      <c r="I32" s="172"/>
      <c r="J32" s="216">
        <f>+'16'!J32</f>
        <v>0</v>
      </c>
      <c r="K32" s="240"/>
      <c r="L32" s="242"/>
      <c r="M32" s="121">
        <f>+K32+'16'!M32+L32</f>
        <v>0</v>
      </c>
      <c r="N32" s="153" t="s">
        <v>421</v>
      </c>
      <c r="Q32" s="153">
        <f>480-Q31</f>
        <v>0</v>
      </c>
      <c r="R32" s="153">
        <f>+R31/Q31</f>
        <v>1020</v>
      </c>
      <c r="S32" s="153">
        <f>+S31/Q31</f>
        <v>765</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11" t="s">
        <v>69</v>
      </c>
      <c r="B34" s="812"/>
      <c r="C34" s="111">
        <f>C14+C23+C32</f>
        <v>55053</v>
      </c>
      <c r="D34" s="111">
        <f>D14+D23+D32</f>
        <v>1800</v>
      </c>
      <c r="E34" s="111">
        <f>E14+E23+E32</f>
        <v>0</v>
      </c>
      <c r="F34" s="112">
        <f>F14+F23+F32</f>
        <v>26</v>
      </c>
      <c r="H34" s="180"/>
      <c r="I34" s="180"/>
      <c r="J34" s="127" t="s">
        <v>28</v>
      </c>
      <c r="K34" s="128">
        <f>SUM(K7:K32)</f>
        <v>55053</v>
      </c>
      <c r="L34" s="214">
        <f>SUM(L7:L32)</f>
        <v>0</v>
      </c>
      <c r="M34" s="124">
        <f>SUM(M7:M32)</f>
        <v>360026</v>
      </c>
      <c r="N34" s="159"/>
    </row>
    <row r="35" spans="1:14" ht="13.5" thickBot="1">
      <c r="A35" s="573"/>
      <c r="B35" s="182"/>
      <c r="C35" s="108">
        <f>C34/($C$34+$D$34+$E$34)</f>
        <v>0.96833940161469056</v>
      </c>
      <c r="D35" s="108">
        <f>D34/($C$34+$D$34+$E$34)</f>
        <v>3.1660598385309484E-2</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(18*1440)/1440*G42*2.7*1440/1000000</f>
        <v>54.372902400000001</v>
      </c>
      <c r="J37" s="129">
        <f>+I37+'16'!J37</f>
        <v>443.87013241157939</v>
      </c>
      <c r="K37" s="130" t="s">
        <v>75</v>
      </c>
    </row>
    <row r="38" spans="1:14" ht="17.45" customHeight="1">
      <c r="A38" s="797" t="s">
        <v>12</v>
      </c>
      <c r="B38" s="798"/>
      <c r="C38" s="168">
        <f>SUMIF($G$7:$G$31,"Process",$F$7:$F$31)</f>
        <v>26</v>
      </c>
      <c r="D38" s="122">
        <f>C38+'16'!D38</f>
        <v>835</v>
      </c>
      <c r="E38" s="147">
        <f t="shared" ref="E38:E52" si="12">D38/60</f>
        <v>13.916666666666666</v>
      </c>
      <c r="F38" s="311">
        <v>1040</v>
      </c>
      <c r="G38" s="311">
        <v>800.8</v>
      </c>
      <c r="H38" s="189" t="s">
        <v>76</v>
      </c>
      <c r="I38" s="534">
        <f>16.954+17.255+16.7</f>
        <v>50.909000000000006</v>
      </c>
      <c r="J38" s="131">
        <f>+I38+'16'!J38</f>
        <v>387.25399999999996</v>
      </c>
      <c r="K38" s="132" t="s">
        <v>75</v>
      </c>
    </row>
    <row r="39" spans="1:14" ht="17.45" customHeight="1">
      <c r="A39" s="799" t="s">
        <v>13</v>
      </c>
      <c r="B39" s="800"/>
      <c r="C39" s="168">
        <f>SUMIF($G$7:$G$31,"Cleaning",$F$7:$F$31)</f>
        <v>0</v>
      </c>
      <c r="D39" s="122">
        <f>C39+'16'!D39</f>
        <v>0</v>
      </c>
      <c r="E39" s="147">
        <f t="shared" si="12"/>
        <v>0</v>
      </c>
      <c r="F39" s="311">
        <v>1020</v>
      </c>
      <c r="G39" s="311">
        <v>765</v>
      </c>
      <c r="H39" s="189" t="s">
        <v>77</v>
      </c>
      <c r="I39" s="146"/>
      <c r="J39" s="133">
        <f>J37/G4</f>
        <v>26.110007788916434</v>
      </c>
      <c r="K39" s="134" t="s">
        <v>75</v>
      </c>
    </row>
    <row r="40" spans="1:14" ht="17.45" customHeight="1">
      <c r="A40" s="799" t="s">
        <v>78</v>
      </c>
      <c r="B40" s="800"/>
      <c r="C40" s="168">
        <f>SUMIF($G$7:$G$31,"Mechanical",$F$7:$F$31)</f>
        <v>0</v>
      </c>
      <c r="D40" s="122">
        <f>C40+'16'!D40</f>
        <v>17</v>
      </c>
      <c r="E40" s="147">
        <f t="shared" si="12"/>
        <v>0.28333333333333333</v>
      </c>
      <c r="F40" s="311">
        <v>1020</v>
      </c>
      <c r="G40" s="311">
        <v>765</v>
      </c>
      <c r="H40" s="189" t="s">
        <v>79</v>
      </c>
      <c r="I40" s="122">
        <f>(K34+L34)/1000</f>
        <v>55.052999999999997</v>
      </c>
      <c r="J40" s="135">
        <f>+I40+'16'!J40</f>
        <v>360.02600000000001</v>
      </c>
      <c r="K40" s="134" t="s">
        <v>75</v>
      </c>
    </row>
    <row r="41" spans="1:14" ht="17.45" customHeight="1">
      <c r="A41" s="799" t="s">
        <v>80</v>
      </c>
      <c r="B41" s="800"/>
      <c r="C41" s="168">
        <f>SUMIF($G$7:$G$31,"Electrical",$F$7:$F$31)</f>
        <v>0</v>
      </c>
      <c r="D41" s="122">
        <f>C41+'16'!D41</f>
        <v>60</v>
      </c>
      <c r="E41" s="147">
        <f t="shared" si="12"/>
        <v>1</v>
      </c>
      <c r="F41" s="311"/>
      <c r="G41" s="311"/>
      <c r="H41" s="189" t="s">
        <v>81</v>
      </c>
      <c r="I41" s="146"/>
      <c r="J41" s="133">
        <f>J40/G4</f>
        <v>21.178000000000001</v>
      </c>
      <c r="K41" s="134" t="s">
        <v>75</v>
      </c>
    </row>
    <row r="42" spans="1:14" ht="17.45" customHeight="1">
      <c r="A42" s="799" t="s">
        <v>16</v>
      </c>
      <c r="B42" s="800"/>
      <c r="C42" s="168">
        <f>SUMIF($G$7:$G$31,"Instrument",$F$7:$F$31)</f>
        <v>0</v>
      </c>
      <c r="D42" s="122">
        <f>C42+'16'!D42</f>
        <v>0</v>
      </c>
      <c r="E42" s="147">
        <f t="shared" si="12"/>
        <v>0</v>
      </c>
      <c r="F42" s="187">
        <f>+(F38*480+F39*480+F40*480)/1440</f>
        <v>1026.6666666666667</v>
      </c>
      <c r="G42" s="187">
        <f>+(G38*480+G39*480+G40*480)/1440</f>
        <v>776.93333333333328</v>
      </c>
      <c r="H42" s="189" t="s">
        <v>82</v>
      </c>
      <c r="I42" s="245" t="s">
        <v>590</v>
      </c>
      <c r="J42" s="136"/>
      <c r="K42" s="134" t="s">
        <v>83</v>
      </c>
    </row>
    <row r="43" spans="1:14" ht="17.45" customHeight="1">
      <c r="A43" s="799" t="s">
        <v>84</v>
      </c>
      <c r="B43" s="800"/>
      <c r="C43" s="168">
        <f>SUMIF($G$7:$G$31,"Water",$F$7:$F$31)</f>
        <v>0</v>
      </c>
      <c r="D43" s="122">
        <f>C43+'16'!D43</f>
        <v>0</v>
      </c>
      <c r="E43" s="147">
        <f t="shared" si="12"/>
        <v>0</v>
      </c>
      <c r="F43" s="311"/>
      <c r="G43" s="312"/>
      <c r="H43" s="190" t="s">
        <v>85</v>
      </c>
      <c r="I43" s="122">
        <f>+Report1!Z25</f>
        <v>104.6</v>
      </c>
      <c r="J43" s="137">
        <f>+I43+'16'!J43</f>
        <v>841.4</v>
      </c>
      <c r="K43" s="134" t="s">
        <v>75</v>
      </c>
      <c r="L43" s="191"/>
    </row>
    <row r="44" spans="1:14" ht="17.45" customHeight="1">
      <c r="A44" s="799" t="s">
        <v>17</v>
      </c>
      <c r="B44" s="800"/>
      <c r="C44" s="168">
        <f>SUMIF($G$7:$G$31,"PLN",$F$7:$F$31)</f>
        <v>0</v>
      </c>
      <c r="D44" s="122">
        <f>C44+'16'!D44</f>
        <v>0</v>
      </c>
      <c r="E44" s="147">
        <f t="shared" si="12"/>
        <v>0</v>
      </c>
      <c r="F44" s="311"/>
      <c r="G44" s="312"/>
      <c r="H44" s="190" t="s">
        <v>86</v>
      </c>
      <c r="I44" s="122">
        <f>I43/I38</f>
        <v>2.0546465261545106</v>
      </c>
      <c r="J44" s="138">
        <f>J43/J38</f>
        <v>2.1727341744694697</v>
      </c>
      <c r="K44" s="134" t="s">
        <v>75</v>
      </c>
    </row>
    <row r="45" spans="1:14" ht="17.45" customHeight="1">
      <c r="A45" s="799" t="s">
        <v>18</v>
      </c>
      <c r="B45" s="800"/>
      <c r="C45" s="168">
        <f>SUMIF($G$7:$G$31,"Boiler",$F$7:$F$31)</f>
        <v>0</v>
      </c>
      <c r="D45" s="122">
        <f>C45+'16'!D45</f>
        <v>0</v>
      </c>
      <c r="E45" s="147">
        <f t="shared" si="12"/>
        <v>0</v>
      </c>
      <c r="F45" s="311"/>
      <c r="G45" s="314"/>
      <c r="H45" s="190" t="s">
        <v>87</v>
      </c>
      <c r="I45" s="122">
        <f>I43/I40</f>
        <v>1.8999872849799284</v>
      </c>
      <c r="J45" s="138">
        <f>J43/J40</f>
        <v>2.3370534350296923</v>
      </c>
      <c r="K45" s="134" t="s">
        <v>75</v>
      </c>
    </row>
    <row r="46" spans="1:14" ht="17.45" customHeight="1">
      <c r="A46" s="799" t="s">
        <v>88</v>
      </c>
      <c r="B46" s="800"/>
      <c r="C46" s="168">
        <f>SUMIF($G$7:$G$31,"Gas",$F$7:$F$31)</f>
        <v>0</v>
      </c>
      <c r="D46" s="122">
        <f>C46+'16'!D46</f>
        <v>0</v>
      </c>
      <c r="E46" s="147">
        <f t="shared" si="12"/>
        <v>0</v>
      </c>
      <c r="F46" s="311"/>
      <c r="G46" s="312"/>
      <c r="H46" s="190" t="s">
        <v>89</v>
      </c>
      <c r="I46" s="144">
        <f>+SUMIF(Listrik!X24,"&gt;0")</f>
        <v>44528.14</v>
      </c>
      <c r="J46" s="139">
        <f>+I46+'16'!J46</f>
        <v>366156.70240000013</v>
      </c>
      <c r="K46" s="134" t="s">
        <v>90</v>
      </c>
    </row>
    <row r="47" spans="1:14" ht="17.45" customHeight="1">
      <c r="A47" s="799" t="s">
        <v>91</v>
      </c>
      <c r="B47" s="800"/>
      <c r="C47" s="168">
        <f>SUMIF($G$7:$G$31,"Gas",$F$7:$F$31)</f>
        <v>0</v>
      </c>
      <c r="D47" s="122">
        <f>C47+'16'!D47</f>
        <v>0</v>
      </c>
      <c r="E47" s="147">
        <f t="shared" si="12"/>
        <v>0</v>
      </c>
      <c r="F47" s="311"/>
      <c r="G47" s="312"/>
      <c r="H47" s="190" t="s">
        <v>92</v>
      </c>
      <c r="I47" s="122">
        <f>I46/I38</f>
        <v>874.66145475259771</v>
      </c>
      <c r="J47" s="139">
        <f>J46/J38</f>
        <v>945.52077551168009</v>
      </c>
      <c r="K47" s="134" t="s">
        <v>24</v>
      </c>
    </row>
    <row r="48" spans="1:14" ht="17.45" customHeight="1">
      <c r="A48" s="799" t="s">
        <v>14</v>
      </c>
      <c r="B48" s="800"/>
      <c r="C48" s="168">
        <f>SUMIF($G$7:$G$31,"Start Up",$F$7:$F$31)</f>
        <v>0</v>
      </c>
      <c r="D48" s="122">
        <f>C48+'16'!D48</f>
        <v>0</v>
      </c>
      <c r="E48" s="147">
        <f t="shared" si="12"/>
        <v>0</v>
      </c>
      <c r="F48" s="311"/>
      <c r="G48" s="312"/>
      <c r="H48" s="190" t="s">
        <v>93</v>
      </c>
      <c r="I48" s="122">
        <f>I46/I40</f>
        <v>808.82313407080449</v>
      </c>
      <c r="J48" s="139">
        <f>J46/J40</f>
        <v>1017.0284990528465</v>
      </c>
      <c r="K48" s="134" t="s">
        <v>24</v>
      </c>
    </row>
    <row r="49" spans="1:11" ht="17.45" customHeight="1">
      <c r="A49" s="799" t="s">
        <v>20</v>
      </c>
      <c r="B49" s="800"/>
      <c r="C49" s="168">
        <f>SUMIF($G$7:$G$31,"Others",$F$7:$F$31)</f>
        <v>0</v>
      </c>
      <c r="D49" s="122">
        <f>C49+'16'!D49</f>
        <v>11845</v>
      </c>
      <c r="E49" s="147">
        <f t="shared" si="12"/>
        <v>197.41666666666666</v>
      </c>
      <c r="F49" s="187"/>
      <c r="H49" s="190" t="s">
        <v>279</v>
      </c>
      <c r="I49" s="122">
        <f>+Report1!T25</f>
        <v>4142.5593634664247</v>
      </c>
      <c r="J49" s="139">
        <f>+I49+'16'!J49</f>
        <v>34333.515399233045</v>
      </c>
      <c r="K49" s="134" t="s">
        <v>94</v>
      </c>
    </row>
    <row r="50" spans="1:11" ht="17.45" customHeight="1">
      <c r="A50" s="799" t="s">
        <v>19</v>
      </c>
      <c r="B50" s="800"/>
      <c r="C50" s="168">
        <f>SUMIF($G$7:$G$31,"Steam",$F$7:$F$31)</f>
        <v>0</v>
      </c>
      <c r="D50" s="122">
        <f>C50+'16'!D50</f>
        <v>0</v>
      </c>
      <c r="E50" s="147">
        <f t="shared" si="12"/>
        <v>0</v>
      </c>
      <c r="F50" s="187"/>
      <c r="H50" s="190" t="s">
        <v>95</v>
      </c>
      <c r="I50" s="144">
        <f>I49/I38</f>
        <v>81.371847089245989</v>
      </c>
      <c r="J50" s="137">
        <f>J49/J38</f>
        <v>88.658904489645167</v>
      </c>
      <c r="K50" s="134" t="s">
        <v>94</v>
      </c>
    </row>
    <row r="51" spans="1:11" ht="17.45" customHeight="1">
      <c r="A51" s="801" t="s">
        <v>96</v>
      </c>
      <c r="B51" s="801"/>
      <c r="C51" s="168">
        <f>SUMIF($G$7:$G$31,"Planned shut",$F$7:$F$31)</f>
        <v>0</v>
      </c>
      <c r="D51" s="122">
        <f>C51+'16'!D51</f>
        <v>0</v>
      </c>
      <c r="E51" s="147">
        <f t="shared" si="12"/>
        <v>0</v>
      </c>
      <c r="F51" s="187"/>
      <c r="H51" s="192" t="s">
        <v>97</v>
      </c>
      <c r="I51" s="145">
        <f>I49/I40</f>
        <v>75.246750648764376</v>
      </c>
      <c r="J51" s="140">
        <f>J49/J40</f>
        <v>95.363988709796075</v>
      </c>
      <c r="K51" s="141" t="s">
        <v>94</v>
      </c>
    </row>
    <row r="52" spans="1:11" ht="13.5" thickBot="1">
      <c r="A52" s="802" t="s">
        <v>229</v>
      </c>
      <c r="B52" s="803"/>
      <c r="C52" s="168">
        <f>SUMIF($G$7:$G$31,"Change Grade",$F$7:$F$31)</f>
        <v>0</v>
      </c>
      <c r="D52" s="122">
        <f>C52+'16'!D52</f>
        <v>0</v>
      </c>
      <c r="E52" s="147">
        <f t="shared" si="12"/>
        <v>0</v>
      </c>
      <c r="F52" s="187"/>
      <c r="H52" s="193"/>
      <c r="I52" s="194"/>
      <c r="J52" s="142"/>
      <c r="K52" s="143"/>
    </row>
    <row r="53" spans="1:11">
      <c r="A53" s="797" t="s">
        <v>28</v>
      </c>
      <c r="B53" s="798"/>
      <c r="C53" s="148">
        <f>SUM(C38:C52)</f>
        <v>26</v>
      </c>
      <c r="D53" s="148">
        <f>SUM(D38:D52)</f>
        <v>12757</v>
      </c>
      <c r="E53" s="149">
        <f>SUM(E38:E52)</f>
        <v>212.61666666666665</v>
      </c>
      <c r="F53" s="187"/>
    </row>
    <row r="54" spans="1:11" ht="13.5" thickBot="1">
      <c r="A54" s="795"/>
      <c r="B54" s="796"/>
      <c r="C54" s="150">
        <f>C53/(24*60)</f>
        <v>1.8055555555555554E-2</v>
      </c>
      <c r="D54" s="150">
        <f>D53/(24*60*G4)</f>
        <v>0.52111928104575167</v>
      </c>
      <c r="E54" s="151">
        <f>E53/(G4*24)</f>
        <v>0.52111928104575156</v>
      </c>
      <c r="F54" s="187"/>
    </row>
    <row r="55" spans="1:11">
      <c r="E55" s="195"/>
    </row>
    <row r="56" spans="1:11">
      <c r="A56" s="196" t="s">
        <v>98</v>
      </c>
      <c r="B56" s="197"/>
      <c r="C56" s="198"/>
      <c r="D56" s="198"/>
      <c r="E56" s="198"/>
      <c r="F56" s="199"/>
      <c r="G56" s="198"/>
      <c r="H56" s="200"/>
      <c r="I56" s="201" t="s">
        <v>99</v>
      </c>
      <c r="J56" s="202">
        <f>+D34+'16'!J56</f>
        <v>1800</v>
      </c>
      <c r="K56" s="203">
        <f>J56/(J40+J56/1000)/1000</f>
        <v>4.9747668768966294E-3</v>
      </c>
    </row>
    <row r="57" spans="1:11">
      <c r="A57" s="178"/>
      <c r="I57" s="201" t="s">
        <v>100</v>
      </c>
      <c r="J57" s="202">
        <f>+E34+'16'!J57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34:B34"/>
    <mergeCell ref="A37:B37"/>
    <mergeCell ref="A38:B38"/>
    <mergeCell ref="I24:I31"/>
    <mergeCell ref="A24:A32"/>
    <mergeCell ref="A39:B39"/>
    <mergeCell ref="A40:B40"/>
    <mergeCell ref="A42:B42"/>
    <mergeCell ref="A43:B43"/>
    <mergeCell ref="A44:B44"/>
    <mergeCell ref="A45:B45"/>
    <mergeCell ref="A46:B46"/>
    <mergeCell ref="A54:B54"/>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B7" zoomScale="80" zoomScaleNormal="80" zoomScaleSheetLayoutView="80" workbookViewId="0">
      <selection activeCell="I32" sqref="C24:I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28" ht="15.75">
      <c r="A1" s="152"/>
      <c r="W1" s="529"/>
    </row>
    <row r="2" spans="1:28" ht="15.75">
      <c r="A2" s="152" t="s">
        <v>230</v>
      </c>
    </row>
    <row r="3" spans="1:28" ht="15">
      <c r="A3" s="154"/>
    </row>
    <row r="4" spans="1:28" ht="20.25">
      <c r="A4" s="155" t="s">
        <v>4</v>
      </c>
      <c r="B4" s="156"/>
      <c r="F4" s="157" t="s">
        <v>30</v>
      </c>
      <c r="G4" s="158">
        <v>16</v>
      </c>
      <c r="H4" s="158" t="str">
        <f>+'1'!H4</f>
        <v>.10.25</v>
      </c>
      <c r="J4" s="153">
        <f>386+361+366</f>
        <v>1113</v>
      </c>
      <c r="W4" s="553"/>
    </row>
    <row r="5" spans="1:28" ht="13.5" thickBot="1">
      <c r="C5" s="159"/>
      <c r="D5" s="159"/>
      <c r="W5" s="529"/>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551</v>
      </c>
      <c r="O6" s="153">
        <v>1350</v>
      </c>
      <c r="P6" s="153">
        <f>+O6-O6*0.22</f>
        <v>1053</v>
      </c>
      <c r="Q6" s="153">
        <f>60*3+40</f>
        <v>220</v>
      </c>
      <c r="R6" s="153">
        <f>+O6*Q6</f>
        <v>297000</v>
      </c>
      <c r="S6" s="153">
        <f>+P6*Q6</f>
        <v>231660</v>
      </c>
      <c r="Z6" s="178"/>
    </row>
    <row r="7" spans="1:28" ht="13.5" customHeight="1" thickBot="1">
      <c r="A7" s="804"/>
      <c r="B7" s="217" t="s">
        <v>579</v>
      </c>
      <c r="C7" s="218">
        <v>12110</v>
      </c>
      <c r="D7" s="219"/>
      <c r="E7" s="220"/>
      <c r="F7" s="235"/>
      <c r="G7" s="582" t="s">
        <v>12</v>
      </c>
      <c r="H7" s="583" t="s">
        <v>418</v>
      </c>
      <c r="I7" s="807" t="s">
        <v>582</v>
      </c>
      <c r="J7" s="216" t="str">
        <f>+'15'!J7</f>
        <v>TW 17 RC HW</v>
      </c>
      <c r="K7" s="237"/>
      <c r="L7" s="241"/>
      <c r="M7" s="121">
        <f>+K7+'15'!M7+L7</f>
        <v>3364</v>
      </c>
      <c r="N7" s="153" t="s">
        <v>550</v>
      </c>
      <c r="O7" s="153">
        <v>1050</v>
      </c>
      <c r="P7" s="153">
        <f>+O7-O7*0.18</f>
        <v>861</v>
      </c>
      <c r="Q7" s="153">
        <f>60-40+60+40</f>
        <v>120</v>
      </c>
      <c r="R7" s="153">
        <f t="shared" ref="R7:R10" si="0">+O7*Q7</f>
        <v>126000</v>
      </c>
      <c r="S7" s="153">
        <f t="shared" ref="S7:S10" si="1">+P7*Q7</f>
        <v>103320</v>
      </c>
      <c r="AA7" s="178"/>
      <c r="AB7" s="178"/>
    </row>
    <row r="8" spans="1:28" ht="13.5" thickBot="1">
      <c r="A8" s="805"/>
      <c r="B8" s="217" t="s">
        <v>542</v>
      </c>
      <c r="C8" s="218">
        <v>4242</v>
      </c>
      <c r="D8" s="219"/>
      <c r="E8" s="221"/>
      <c r="F8" s="231">
        <v>6</v>
      </c>
      <c r="G8" s="584" t="s">
        <v>12</v>
      </c>
      <c r="H8" s="230" t="s">
        <v>398</v>
      </c>
      <c r="I8" s="808"/>
      <c r="J8" s="216" t="str">
        <f>+'15'!J8</f>
        <v>T 14 VP OW</v>
      </c>
      <c r="K8" s="238"/>
      <c r="L8" s="238"/>
      <c r="M8" s="121">
        <f>+K8+'15'!M8+L8</f>
        <v>23832</v>
      </c>
      <c r="N8" s="153" t="s">
        <v>567</v>
      </c>
      <c r="O8" s="153">
        <v>1040</v>
      </c>
      <c r="P8" s="153">
        <f>+O8-O8*0.23</f>
        <v>800.8</v>
      </c>
      <c r="Q8" s="153">
        <f>60-40+120</f>
        <v>140</v>
      </c>
      <c r="R8" s="153">
        <f t="shared" si="0"/>
        <v>145600</v>
      </c>
      <c r="S8" s="153">
        <f t="shared" si="1"/>
        <v>112112</v>
      </c>
    </row>
    <row r="9" spans="1:28" ht="13.5" thickBot="1">
      <c r="A9" s="805"/>
      <c r="B9" s="217"/>
      <c r="C9" s="218"/>
      <c r="D9" s="219"/>
      <c r="E9" s="222"/>
      <c r="F9" s="231">
        <f>25-6</f>
        <v>19</v>
      </c>
      <c r="G9" s="584" t="s">
        <v>12</v>
      </c>
      <c r="H9" s="233" t="s">
        <v>399</v>
      </c>
      <c r="I9" s="808"/>
      <c r="J9" s="216" t="str">
        <f>+'15'!J9</f>
        <v>T 14,5 VP OW</v>
      </c>
      <c r="K9" s="238"/>
      <c r="L9" s="238"/>
      <c r="M9" s="121">
        <f>+K9+'15'!M9+L9</f>
        <v>190152</v>
      </c>
      <c r="R9" s="153">
        <f t="shared" si="0"/>
        <v>0</v>
      </c>
      <c r="S9" s="153">
        <f t="shared" si="1"/>
        <v>0</v>
      </c>
    </row>
    <row r="10" spans="1:28" ht="123" customHeight="1" thickBot="1">
      <c r="A10" s="805"/>
      <c r="B10" s="217"/>
      <c r="C10" s="218"/>
      <c r="D10" s="219"/>
      <c r="E10" s="221"/>
      <c r="F10" s="231"/>
      <c r="G10" s="229"/>
      <c r="H10" s="233" t="s">
        <v>565</v>
      </c>
      <c r="I10" s="808"/>
      <c r="J10" s="216" t="str">
        <f>+'15'!J10</f>
        <v>T 13,5 VP OW</v>
      </c>
      <c r="K10" s="238">
        <f>+C8</f>
        <v>4242</v>
      </c>
      <c r="L10" s="238"/>
      <c r="M10" s="121">
        <f>+K10+'15'!M10+L10</f>
        <v>39850</v>
      </c>
      <c r="R10" s="153">
        <f t="shared" si="0"/>
        <v>0</v>
      </c>
      <c r="S10" s="153">
        <f t="shared" si="1"/>
        <v>0</v>
      </c>
    </row>
    <row r="11" spans="1:28" ht="57.75" customHeight="1" thickBot="1">
      <c r="A11" s="805"/>
      <c r="B11" s="217"/>
      <c r="C11" s="218"/>
      <c r="D11" s="219"/>
      <c r="E11" s="221"/>
      <c r="F11" s="228"/>
      <c r="G11" s="232"/>
      <c r="H11" s="233" t="s">
        <v>566</v>
      </c>
      <c r="I11" s="808"/>
      <c r="J11" s="216" t="str">
        <f>+'15'!J11</f>
        <v>T 16,5 VP OW</v>
      </c>
      <c r="K11" s="238">
        <f>+C17</f>
        <v>1882</v>
      </c>
      <c r="L11" s="238"/>
      <c r="M11" s="121">
        <f>+K11+'15'!M11+L11</f>
        <v>9927</v>
      </c>
      <c r="P11" s="153">
        <f t="shared" ref="P11" si="2">+O11-O11*0.17</f>
        <v>0</v>
      </c>
    </row>
    <row r="12" spans="1:28" ht="13.5" thickBot="1">
      <c r="A12" s="805"/>
      <c r="B12" s="217"/>
      <c r="C12" s="218"/>
      <c r="D12" s="219"/>
      <c r="E12" s="221"/>
      <c r="F12" s="228"/>
      <c r="G12" s="232"/>
      <c r="H12" s="233"/>
      <c r="I12" s="808"/>
      <c r="J12" s="216" t="s">
        <v>579</v>
      </c>
      <c r="K12" s="238">
        <f>+C7+C16</f>
        <v>12919</v>
      </c>
      <c r="L12" s="238"/>
      <c r="M12" s="121">
        <f>+K12+'15'!M12+L12</f>
        <v>12919</v>
      </c>
      <c r="Q12" s="153">
        <f>SUM(Q5:Q10)</f>
        <v>480</v>
      </c>
      <c r="R12" s="153">
        <f>SUM(R4:R10)</f>
        <v>568600</v>
      </c>
      <c r="S12" s="153">
        <f>SUM(S4:S10)</f>
        <v>447092</v>
      </c>
    </row>
    <row r="13" spans="1:28" ht="13.5" thickBot="1">
      <c r="A13" s="805"/>
      <c r="B13" s="217"/>
      <c r="C13" s="218"/>
      <c r="D13" s="218"/>
      <c r="E13" s="221"/>
      <c r="F13" s="228"/>
      <c r="G13" s="232"/>
      <c r="H13" s="233"/>
      <c r="I13" s="809"/>
      <c r="J13" s="216" t="s">
        <v>581</v>
      </c>
      <c r="K13" s="238">
        <f>+C18+C25</f>
        <v>24929</v>
      </c>
      <c r="L13" s="238"/>
      <c r="M13" s="121">
        <f>+K13+'15'!M13+L13</f>
        <v>24929</v>
      </c>
      <c r="N13" s="153" t="s">
        <v>421</v>
      </c>
      <c r="Q13" s="153">
        <f>480-Q12</f>
        <v>0</v>
      </c>
      <c r="R13" s="153">
        <f>+R12/Q12</f>
        <v>1184.5833333333333</v>
      </c>
      <c r="S13" s="153">
        <f>+S12/Q12</f>
        <v>931.44166666666672</v>
      </c>
    </row>
    <row r="14" spans="1:28" ht="13.5" thickBot="1">
      <c r="A14" s="806"/>
      <c r="B14" s="169" t="s">
        <v>3</v>
      </c>
      <c r="C14" s="103">
        <f>SUM(C7:C13)</f>
        <v>16352</v>
      </c>
      <c r="D14" s="115">
        <f>SUM(D7:D13)</f>
        <v>0</v>
      </c>
      <c r="E14" s="116">
        <f>SUM(E5:E13)</f>
        <v>0</v>
      </c>
      <c r="F14" s="120">
        <f>SUM(F7:F13)</f>
        <v>25</v>
      </c>
      <c r="G14" s="163"/>
      <c r="H14" s="170"/>
      <c r="I14" s="171"/>
      <c r="J14" s="216"/>
      <c r="K14" s="238"/>
      <c r="L14" s="238"/>
      <c r="M14" s="121">
        <f>+K14+'15'!M14+L14</f>
        <v>0</v>
      </c>
    </row>
    <row r="15" spans="1:28" ht="13.5" thickBot="1">
      <c r="A15" s="810"/>
      <c r="B15" s="528"/>
      <c r="C15" s="117">
        <f>C14/($C$23+$D$23+$E$23)</f>
        <v>1.5838822161952733</v>
      </c>
      <c r="D15" s="118">
        <f>D14/($C$23+$D$23+$E$23)</f>
        <v>0</v>
      </c>
      <c r="E15" s="119">
        <f>E14/($C$23+$D$23+$E$23)</f>
        <v>0</v>
      </c>
      <c r="F15" s="235"/>
      <c r="G15" s="582" t="s">
        <v>12</v>
      </c>
      <c r="H15" s="583" t="s">
        <v>418</v>
      </c>
      <c r="I15" s="807" t="s">
        <v>569</v>
      </c>
      <c r="J15" s="216"/>
      <c r="K15" s="238"/>
      <c r="L15" s="238"/>
      <c r="M15" s="121">
        <f>+K15+'15'!M15+L15</f>
        <v>0</v>
      </c>
      <c r="N15" s="153" t="s">
        <v>567</v>
      </c>
      <c r="O15" s="153">
        <v>1040</v>
      </c>
      <c r="P15" s="153">
        <f>+O15-O15*0.23</f>
        <v>800.8</v>
      </c>
      <c r="Q15" s="153">
        <f>480-17</f>
        <v>463</v>
      </c>
      <c r="R15" s="153">
        <f>+O15*Q15</f>
        <v>481520</v>
      </c>
      <c r="S15" s="153">
        <f>+P15*Q15</f>
        <v>370770.39999999997</v>
      </c>
    </row>
    <row r="16" spans="1:28" ht="13.5" thickBot="1">
      <c r="A16" s="805"/>
      <c r="B16" s="527" t="s">
        <v>579</v>
      </c>
      <c r="C16" s="526">
        <v>809</v>
      </c>
      <c r="D16" s="223"/>
      <c r="E16" s="224"/>
      <c r="F16" s="231">
        <v>2</v>
      </c>
      <c r="G16" s="584" t="s">
        <v>12</v>
      </c>
      <c r="H16" s="230" t="s">
        <v>529</v>
      </c>
      <c r="I16" s="808"/>
      <c r="J16" s="216">
        <f>+'15'!J16</f>
        <v>0</v>
      </c>
      <c r="K16" s="238"/>
      <c r="L16" s="229"/>
      <c r="M16" s="121">
        <f>+K16+'15'!M16+L16</f>
        <v>0</v>
      </c>
      <c r="P16" s="153">
        <f t="shared" ref="P16:P17" si="3">+O16-O16*0.22</f>
        <v>0</v>
      </c>
      <c r="R16" s="153">
        <f t="shared" ref="R16:R19" si="4">+O16*Q16</f>
        <v>0</v>
      </c>
      <c r="S16" s="153">
        <f t="shared" ref="S16:S19" si="5">+P16*Q16</f>
        <v>0</v>
      </c>
    </row>
    <row r="17" spans="1:25" ht="13.5" thickBot="1">
      <c r="A17" s="805"/>
      <c r="B17" s="217" t="s">
        <v>562</v>
      </c>
      <c r="C17" s="218">
        <v>1882</v>
      </c>
      <c r="D17" s="219"/>
      <c r="E17" s="225"/>
      <c r="F17" s="231">
        <v>3</v>
      </c>
      <c r="G17" s="584" t="s">
        <v>12</v>
      </c>
      <c r="H17" s="233" t="s">
        <v>511</v>
      </c>
      <c r="I17" s="808"/>
      <c r="J17" s="216">
        <f>+'15'!J17</f>
        <v>0</v>
      </c>
      <c r="K17" s="229"/>
      <c r="L17" s="229"/>
      <c r="M17" s="121">
        <f>+K17+'15'!M17+L17</f>
        <v>0</v>
      </c>
      <c r="P17" s="153">
        <f t="shared" si="3"/>
        <v>0</v>
      </c>
      <c r="R17" s="153">
        <f t="shared" si="4"/>
        <v>0</v>
      </c>
      <c r="S17" s="153">
        <f t="shared" si="5"/>
        <v>0</v>
      </c>
    </row>
    <row r="18" spans="1:25" ht="64.5" thickBot="1">
      <c r="A18" s="805"/>
      <c r="B18" s="217" t="s">
        <v>580</v>
      </c>
      <c r="C18" s="218">
        <v>7633</v>
      </c>
      <c r="D18" s="219"/>
      <c r="E18" s="225"/>
      <c r="F18" s="231"/>
      <c r="G18" s="229"/>
      <c r="H18" s="233" t="s">
        <v>563</v>
      </c>
      <c r="I18" s="808"/>
      <c r="J18" s="216">
        <f>+'15'!J18</f>
        <v>0</v>
      </c>
      <c r="K18" s="238"/>
      <c r="L18" s="238"/>
      <c r="M18" s="121">
        <f>+K18+'15'!M18+L18</f>
        <v>0</v>
      </c>
      <c r="R18" s="153">
        <f t="shared" si="4"/>
        <v>0</v>
      </c>
      <c r="S18" s="153">
        <f t="shared" si="5"/>
        <v>0</v>
      </c>
    </row>
    <row r="19" spans="1:25" ht="39" thickBot="1">
      <c r="A19" s="805"/>
      <c r="B19" s="217"/>
      <c r="C19" s="218"/>
      <c r="D19" s="219"/>
      <c r="E19" s="225"/>
      <c r="F19" s="234">
        <v>17</v>
      </c>
      <c r="G19" s="232" t="s">
        <v>78</v>
      </c>
      <c r="H19" s="233" t="s">
        <v>577</v>
      </c>
      <c r="I19" s="808"/>
      <c r="J19" s="216">
        <f>+'15'!J19</f>
        <v>0</v>
      </c>
      <c r="K19" s="238"/>
      <c r="L19" s="238"/>
      <c r="M19" s="121">
        <f>+K19+'15'!M19+L19</f>
        <v>0</v>
      </c>
      <c r="R19" s="153">
        <f t="shared" si="4"/>
        <v>0</v>
      </c>
      <c r="S19" s="153">
        <f t="shared" si="5"/>
        <v>0</v>
      </c>
    </row>
    <row r="20" spans="1:25" ht="13.5" thickBot="1">
      <c r="A20" s="805"/>
      <c r="B20" s="217"/>
      <c r="C20" s="218"/>
      <c r="D20" s="219"/>
      <c r="E20" s="225"/>
      <c r="F20" s="228"/>
      <c r="G20" s="232"/>
      <c r="H20" s="233"/>
      <c r="I20" s="808"/>
      <c r="J20" s="216">
        <f>+'15'!J20</f>
        <v>0</v>
      </c>
      <c r="K20" s="239"/>
      <c r="L20" s="239"/>
      <c r="M20" s="121">
        <f>+K20+'15'!M20+L20</f>
        <v>0</v>
      </c>
      <c r="P20" s="153">
        <f t="shared" ref="P20" si="6">+O20-O20*0.17</f>
        <v>0</v>
      </c>
    </row>
    <row r="21" spans="1:25" ht="13.5" thickBot="1">
      <c r="A21" s="805"/>
      <c r="B21" s="217"/>
      <c r="C21" s="218"/>
      <c r="D21" s="219"/>
      <c r="E21" s="225"/>
      <c r="F21" s="231"/>
      <c r="G21" s="232"/>
      <c r="H21" s="233"/>
      <c r="I21" s="808"/>
      <c r="J21" s="216">
        <f>+'15'!J21</f>
        <v>0</v>
      </c>
      <c r="K21" s="238"/>
      <c r="L21" s="238"/>
      <c r="M21" s="121">
        <f>+K21+'15'!M21+L21</f>
        <v>0</v>
      </c>
      <c r="Q21" s="153">
        <f>SUM(Q14:Q19)</f>
        <v>463</v>
      </c>
      <c r="R21" s="153">
        <f>SUM(R13:R19)</f>
        <v>482704.58333333331</v>
      </c>
      <c r="S21" s="153">
        <f>SUM(S13:S19)</f>
        <v>371701.84166666662</v>
      </c>
    </row>
    <row r="22" spans="1:25" ht="13.5" thickBot="1">
      <c r="A22" s="805"/>
      <c r="B22" s="217"/>
      <c r="C22" s="218"/>
      <c r="D22" s="219"/>
      <c r="E22" s="225"/>
      <c r="F22" s="235"/>
      <c r="G22" s="232"/>
      <c r="H22" s="233"/>
      <c r="I22" s="809"/>
      <c r="J22" s="216">
        <f>+'15'!J22</f>
        <v>0</v>
      </c>
      <c r="K22" s="238"/>
      <c r="L22" s="238"/>
      <c r="M22" s="121">
        <f>+K22+'15'!M22+L22</f>
        <v>0</v>
      </c>
      <c r="N22" s="153" t="s">
        <v>421</v>
      </c>
      <c r="Q22" s="153">
        <f>480-Q21</f>
        <v>17</v>
      </c>
      <c r="R22" s="153">
        <f>+R21/Q21</f>
        <v>1042.5584953203743</v>
      </c>
      <c r="S22" s="153">
        <f>+S21/Q21</f>
        <v>802.81175305975512</v>
      </c>
    </row>
    <row r="23" spans="1:25" ht="13.5" thickBot="1">
      <c r="A23" s="806"/>
      <c r="B23" s="169" t="s">
        <v>3</v>
      </c>
      <c r="C23" s="103">
        <f>SUM(C16:C22)</f>
        <v>10324</v>
      </c>
      <c r="D23" s="115">
        <f>SUM(D16:D22)</f>
        <v>0</v>
      </c>
      <c r="E23" s="116">
        <f>SUM(E18:E22)</f>
        <v>0</v>
      </c>
      <c r="F23" s="120">
        <f>SUM(F15:F22)</f>
        <v>22</v>
      </c>
      <c r="G23" s="163"/>
      <c r="H23" s="170"/>
      <c r="I23" s="172"/>
      <c r="J23" s="216">
        <f>+'15'!J23</f>
        <v>0</v>
      </c>
      <c r="K23" s="238"/>
      <c r="L23" s="238"/>
      <c r="M23" s="121">
        <f>+K23+'15'!M23+L23</f>
        <v>0</v>
      </c>
    </row>
    <row r="24" spans="1:25" ht="13.5" thickBot="1">
      <c r="A24" s="810"/>
      <c r="B24" s="528"/>
      <c r="C24" s="117">
        <f>C23/($C$23+$D$23+$E$23)</f>
        <v>1</v>
      </c>
      <c r="D24" s="118">
        <f>D23/($C$23+$D$23+$E$23)</f>
        <v>0</v>
      </c>
      <c r="E24" s="119">
        <f>E23/($C$23+$D$23+$E$23)</f>
        <v>0</v>
      </c>
      <c r="F24" s="235"/>
      <c r="G24" s="582" t="s">
        <v>12</v>
      </c>
      <c r="H24" s="583" t="s">
        <v>418</v>
      </c>
      <c r="I24" s="807" t="s">
        <v>568</v>
      </c>
      <c r="J24" s="216">
        <f>+'15'!J24</f>
        <v>0</v>
      </c>
      <c r="K24" s="238"/>
      <c r="L24" s="238"/>
      <c r="M24" s="121">
        <f>+K24+'15'!M24+L24</f>
        <v>0</v>
      </c>
      <c r="N24" s="153" t="s">
        <v>567</v>
      </c>
      <c r="O24" s="153">
        <v>1040</v>
      </c>
      <c r="P24" s="153">
        <f>+O24-O24*0.23</f>
        <v>800.8</v>
      </c>
      <c r="Q24" s="153">
        <v>480</v>
      </c>
      <c r="R24" s="153">
        <f>+O24*Q24</f>
        <v>499200</v>
      </c>
      <c r="S24" s="153">
        <f>+P24*Q24</f>
        <v>384384</v>
      </c>
      <c r="T24" s="153" t="s">
        <v>567</v>
      </c>
      <c r="U24" s="153">
        <v>1040</v>
      </c>
      <c r="V24" s="153">
        <v>800.8</v>
      </c>
      <c r="W24" s="153">
        <v>140</v>
      </c>
      <c r="X24" s="153">
        <f>+U24*W24</f>
        <v>145600</v>
      </c>
      <c r="Y24" s="153">
        <f>+V24*W24</f>
        <v>112112</v>
      </c>
    </row>
    <row r="25" spans="1:25" ht="13.5" thickBot="1">
      <c r="A25" s="805"/>
      <c r="B25" s="527" t="s">
        <v>580</v>
      </c>
      <c r="C25" s="226">
        <v>17296</v>
      </c>
      <c r="D25" s="219"/>
      <c r="E25" s="225"/>
      <c r="F25" s="231">
        <v>2</v>
      </c>
      <c r="G25" s="584" t="s">
        <v>12</v>
      </c>
      <c r="H25" s="230" t="s">
        <v>571</v>
      </c>
      <c r="I25" s="808"/>
      <c r="J25" s="216">
        <f>+'15'!J25</f>
        <v>0</v>
      </c>
      <c r="K25" s="238"/>
      <c r="L25" s="238"/>
      <c r="M25" s="121">
        <f>+K25+'15'!M25+L25</f>
        <v>0</v>
      </c>
      <c r="P25" s="153">
        <f t="shared" ref="P25:P26" si="7">+O25-O25*0.22</f>
        <v>0</v>
      </c>
      <c r="R25" s="153">
        <f t="shared" ref="R25:R28" si="8">+O25*Q25</f>
        <v>0</v>
      </c>
      <c r="S25" s="153">
        <f t="shared" ref="S25:S28" si="9">+P25*Q25</f>
        <v>0</v>
      </c>
      <c r="T25" s="153" t="s">
        <v>567</v>
      </c>
      <c r="U25" s="153">
        <v>1040</v>
      </c>
      <c r="V25" s="153">
        <v>800.8</v>
      </c>
      <c r="W25" s="153">
        <v>463</v>
      </c>
      <c r="X25" s="153">
        <f t="shared" ref="X25:X28" si="10">+U25*W25</f>
        <v>481520</v>
      </c>
      <c r="Y25" s="153">
        <f t="shared" ref="Y25:Y28" si="11">+V25*W25</f>
        <v>370770.39999999997</v>
      </c>
    </row>
    <row r="26" spans="1:25" ht="13.5" thickBot="1">
      <c r="A26" s="805"/>
      <c r="B26" s="217"/>
      <c r="C26" s="226"/>
      <c r="D26" s="219"/>
      <c r="E26" s="227"/>
      <c r="F26" s="231">
        <v>6</v>
      </c>
      <c r="G26" s="584" t="s">
        <v>12</v>
      </c>
      <c r="H26" s="233" t="s">
        <v>511</v>
      </c>
      <c r="I26" s="808"/>
      <c r="J26" s="216">
        <f>+'15'!J26</f>
        <v>0</v>
      </c>
      <c r="K26" s="238"/>
      <c r="L26" s="238"/>
      <c r="M26" s="121">
        <f>+K26+'15'!M26+L26</f>
        <v>0</v>
      </c>
      <c r="P26" s="153">
        <f t="shared" si="7"/>
        <v>0</v>
      </c>
      <c r="R26" s="153">
        <f t="shared" si="8"/>
        <v>0</v>
      </c>
      <c r="S26" s="153">
        <f t="shared" si="9"/>
        <v>0</v>
      </c>
      <c r="T26" s="153" t="s">
        <v>567</v>
      </c>
      <c r="U26" s="153">
        <v>1040</v>
      </c>
      <c r="V26" s="153">
        <v>800.8</v>
      </c>
      <c r="W26" s="153">
        <v>480</v>
      </c>
      <c r="X26" s="153">
        <f t="shared" si="10"/>
        <v>499200</v>
      </c>
      <c r="Y26" s="153">
        <f t="shared" si="11"/>
        <v>384384</v>
      </c>
    </row>
    <row r="27" spans="1:25" ht="64.5" thickBot="1">
      <c r="A27" s="805"/>
      <c r="B27" s="217"/>
      <c r="C27" s="218"/>
      <c r="D27" s="219"/>
      <c r="E27" s="225"/>
      <c r="F27" s="231"/>
      <c r="G27" s="229"/>
      <c r="H27" s="233" t="s">
        <v>563</v>
      </c>
      <c r="I27" s="808"/>
      <c r="J27" s="216">
        <f>+'15'!J27</f>
        <v>0</v>
      </c>
      <c r="K27" s="238"/>
      <c r="L27" s="238"/>
      <c r="M27" s="121">
        <f>+K27+'15'!M27+L27</f>
        <v>0</v>
      </c>
      <c r="R27" s="153">
        <f t="shared" si="8"/>
        <v>0</v>
      </c>
      <c r="S27" s="153">
        <f t="shared" si="9"/>
        <v>0</v>
      </c>
      <c r="X27" s="153">
        <f t="shared" si="10"/>
        <v>0</v>
      </c>
      <c r="Y27" s="153">
        <f t="shared" si="11"/>
        <v>0</v>
      </c>
    </row>
    <row r="28" spans="1:25" ht="39" thickBot="1">
      <c r="A28" s="805"/>
      <c r="B28" s="217"/>
      <c r="C28" s="218"/>
      <c r="D28" s="219"/>
      <c r="E28" s="225"/>
      <c r="F28" s="231"/>
      <c r="G28" s="229"/>
      <c r="H28" s="233" t="s">
        <v>564</v>
      </c>
      <c r="I28" s="808"/>
      <c r="J28" s="216">
        <f>+'15'!J28</f>
        <v>0</v>
      </c>
      <c r="K28" s="238"/>
      <c r="L28" s="238"/>
      <c r="M28" s="121">
        <f>+K28+'15'!M28+L28</f>
        <v>0</v>
      </c>
      <c r="R28" s="153">
        <f t="shared" si="8"/>
        <v>0</v>
      </c>
      <c r="S28" s="153">
        <f t="shared" si="9"/>
        <v>0</v>
      </c>
      <c r="X28" s="153">
        <f t="shared" si="10"/>
        <v>0</v>
      </c>
      <c r="Y28" s="153">
        <f t="shared" si="11"/>
        <v>0</v>
      </c>
    </row>
    <row r="29" spans="1:25" ht="13.5" thickBot="1">
      <c r="A29" s="805"/>
      <c r="B29" s="217"/>
      <c r="C29" s="218"/>
      <c r="D29" s="219"/>
      <c r="E29" s="225"/>
      <c r="F29" s="235"/>
      <c r="G29" s="232"/>
      <c r="H29" s="233"/>
      <c r="I29" s="808"/>
      <c r="J29" s="216">
        <f>+'15'!J29</f>
        <v>0</v>
      </c>
      <c r="K29" s="238"/>
      <c r="L29" s="238"/>
      <c r="M29" s="121">
        <f>+K29+'15'!M29+L29</f>
        <v>0</v>
      </c>
      <c r="P29" s="153">
        <f t="shared" ref="P29" si="12">+O29-O29*0.17</f>
        <v>0</v>
      </c>
      <c r="V29" s="153">
        <f t="shared" ref="V29" si="13">+U29-U29*0.17</f>
        <v>0</v>
      </c>
    </row>
    <row r="30" spans="1:25" ht="13.5" thickBot="1">
      <c r="A30" s="805"/>
      <c r="B30" s="217"/>
      <c r="C30" s="226"/>
      <c r="D30" s="219"/>
      <c r="E30" s="225"/>
      <c r="F30" s="235"/>
      <c r="G30" s="232"/>
      <c r="H30" s="233"/>
      <c r="I30" s="808"/>
      <c r="J30" s="216">
        <f>+'15'!J30</f>
        <v>0</v>
      </c>
      <c r="K30" s="238"/>
      <c r="L30" s="238"/>
      <c r="M30" s="121">
        <f>+K30+'15'!M30+L30</f>
        <v>0</v>
      </c>
      <c r="Q30" s="153">
        <f>SUM(Q23:Q28)</f>
        <v>480</v>
      </c>
      <c r="R30" s="153">
        <f>SUM(R22:R28)</f>
        <v>500242.55849532038</v>
      </c>
      <c r="S30" s="153">
        <f>SUM(S22:S28)</f>
        <v>385186.81175305974</v>
      </c>
      <c r="W30" s="153">
        <f>SUM(W23:W28)</f>
        <v>1083</v>
      </c>
      <c r="X30" s="153">
        <f>SUM(X22:X28)</f>
        <v>1126320</v>
      </c>
      <c r="Y30" s="153">
        <f>SUM(Y22:Y28)</f>
        <v>867266.39999999991</v>
      </c>
    </row>
    <row r="31" spans="1:25" ht="13.5" thickBot="1">
      <c r="A31" s="805"/>
      <c r="B31" s="217"/>
      <c r="C31" s="226"/>
      <c r="D31" s="219"/>
      <c r="E31" s="225"/>
      <c r="F31" s="235"/>
      <c r="G31" s="236"/>
      <c r="H31" s="413"/>
      <c r="I31" s="809"/>
      <c r="J31" s="216">
        <f>+'15'!J31</f>
        <v>0</v>
      </c>
      <c r="K31" s="238"/>
      <c r="L31" s="238"/>
      <c r="M31" s="121">
        <f>+K31+'15'!M31+L31</f>
        <v>0</v>
      </c>
      <c r="N31" s="153" t="s">
        <v>421</v>
      </c>
      <c r="Q31" s="153">
        <f>480-Q30</f>
        <v>0</v>
      </c>
      <c r="R31" s="153">
        <f>+R30/Q30</f>
        <v>1042.1719968652508</v>
      </c>
      <c r="S31" s="153">
        <f>+S30/Q30</f>
        <v>802.47252448554116</v>
      </c>
      <c r="T31" s="153" t="s">
        <v>421</v>
      </c>
      <c r="W31" s="153">
        <f>480-W30</f>
        <v>-603</v>
      </c>
      <c r="X31" s="153">
        <f>+X30/W30</f>
        <v>1040</v>
      </c>
      <c r="Y31" s="153">
        <f>+Y30/W30</f>
        <v>800.8</v>
      </c>
    </row>
    <row r="32" spans="1:25" ht="13.5" thickBot="1">
      <c r="A32" s="806"/>
      <c r="B32" s="169" t="s">
        <v>3</v>
      </c>
      <c r="C32" s="103">
        <f>SUM(C25:C31)</f>
        <v>17296</v>
      </c>
      <c r="D32" s="104">
        <f>SUM(D25:D31)</f>
        <v>0</v>
      </c>
      <c r="E32" s="105">
        <f>SUM(E25:E31)</f>
        <v>0</v>
      </c>
      <c r="F32" s="103">
        <f>SUM(F24:F31)</f>
        <v>8</v>
      </c>
      <c r="G32" s="173"/>
      <c r="H32" s="174"/>
      <c r="I32" s="172"/>
      <c r="J32" s="216">
        <f>+'15'!J32</f>
        <v>0</v>
      </c>
      <c r="K32" s="240"/>
      <c r="L32" s="242"/>
      <c r="M32" s="121">
        <f>+K32+'15'!M32+L32</f>
        <v>0</v>
      </c>
    </row>
    <row r="33" spans="1:17" ht="13.5" thickBot="1">
      <c r="A33" s="175"/>
      <c r="B33" s="176"/>
      <c r="C33" s="107">
        <f>C32/($C$32+$D$32+$E$32)</f>
        <v>1</v>
      </c>
      <c r="D33" s="108">
        <f>D32/($C$32+$D$32+$E$32)</f>
        <v>0</v>
      </c>
      <c r="E33" s="109">
        <f>E32/($C$32+$D$32+$E$32)</f>
        <v>0</v>
      </c>
      <c r="F33" s="110"/>
      <c r="G33" s="177"/>
      <c r="H33" s="178"/>
      <c r="I33" s="179"/>
      <c r="J33" s="125"/>
      <c r="K33" s="126"/>
      <c r="L33" s="215"/>
      <c r="M33" s="123"/>
      <c r="N33" s="153" t="s">
        <v>551</v>
      </c>
      <c r="O33" s="153">
        <v>1350</v>
      </c>
      <c r="P33" s="153">
        <v>1053</v>
      </c>
      <c r="Q33" s="153">
        <v>220</v>
      </c>
    </row>
    <row r="34" spans="1:17" ht="13.5" thickBot="1">
      <c r="A34" s="811" t="s">
        <v>69</v>
      </c>
      <c r="B34" s="812"/>
      <c r="C34" s="111">
        <f>C14+C23+C32</f>
        <v>43972</v>
      </c>
      <c r="D34" s="111">
        <f>D14+D23+D32</f>
        <v>0</v>
      </c>
      <c r="E34" s="111">
        <f>E14+E23+E32</f>
        <v>0</v>
      </c>
      <c r="F34" s="112">
        <f>F14+F23+F32</f>
        <v>55</v>
      </c>
      <c r="H34" s="180"/>
      <c r="I34" s="180"/>
      <c r="J34" s="127" t="s">
        <v>28</v>
      </c>
      <c r="K34" s="128">
        <f>SUM(K7:K32)</f>
        <v>43972</v>
      </c>
      <c r="L34" s="214">
        <f>SUM(L7:L32)</f>
        <v>0</v>
      </c>
      <c r="M34" s="124">
        <f>SUM(M7:M32)</f>
        <v>304973</v>
      </c>
      <c r="N34" s="159" t="s">
        <v>550</v>
      </c>
      <c r="O34" s="153">
        <v>1050</v>
      </c>
      <c r="P34" s="153">
        <v>861</v>
      </c>
      <c r="Q34" s="153">
        <v>120</v>
      </c>
    </row>
    <row r="35" spans="1:17" ht="13.5" thickBot="1">
      <c r="A35" s="573"/>
      <c r="B35" s="182"/>
      <c r="C35" s="108">
        <f>C34/($C$34+$D$34+$E$34)</f>
        <v>1</v>
      </c>
      <c r="D35" s="108">
        <f>D34/($C$34+$D$34+$E$34)</f>
        <v>0</v>
      </c>
      <c r="E35" s="113">
        <f>E34/($C$34+$D$34+$E$34)</f>
        <v>0</v>
      </c>
      <c r="K35" s="159"/>
      <c r="N35" s="153" t="s">
        <v>567</v>
      </c>
      <c r="O35" s="153">
        <v>1040</v>
      </c>
      <c r="P35" s="153">
        <v>800.8</v>
      </c>
      <c r="Q35" s="153">
        <v>1083</v>
      </c>
    </row>
    <row r="36" spans="1:17" ht="13.5" thickBot="1">
      <c r="A36" s="180"/>
      <c r="B36" s="180"/>
      <c r="C36" s="159"/>
      <c r="D36" s="159"/>
      <c r="E36" s="159"/>
      <c r="G36" s="159"/>
      <c r="H36" s="183"/>
      <c r="I36" s="166" t="s">
        <v>38</v>
      </c>
      <c r="J36" s="166" t="s">
        <v>39</v>
      </c>
      <c r="K36" s="184"/>
      <c r="Q36" s="153">
        <f>+Q33+Q34+Q35</f>
        <v>1423</v>
      </c>
    </row>
    <row r="37" spans="1:17" ht="17.45" customHeight="1" thickBot="1">
      <c r="A37" s="813" t="s">
        <v>70</v>
      </c>
      <c r="B37" s="814"/>
      <c r="C37" s="166" t="s">
        <v>71</v>
      </c>
      <c r="D37" s="185" t="s">
        <v>72</v>
      </c>
      <c r="E37" s="186" t="s">
        <v>73</v>
      </c>
      <c r="F37" s="311"/>
      <c r="G37" s="313"/>
      <c r="H37" s="188" t="s">
        <v>74</v>
      </c>
      <c r="I37" s="243">
        <f>(12.5*220+16.5*120+1083*18)/1423*G42*2.7*1423/1000000</f>
        <v>55.343697477842241</v>
      </c>
      <c r="J37" s="129">
        <f>+I37+'15'!J37</f>
        <v>389.4972300115794</v>
      </c>
      <c r="K37" s="130" t="s">
        <v>75</v>
      </c>
    </row>
    <row r="38" spans="1:17" ht="17.45" customHeight="1">
      <c r="A38" s="797" t="s">
        <v>12</v>
      </c>
      <c r="B38" s="798"/>
      <c r="C38" s="168">
        <f>SUMIF($G$7:$G$31,"Process",$F$7:$F$31)</f>
        <v>38</v>
      </c>
      <c r="D38" s="122">
        <f>C38+'15'!D38</f>
        <v>809</v>
      </c>
      <c r="E38" s="147">
        <f t="shared" ref="E38:E52" si="14">D38/60</f>
        <v>13.483333333333333</v>
      </c>
      <c r="F38" s="311">
        <v>1184.5833333333333</v>
      </c>
      <c r="G38" s="311">
        <v>931.44166666666672</v>
      </c>
      <c r="H38" s="189" t="s">
        <v>76</v>
      </c>
      <c r="I38" s="534">
        <f>14.922+16.654+16.626</f>
        <v>48.201999999999998</v>
      </c>
      <c r="J38" s="131">
        <f>+I38+'15'!J38</f>
        <v>336.34499999999997</v>
      </c>
      <c r="K38" s="132" t="s">
        <v>75</v>
      </c>
      <c r="N38" s="153">
        <v>480</v>
      </c>
    </row>
    <row r="39" spans="1:17" ht="17.45" customHeight="1">
      <c r="A39" s="799" t="s">
        <v>13</v>
      </c>
      <c r="B39" s="800"/>
      <c r="C39" s="168">
        <f>SUMIF($G$7:$G$31,"Cleaning",$F$7:$F$31)</f>
        <v>0</v>
      </c>
      <c r="D39" s="122">
        <f>C39+'15'!D39</f>
        <v>0</v>
      </c>
      <c r="E39" s="147">
        <f t="shared" si="14"/>
        <v>0</v>
      </c>
      <c r="F39" s="311">
        <v>1042.915766738661</v>
      </c>
      <c r="G39" s="311">
        <v>803.07429805615538</v>
      </c>
      <c r="H39" s="189" t="s">
        <v>77</v>
      </c>
      <c r="I39" s="146"/>
      <c r="J39" s="133">
        <f>J37/G4</f>
        <v>24.343576875723713</v>
      </c>
      <c r="K39" s="134" t="s">
        <v>75</v>
      </c>
      <c r="N39" s="153">
        <v>463</v>
      </c>
    </row>
    <row r="40" spans="1:17" ht="17.45" customHeight="1">
      <c r="A40" s="799" t="s">
        <v>78</v>
      </c>
      <c r="B40" s="800"/>
      <c r="C40" s="168">
        <f>SUMIF($G$7:$G$31,"Mechanical",$F$7:$F$31)</f>
        <v>17</v>
      </c>
      <c r="D40" s="122">
        <f>C40+'15'!D40</f>
        <v>17</v>
      </c>
      <c r="E40" s="147">
        <f t="shared" si="14"/>
        <v>0.28333333333333333</v>
      </c>
      <c r="F40" s="311">
        <v>1042.1727411807055</v>
      </c>
      <c r="G40" s="311">
        <v>802.47307145428363</v>
      </c>
      <c r="H40" s="189" t="s">
        <v>79</v>
      </c>
      <c r="I40" s="122">
        <f>(K34+L34)/1000</f>
        <v>43.972000000000001</v>
      </c>
      <c r="J40" s="135">
        <f>+I40+'15'!J40</f>
        <v>304.97300000000001</v>
      </c>
      <c r="K40" s="134" t="s">
        <v>75</v>
      </c>
      <c r="N40" s="153">
        <v>480</v>
      </c>
    </row>
    <row r="41" spans="1:17" ht="17.45" customHeight="1">
      <c r="A41" s="799" t="s">
        <v>80</v>
      </c>
      <c r="B41" s="800"/>
      <c r="C41" s="168">
        <f>SUMIF($G$7:$G$31,"Electrical",$F$7:$F$31)</f>
        <v>0</v>
      </c>
      <c r="D41" s="122">
        <f>C41+'15'!D41</f>
        <v>60</v>
      </c>
      <c r="E41" s="147">
        <f t="shared" si="14"/>
        <v>1</v>
      </c>
      <c r="F41" s="311"/>
      <c r="G41" s="311"/>
      <c r="H41" s="189" t="s">
        <v>81</v>
      </c>
      <c r="I41" s="146"/>
      <c r="J41" s="133">
        <f>J40/G4</f>
        <v>19.060812500000001</v>
      </c>
      <c r="K41" s="134" t="s">
        <v>75</v>
      </c>
      <c r="N41" s="153">
        <f>+N38+N39+N40</f>
        <v>1423</v>
      </c>
    </row>
    <row r="42" spans="1:17" ht="17.45" customHeight="1">
      <c r="A42" s="799" t="s">
        <v>16</v>
      </c>
      <c r="B42" s="800"/>
      <c r="C42" s="168">
        <f>SUMIF($G$7:$G$31,"Instrument",$F$7:$F$31)</f>
        <v>0</v>
      </c>
      <c r="D42" s="122">
        <f>C42+'15'!D42</f>
        <v>0</v>
      </c>
      <c r="E42" s="147">
        <f t="shared" si="14"/>
        <v>0</v>
      </c>
      <c r="F42" s="187">
        <f>+(480*F38+463*F39+480*F40)/1423</f>
        <v>1090.451803068685</v>
      </c>
      <c r="G42" s="187">
        <f>+(480*G38+463*G39+480*G40)/1423</f>
        <v>846.17180203658188</v>
      </c>
      <c r="H42" s="189" t="s">
        <v>82</v>
      </c>
      <c r="I42" s="245" t="s">
        <v>570</v>
      </c>
      <c r="J42" s="136"/>
      <c r="K42" s="134" t="s">
        <v>83</v>
      </c>
    </row>
    <row r="43" spans="1:17" ht="17.45" customHeight="1">
      <c r="A43" s="799" t="s">
        <v>84</v>
      </c>
      <c r="B43" s="800"/>
      <c r="C43" s="168">
        <f>SUMIF($G$7:$G$31,"Water",$F$7:$F$31)</f>
        <v>0</v>
      </c>
      <c r="D43" s="122">
        <f>C43+'15'!D43</f>
        <v>0</v>
      </c>
      <c r="E43" s="147">
        <f t="shared" si="14"/>
        <v>0</v>
      </c>
      <c r="F43" s="311"/>
      <c r="G43" s="312"/>
      <c r="H43" s="190" t="s">
        <v>85</v>
      </c>
      <c r="I43" s="122">
        <f>+Report1!Z24</f>
        <v>101.8</v>
      </c>
      <c r="J43" s="137">
        <f>+I43+'15'!J43</f>
        <v>736.8</v>
      </c>
      <c r="K43" s="134" t="s">
        <v>75</v>
      </c>
      <c r="L43" s="191"/>
    </row>
    <row r="44" spans="1:17" ht="17.45" customHeight="1">
      <c r="A44" s="799" t="s">
        <v>17</v>
      </c>
      <c r="B44" s="800"/>
      <c r="C44" s="168">
        <f>SUMIF($G$7:$G$31,"PLN",$F$7:$F$31)</f>
        <v>0</v>
      </c>
      <c r="D44" s="122">
        <f>C44+'15'!D44</f>
        <v>0</v>
      </c>
      <c r="E44" s="147">
        <f t="shared" si="14"/>
        <v>0</v>
      </c>
      <c r="F44" s="311"/>
      <c r="G44" s="312"/>
      <c r="H44" s="190" t="s">
        <v>86</v>
      </c>
      <c r="I44" s="122">
        <f>I43/I38</f>
        <v>2.1119455624247956</v>
      </c>
      <c r="J44" s="138">
        <f>J43/J38</f>
        <v>2.1906078580029433</v>
      </c>
      <c r="K44" s="134" t="s">
        <v>75</v>
      </c>
    </row>
    <row r="45" spans="1:17" ht="17.45" customHeight="1">
      <c r="A45" s="799" t="s">
        <v>18</v>
      </c>
      <c r="B45" s="800"/>
      <c r="C45" s="168">
        <f>SUMIF($G$7:$G$31,"Boiler",$F$7:$F$31)</f>
        <v>0</v>
      </c>
      <c r="D45" s="122">
        <f>C45+'15'!D45</f>
        <v>0</v>
      </c>
      <c r="E45" s="147">
        <f t="shared" si="14"/>
        <v>0</v>
      </c>
      <c r="F45" s="311"/>
      <c r="G45" s="314"/>
      <c r="H45" s="190" t="s">
        <v>87</v>
      </c>
      <c r="I45" s="122">
        <f>I43/I40</f>
        <v>2.3151096152096788</v>
      </c>
      <c r="J45" s="138">
        <f>J43/J40</f>
        <v>2.4159515760411576</v>
      </c>
      <c r="K45" s="134" t="s">
        <v>75</v>
      </c>
    </row>
    <row r="46" spans="1:17" ht="17.45" customHeight="1">
      <c r="A46" s="799" t="s">
        <v>88</v>
      </c>
      <c r="B46" s="800"/>
      <c r="C46" s="168">
        <f>SUMIF($G$7:$G$31,"Gas",$F$7:$F$31)</f>
        <v>0</v>
      </c>
      <c r="D46" s="122">
        <f>C46+'15'!D46</f>
        <v>0</v>
      </c>
      <c r="E46" s="147">
        <f t="shared" si="14"/>
        <v>0</v>
      </c>
      <c r="F46" s="311"/>
      <c r="G46" s="312"/>
      <c r="H46" s="190" t="s">
        <v>89</v>
      </c>
      <c r="I46" s="144">
        <f>+SUMIF(Listrik!X23,"&gt;0")</f>
        <v>42060.60000000002</v>
      </c>
      <c r="J46" s="139">
        <f>+I46+'15'!J46</f>
        <v>321628.56240000011</v>
      </c>
      <c r="K46" s="134" t="s">
        <v>90</v>
      </c>
    </row>
    <row r="47" spans="1:17" ht="17.45" customHeight="1">
      <c r="A47" s="799" t="s">
        <v>91</v>
      </c>
      <c r="B47" s="800"/>
      <c r="C47" s="168">
        <f>SUMIF($G$7:$G$31,"Gas",$F$7:$F$31)</f>
        <v>0</v>
      </c>
      <c r="D47" s="122">
        <f>C47+'15'!D47</f>
        <v>0</v>
      </c>
      <c r="E47" s="147">
        <f t="shared" si="14"/>
        <v>0</v>
      </c>
      <c r="F47" s="311"/>
      <c r="G47" s="312"/>
      <c r="H47" s="190" t="s">
        <v>92</v>
      </c>
      <c r="I47" s="122">
        <f>I46/I38</f>
        <v>872.59034894817682</v>
      </c>
      <c r="J47" s="139">
        <f>J46/J38</f>
        <v>956.24600454890106</v>
      </c>
      <c r="K47" s="134" t="s">
        <v>24</v>
      </c>
    </row>
    <row r="48" spans="1:17" ht="17.45" customHeight="1">
      <c r="A48" s="799" t="s">
        <v>14</v>
      </c>
      <c r="B48" s="800"/>
      <c r="C48" s="168">
        <f>SUMIF($G$7:$G$31,"Start Up",$F$7:$F$31)</f>
        <v>0</v>
      </c>
      <c r="D48" s="122">
        <f>C48+'15'!D48</f>
        <v>0</v>
      </c>
      <c r="E48" s="147">
        <f t="shared" si="14"/>
        <v>0</v>
      </c>
      <c r="F48" s="311"/>
      <c r="G48" s="312"/>
      <c r="H48" s="190" t="s">
        <v>93</v>
      </c>
      <c r="I48" s="122">
        <f>I46/I40</f>
        <v>956.53142909124028</v>
      </c>
      <c r="J48" s="139">
        <f>J46/J40</f>
        <v>1054.6132359258036</v>
      </c>
      <c r="K48" s="134" t="s">
        <v>24</v>
      </c>
    </row>
    <row r="49" spans="1:11" ht="17.45" customHeight="1">
      <c r="A49" s="799" t="s">
        <v>20</v>
      </c>
      <c r="B49" s="800"/>
      <c r="C49" s="168">
        <f>SUMIF($G$7:$G$31,"Others",$F$7:$F$31)</f>
        <v>0</v>
      </c>
      <c r="D49" s="122">
        <f>C49+'15'!D49</f>
        <v>11845</v>
      </c>
      <c r="E49" s="147">
        <f t="shared" si="14"/>
        <v>197.41666666666666</v>
      </c>
      <c r="F49" s="187"/>
      <c r="H49" s="190" t="s">
        <v>279</v>
      </c>
      <c r="I49" s="122">
        <f>+Report1!T24</f>
        <v>3927.6601068110322</v>
      </c>
      <c r="J49" s="139">
        <f>+I49+'15'!J49</f>
        <v>30190.95603576662</v>
      </c>
      <c r="K49" s="134" t="s">
        <v>94</v>
      </c>
    </row>
    <row r="50" spans="1:11" ht="17.45" customHeight="1">
      <c r="A50" s="799" t="s">
        <v>19</v>
      </c>
      <c r="B50" s="800"/>
      <c r="C50" s="168">
        <f>SUMIF($G$7:$G$31,"Steam",$F$7:$F$31)</f>
        <v>0</v>
      </c>
      <c r="D50" s="122">
        <f>C50+'15'!D50</f>
        <v>0</v>
      </c>
      <c r="E50" s="147">
        <f t="shared" si="14"/>
        <v>0</v>
      </c>
      <c r="F50" s="187"/>
      <c r="H50" s="190" t="s">
        <v>95</v>
      </c>
      <c r="I50" s="144">
        <f>I49/I38</f>
        <v>81.483343156114529</v>
      </c>
      <c r="J50" s="137">
        <f>J49/J38</f>
        <v>89.761869615325395</v>
      </c>
      <c r="K50" s="134" t="s">
        <v>94</v>
      </c>
    </row>
    <row r="51" spans="1:11" ht="17.45" customHeight="1">
      <c r="A51" s="801" t="s">
        <v>96</v>
      </c>
      <c r="B51" s="801"/>
      <c r="C51" s="168">
        <f>SUMIF($G$7:$G$31,"Planned shut",$F$7:$F$31)</f>
        <v>0</v>
      </c>
      <c r="D51" s="122">
        <f>C51+'15'!D51</f>
        <v>0</v>
      </c>
      <c r="E51" s="147">
        <f t="shared" si="14"/>
        <v>0</v>
      </c>
      <c r="F51" s="187"/>
      <c r="H51" s="192" t="s">
        <v>97</v>
      </c>
      <c r="I51" s="145">
        <f>I49/I40</f>
        <v>89.321843600723923</v>
      </c>
      <c r="J51" s="140">
        <f>J49/J40</f>
        <v>98.995504637350251</v>
      </c>
      <c r="K51" s="141" t="s">
        <v>94</v>
      </c>
    </row>
    <row r="52" spans="1:11" ht="13.5" thickBot="1">
      <c r="A52" s="802" t="s">
        <v>229</v>
      </c>
      <c r="B52" s="803"/>
      <c r="C52" s="168">
        <f>SUMIF($G$7:$G$31,"Change Grade",$F$7:$F$31)</f>
        <v>0</v>
      </c>
      <c r="D52" s="122">
        <f>C52+'15'!D52</f>
        <v>0</v>
      </c>
      <c r="E52" s="147">
        <f t="shared" si="14"/>
        <v>0</v>
      </c>
      <c r="F52" s="187"/>
      <c r="H52" s="193"/>
      <c r="I52" s="194"/>
      <c r="J52" s="142"/>
      <c r="K52" s="143"/>
    </row>
    <row r="53" spans="1:11">
      <c r="A53" s="797" t="s">
        <v>28</v>
      </c>
      <c r="B53" s="798"/>
      <c r="C53" s="148">
        <f>SUM(C38:C52)</f>
        <v>55</v>
      </c>
      <c r="D53" s="148">
        <f>SUM(D38:D52)</f>
        <v>12731</v>
      </c>
      <c r="E53" s="149">
        <f>SUM(E38:E52)</f>
        <v>212.18333333333334</v>
      </c>
      <c r="F53" s="187"/>
    </row>
    <row r="54" spans="1:11" ht="13.5" thickBot="1">
      <c r="A54" s="795"/>
      <c r="B54" s="796"/>
      <c r="C54" s="150">
        <f>C53/(24*60)</f>
        <v>3.8194444444444448E-2</v>
      </c>
      <c r="D54" s="150">
        <f>D53/(24*60*G4)</f>
        <v>0.55256076388888886</v>
      </c>
      <c r="E54" s="151">
        <f>E53/(G4*24)</f>
        <v>0.55256076388888886</v>
      </c>
      <c r="F54" s="187"/>
    </row>
    <row r="55" spans="1:11">
      <c r="E55" s="195"/>
    </row>
    <row r="56" spans="1:11">
      <c r="A56" s="196" t="s">
        <v>98</v>
      </c>
      <c r="B56" s="197"/>
      <c r="C56" s="198"/>
      <c r="D56" s="198"/>
      <c r="E56" s="198"/>
      <c r="F56" s="199"/>
      <c r="G56" s="198"/>
      <c r="H56" s="200"/>
      <c r="I56" s="201" t="s">
        <v>99</v>
      </c>
      <c r="J56" s="202">
        <f>+D34+'15'!J56</f>
        <v>0</v>
      </c>
      <c r="K56" s="203">
        <f>J56/(J40+J56/1000)/1000</f>
        <v>0</v>
      </c>
    </row>
    <row r="57" spans="1:11">
      <c r="A57" s="178"/>
      <c r="I57" s="201" t="s">
        <v>100</v>
      </c>
      <c r="J57" s="202">
        <f>+E34+'15'!J57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rowBreaks count="1" manualBreakCount="1">
    <brk id="35" max="12"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view="pageBreakPreview" topLeftCell="C16" zoomScale="80" zoomScaleNormal="75" zoomScaleSheetLayoutView="80" workbookViewId="0">
      <selection activeCell="G27" sqref="G27"/>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7109375" style="153" customWidth="1"/>
    <col min="14" max="16384" width="9.140625" style="153"/>
  </cols>
  <sheetData>
    <row r="1" spans="1:25" ht="15.75">
      <c r="A1" s="152"/>
    </row>
    <row r="2" spans="1:25" ht="15.75">
      <c r="A2" s="152" t="s">
        <v>230</v>
      </c>
    </row>
    <row r="3" spans="1:25" ht="15">
      <c r="A3" s="154"/>
    </row>
    <row r="4" spans="1:25" ht="20.25">
      <c r="A4" s="155" t="s">
        <v>4</v>
      </c>
      <c r="B4" s="156"/>
      <c r="F4" s="157" t="s">
        <v>30</v>
      </c>
      <c r="G4" s="158">
        <v>15</v>
      </c>
      <c r="H4" s="158" t="str">
        <f>+'1'!H4</f>
        <v>.10.25</v>
      </c>
      <c r="J4" s="153">
        <f>378+356+458</f>
        <v>1192</v>
      </c>
    </row>
    <row r="5" spans="1:25" ht="13.5" thickBot="1">
      <c r="C5" s="159"/>
      <c r="D5" s="159"/>
    </row>
    <row r="6" spans="1:25"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534</v>
      </c>
      <c r="O6" s="153">
        <v>1290</v>
      </c>
      <c r="P6" s="153">
        <f t="shared" ref="P6:P8" si="0">+O6-O6*0.2</f>
        <v>1032</v>
      </c>
      <c r="Q6" s="153">
        <v>180</v>
      </c>
      <c r="R6" s="153">
        <f>+O6*Q6</f>
        <v>232200</v>
      </c>
      <c r="S6" s="153">
        <f>+P6*Q6</f>
        <v>185760</v>
      </c>
      <c r="T6" s="153" t="s">
        <v>534</v>
      </c>
      <c r="U6" s="153">
        <v>1290</v>
      </c>
      <c r="V6" s="153">
        <f t="shared" ref="V6" si="1">+U6-U6*0.2</f>
        <v>1032</v>
      </c>
      <c r="W6" s="153">
        <v>180</v>
      </c>
      <c r="X6" s="153">
        <f>+U6*W6</f>
        <v>232200</v>
      </c>
      <c r="Y6" s="153">
        <f>+V6*W6</f>
        <v>185760</v>
      </c>
    </row>
    <row r="7" spans="1:25" ht="13.5" customHeight="1" thickBot="1">
      <c r="A7" s="804"/>
      <c r="B7" s="217" t="s">
        <v>542</v>
      </c>
      <c r="C7" s="218">
        <v>14307</v>
      </c>
      <c r="D7" s="219"/>
      <c r="E7" s="220"/>
      <c r="F7" s="235"/>
      <c r="G7" s="582" t="s">
        <v>12</v>
      </c>
      <c r="H7" s="583" t="s">
        <v>418</v>
      </c>
      <c r="I7" s="807" t="s">
        <v>554</v>
      </c>
      <c r="J7" s="216" t="str">
        <f>+'14'!J7</f>
        <v>TW 17 RC HW</v>
      </c>
      <c r="K7" s="237"/>
      <c r="L7" s="241"/>
      <c r="M7" s="121">
        <f>+K7+'14'!M7+L7</f>
        <v>3364</v>
      </c>
      <c r="N7" s="153" t="s">
        <v>550</v>
      </c>
      <c r="O7" s="153">
        <v>1080</v>
      </c>
      <c r="P7" s="153">
        <f>+O7-O7*0.16</f>
        <v>907.2</v>
      </c>
      <c r="Q7" s="153">
        <f>480-Q6</f>
        <v>300</v>
      </c>
      <c r="R7" s="153">
        <f t="shared" ref="R7:R10" si="2">+O7*Q7</f>
        <v>324000</v>
      </c>
      <c r="S7" s="153">
        <f t="shared" ref="S7:S10" si="3">+P7*Q7</f>
        <v>272160</v>
      </c>
      <c r="T7" s="153" t="s">
        <v>534</v>
      </c>
      <c r="U7" s="153">
        <v>1280</v>
      </c>
      <c r="V7" s="153">
        <v>985.59999999999991</v>
      </c>
      <c r="W7" s="153">
        <v>480</v>
      </c>
      <c r="X7" s="153">
        <f t="shared" ref="X7:X10" si="4">+U7*W7</f>
        <v>614400</v>
      </c>
      <c r="Y7" s="153">
        <f t="shared" ref="Y7:Y10" si="5">+V7*W7</f>
        <v>473087.99999999994</v>
      </c>
    </row>
    <row r="8" spans="1:25" ht="13.5" thickBot="1">
      <c r="A8" s="805"/>
      <c r="B8" s="217" t="s">
        <v>562</v>
      </c>
      <c r="C8" s="218">
        <v>1384</v>
      </c>
      <c r="D8" s="219"/>
      <c r="E8" s="221"/>
      <c r="F8" s="231">
        <v>18</v>
      </c>
      <c r="G8" s="584" t="s">
        <v>12</v>
      </c>
      <c r="H8" s="230" t="s">
        <v>482</v>
      </c>
      <c r="I8" s="808"/>
      <c r="J8" s="216" t="str">
        <f>+'14'!J8</f>
        <v>T 14 VP OW</v>
      </c>
      <c r="K8" s="238"/>
      <c r="L8" s="238"/>
      <c r="M8" s="121">
        <f>+K8+'14'!M8+L8</f>
        <v>23832</v>
      </c>
      <c r="P8" s="153">
        <f t="shared" si="0"/>
        <v>0</v>
      </c>
      <c r="R8" s="153">
        <f t="shared" si="2"/>
        <v>0</v>
      </c>
      <c r="S8" s="153">
        <f t="shared" si="3"/>
        <v>0</v>
      </c>
      <c r="T8" s="153" t="s">
        <v>534</v>
      </c>
      <c r="U8" s="153">
        <v>1280</v>
      </c>
      <c r="V8" s="153">
        <v>985.59999999999991</v>
      </c>
      <c r="W8" s="153">
        <v>260</v>
      </c>
      <c r="X8" s="153">
        <f t="shared" si="4"/>
        <v>332800</v>
      </c>
      <c r="Y8" s="153">
        <f t="shared" si="5"/>
        <v>256255.99999999997</v>
      </c>
    </row>
    <row r="9" spans="1:25" ht="13.5" thickBot="1">
      <c r="A9" s="805"/>
      <c r="B9" s="217"/>
      <c r="C9" s="218"/>
      <c r="D9" s="219"/>
      <c r="E9" s="222"/>
      <c r="F9" s="231">
        <f>40-18</f>
        <v>22</v>
      </c>
      <c r="G9" s="584" t="s">
        <v>12</v>
      </c>
      <c r="H9" s="233" t="s">
        <v>399</v>
      </c>
      <c r="I9" s="808"/>
      <c r="J9" s="216" t="str">
        <f>+'14'!J9</f>
        <v>T 14,5 VP OW</v>
      </c>
      <c r="K9" s="238"/>
      <c r="L9" s="238"/>
      <c r="M9" s="121">
        <f>+K9+'14'!M9+L9</f>
        <v>190152</v>
      </c>
      <c r="R9" s="153">
        <f t="shared" si="2"/>
        <v>0</v>
      </c>
      <c r="S9" s="153">
        <f t="shared" si="3"/>
        <v>0</v>
      </c>
      <c r="X9" s="153">
        <f t="shared" si="4"/>
        <v>0</v>
      </c>
      <c r="Y9" s="153">
        <f t="shared" si="5"/>
        <v>0</v>
      </c>
    </row>
    <row r="10" spans="1:25" ht="77.25" thickBot="1">
      <c r="A10" s="805"/>
      <c r="B10" s="217"/>
      <c r="C10" s="218"/>
      <c r="D10" s="219"/>
      <c r="E10" s="221"/>
      <c r="F10" s="231"/>
      <c r="G10" s="229"/>
      <c r="H10" s="233" t="s">
        <v>548</v>
      </c>
      <c r="I10" s="808"/>
      <c r="J10" s="216" t="str">
        <f>+'14'!J10</f>
        <v>T 13,5 VP OW</v>
      </c>
      <c r="K10" s="238">
        <f>+C7+C16+C25</f>
        <v>31662</v>
      </c>
      <c r="L10" s="238"/>
      <c r="M10" s="121">
        <f>+K10+'14'!M10+L10</f>
        <v>35608</v>
      </c>
      <c r="R10" s="153">
        <f t="shared" si="2"/>
        <v>0</v>
      </c>
      <c r="S10" s="153">
        <f t="shared" si="3"/>
        <v>0</v>
      </c>
      <c r="X10" s="153">
        <f t="shared" si="4"/>
        <v>0</v>
      </c>
      <c r="Y10" s="153">
        <f t="shared" si="5"/>
        <v>0</v>
      </c>
    </row>
    <row r="11" spans="1:25" ht="128.25" thickBot="1">
      <c r="A11" s="805"/>
      <c r="B11" s="217"/>
      <c r="C11" s="218"/>
      <c r="D11" s="219"/>
      <c r="E11" s="221"/>
      <c r="F11" s="228"/>
      <c r="G11" s="232"/>
      <c r="H11" s="233" t="s">
        <v>549</v>
      </c>
      <c r="I11" s="808"/>
      <c r="J11" s="216" t="s">
        <v>562</v>
      </c>
      <c r="K11" s="238">
        <f>+C17+C8</f>
        <v>8045</v>
      </c>
      <c r="L11" s="238"/>
      <c r="M11" s="121">
        <f>+K11+'14'!M11+L11</f>
        <v>8045</v>
      </c>
      <c r="P11" s="153">
        <f t="shared" ref="P11" si="6">+O11-O11*0.17</f>
        <v>0</v>
      </c>
      <c r="V11" s="153">
        <f t="shared" ref="V11" si="7">+U11-U11*0.17</f>
        <v>0</v>
      </c>
    </row>
    <row r="12" spans="1:25" ht="13.5" thickBot="1">
      <c r="A12" s="805"/>
      <c r="B12" s="217"/>
      <c r="C12" s="218"/>
      <c r="D12" s="219"/>
      <c r="E12" s="221"/>
      <c r="F12" s="228"/>
      <c r="G12" s="232"/>
      <c r="H12" s="233"/>
      <c r="I12" s="808"/>
      <c r="J12" s="216">
        <f>+'14'!J12</f>
        <v>0</v>
      </c>
      <c r="K12" s="238"/>
      <c r="L12" s="238"/>
      <c r="M12" s="121">
        <f>+K12+'14'!M12+L12</f>
        <v>0</v>
      </c>
      <c r="Q12" s="153">
        <f>SUM(Q5:Q10)</f>
        <v>480</v>
      </c>
      <c r="R12" s="153">
        <f>SUM(R4:R10)</f>
        <v>556200</v>
      </c>
      <c r="S12" s="153">
        <f>SUM(S4:S10)</f>
        <v>457920</v>
      </c>
      <c r="W12" s="153">
        <f>SUM(W5:W10)</f>
        <v>920</v>
      </c>
      <c r="X12" s="153">
        <f>SUM(X4:X10)</f>
        <v>1179400</v>
      </c>
      <c r="Y12" s="153">
        <f>SUM(Y4:Y10)</f>
        <v>915104</v>
      </c>
    </row>
    <row r="13" spans="1:25" ht="13.5" thickBot="1">
      <c r="A13" s="805"/>
      <c r="B13" s="217"/>
      <c r="C13" s="218"/>
      <c r="D13" s="218"/>
      <c r="E13" s="221"/>
      <c r="F13" s="228"/>
      <c r="G13" s="232"/>
      <c r="H13" s="233"/>
      <c r="I13" s="809"/>
      <c r="J13" s="216">
        <f>+'14'!J13</f>
        <v>0</v>
      </c>
      <c r="K13" s="238"/>
      <c r="L13" s="238"/>
      <c r="M13" s="121">
        <f>+K13+'14'!M13+L13</f>
        <v>0</v>
      </c>
      <c r="N13" s="153" t="s">
        <v>421</v>
      </c>
      <c r="Q13" s="153">
        <f>480-Q12</f>
        <v>0</v>
      </c>
      <c r="R13" s="153">
        <f>+R12/Q12</f>
        <v>1158.75</v>
      </c>
      <c r="S13" s="153">
        <f>+S12/Q12</f>
        <v>954</v>
      </c>
      <c r="T13" s="153" t="s">
        <v>421</v>
      </c>
      <c r="W13" s="153">
        <f>480-W12</f>
        <v>-440</v>
      </c>
      <c r="X13" s="153">
        <f>+X12/W12</f>
        <v>1281.9565217391305</v>
      </c>
      <c r="Y13" s="153">
        <f>+Y12/W12</f>
        <v>994.67826086956518</v>
      </c>
    </row>
    <row r="14" spans="1:25" ht="13.5" thickBot="1">
      <c r="A14" s="806"/>
      <c r="B14" s="169" t="s">
        <v>3</v>
      </c>
      <c r="C14" s="103">
        <f>SUM(C7:C13)</f>
        <v>15691</v>
      </c>
      <c r="D14" s="115">
        <f>SUM(D7:D13)</f>
        <v>0</v>
      </c>
      <c r="E14" s="116">
        <f>SUM(E5:E13)</f>
        <v>0</v>
      </c>
      <c r="F14" s="120">
        <f>SUM(F7:F13)</f>
        <v>40</v>
      </c>
      <c r="G14" s="163"/>
      <c r="H14" s="170"/>
      <c r="I14" s="171"/>
      <c r="J14" s="216">
        <f>+'14'!J14</f>
        <v>0</v>
      </c>
      <c r="K14" s="238"/>
      <c r="L14" s="238"/>
      <c r="M14" s="121">
        <f>+K14+'14'!M14+L14</f>
        <v>0</v>
      </c>
    </row>
    <row r="15" spans="1:25" ht="13.5" thickBot="1">
      <c r="A15" s="810"/>
      <c r="B15" s="528"/>
      <c r="C15" s="117">
        <f>C14/($C$23+$D$23+$E$23)</f>
        <v>1.7640247329960652</v>
      </c>
      <c r="D15" s="118">
        <f>D14/($C$23+$D$23+$E$23)</f>
        <v>0</v>
      </c>
      <c r="E15" s="119">
        <f>E14/($C$23+$D$23+$E$23)</f>
        <v>0</v>
      </c>
      <c r="F15" s="235"/>
      <c r="G15" s="582" t="s">
        <v>12</v>
      </c>
      <c r="H15" s="583" t="s">
        <v>418</v>
      </c>
      <c r="I15" s="807" t="s">
        <v>553</v>
      </c>
      <c r="J15" s="216">
        <f>+'14'!J15</f>
        <v>0</v>
      </c>
      <c r="K15" s="238"/>
      <c r="L15" s="238"/>
      <c r="M15" s="121">
        <f>+K15+'14'!M15+L15</f>
        <v>0</v>
      </c>
      <c r="N15" s="153" t="s">
        <v>534</v>
      </c>
      <c r="O15" s="153">
        <v>1280</v>
      </c>
      <c r="P15" s="153">
        <f>+O15-O15*0.23</f>
        <v>985.59999999999991</v>
      </c>
      <c r="Q15" s="153">
        <v>480</v>
      </c>
      <c r="R15" s="153">
        <f>+O15*Q15</f>
        <v>614400</v>
      </c>
      <c r="S15" s="153">
        <f>+P15*Q15</f>
        <v>473087.99999999994</v>
      </c>
    </row>
    <row r="16" spans="1:25" ht="13.5" thickBot="1">
      <c r="A16" s="805"/>
      <c r="B16" s="527" t="s">
        <v>542</v>
      </c>
      <c r="C16" s="526">
        <v>2234</v>
      </c>
      <c r="D16" s="223"/>
      <c r="E16" s="224"/>
      <c r="F16" s="231">
        <v>5</v>
      </c>
      <c r="G16" s="584" t="s">
        <v>12</v>
      </c>
      <c r="H16" s="230" t="s">
        <v>505</v>
      </c>
      <c r="I16" s="808"/>
      <c r="J16" s="216">
        <f>+'14'!J16</f>
        <v>0</v>
      </c>
      <c r="K16" s="229"/>
      <c r="L16" s="229"/>
      <c r="M16" s="121">
        <f>+K16+'14'!M16+L16</f>
        <v>0</v>
      </c>
      <c r="P16" s="153">
        <f>+O16-O16*0.16</f>
        <v>0</v>
      </c>
      <c r="R16" s="153">
        <f t="shared" ref="R16:R19" si="8">+O16*Q16</f>
        <v>0</v>
      </c>
      <c r="S16" s="153">
        <f t="shared" ref="S16:S19" si="9">+P16*Q16</f>
        <v>0</v>
      </c>
    </row>
    <row r="17" spans="1:19" ht="13.5" thickBot="1">
      <c r="A17" s="805"/>
      <c r="B17" s="217" t="s">
        <v>562</v>
      </c>
      <c r="C17" s="218">
        <v>6661</v>
      </c>
      <c r="D17" s="219"/>
      <c r="E17" s="225"/>
      <c r="F17" s="231">
        <v>10</v>
      </c>
      <c r="G17" s="584" t="s">
        <v>12</v>
      </c>
      <c r="H17" s="233" t="s">
        <v>399</v>
      </c>
      <c r="I17" s="808"/>
      <c r="J17" s="216">
        <f>+'14'!J17</f>
        <v>0</v>
      </c>
      <c r="K17" s="229"/>
      <c r="L17" s="229"/>
      <c r="M17" s="121">
        <f>+K17+'14'!M17+L17</f>
        <v>0</v>
      </c>
      <c r="P17" s="153">
        <f t="shared" ref="P17" si="10">+O17-O17*0.2</f>
        <v>0</v>
      </c>
      <c r="R17" s="153">
        <f t="shared" si="8"/>
        <v>0</v>
      </c>
      <c r="S17" s="153">
        <f t="shared" si="9"/>
        <v>0</v>
      </c>
    </row>
    <row r="18" spans="1:19" ht="64.5" thickBot="1">
      <c r="A18" s="805"/>
      <c r="B18" s="217"/>
      <c r="C18" s="218"/>
      <c r="D18" s="219"/>
      <c r="E18" s="225"/>
      <c r="F18" s="231"/>
      <c r="G18" s="229"/>
      <c r="H18" s="233" t="s">
        <v>546</v>
      </c>
      <c r="I18" s="808"/>
      <c r="J18" s="216">
        <f>+'14'!J18</f>
        <v>0</v>
      </c>
      <c r="K18" s="238"/>
      <c r="L18" s="238"/>
      <c r="M18" s="121">
        <f>+K18+'14'!M18+L18</f>
        <v>0</v>
      </c>
      <c r="R18" s="153">
        <f t="shared" si="8"/>
        <v>0</v>
      </c>
      <c r="S18" s="153">
        <f t="shared" si="9"/>
        <v>0</v>
      </c>
    </row>
    <row r="19" spans="1:19" ht="51.75" thickBot="1">
      <c r="A19" s="805"/>
      <c r="B19" s="217"/>
      <c r="C19" s="218"/>
      <c r="D19" s="219"/>
      <c r="E19" s="225"/>
      <c r="F19" s="234"/>
      <c r="G19" s="232"/>
      <c r="H19" s="233" t="s">
        <v>547</v>
      </c>
      <c r="I19" s="808"/>
      <c r="J19" s="216">
        <f>+'14'!J19</f>
        <v>0</v>
      </c>
      <c r="K19" s="238"/>
      <c r="L19" s="238"/>
      <c r="M19" s="121">
        <f>+K19+'14'!M19+L19</f>
        <v>0</v>
      </c>
      <c r="R19" s="153">
        <f t="shared" si="8"/>
        <v>0</v>
      </c>
      <c r="S19" s="153">
        <f t="shared" si="9"/>
        <v>0</v>
      </c>
    </row>
    <row r="20" spans="1:19" ht="13.5" thickBot="1">
      <c r="A20" s="805"/>
      <c r="B20" s="217"/>
      <c r="C20" s="218"/>
      <c r="D20" s="219"/>
      <c r="E20" s="225"/>
      <c r="F20" s="228"/>
      <c r="G20" s="232"/>
      <c r="H20" s="233"/>
      <c r="I20" s="808"/>
      <c r="J20" s="216">
        <f>+'14'!J20</f>
        <v>0</v>
      </c>
      <c r="K20" s="239"/>
      <c r="L20" s="239"/>
      <c r="M20" s="121">
        <f>+K20+'14'!M20+L20</f>
        <v>0</v>
      </c>
      <c r="P20" s="153">
        <f t="shared" ref="P20" si="11">+O20-O20*0.17</f>
        <v>0</v>
      </c>
    </row>
    <row r="21" spans="1:19" ht="13.5" thickBot="1">
      <c r="A21" s="805"/>
      <c r="B21" s="217"/>
      <c r="C21" s="218"/>
      <c r="D21" s="219"/>
      <c r="E21" s="225"/>
      <c r="F21" s="231"/>
      <c r="G21" s="232"/>
      <c r="H21" s="233"/>
      <c r="I21" s="808"/>
      <c r="J21" s="216">
        <f>+'14'!J21</f>
        <v>0</v>
      </c>
      <c r="K21" s="238"/>
      <c r="L21" s="238"/>
      <c r="M21" s="121">
        <f>+K21+'14'!M21+L21</f>
        <v>0</v>
      </c>
      <c r="Q21" s="153">
        <f>SUM(Q14:Q19)</f>
        <v>480</v>
      </c>
      <c r="R21" s="153">
        <f>SUM(R13:R19)</f>
        <v>615558.75</v>
      </c>
      <c r="S21" s="153">
        <f>SUM(S13:S19)</f>
        <v>474041.99999999994</v>
      </c>
    </row>
    <row r="22" spans="1:19" ht="13.5" thickBot="1">
      <c r="A22" s="805"/>
      <c r="B22" s="217"/>
      <c r="C22" s="218"/>
      <c r="D22" s="219"/>
      <c r="E22" s="225"/>
      <c r="F22" s="235"/>
      <c r="G22" s="232"/>
      <c r="H22" s="233"/>
      <c r="I22" s="809"/>
      <c r="J22" s="216">
        <f>+'14'!J22</f>
        <v>0</v>
      </c>
      <c r="K22" s="238"/>
      <c r="L22" s="238"/>
      <c r="M22" s="121">
        <f>+K22+'14'!M22+L22</f>
        <v>0</v>
      </c>
      <c r="N22" s="153" t="s">
        <v>421</v>
      </c>
      <c r="Q22" s="153">
        <f>480-Q21</f>
        <v>0</v>
      </c>
      <c r="R22" s="153">
        <f>+R21/Q21</f>
        <v>1282.4140625</v>
      </c>
      <c r="S22" s="153">
        <f>+S21/Q21</f>
        <v>987.58749999999986</v>
      </c>
    </row>
    <row r="23" spans="1:19" ht="13.5" thickBot="1">
      <c r="A23" s="806"/>
      <c r="B23" s="169" t="s">
        <v>3</v>
      </c>
      <c r="C23" s="103">
        <f>SUM(C16:C22)</f>
        <v>8895</v>
      </c>
      <c r="D23" s="115">
        <f>SUM(D16:D22)</f>
        <v>0</v>
      </c>
      <c r="E23" s="116">
        <f>SUM(E18:E22)</f>
        <v>0</v>
      </c>
      <c r="F23" s="120">
        <f>SUM(F15:F22)</f>
        <v>15</v>
      </c>
      <c r="G23" s="163"/>
      <c r="H23" s="170"/>
      <c r="I23" s="172"/>
      <c r="J23" s="216">
        <f>+'14'!J23</f>
        <v>0</v>
      </c>
      <c r="K23" s="238"/>
      <c r="L23" s="238"/>
      <c r="M23" s="121">
        <f>+K23+'14'!M23+L23</f>
        <v>0</v>
      </c>
      <c r="Q23" s="178"/>
      <c r="R23" s="178"/>
    </row>
    <row r="24" spans="1:19" ht="13.5" thickBot="1">
      <c r="A24" s="810"/>
      <c r="B24" s="528"/>
      <c r="C24" s="117">
        <f>C23/($C$23+$D$23+$E$23)</f>
        <v>1</v>
      </c>
      <c r="D24" s="118">
        <f>D23/($C$23+$D$23+$E$23)</f>
        <v>0</v>
      </c>
      <c r="E24" s="119">
        <f>E23/($C$23+$D$23+$E$23)</f>
        <v>0</v>
      </c>
      <c r="F24" s="235"/>
      <c r="G24" s="582" t="s">
        <v>12</v>
      </c>
      <c r="H24" s="583" t="s">
        <v>418</v>
      </c>
      <c r="I24" s="807" t="s">
        <v>552</v>
      </c>
      <c r="J24" s="216">
        <f>+'14'!J24</f>
        <v>0</v>
      </c>
      <c r="K24" s="238"/>
      <c r="L24" s="238"/>
      <c r="M24" s="121">
        <f>+K24+'14'!M24+L24</f>
        <v>0</v>
      </c>
    </row>
    <row r="25" spans="1:19" ht="13.5" thickBot="1">
      <c r="A25" s="805"/>
      <c r="B25" s="527" t="s">
        <v>542</v>
      </c>
      <c r="C25" s="226">
        <v>15121</v>
      </c>
      <c r="D25" s="219"/>
      <c r="E25" s="225"/>
      <c r="F25" s="231">
        <v>8</v>
      </c>
      <c r="G25" s="584" t="s">
        <v>12</v>
      </c>
      <c r="H25" s="230" t="s">
        <v>505</v>
      </c>
      <c r="I25" s="808"/>
      <c r="J25" s="216">
        <f>+'14'!J25</f>
        <v>0</v>
      </c>
      <c r="K25" s="238"/>
      <c r="L25" s="238"/>
      <c r="M25" s="121">
        <f>+K25+'14'!M25+L25</f>
        <v>0</v>
      </c>
      <c r="N25" s="153" t="s">
        <v>534</v>
      </c>
      <c r="O25" s="153">
        <v>1280</v>
      </c>
      <c r="P25" s="153">
        <f>+O25-O25*0.23</f>
        <v>985.59999999999991</v>
      </c>
      <c r="Q25" s="153">
        <f>60*4+20</f>
        <v>260</v>
      </c>
      <c r="R25" s="153">
        <f>+O25*Q25</f>
        <v>332800</v>
      </c>
      <c r="S25" s="153">
        <f>+P25*Q25</f>
        <v>256255.99999999997</v>
      </c>
    </row>
    <row r="26" spans="1:19" ht="13.5" thickBot="1">
      <c r="A26" s="805"/>
      <c r="B26" s="217"/>
      <c r="C26" s="226"/>
      <c r="D26" s="219"/>
      <c r="E26" s="227"/>
      <c r="F26" s="231">
        <f>30-8</f>
        <v>22</v>
      </c>
      <c r="G26" s="584" t="s">
        <v>12</v>
      </c>
      <c r="H26" s="233" t="s">
        <v>484</v>
      </c>
      <c r="I26" s="808"/>
      <c r="J26" s="216">
        <f>+'14'!J26</f>
        <v>0</v>
      </c>
      <c r="K26" s="238"/>
      <c r="L26" s="238"/>
      <c r="M26" s="121">
        <f>+K26+'14'!M26+L26</f>
        <v>0</v>
      </c>
      <c r="N26" s="153" t="s">
        <v>551</v>
      </c>
      <c r="O26" s="153">
        <v>1350</v>
      </c>
      <c r="P26" s="153">
        <f>+O26-O26*0.23</f>
        <v>1039.5</v>
      </c>
      <c r="Q26" s="153">
        <f>480-Q25</f>
        <v>220</v>
      </c>
      <c r="R26" s="153">
        <f t="shared" ref="R26:R29" si="12">+O26*Q26</f>
        <v>297000</v>
      </c>
      <c r="S26" s="153">
        <f t="shared" ref="S26:S29" si="13">+P26*Q26</f>
        <v>228690</v>
      </c>
    </row>
    <row r="27" spans="1:19" ht="90" thickBot="1">
      <c r="A27" s="805"/>
      <c r="B27" s="217"/>
      <c r="C27" s="218"/>
      <c r="D27" s="219"/>
      <c r="E27" s="225"/>
      <c r="F27" s="231"/>
      <c r="G27" s="229"/>
      <c r="H27" s="233" t="s">
        <v>544</v>
      </c>
      <c r="I27" s="808"/>
      <c r="J27" s="216">
        <f>+'14'!J27</f>
        <v>0</v>
      </c>
      <c r="K27" s="238"/>
      <c r="L27" s="238"/>
      <c r="M27" s="121">
        <f>+K27+'14'!M27+L27</f>
        <v>0</v>
      </c>
      <c r="P27" s="153">
        <f t="shared" ref="P27" si="14">+O27-O27*0.2</f>
        <v>0</v>
      </c>
      <c r="R27" s="153">
        <f t="shared" si="12"/>
        <v>0</v>
      </c>
      <c r="S27" s="153">
        <f t="shared" si="13"/>
        <v>0</v>
      </c>
    </row>
    <row r="28" spans="1:19" ht="115.5" thickBot="1">
      <c r="A28" s="805"/>
      <c r="B28" s="217"/>
      <c r="C28" s="218"/>
      <c r="D28" s="219"/>
      <c r="E28" s="225"/>
      <c r="F28" s="231"/>
      <c r="G28" s="229"/>
      <c r="H28" s="233" t="s">
        <v>545</v>
      </c>
      <c r="I28" s="808"/>
      <c r="J28" s="216">
        <f>+'14'!J28</f>
        <v>0</v>
      </c>
      <c r="K28" s="238"/>
      <c r="L28" s="238"/>
      <c r="M28" s="121">
        <f>+K28+'14'!M28+L28</f>
        <v>0</v>
      </c>
      <c r="R28" s="153">
        <f t="shared" si="12"/>
        <v>0</v>
      </c>
      <c r="S28" s="153">
        <f t="shared" si="13"/>
        <v>0</v>
      </c>
    </row>
    <row r="29" spans="1:19" ht="13.5" thickBot="1">
      <c r="A29" s="805"/>
      <c r="B29" s="217"/>
      <c r="C29" s="218"/>
      <c r="D29" s="219"/>
      <c r="E29" s="225"/>
      <c r="F29" s="235"/>
      <c r="G29" s="232"/>
      <c r="H29" s="233"/>
      <c r="I29" s="808"/>
      <c r="J29" s="216">
        <f>+'14'!J29</f>
        <v>0</v>
      </c>
      <c r="K29" s="238"/>
      <c r="L29" s="238"/>
      <c r="M29" s="121">
        <f>+K29+'14'!M29+L29</f>
        <v>0</v>
      </c>
      <c r="R29" s="153">
        <f t="shared" si="12"/>
        <v>0</v>
      </c>
      <c r="S29" s="153">
        <f t="shared" si="13"/>
        <v>0</v>
      </c>
    </row>
    <row r="30" spans="1:19" ht="13.5" thickBot="1">
      <c r="A30" s="805"/>
      <c r="B30" s="217"/>
      <c r="C30" s="226"/>
      <c r="D30" s="219"/>
      <c r="E30" s="225"/>
      <c r="F30" s="235"/>
      <c r="G30" s="232"/>
      <c r="H30" s="233"/>
      <c r="I30" s="808"/>
      <c r="J30" s="216">
        <f>+'14'!J30</f>
        <v>0</v>
      </c>
      <c r="K30" s="238"/>
      <c r="L30" s="238"/>
      <c r="M30" s="121">
        <f>+K30+'14'!M30+L30</f>
        <v>0</v>
      </c>
      <c r="P30" s="153">
        <f t="shared" ref="P30" si="15">+O30-O30*0.17</f>
        <v>0</v>
      </c>
    </row>
    <row r="31" spans="1:19" ht="13.5" thickBot="1">
      <c r="A31" s="805"/>
      <c r="B31" s="217"/>
      <c r="C31" s="226"/>
      <c r="D31" s="219"/>
      <c r="E31" s="225"/>
      <c r="F31" s="235"/>
      <c r="G31" s="236"/>
      <c r="H31" s="413"/>
      <c r="I31" s="809"/>
      <c r="J31" s="216">
        <f>+'14'!J31</f>
        <v>0</v>
      </c>
      <c r="K31" s="238"/>
      <c r="L31" s="238"/>
      <c r="M31" s="121">
        <f>+K31+'14'!M31+L31</f>
        <v>0</v>
      </c>
      <c r="Q31" s="153">
        <f>SUM(Q24:Q29)</f>
        <v>480</v>
      </c>
      <c r="R31" s="153">
        <f>SUM(R23:R29)</f>
        <v>629800</v>
      </c>
      <c r="S31" s="153">
        <f>SUM(S23:S29)</f>
        <v>484946</v>
      </c>
    </row>
    <row r="32" spans="1:19" ht="13.5" thickBot="1">
      <c r="A32" s="806"/>
      <c r="B32" s="169" t="s">
        <v>3</v>
      </c>
      <c r="C32" s="103">
        <f>SUM(C25:C31)</f>
        <v>15121</v>
      </c>
      <c r="D32" s="104">
        <f>SUM(D25:D31)</f>
        <v>0</v>
      </c>
      <c r="E32" s="105">
        <f>SUM(E25:E31)</f>
        <v>0</v>
      </c>
      <c r="F32" s="103">
        <f>SUM(F24:F31)</f>
        <v>30</v>
      </c>
      <c r="G32" s="173"/>
      <c r="H32" s="174"/>
      <c r="I32" s="172"/>
      <c r="J32" s="216">
        <f>+'14'!J32</f>
        <v>0</v>
      </c>
      <c r="K32" s="240"/>
      <c r="L32" s="242"/>
      <c r="M32" s="121">
        <f>+K32+'14'!M32+L32</f>
        <v>0</v>
      </c>
      <c r="N32" s="153" t="s">
        <v>421</v>
      </c>
      <c r="Q32" s="153">
        <f>480-Q31</f>
        <v>0</v>
      </c>
      <c r="R32" s="153">
        <f>+R31/Q31</f>
        <v>1312.0833333333333</v>
      </c>
      <c r="S32" s="153">
        <f>+S31/Q31</f>
        <v>1010.3041666666667</v>
      </c>
    </row>
    <row r="33" spans="1:17" ht="13.5" thickBot="1">
      <c r="A33" s="175"/>
      <c r="B33" s="176"/>
      <c r="C33" s="107">
        <f>C32/($C$32+$D$32+$E$32)</f>
        <v>1</v>
      </c>
      <c r="D33" s="108">
        <f>D32/($C$32+$D$32+$E$32)</f>
        <v>0</v>
      </c>
      <c r="E33" s="109">
        <f>E32/($C$32+$D$32+$E$32)</f>
        <v>0</v>
      </c>
      <c r="F33" s="110"/>
      <c r="G33" s="177"/>
      <c r="H33" s="178"/>
      <c r="I33" s="179"/>
      <c r="J33" s="125"/>
      <c r="K33" s="126"/>
      <c r="L33" s="215"/>
      <c r="M33" s="123"/>
    </row>
    <row r="34" spans="1:17" ht="13.5" thickBot="1">
      <c r="A34" s="811" t="s">
        <v>69</v>
      </c>
      <c r="B34" s="812"/>
      <c r="C34" s="111">
        <f>C14+C23+C32</f>
        <v>39707</v>
      </c>
      <c r="D34" s="111">
        <f>D14+D23+D32</f>
        <v>0</v>
      </c>
      <c r="E34" s="111">
        <f>E14+E23+E32</f>
        <v>0</v>
      </c>
      <c r="F34" s="112">
        <f>F14+F23+F32</f>
        <v>85</v>
      </c>
      <c r="H34" s="180"/>
      <c r="I34" s="180"/>
      <c r="J34" s="127" t="s">
        <v>28</v>
      </c>
      <c r="K34" s="128">
        <f>SUM(K7:K32)</f>
        <v>39707</v>
      </c>
      <c r="L34" s="214">
        <f>SUM(L7:L32)</f>
        <v>0</v>
      </c>
      <c r="M34" s="124">
        <f>SUM(M7:M32)</f>
        <v>261001</v>
      </c>
      <c r="N34" s="159"/>
    </row>
    <row r="35" spans="1:17" ht="13.5" thickBot="1">
      <c r="A35" s="573"/>
      <c r="B35" s="182"/>
      <c r="C35" s="108">
        <f>C34/($C$34+$D$34+$E$34)</f>
        <v>1</v>
      </c>
      <c r="D35" s="108">
        <f>D34/($C$34+$D$34+$E$34)</f>
        <v>0</v>
      </c>
      <c r="E35" s="113">
        <f>E34/($C$34+$D$34+$E$34)</f>
        <v>0</v>
      </c>
      <c r="K35" s="159"/>
    </row>
    <row r="36" spans="1:17" ht="13.5" thickBot="1">
      <c r="A36" s="180"/>
      <c r="B36" s="180"/>
      <c r="C36" s="159"/>
      <c r="D36" s="159"/>
      <c r="E36" s="159"/>
      <c r="G36" s="159"/>
      <c r="H36" s="183"/>
      <c r="I36" s="166" t="s">
        <v>38</v>
      </c>
      <c r="J36" s="166" t="s">
        <v>39</v>
      </c>
      <c r="K36" s="184"/>
      <c r="N36" s="153" t="s">
        <v>534</v>
      </c>
      <c r="O36" s="153">
        <v>1281.9565217391305</v>
      </c>
      <c r="P36" s="153">
        <v>994.67826086956518</v>
      </c>
      <c r="Q36" s="153">
        <v>920</v>
      </c>
    </row>
    <row r="37" spans="1:17" ht="17.45" customHeight="1" thickBot="1">
      <c r="A37" s="813" t="s">
        <v>70</v>
      </c>
      <c r="B37" s="814"/>
      <c r="C37" s="166" t="s">
        <v>71</v>
      </c>
      <c r="D37" s="185" t="s">
        <v>72</v>
      </c>
      <c r="E37" s="186" t="s">
        <v>73</v>
      </c>
      <c r="F37" s="311"/>
      <c r="G37" s="313"/>
      <c r="H37" s="188" t="s">
        <v>74</v>
      </c>
      <c r="I37" s="243">
        <f>(13.5*920+300*16.5+12.5*220)/1440*G42*2.7*1440/1000000</f>
        <v>53.452854300000006</v>
      </c>
      <c r="J37" s="129">
        <f>+I37+'14'!J37</f>
        <v>334.15353253373718</v>
      </c>
      <c r="K37" s="130" t="s">
        <v>75</v>
      </c>
      <c r="N37" s="153" t="s">
        <v>550</v>
      </c>
      <c r="O37" s="153">
        <v>1080</v>
      </c>
      <c r="P37" s="153">
        <v>907.2</v>
      </c>
      <c r="Q37" s="153">
        <v>300</v>
      </c>
    </row>
    <row r="38" spans="1:17" ht="17.45" customHeight="1">
      <c r="A38" s="797" t="s">
        <v>12</v>
      </c>
      <c r="B38" s="798"/>
      <c r="C38" s="168">
        <f>SUMIF($G$7:$G$31,"Process",$F$7:$F$31)</f>
        <v>85</v>
      </c>
      <c r="D38" s="122">
        <f>C38+'14'!D38</f>
        <v>771</v>
      </c>
      <c r="E38" s="147">
        <f t="shared" ref="E38:E52" si="16">D38/60</f>
        <v>12.85</v>
      </c>
      <c r="F38" s="311">
        <v>1158.75</v>
      </c>
      <c r="G38" s="311">
        <v>954</v>
      </c>
      <c r="H38" s="189" t="s">
        <v>76</v>
      </c>
      <c r="I38" s="534">
        <f>16.829+15.275+13.971</f>
        <v>46.075000000000003</v>
      </c>
      <c r="J38" s="131">
        <f>+I38+'14'!J38</f>
        <v>288.14299999999997</v>
      </c>
      <c r="K38" s="132" t="s">
        <v>75</v>
      </c>
      <c r="N38" s="153" t="s">
        <v>551</v>
      </c>
      <c r="O38" s="153">
        <v>1350</v>
      </c>
      <c r="P38" s="153">
        <v>1039.5</v>
      </c>
      <c r="Q38" s="153">
        <v>220</v>
      </c>
    </row>
    <row r="39" spans="1:17" ht="17.45" customHeight="1">
      <c r="A39" s="799" t="s">
        <v>13</v>
      </c>
      <c r="B39" s="800"/>
      <c r="C39" s="168">
        <f>SUMIF($G$7:$G$31,"Cleaning",$F$7:$F$31)</f>
        <v>0</v>
      </c>
      <c r="D39" s="122">
        <f>C39+'14'!D39</f>
        <v>0</v>
      </c>
      <c r="E39" s="147">
        <f t="shared" si="16"/>
        <v>0</v>
      </c>
      <c r="F39" s="311">
        <v>1282.4140625</v>
      </c>
      <c r="G39" s="311">
        <v>987.58749999999986</v>
      </c>
      <c r="H39" s="189" t="s">
        <v>77</v>
      </c>
      <c r="I39" s="146"/>
      <c r="J39" s="133">
        <f>J37/G4</f>
        <v>22.276902168915811</v>
      </c>
      <c r="K39" s="134" t="s">
        <v>75</v>
      </c>
      <c r="Q39" s="153">
        <f>+Q36+Q37+Q38</f>
        <v>1440</v>
      </c>
    </row>
    <row r="40" spans="1:17" ht="17.45" customHeight="1">
      <c r="A40" s="799" t="s">
        <v>78</v>
      </c>
      <c r="B40" s="800"/>
      <c r="C40" s="168">
        <f>SUMIF($G$7:$G$31,"Mechanical",$F$7:$F$31)</f>
        <v>0</v>
      </c>
      <c r="D40" s="122">
        <f>C40+'14'!D40</f>
        <v>0</v>
      </c>
      <c r="E40" s="147">
        <f t="shared" si="16"/>
        <v>0</v>
      </c>
      <c r="F40" s="311">
        <v>1312.0833333333333</v>
      </c>
      <c r="G40" s="311">
        <v>1010.3041666666667</v>
      </c>
      <c r="H40" s="189" t="s">
        <v>79</v>
      </c>
      <c r="I40" s="122">
        <f>(K34+L34)/1000</f>
        <v>39.707000000000001</v>
      </c>
      <c r="J40" s="135">
        <f>+I40+'14'!J40</f>
        <v>261.00100000000003</v>
      </c>
      <c r="K40" s="134" t="s">
        <v>75</v>
      </c>
    </row>
    <row r="41" spans="1:17" ht="17.45" customHeight="1">
      <c r="A41" s="799" t="s">
        <v>80</v>
      </c>
      <c r="B41" s="800"/>
      <c r="C41" s="168">
        <f>SUMIF($G$7:$G$31,"Electrical",$F$7:$F$31)</f>
        <v>0</v>
      </c>
      <c r="D41" s="122">
        <f>C41+'14'!D41</f>
        <v>60</v>
      </c>
      <c r="E41" s="147">
        <f t="shared" si="16"/>
        <v>1</v>
      </c>
      <c r="F41" s="311"/>
      <c r="G41" s="311"/>
      <c r="H41" s="189" t="s">
        <v>81</v>
      </c>
      <c r="I41" s="146"/>
      <c r="J41" s="133">
        <f>J40/G4</f>
        <v>17.400066666666667</v>
      </c>
      <c r="K41" s="134" t="s">
        <v>75</v>
      </c>
    </row>
    <row r="42" spans="1:17" ht="17.45" customHeight="1">
      <c r="A42" s="799" t="s">
        <v>16</v>
      </c>
      <c r="B42" s="800"/>
      <c r="C42" s="168">
        <f>SUMIF($G$7:$G$31,"Instrument",$F$7:$F$31)</f>
        <v>0</v>
      </c>
      <c r="D42" s="122">
        <f>C42+'14'!D42</f>
        <v>0</v>
      </c>
      <c r="E42" s="147">
        <f t="shared" si="16"/>
        <v>0</v>
      </c>
      <c r="F42" s="187">
        <f>+(F38*480+F39*480+F40*480)/1440</f>
        <v>1251.0824652777778</v>
      </c>
      <c r="G42" s="187">
        <f>+(G38*480+G39*480+G40*480)/1440</f>
        <v>983.96388888888885</v>
      </c>
      <c r="H42" s="189" t="s">
        <v>82</v>
      </c>
      <c r="I42" s="245" t="s">
        <v>556</v>
      </c>
      <c r="J42" s="136"/>
      <c r="K42" s="134" t="s">
        <v>83</v>
      </c>
    </row>
    <row r="43" spans="1:17" ht="17.45" customHeight="1">
      <c r="A43" s="799" t="s">
        <v>84</v>
      </c>
      <c r="B43" s="800"/>
      <c r="C43" s="168">
        <f>SUMIF($G$7:$G$31,"Water",$F$7:$F$31)</f>
        <v>0</v>
      </c>
      <c r="D43" s="122">
        <f>C43+'14'!D43</f>
        <v>0</v>
      </c>
      <c r="E43" s="147">
        <f t="shared" si="16"/>
        <v>0</v>
      </c>
      <c r="F43" s="311"/>
      <c r="G43" s="312"/>
      <c r="H43" s="190" t="s">
        <v>85</v>
      </c>
      <c r="I43" s="122">
        <f>+Report1!Z23</f>
        <v>94.8</v>
      </c>
      <c r="J43" s="137">
        <f>+I43+'14'!J43</f>
        <v>635</v>
      </c>
      <c r="K43" s="134" t="s">
        <v>75</v>
      </c>
      <c r="L43" s="191"/>
    </row>
    <row r="44" spans="1:17" ht="17.45" customHeight="1">
      <c r="A44" s="799" t="s">
        <v>17</v>
      </c>
      <c r="B44" s="800"/>
      <c r="C44" s="168">
        <f>SUMIF($G$7:$G$31,"PLN",$F$7:$F$31)</f>
        <v>0</v>
      </c>
      <c r="D44" s="122">
        <f>C44+'14'!D44</f>
        <v>0</v>
      </c>
      <c r="E44" s="147">
        <f t="shared" si="16"/>
        <v>0</v>
      </c>
      <c r="F44" s="311"/>
      <c r="G44" s="312"/>
      <c r="H44" s="190" t="s">
        <v>86</v>
      </c>
      <c r="I44" s="122">
        <f>I43/I38</f>
        <v>2.0575149213239281</v>
      </c>
      <c r="J44" s="138">
        <f>J43/J38</f>
        <v>2.2037668796396237</v>
      </c>
      <c r="K44" s="134" t="s">
        <v>75</v>
      </c>
    </row>
    <row r="45" spans="1:17" ht="17.45" customHeight="1">
      <c r="A45" s="799" t="s">
        <v>18</v>
      </c>
      <c r="B45" s="800"/>
      <c r="C45" s="168">
        <f>SUMIF($G$7:$G$31,"Boiler",$F$7:$F$31)</f>
        <v>0</v>
      </c>
      <c r="D45" s="122">
        <f>C45+'14'!D45</f>
        <v>0</v>
      </c>
      <c r="E45" s="147">
        <f t="shared" si="16"/>
        <v>0</v>
      </c>
      <c r="F45" s="311"/>
      <c r="G45" s="314"/>
      <c r="H45" s="190" t="s">
        <v>87</v>
      </c>
      <c r="I45" s="122">
        <f>I43/I40</f>
        <v>2.3874883521797163</v>
      </c>
      <c r="J45" s="138">
        <f>J43/J40</f>
        <v>2.4329408699583523</v>
      </c>
      <c r="K45" s="134" t="s">
        <v>75</v>
      </c>
    </row>
    <row r="46" spans="1:17" ht="17.45" customHeight="1">
      <c r="A46" s="799" t="s">
        <v>88</v>
      </c>
      <c r="B46" s="800"/>
      <c r="C46" s="168">
        <f>SUMIF($G$7:$G$31,"Gas",$F$7:$F$31)</f>
        <v>0</v>
      </c>
      <c r="D46" s="122">
        <f>C46+'14'!D46</f>
        <v>0</v>
      </c>
      <c r="E46" s="147">
        <f t="shared" si="16"/>
        <v>0</v>
      </c>
      <c r="F46" s="311"/>
      <c r="G46" s="312"/>
      <c r="H46" s="190" t="s">
        <v>89</v>
      </c>
      <c r="I46" s="144">
        <f>+SUMIF(Listrik!X22,"&gt;0")</f>
        <v>41750.799999999777</v>
      </c>
      <c r="J46" s="139">
        <f>+I46+'14'!J46</f>
        <v>279567.96240000008</v>
      </c>
      <c r="K46" s="134" t="s">
        <v>90</v>
      </c>
    </row>
    <row r="47" spans="1:17" ht="17.45" customHeight="1">
      <c r="A47" s="799" t="s">
        <v>91</v>
      </c>
      <c r="B47" s="800"/>
      <c r="C47" s="168">
        <f>SUMIF($G$7:$G$31,"Gas",$F$7:$F$31)</f>
        <v>0</v>
      </c>
      <c r="D47" s="122">
        <f>C47+'14'!D47</f>
        <v>0</v>
      </c>
      <c r="E47" s="147">
        <f t="shared" si="16"/>
        <v>0</v>
      </c>
      <c r="F47" s="311"/>
      <c r="G47" s="312"/>
      <c r="H47" s="190" t="s">
        <v>92</v>
      </c>
      <c r="I47" s="122">
        <f>I46/I38</f>
        <v>906.14867064568148</v>
      </c>
      <c r="J47" s="139">
        <f>J46/J38</f>
        <v>970.24034038654452</v>
      </c>
      <c r="K47" s="134" t="s">
        <v>24</v>
      </c>
    </row>
    <row r="48" spans="1:17" ht="17.45" customHeight="1">
      <c r="A48" s="799" t="s">
        <v>14</v>
      </c>
      <c r="B48" s="800"/>
      <c r="C48" s="168">
        <f>SUMIF($G$7:$G$31,"Start Up",$F$7:$F$31)</f>
        <v>0</v>
      </c>
      <c r="D48" s="122">
        <f>C48+'14'!D48</f>
        <v>0</v>
      </c>
      <c r="E48" s="147">
        <f t="shared" si="16"/>
        <v>0</v>
      </c>
      <c r="F48" s="311"/>
      <c r="G48" s="312"/>
      <c r="H48" s="190" t="s">
        <v>93</v>
      </c>
      <c r="I48" s="122">
        <f>I46/I40</f>
        <v>1051.4720326390757</v>
      </c>
      <c r="J48" s="139">
        <f>J46/J40</f>
        <v>1071.1375144156536</v>
      </c>
      <c r="K48" s="134" t="s">
        <v>24</v>
      </c>
    </row>
    <row r="49" spans="1:11" ht="17.45" customHeight="1">
      <c r="A49" s="799" t="s">
        <v>20</v>
      </c>
      <c r="B49" s="800"/>
      <c r="C49" s="168">
        <f>SUMIF($G$7:$G$31,"Others",$F$7:$F$31)</f>
        <v>0</v>
      </c>
      <c r="D49" s="122">
        <f>C49+'14'!D49</f>
        <v>11845</v>
      </c>
      <c r="E49" s="147">
        <f t="shared" si="16"/>
        <v>197.41666666666666</v>
      </c>
      <c r="F49" s="187"/>
      <c r="H49" s="190" t="s">
        <v>279</v>
      </c>
      <c r="I49" s="122">
        <f>+Report1!T23</f>
        <v>3919.3263458528231</v>
      </c>
      <c r="J49" s="139">
        <f>+I49+'14'!J49</f>
        <v>26263.295928955587</v>
      </c>
      <c r="K49" s="134" t="s">
        <v>94</v>
      </c>
    </row>
    <row r="50" spans="1:11" ht="17.45" customHeight="1">
      <c r="A50" s="799" t="s">
        <v>19</v>
      </c>
      <c r="B50" s="800"/>
      <c r="C50" s="168">
        <f>SUMIF($G$7:$G$31,"Steam",$F$7:$F$31)</f>
        <v>0</v>
      </c>
      <c r="D50" s="122">
        <f>C50+'14'!D50</f>
        <v>0</v>
      </c>
      <c r="E50" s="147">
        <f t="shared" si="16"/>
        <v>0</v>
      </c>
      <c r="F50" s="187"/>
      <c r="H50" s="190" t="s">
        <v>95</v>
      </c>
      <c r="I50" s="144">
        <f>I49/I38</f>
        <v>85.064055254537664</v>
      </c>
      <c r="J50" s="137">
        <f>J49/J38</f>
        <v>91.146742863632255</v>
      </c>
      <c r="K50" s="134" t="s">
        <v>94</v>
      </c>
    </row>
    <row r="51" spans="1:11" ht="17.45" customHeight="1">
      <c r="A51" s="801" t="s">
        <v>96</v>
      </c>
      <c r="B51" s="801"/>
      <c r="C51" s="168">
        <f>SUMIF($G$7:$G$31,"Planned shut",$F$7:$F$31)</f>
        <v>0</v>
      </c>
      <c r="D51" s="122">
        <f>C51+'14'!D51</f>
        <v>0</v>
      </c>
      <c r="E51" s="147">
        <f t="shared" si="16"/>
        <v>0</v>
      </c>
      <c r="F51" s="187"/>
      <c r="H51" s="192" t="s">
        <v>97</v>
      </c>
      <c r="I51" s="145">
        <f>I49/I40</f>
        <v>98.70618142526061</v>
      </c>
      <c r="J51" s="140">
        <f>J49/J40</f>
        <v>100.62526936278246</v>
      </c>
      <c r="K51" s="141" t="s">
        <v>94</v>
      </c>
    </row>
    <row r="52" spans="1:11" ht="13.5" thickBot="1">
      <c r="A52" s="802" t="s">
        <v>229</v>
      </c>
      <c r="B52" s="803"/>
      <c r="C52" s="168">
        <f>SUMIF($G$7:$G$31,"Change Grade",$F$7:$F$31)</f>
        <v>0</v>
      </c>
      <c r="D52" s="122">
        <f>C52+'14'!D52</f>
        <v>0</v>
      </c>
      <c r="E52" s="147">
        <f t="shared" si="16"/>
        <v>0</v>
      </c>
      <c r="F52" s="187"/>
      <c r="H52" s="193"/>
      <c r="I52" s="194"/>
      <c r="J52" s="142"/>
      <c r="K52" s="143"/>
    </row>
    <row r="53" spans="1:11">
      <c r="A53" s="797" t="s">
        <v>28</v>
      </c>
      <c r="B53" s="798"/>
      <c r="C53" s="148">
        <f>SUM(C38:C52)</f>
        <v>85</v>
      </c>
      <c r="D53" s="148">
        <f>SUM(D38:D52)</f>
        <v>12676</v>
      </c>
      <c r="E53" s="149">
        <f>SUM(E38:E52)</f>
        <v>211.26666666666665</v>
      </c>
      <c r="F53" s="187"/>
    </row>
    <row r="54" spans="1:11" ht="13.5" thickBot="1">
      <c r="A54" s="795"/>
      <c r="B54" s="796"/>
      <c r="C54" s="150">
        <f>C53/(24*60)</f>
        <v>5.9027777777777776E-2</v>
      </c>
      <c r="D54" s="150">
        <f>D53/(24*60*G4)</f>
        <v>0.58685185185185185</v>
      </c>
      <c r="E54" s="151">
        <f>E53/(G4*24)</f>
        <v>0.58685185185185185</v>
      </c>
      <c r="F54" s="187"/>
    </row>
    <row r="55" spans="1:11">
      <c r="E55" s="195"/>
    </row>
    <row r="56" spans="1:11">
      <c r="A56" s="196" t="s">
        <v>98</v>
      </c>
      <c r="B56" s="197"/>
      <c r="C56" s="198"/>
      <c r="D56" s="198"/>
      <c r="E56" s="198"/>
      <c r="F56" s="199"/>
      <c r="G56" s="198"/>
      <c r="H56" s="200"/>
      <c r="I56" s="201" t="s">
        <v>99</v>
      </c>
      <c r="J56" s="202">
        <f>+D34+'14'!J56</f>
        <v>0</v>
      </c>
      <c r="K56" s="203">
        <f>J56/(J40+J56/1000)/1000</f>
        <v>0</v>
      </c>
    </row>
    <row r="57" spans="1:11">
      <c r="A57" s="178"/>
      <c r="I57" s="201" t="s">
        <v>100</v>
      </c>
      <c r="J57" s="202">
        <f>+E34+'14'!J57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I7:I13"/>
    <mergeCell ref="A15:A23"/>
    <mergeCell ref="I15:I22"/>
    <mergeCell ref="A44:B44"/>
    <mergeCell ref="A45:B45"/>
    <mergeCell ref="A42:B42"/>
    <mergeCell ref="I24:I31"/>
    <mergeCell ref="A24:A32"/>
    <mergeCell ref="A47:B47"/>
    <mergeCell ref="A7:A14"/>
    <mergeCell ref="A34:B34"/>
    <mergeCell ref="A37:B37"/>
    <mergeCell ref="A38:B38"/>
    <mergeCell ref="A39:B39"/>
    <mergeCell ref="A46:B46"/>
    <mergeCell ref="A40:B40"/>
    <mergeCell ref="A41:B41"/>
    <mergeCell ref="A43:B43"/>
    <mergeCell ref="A54:B54"/>
    <mergeCell ref="A53:B53"/>
    <mergeCell ref="A48:B48"/>
    <mergeCell ref="A49:B49"/>
    <mergeCell ref="A50:B50"/>
    <mergeCell ref="A51:B51"/>
    <mergeCell ref="A52:B5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E13" zoomScale="80" zoomScaleNormal="75" zoomScaleSheetLayoutView="80" workbookViewId="0">
      <selection activeCell="H19" sqref="H19"/>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25" ht="15.75">
      <c r="A1" s="152"/>
    </row>
    <row r="2" spans="1:25" ht="15.75">
      <c r="A2" s="152" t="s">
        <v>230</v>
      </c>
    </row>
    <row r="3" spans="1:25" ht="15">
      <c r="A3" s="154"/>
    </row>
    <row r="4" spans="1:25" ht="20.25">
      <c r="A4" s="155" t="s">
        <v>4</v>
      </c>
      <c r="B4" s="156"/>
      <c r="F4" s="157" t="s">
        <v>30</v>
      </c>
      <c r="G4" s="158">
        <v>14</v>
      </c>
      <c r="H4" s="158" t="str">
        <f>+'1'!H4</f>
        <v>.10.25</v>
      </c>
      <c r="J4" s="153">
        <f>371+358+424</f>
        <v>1153</v>
      </c>
    </row>
    <row r="5" spans="1:25" ht="13.5" thickBot="1">
      <c r="C5" s="159"/>
      <c r="D5" s="159"/>
    </row>
    <row r="6" spans="1:25"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1200</v>
      </c>
      <c r="P6" s="153">
        <f>+O6-O6*0.22</f>
        <v>936</v>
      </c>
      <c r="Q6" s="153">
        <v>480</v>
      </c>
      <c r="R6" s="153">
        <f>+O6*Q6</f>
        <v>576000</v>
      </c>
      <c r="S6" s="153">
        <f>+P6*Q6</f>
        <v>449280</v>
      </c>
      <c r="T6" s="153" t="s">
        <v>453</v>
      </c>
      <c r="U6" s="153">
        <v>1200</v>
      </c>
      <c r="V6" s="153">
        <f>+U6-U6*0.22</f>
        <v>936</v>
      </c>
      <c r="W6" s="153">
        <v>480</v>
      </c>
      <c r="X6" s="153">
        <f>+U6*W6</f>
        <v>576000</v>
      </c>
      <c r="Y6" s="153">
        <f>+V6*W6</f>
        <v>449280</v>
      </c>
    </row>
    <row r="7" spans="1:25" ht="13.5" customHeight="1" thickBot="1">
      <c r="A7" s="804"/>
      <c r="B7" s="217" t="s">
        <v>471</v>
      </c>
      <c r="C7" s="218">
        <v>15077</v>
      </c>
      <c r="D7" s="219"/>
      <c r="E7" s="220"/>
      <c r="F7" s="235"/>
      <c r="G7" s="582" t="s">
        <v>12</v>
      </c>
      <c r="H7" s="583" t="s">
        <v>418</v>
      </c>
      <c r="I7" s="807" t="s">
        <v>538</v>
      </c>
      <c r="J7" s="216" t="str">
        <f>+'13'!J7</f>
        <v>TW 17 RC HW</v>
      </c>
      <c r="K7" s="237"/>
      <c r="L7" s="241"/>
      <c r="M7" s="121">
        <f>+K7+'13'!M7+L7</f>
        <v>3364</v>
      </c>
      <c r="P7" s="153">
        <f>+O7-O7*0.22</f>
        <v>0</v>
      </c>
      <c r="R7" s="153">
        <f>+O7*Q7</f>
        <v>0</v>
      </c>
      <c r="S7" s="153">
        <f>+P7*Q7</f>
        <v>0</v>
      </c>
      <c r="T7" s="153" t="s">
        <v>453</v>
      </c>
      <c r="U7" s="153">
        <v>1220</v>
      </c>
      <c r="V7" s="153">
        <v>951.6</v>
      </c>
      <c r="W7" s="153">
        <v>60</v>
      </c>
      <c r="X7" s="153">
        <f>+U7*W7</f>
        <v>73200</v>
      </c>
      <c r="Y7" s="153">
        <f>+V7*W7</f>
        <v>57096</v>
      </c>
    </row>
    <row r="8" spans="1:25" ht="13.5" thickBot="1">
      <c r="A8" s="805"/>
      <c r="B8" s="217"/>
      <c r="C8" s="218"/>
      <c r="D8" s="219"/>
      <c r="E8" s="221"/>
      <c r="F8" s="231">
        <v>6</v>
      </c>
      <c r="G8" s="584" t="s">
        <v>12</v>
      </c>
      <c r="H8" s="230" t="s">
        <v>505</v>
      </c>
      <c r="I8" s="808"/>
      <c r="J8" s="216" t="str">
        <f>+'13'!J8</f>
        <v>T 14 VP OW</v>
      </c>
      <c r="K8" s="238"/>
      <c r="L8" s="238"/>
      <c r="M8" s="121">
        <f>+K8+'13'!M8+L8</f>
        <v>23832</v>
      </c>
      <c r="P8" s="153">
        <f>+O8-O8*0.22</f>
        <v>0</v>
      </c>
      <c r="R8" s="153">
        <f t="shared" ref="R8:R11" si="0">+O8*Q8</f>
        <v>0</v>
      </c>
      <c r="S8" s="153">
        <f t="shared" ref="S8:S11" si="1">+P8*Q8</f>
        <v>0</v>
      </c>
      <c r="U8" s="153">
        <v>1210</v>
      </c>
      <c r="V8" s="153">
        <v>943.8</v>
      </c>
      <c r="W8" s="153">
        <v>80</v>
      </c>
      <c r="X8" s="153">
        <f t="shared" ref="X8:X11" si="2">+U8*W8</f>
        <v>96800</v>
      </c>
      <c r="Y8" s="153">
        <f t="shared" ref="Y8:Y11" si="3">+V8*W8</f>
        <v>75504</v>
      </c>
    </row>
    <row r="9" spans="1:25" ht="13.5" thickBot="1">
      <c r="A9" s="805"/>
      <c r="B9" s="217"/>
      <c r="C9" s="218"/>
      <c r="D9" s="219"/>
      <c r="E9" s="222"/>
      <c r="F9" s="231">
        <v>4</v>
      </c>
      <c r="G9" s="584" t="s">
        <v>12</v>
      </c>
      <c r="H9" s="233" t="s">
        <v>484</v>
      </c>
      <c r="I9" s="808"/>
      <c r="J9" s="216" t="str">
        <f>+'13'!J9</f>
        <v>T 14,5 VP OW</v>
      </c>
      <c r="K9" s="238">
        <f>+C7+C16+C25</f>
        <v>35510</v>
      </c>
      <c r="L9" s="238"/>
      <c r="M9" s="121">
        <f>+K9+'13'!M9+L9</f>
        <v>190152</v>
      </c>
      <c r="R9" s="153">
        <f t="shared" si="0"/>
        <v>0</v>
      </c>
      <c r="S9" s="153">
        <f t="shared" si="1"/>
        <v>0</v>
      </c>
      <c r="U9" s="153">
        <v>1220</v>
      </c>
      <c r="V9" s="153">
        <v>951.6</v>
      </c>
      <c r="W9" s="153">
        <v>285</v>
      </c>
      <c r="X9" s="153">
        <f t="shared" si="2"/>
        <v>347700</v>
      </c>
      <c r="Y9" s="153">
        <f t="shared" si="3"/>
        <v>271206</v>
      </c>
    </row>
    <row r="10" spans="1:25" ht="64.5" thickBot="1">
      <c r="A10" s="805"/>
      <c r="B10" s="217"/>
      <c r="C10" s="218"/>
      <c r="D10" s="219"/>
      <c r="E10" s="221"/>
      <c r="F10" s="231"/>
      <c r="G10" s="229"/>
      <c r="H10" s="233" t="s">
        <v>518</v>
      </c>
      <c r="I10" s="808"/>
      <c r="J10" s="216" t="s">
        <v>542</v>
      </c>
      <c r="K10" s="238">
        <f>+C26</f>
        <v>3946</v>
      </c>
      <c r="L10" s="238"/>
      <c r="M10" s="121">
        <f>+K10+'13'!M10+L10</f>
        <v>3946</v>
      </c>
      <c r="R10" s="153">
        <f t="shared" si="0"/>
        <v>0</v>
      </c>
      <c r="S10" s="153">
        <f t="shared" si="1"/>
        <v>0</v>
      </c>
      <c r="X10" s="153">
        <f t="shared" si="2"/>
        <v>0</v>
      </c>
      <c r="Y10" s="153">
        <f t="shared" si="3"/>
        <v>0</v>
      </c>
    </row>
    <row r="11" spans="1:25" ht="64.5" thickBot="1">
      <c r="A11" s="805"/>
      <c r="B11" s="217"/>
      <c r="C11" s="218"/>
      <c r="D11" s="219"/>
      <c r="E11" s="221"/>
      <c r="F11" s="228"/>
      <c r="G11" s="232"/>
      <c r="H11" s="233" t="s">
        <v>532</v>
      </c>
      <c r="I11" s="808"/>
      <c r="J11" s="216">
        <f>+'13'!J11</f>
        <v>0</v>
      </c>
      <c r="K11" s="238"/>
      <c r="L11" s="238"/>
      <c r="M11" s="121">
        <f>+K11+'13'!M11+L11</f>
        <v>0</v>
      </c>
      <c r="R11" s="153">
        <f t="shared" si="0"/>
        <v>0</v>
      </c>
      <c r="S11" s="153">
        <f t="shared" si="1"/>
        <v>0</v>
      </c>
      <c r="X11" s="153">
        <f t="shared" si="2"/>
        <v>0</v>
      </c>
      <c r="Y11" s="153">
        <f t="shared" si="3"/>
        <v>0</v>
      </c>
    </row>
    <row r="12" spans="1:25" ht="13.5" thickBot="1">
      <c r="A12" s="805"/>
      <c r="B12" s="217"/>
      <c r="C12" s="218"/>
      <c r="D12" s="219"/>
      <c r="E12" s="221"/>
      <c r="F12" s="228"/>
      <c r="G12" s="232"/>
      <c r="H12" s="233"/>
      <c r="I12" s="808"/>
      <c r="J12" s="216">
        <f>+'13'!J12</f>
        <v>0</v>
      </c>
      <c r="K12" s="238"/>
      <c r="L12" s="238"/>
      <c r="M12" s="121">
        <f>+K12+'13'!M12+L12</f>
        <v>0</v>
      </c>
      <c r="P12" s="153">
        <f t="shared" ref="P12" si="4">+O12-O12*0.17</f>
        <v>0</v>
      </c>
      <c r="V12" s="153">
        <f t="shared" ref="V12" si="5">+U12-U12*0.17</f>
        <v>0</v>
      </c>
    </row>
    <row r="13" spans="1:25" ht="13.5" thickBot="1">
      <c r="A13" s="805"/>
      <c r="B13" s="217"/>
      <c r="C13" s="218"/>
      <c r="D13" s="218"/>
      <c r="E13" s="221"/>
      <c r="F13" s="228"/>
      <c r="G13" s="232"/>
      <c r="H13" s="233"/>
      <c r="I13" s="809"/>
      <c r="J13" s="216">
        <f>+'13'!J13</f>
        <v>0</v>
      </c>
      <c r="K13" s="238"/>
      <c r="L13" s="238"/>
      <c r="M13" s="121">
        <f>+K13+'13'!M13+L13</f>
        <v>0</v>
      </c>
      <c r="Q13" s="153">
        <f>SUM(Q6:Q11)</f>
        <v>480</v>
      </c>
      <c r="R13" s="153">
        <f>SUM(R5:R11)</f>
        <v>576000</v>
      </c>
      <c r="S13" s="153">
        <f>SUM(S5:S11)</f>
        <v>449280</v>
      </c>
      <c r="W13" s="153">
        <f>SUM(W6:W11)</f>
        <v>905</v>
      </c>
      <c r="X13" s="153">
        <f>SUM(X5:X11)</f>
        <v>1093700</v>
      </c>
      <c r="Y13" s="153">
        <f>SUM(Y5:Y11)</f>
        <v>853086</v>
      </c>
    </row>
    <row r="14" spans="1:25" ht="13.5" thickBot="1">
      <c r="A14" s="806"/>
      <c r="B14" s="169" t="s">
        <v>3</v>
      </c>
      <c r="C14" s="103">
        <f>SUM(C7:C13)</f>
        <v>15077</v>
      </c>
      <c r="D14" s="115">
        <f>SUM(D7:D13)</f>
        <v>0</v>
      </c>
      <c r="E14" s="116">
        <f>SUM(E5:E13)</f>
        <v>0</v>
      </c>
      <c r="F14" s="120">
        <f>SUM(F7:F13)</f>
        <v>10</v>
      </c>
      <c r="G14" s="163"/>
      <c r="H14" s="170"/>
      <c r="I14" s="171"/>
      <c r="J14" s="216">
        <f>+'13'!J14</f>
        <v>0</v>
      </c>
      <c r="K14" s="238"/>
      <c r="L14" s="238"/>
      <c r="M14" s="121">
        <f>+K14+'13'!M14+L14</f>
        <v>0</v>
      </c>
      <c r="N14" s="153" t="s">
        <v>421</v>
      </c>
      <c r="Q14" s="153">
        <f>480-Q13</f>
        <v>0</v>
      </c>
      <c r="R14" s="153">
        <f>+R13/Q13</f>
        <v>1200</v>
      </c>
      <c r="S14" s="153">
        <f>+S13/Q13</f>
        <v>936</v>
      </c>
      <c r="T14" s="153" t="s">
        <v>421</v>
      </c>
      <c r="W14" s="153">
        <f>480-W13</f>
        <v>-425</v>
      </c>
      <c r="X14" s="153">
        <f>+X13/W13</f>
        <v>1208.5082872928176</v>
      </c>
      <c r="Y14" s="153">
        <f>+Y13/W13</f>
        <v>942.63646408839782</v>
      </c>
    </row>
    <row r="15" spans="1:25" ht="13.5" thickBot="1">
      <c r="A15" s="810"/>
      <c r="B15" s="528"/>
      <c r="C15" s="117">
        <f>C14/($C$23+$D$23+$E$23)</f>
        <v>1.1541759167113221</v>
      </c>
      <c r="D15" s="118">
        <f>D14/($C$23+$D$23+$E$23)</f>
        <v>0</v>
      </c>
      <c r="E15" s="119">
        <f>E14/($C$23+$D$23+$E$23)</f>
        <v>0</v>
      </c>
      <c r="F15" s="235"/>
      <c r="G15" s="582" t="s">
        <v>12</v>
      </c>
      <c r="H15" s="583" t="s">
        <v>418</v>
      </c>
      <c r="I15" s="807" t="s">
        <v>537</v>
      </c>
      <c r="J15" s="216">
        <f>+'13'!J15</f>
        <v>0</v>
      </c>
      <c r="K15" s="238"/>
      <c r="L15" s="238"/>
      <c r="M15" s="121">
        <f>+K15+'13'!M15+L15</f>
        <v>0</v>
      </c>
    </row>
    <row r="16" spans="1:25" ht="13.5" thickBot="1">
      <c r="A16" s="805"/>
      <c r="B16" s="527" t="s">
        <v>471</v>
      </c>
      <c r="C16" s="526">
        <v>13063</v>
      </c>
      <c r="D16" s="223"/>
      <c r="E16" s="224"/>
      <c r="F16" s="231">
        <v>8</v>
      </c>
      <c r="G16" s="584" t="s">
        <v>12</v>
      </c>
      <c r="H16" s="230" t="s">
        <v>540</v>
      </c>
      <c r="I16" s="808"/>
      <c r="J16" s="216">
        <f>+'13'!J16</f>
        <v>0</v>
      </c>
      <c r="K16" s="229"/>
      <c r="L16" s="229"/>
      <c r="M16" s="121">
        <f>+K16+'13'!M16+L16</f>
        <v>0</v>
      </c>
      <c r="N16" s="153" t="s">
        <v>453</v>
      </c>
      <c r="O16" s="153">
        <v>1220</v>
      </c>
      <c r="P16" s="153">
        <f>+O16-O16*0.22</f>
        <v>951.6</v>
      </c>
      <c r="Q16" s="153">
        <v>60</v>
      </c>
      <c r="R16" s="153">
        <f>+O16*Q16</f>
        <v>73200</v>
      </c>
      <c r="S16" s="153">
        <f>+P16*Q16</f>
        <v>57096</v>
      </c>
    </row>
    <row r="17" spans="1:26" ht="13.5" thickBot="1">
      <c r="A17" s="805"/>
      <c r="B17" s="217"/>
      <c r="C17" s="218"/>
      <c r="D17" s="219"/>
      <c r="E17" s="225"/>
      <c r="F17" s="231">
        <v>20</v>
      </c>
      <c r="G17" s="584" t="s">
        <v>12</v>
      </c>
      <c r="H17" s="233" t="s">
        <v>399</v>
      </c>
      <c r="I17" s="808"/>
      <c r="J17" s="216">
        <f>+'13'!J17</f>
        <v>0</v>
      </c>
      <c r="K17" s="229"/>
      <c r="L17" s="229"/>
      <c r="M17" s="121">
        <f>+K17+'13'!M17+L17</f>
        <v>0</v>
      </c>
      <c r="O17" s="153">
        <v>1210</v>
      </c>
      <c r="P17" s="153">
        <f t="shared" ref="P17:P19" si="6">+O17-O17*0.22</f>
        <v>943.8</v>
      </c>
      <c r="Q17" s="153">
        <f>60+20</f>
        <v>80</v>
      </c>
      <c r="R17" s="153">
        <f>+O17*Q17</f>
        <v>96800</v>
      </c>
      <c r="S17" s="153">
        <f>+P17*Q17</f>
        <v>75504</v>
      </c>
    </row>
    <row r="18" spans="1:26" ht="90" thickBot="1">
      <c r="A18" s="805"/>
      <c r="B18" s="217"/>
      <c r="C18" s="218"/>
      <c r="D18" s="219"/>
      <c r="E18" s="225"/>
      <c r="F18" s="231"/>
      <c r="G18" s="229"/>
      <c r="H18" s="233" t="s">
        <v>531</v>
      </c>
      <c r="I18" s="808"/>
      <c r="J18" s="216">
        <f>+'13'!J18</f>
        <v>0</v>
      </c>
      <c r="K18" s="238"/>
      <c r="L18" s="238"/>
      <c r="M18" s="121">
        <f>+K18+'13'!M18+L18</f>
        <v>0</v>
      </c>
      <c r="O18" s="153">
        <v>1220</v>
      </c>
      <c r="P18" s="153">
        <f t="shared" si="6"/>
        <v>951.6</v>
      </c>
      <c r="Q18" s="153">
        <f>60-20+240+5</f>
        <v>285</v>
      </c>
      <c r="R18" s="153">
        <f t="shared" ref="R18:R21" si="7">+O18*Q18</f>
        <v>347700</v>
      </c>
      <c r="S18" s="153">
        <f t="shared" ref="S18:S21" si="8">+P18*Q18</f>
        <v>271206</v>
      </c>
    </row>
    <row r="19" spans="1:26" ht="137.25" customHeight="1" thickBot="1">
      <c r="A19" s="805"/>
      <c r="B19" s="217"/>
      <c r="C19" s="218"/>
      <c r="D19" s="219"/>
      <c r="E19" s="225"/>
      <c r="F19" s="234"/>
      <c r="G19" s="232"/>
      <c r="H19" s="233" t="s">
        <v>533</v>
      </c>
      <c r="I19" s="808"/>
      <c r="J19" s="216">
        <f>+'13'!J19</f>
        <v>0</v>
      </c>
      <c r="K19" s="238"/>
      <c r="L19" s="238"/>
      <c r="M19" s="121">
        <f>+K19+'13'!M19+L19</f>
        <v>0</v>
      </c>
      <c r="N19" s="153" t="s">
        <v>534</v>
      </c>
      <c r="O19" s="153">
        <v>1270</v>
      </c>
      <c r="P19" s="153">
        <f t="shared" si="6"/>
        <v>990.6</v>
      </c>
      <c r="Q19" s="153">
        <f>60-5</f>
        <v>55</v>
      </c>
      <c r="R19" s="153">
        <f t="shared" si="7"/>
        <v>69850</v>
      </c>
      <c r="S19" s="153">
        <f t="shared" si="8"/>
        <v>54483</v>
      </c>
    </row>
    <row r="20" spans="1:26" ht="13.5" thickBot="1">
      <c r="A20" s="805"/>
      <c r="B20" s="217"/>
      <c r="C20" s="218"/>
      <c r="D20" s="219"/>
      <c r="E20" s="225"/>
      <c r="F20" s="228"/>
      <c r="G20" s="232"/>
      <c r="H20" s="233"/>
      <c r="I20" s="808"/>
      <c r="J20" s="216">
        <f>+'13'!J20</f>
        <v>0</v>
      </c>
      <c r="K20" s="239"/>
      <c r="L20" s="239"/>
      <c r="M20" s="121">
        <f>+K20+'13'!M20+L20</f>
        <v>0</v>
      </c>
      <c r="R20" s="153">
        <f t="shared" si="7"/>
        <v>0</v>
      </c>
      <c r="S20" s="153">
        <f t="shared" si="8"/>
        <v>0</v>
      </c>
    </row>
    <row r="21" spans="1:26" ht="13.5" thickBot="1">
      <c r="A21" s="805"/>
      <c r="B21" s="217"/>
      <c r="C21" s="218"/>
      <c r="D21" s="219"/>
      <c r="E21" s="225"/>
      <c r="F21" s="231"/>
      <c r="G21" s="232"/>
      <c r="H21" s="233"/>
      <c r="I21" s="808"/>
      <c r="J21" s="216">
        <f>+'13'!J21</f>
        <v>0</v>
      </c>
      <c r="K21" s="238"/>
      <c r="L21" s="238"/>
      <c r="M21" s="121">
        <f>+K21+'13'!M21+L21</f>
        <v>0</v>
      </c>
      <c r="R21" s="153">
        <f t="shared" si="7"/>
        <v>0</v>
      </c>
      <c r="S21" s="153">
        <f t="shared" si="8"/>
        <v>0</v>
      </c>
    </row>
    <row r="22" spans="1:26" ht="13.5" thickBot="1">
      <c r="A22" s="805"/>
      <c r="B22" s="217"/>
      <c r="C22" s="218"/>
      <c r="D22" s="219"/>
      <c r="E22" s="225"/>
      <c r="F22" s="235"/>
      <c r="G22" s="232"/>
      <c r="H22" s="233"/>
      <c r="I22" s="809"/>
      <c r="J22" s="216">
        <f>+'13'!J22</f>
        <v>0</v>
      </c>
      <c r="K22" s="238"/>
      <c r="L22" s="238"/>
      <c r="M22" s="121">
        <f>+K22+'13'!M22+L22</f>
        <v>0</v>
      </c>
      <c r="P22" s="153">
        <f t="shared" ref="P22" si="9">+O22-O22*0.17</f>
        <v>0</v>
      </c>
    </row>
    <row r="23" spans="1:26" ht="13.5" thickBot="1">
      <c r="A23" s="806"/>
      <c r="B23" s="169" t="s">
        <v>3</v>
      </c>
      <c r="C23" s="103">
        <f>SUM(C16:C22)</f>
        <v>13063</v>
      </c>
      <c r="D23" s="115">
        <f>SUM(D16:D22)</f>
        <v>0</v>
      </c>
      <c r="E23" s="116">
        <f>SUM(E18:E22)</f>
        <v>0</v>
      </c>
      <c r="F23" s="120">
        <f>SUM(F15:F22)</f>
        <v>28</v>
      </c>
      <c r="G23" s="163"/>
      <c r="H23" s="170"/>
      <c r="I23" s="172"/>
      <c r="J23" s="216">
        <f>+'13'!J23</f>
        <v>0</v>
      </c>
      <c r="K23" s="238"/>
      <c r="L23" s="238"/>
      <c r="M23" s="121">
        <f>+K23+'13'!M23+L23</f>
        <v>0</v>
      </c>
      <c r="Q23" s="153">
        <f>SUM(Q16:Q21)</f>
        <v>480</v>
      </c>
      <c r="R23" s="153">
        <f>SUM(R15:R21)</f>
        <v>587550</v>
      </c>
      <c r="S23" s="153">
        <f>SUM(S15:S21)</f>
        <v>458289</v>
      </c>
    </row>
    <row r="24" spans="1:26" ht="13.5" thickBot="1">
      <c r="A24" s="810"/>
      <c r="B24" s="528"/>
      <c r="C24" s="117">
        <f>C23/($C$23+$D$23+$E$23)</f>
        <v>1</v>
      </c>
      <c r="D24" s="118">
        <f>D23/($C$23+$D$23+$E$23)</f>
        <v>0</v>
      </c>
      <c r="E24" s="119">
        <f>E23/($C$23+$D$23+$E$23)</f>
        <v>0</v>
      </c>
      <c r="F24" s="235"/>
      <c r="G24" s="582" t="s">
        <v>12</v>
      </c>
      <c r="H24" s="583" t="s">
        <v>418</v>
      </c>
      <c r="I24" s="807" t="s">
        <v>536</v>
      </c>
      <c r="J24" s="216">
        <f>+'13'!J24</f>
        <v>0</v>
      </c>
      <c r="K24" s="238"/>
      <c r="L24" s="238"/>
      <c r="M24" s="121">
        <f>+K24+'13'!M24+L24</f>
        <v>0</v>
      </c>
      <c r="N24" s="153" t="s">
        <v>421</v>
      </c>
      <c r="Q24" s="153">
        <f>480-Q23</f>
        <v>0</v>
      </c>
      <c r="R24" s="153">
        <f>+R23/Q23</f>
        <v>1224.0625</v>
      </c>
      <c r="S24" s="153">
        <f>+S23/Q23</f>
        <v>954.76874999999995</v>
      </c>
    </row>
    <row r="25" spans="1:26" ht="13.5" thickBot="1">
      <c r="A25" s="805"/>
      <c r="B25" s="527" t="s">
        <v>471</v>
      </c>
      <c r="C25" s="226">
        <v>7370</v>
      </c>
      <c r="D25" s="219"/>
      <c r="E25" s="225"/>
      <c r="F25" s="231">
        <v>10</v>
      </c>
      <c r="G25" s="584" t="s">
        <v>12</v>
      </c>
      <c r="H25" s="230" t="s">
        <v>540</v>
      </c>
      <c r="I25" s="808"/>
      <c r="J25" s="216">
        <f>+'13'!J25</f>
        <v>0</v>
      </c>
      <c r="K25" s="238"/>
      <c r="L25" s="238"/>
      <c r="M25" s="121">
        <f>+K25+'13'!M25+L25</f>
        <v>0</v>
      </c>
    </row>
    <row r="26" spans="1:26" ht="13.5" thickBot="1">
      <c r="A26" s="805"/>
      <c r="B26" s="217" t="s">
        <v>542</v>
      </c>
      <c r="C26" s="226">
        <v>3946</v>
      </c>
      <c r="D26" s="219"/>
      <c r="E26" s="227"/>
      <c r="F26" s="231">
        <v>25</v>
      </c>
      <c r="G26" s="584" t="s">
        <v>12</v>
      </c>
      <c r="H26" s="233" t="s">
        <v>484</v>
      </c>
      <c r="I26" s="808"/>
      <c r="J26" s="216">
        <f>+'13'!J26</f>
        <v>0</v>
      </c>
      <c r="K26" s="238"/>
      <c r="L26" s="238"/>
      <c r="M26" s="589">
        <f>+K26+'13'!M26+L26</f>
        <v>0</v>
      </c>
      <c r="N26" s="153" t="s">
        <v>534</v>
      </c>
      <c r="O26" s="153">
        <v>1270</v>
      </c>
      <c r="P26" s="153">
        <f>+O26-O26*0.2</f>
        <v>1016</v>
      </c>
      <c r="Q26" s="153">
        <f>60*4+10</f>
        <v>250</v>
      </c>
      <c r="R26" s="153">
        <f>+O26*Q26</f>
        <v>317500</v>
      </c>
      <c r="S26" s="153">
        <f>+P26*Q26</f>
        <v>254000</v>
      </c>
      <c r="T26" s="592"/>
      <c r="U26" s="153" t="s">
        <v>534</v>
      </c>
      <c r="V26" s="153">
        <v>1270</v>
      </c>
      <c r="W26" s="153">
        <f>+V26-V26*0.2</f>
        <v>1016</v>
      </c>
      <c r="X26" s="153">
        <f>60*4+10</f>
        <v>250</v>
      </c>
      <c r="Y26" s="153">
        <f>+V26*X26</f>
        <v>317500</v>
      </c>
      <c r="Z26" s="153">
        <f>+W26*X26</f>
        <v>254000</v>
      </c>
    </row>
    <row r="27" spans="1:26" ht="64.5" thickBot="1">
      <c r="A27" s="805"/>
      <c r="B27" s="217"/>
      <c r="C27" s="218"/>
      <c r="D27" s="219"/>
      <c r="E27" s="225"/>
      <c r="F27" s="231"/>
      <c r="G27" s="229"/>
      <c r="H27" s="233" t="s">
        <v>530</v>
      </c>
      <c r="I27" s="808"/>
      <c r="J27" s="216">
        <f>+'13'!J27</f>
        <v>0</v>
      </c>
      <c r="K27" s="238"/>
      <c r="L27" s="238"/>
      <c r="M27" s="589">
        <f>+K27+'13'!M27+L27</f>
        <v>0</v>
      </c>
      <c r="O27" s="153">
        <v>1280</v>
      </c>
      <c r="P27" s="153">
        <f t="shared" ref="P27:P28" si="10">+O27-O27*0.2</f>
        <v>1024</v>
      </c>
      <c r="Q27" s="153">
        <f>60-10+60+45</f>
        <v>155</v>
      </c>
      <c r="R27" s="153">
        <f>+O27*Q27</f>
        <v>198400</v>
      </c>
      <c r="S27" s="153">
        <f>+P27*Q27</f>
        <v>158720</v>
      </c>
      <c r="T27" s="592"/>
      <c r="V27" s="153">
        <v>1280</v>
      </c>
      <c r="W27" s="153">
        <f t="shared" ref="W27:W28" si="11">+V27-V27*0.2</f>
        <v>1024</v>
      </c>
      <c r="X27" s="153">
        <f>60-10+60+45</f>
        <v>155</v>
      </c>
      <c r="Y27" s="153">
        <f>+V27*X27</f>
        <v>198400</v>
      </c>
      <c r="Z27" s="153">
        <f>+W27*X27</f>
        <v>158720</v>
      </c>
    </row>
    <row r="28" spans="1:26" ht="121.5" customHeight="1" thickBot="1">
      <c r="A28" s="805"/>
      <c r="B28" s="217"/>
      <c r="C28" s="218"/>
      <c r="D28" s="219"/>
      <c r="E28" s="225"/>
      <c r="F28" s="231"/>
      <c r="G28" s="229"/>
      <c r="H28" s="233" t="s">
        <v>535</v>
      </c>
      <c r="I28" s="808"/>
      <c r="J28" s="216">
        <f>+'13'!J28</f>
        <v>0</v>
      </c>
      <c r="K28" s="238"/>
      <c r="L28" s="238"/>
      <c r="M28" s="589">
        <f>+K28+'13'!M28+L28</f>
        <v>0</v>
      </c>
      <c r="O28" s="153">
        <v>1290</v>
      </c>
      <c r="P28" s="153">
        <f t="shared" si="10"/>
        <v>1032</v>
      </c>
      <c r="Q28" s="153">
        <f>60-45+60</f>
        <v>75</v>
      </c>
      <c r="R28" s="153">
        <f t="shared" ref="R28:R31" si="12">+O28*Q28</f>
        <v>96750</v>
      </c>
      <c r="S28" s="153">
        <f t="shared" ref="S28:S31" si="13">+P28*Q28</f>
        <v>77400</v>
      </c>
      <c r="T28" s="592"/>
      <c r="V28" s="153">
        <v>1290</v>
      </c>
      <c r="W28" s="153">
        <f t="shared" si="11"/>
        <v>1032</v>
      </c>
      <c r="X28" s="153">
        <f>60-45+60</f>
        <v>75</v>
      </c>
      <c r="Y28" s="153">
        <f t="shared" ref="Y28:Y31" si="14">+V28*X28</f>
        <v>96750</v>
      </c>
      <c r="Z28" s="153">
        <f t="shared" ref="Z28:Z31" si="15">+W28*X28</f>
        <v>77400</v>
      </c>
    </row>
    <row r="29" spans="1:26" ht="13.5" thickBot="1">
      <c r="A29" s="805"/>
      <c r="B29" s="217"/>
      <c r="C29" s="218"/>
      <c r="D29" s="219"/>
      <c r="E29" s="225"/>
      <c r="F29" s="235"/>
      <c r="G29" s="232"/>
      <c r="H29" s="233"/>
      <c r="I29" s="808"/>
      <c r="J29" s="216">
        <f>+'13'!J29</f>
        <v>0</v>
      </c>
      <c r="K29" s="238"/>
      <c r="L29" s="238"/>
      <c r="M29" s="589">
        <f>+K29+'13'!M29+L29</f>
        <v>0</v>
      </c>
      <c r="R29" s="153">
        <f t="shared" si="12"/>
        <v>0</v>
      </c>
      <c r="S29" s="153">
        <f t="shared" si="13"/>
        <v>0</v>
      </c>
      <c r="T29" s="592"/>
      <c r="U29" s="153" t="s">
        <v>534</v>
      </c>
      <c r="V29" s="153">
        <v>1270</v>
      </c>
      <c r="W29" s="153">
        <v>990.6</v>
      </c>
      <c r="X29" s="153">
        <v>55</v>
      </c>
      <c r="Y29" s="153">
        <f t="shared" si="14"/>
        <v>69850</v>
      </c>
      <c r="Z29" s="153">
        <f t="shared" si="15"/>
        <v>54483</v>
      </c>
    </row>
    <row r="30" spans="1:26" ht="13.5" thickBot="1">
      <c r="A30" s="805"/>
      <c r="B30" s="217"/>
      <c r="C30" s="226"/>
      <c r="D30" s="219"/>
      <c r="E30" s="225"/>
      <c r="F30" s="235"/>
      <c r="G30" s="232"/>
      <c r="H30" s="233"/>
      <c r="I30" s="808"/>
      <c r="J30" s="216">
        <f>+'13'!J30</f>
        <v>0</v>
      </c>
      <c r="K30" s="238"/>
      <c r="L30" s="238"/>
      <c r="M30" s="589">
        <f>+K30+'13'!M30+L30</f>
        <v>0</v>
      </c>
      <c r="R30" s="153">
        <f t="shared" si="12"/>
        <v>0</v>
      </c>
      <c r="S30" s="153">
        <f t="shared" si="13"/>
        <v>0</v>
      </c>
      <c r="T30" s="592"/>
      <c r="Y30" s="153">
        <f t="shared" si="14"/>
        <v>0</v>
      </c>
      <c r="Z30" s="153">
        <f t="shared" si="15"/>
        <v>0</v>
      </c>
    </row>
    <row r="31" spans="1:26" ht="13.5" thickBot="1">
      <c r="A31" s="805"/>
      <c r="B31" s="217"/>
      <c r="C31" s="226"/>
      <c r="D31" s="219"/>
      <c r="E31" s="225"/>
      <c r="F31" s="235"/>
      <c r="G31" s="236"/>
      <c r="H31" s="413"/>
      <c r="I31" s="809"/>
      <c r="J31" s="216">
        <f>+'13'!J31</f>
        <v>0</v>
      </c>
      <c r="K31" s="238"/>
      <c r="L31" s="238"/>
      <c r="M31" s="589">
        <f>+K31+'13'!M31+L31</f>
        <v>0</v>
      </c>
      <c r="R31" s="153">
        <f t="shared" si="12"/>
        <v>0</v>
      </c>
      <c r="S31" s="153">
        <f t="shared" si="13"/>
        <v>0</v>
      </c>
      <c r="T31" s="593"/>
      <c r="Y31" s="153">
        <f t="shared" si="14"/>
        <v>0</v>
      </c>
      <c r="Z31" s="153">
        <f t="shared" si="15"/>
        <v>0</v>
      </c>
    </row>
    <row r="32" spans="1:26" ht="13.5" thickBot="1">
      <c r="A32" s="806"/>
      <c r="B32" s="169" t="s">
        <v>3</v>
      </c>
      <c r="C32" s="103">
        <f>SUM(C25:C31)</f>
        <v>11316</v>
      </c>
      <c r="D32" s="104">
        <f>SUM(D25:D31)</f>
        <v>0</v>
      </c>
      <c r="E32" s="105">
        <f>SUM(E25:E31)</f>
        <v>0</v>
      </c>
      <c r="F32" s="103">
        <f>SUM(F24:F31)</f>
        <v>35</v>
      </c>
      <c r="G32" s="173"/>
      <c r="H32" s="174"/>
      <c r="I32" s="172"/>
      <c r="J32" s="216">
        <f>+'13'!J32</f>
        <v>0</v>
      </c>
      <c r="K32" s="240"/>
      <c r="L32" s="242"/>
      <c r="M32" s="589">
        <f>+K32+'13'!M32+L32</f>
        <v>0</v>
      </c>
      <c r="P32" s="153">
        <f t="shared" ref="P32" si="16">+O32-O32*0.17</f>
        <v>0</v>
      </c>
      <c r="T32" s="592"/>
      <c r="W32" s="153">
        <f t="shared" ref="W32" si="17">+V32-V32*0.17</f>
        <v>0</v>
      </c>
    </row>
    <row r="33" spans="1:26" ht="13.5" thickBot="1">
      <c r="A33" s="175"/>
      <c r="B33" s="176"/>
      <c r="C33" s="107">
        <f>C32/($C$32+$D$32+$E$32)</f>
        <v>1</v>
      </c>
      <c r="D33" s="108">
        <f>D32/($C$32+$D$32+$E$32)</f>
        <v>0</v>
      </c>
      <c r="E33" s="109">
        <f>E32/($C$32+$D$32+$E$32)</f>
        <v>0</v>
      </c>
      <c r="F33" s="110"/>
      <c r="G33" s="177"/>
      <c r="H33" s="178"/>
      <c r="I33" s="179"/>
      <c r="J33" s="125"/>
      <c r="K33" s="126"/>
      <c r="L33" s="215"/>
      <c r="M33" s="590"/>
      <c r="Q33" s="153">
        <f>SUM(Q26:Q31)</f>
        <v>480</v>
      </c>
      <c r="R33" s="153">
        <f>SUM(R25:R31)</f>
        <v>612650</v>
      </c>
      <c r="S33" s="153">
        <f>SUM(S25:S31)</f>
        <v>490120</v>
      </c>
      <c r="T33" s="592"/>
      <c r="X33" s="153">
        <f>SUM(X26:X31)</f>
        <v>535</v>
      </c>
      <c r="Y33" s="153">
        <f>SUM(Y25:Y31)</f>
        <v>682500</v>
      </c>
      <c r="Z33" s="153">
        <f>SUM(Z25:Z31)</f>
        <v>544603</v>
      </c>
    </row>
    <row r="34" spans="1:26" ht="13.5" thickBot="1">
      <c r="A34" s="811" t="s">
        <v>69</v>
      </c>
      <c r="B34" s="812"/>
      <c r="C34" s="111">
        <f>C14+C23+C32</f>
        <v>39456</v>
      </c>
      <c r="D34" s="111">
        <f>D14+D23+D32</f>
        <v>0</v>
      </c>
      <c r="E34" s="111">
        <f>E14+E23+E32</f>
        <v>0</v>
      </c>
      <c r="F34" s="112">
        <f>F14+F23+F32</f>
        <v>73</v>
      </c>
      <c r="H34" s="180"/>
      <c r="I34" s="180"/>
      <c r="J34" s="127" t="s">
        <v>28</v>
      </c>
      <c r="K34" s="128">
        <f>SUM(K7:K32)</f>
        <v>39456</v>
      </c>
      <c r="L34" s="214">
        <f>SUM(L7:L32)</f>
        <v>0</v>
      </c>
      <c r="M34" s="591">
        <f>SUM(M7:M32)</f>
        <v>221294</v>
      </c>
      <c r="N34" s="153" t="s">
        <v>421</v>
      </c>
      <c r="Q34" s="153">
        <f>480-Q33</f>
        <v>0</v>
      </c>
      <c r="R34" s="153">
        <f>+R33/Q33</f>
        <v>1276.3541666666667</v>
      </c>
      <c r="S34" s="153">
        <f>+S33/Q33</f>
        <v>1021.0833333333334</v>
      </c>
      <c r="T34" s="592"/>
      <c r="U34" s="153" t="s">
        <v>421</v>
      </c>
      <c r="X34" s="153">
        <f>480-X33</f>
        <v>-55</v>
      </c>
      <c r="Y34" s="153">
        <f>+Y33/X33</f>
        <v>1275.7009345794393</v>
      </c>
      <c r="Z34" s="153">
        <f>+Z33/X33</f>
        <v>1017.9495327102803</v>
      </c>
    </row>
    <row r="35" spans="1:26" ht="13.5" thickBot="1">
      <c r="A35" s="181"/>
      <c r="B35" s="182"/>
      <c r="C35" s="108">
        <f>C34/($C$34+$D$34+$E$34)</f>
        <v>1</v>
      </c>
      <c r="D35" s="108">
        <f>D34/($C$34+$D$34+$E$34)</f>
        <v>0</v>
      </c>
      <c r="E35" s="113">
        <f>E34/($C$34+$D$34+$E$34)</f>
        <v>0</v>
      </c>
      <c r="K35" s="159"/>
      <c r="N35" s="592"/>
      <c r="O35" s="592"/>
      <c r="P35" s="592"/>
      <c r="Q35" s="592"/>
      <c r="R35" s="592"/>
      <c r="S35" s="592"/>
      <c r="T35" s="592"/>
      <c r="U35" s="592"/>
      <c r="V35" s="592"/>
      <c r="W35" s="592"/>
    </row>
    <row r="36" spans="1:26" ht="13.5" thickBot="1">
      <c r="A36" s="180"/>
      <c r="B36" s="180"/>
      <c r="C36" s="159"/>
      <c r="D36" s="159"/>
      <c r="E36" s="159"/>
      <c r="G36" s="159"/>
      <c r="H36" s="183"/>
      <c r="I36" s="166" t="s">
        <v>38</v>
      </c>
      <c r="J36" s="166" t="s">
        <v>39</v>
      </c>
      <c r="K36" s="184"/>
    </row>
    <row r="37" spans="1:26" ht="17.45" customHeight="1" thickBot="1">
      <c r="A37" s="813" t="s">
        <v>70</v>
      </c>
      <c r="B37" s="814"/>
      <c r="C37" s="166" t="s">
        <v>71</v>
      </c>
      <c r="D37" s="185" t="s">
        <v>72</v>
      </c>
      <c r="E37" s="186" t="s">
        <v>73</v>
      </c>
      <c r="F37" s="311"/>
      <c r="G37" s="313"/>
      <c r="H37" s="188" t="s">
        <v>74</v>
      </c>
      <c r="I37" s="243">
        <f>(14.5*905+535*13.5)/1440*G42*2.7*1440/1000000</f>
        <v>53.317467571874992</v>
      </c>
      <c r="J37" s="129">
        <f>+I37+'13'!J37</f>
        <v>280.70067823373716</v>
      </c>
      <c r="K37" s="130" t="s">
        <v>75</v>
      </c>
      <c r="N37" s="153" t="s">
        <v>453</v>
      </c>
      <c r="O37" s="153">
        <v>1208.5082872928176</v>
      </c>
      <c r="P37" s="153">
        <v>942.63646408839782</v>
      </c>
      <c r="Q37" s="153">
        <v>905</v>
      </c>
    </row>
    <row r="38" spans="1:26" ht="17.45" customHeight="1">
      <c r="A38" s="797" t="s">
        <v>12</v>
      </c>
      <c r="B38" s="798"/>
      <c r="C38" s="168">
        <f>SUMIF($G$7:$G$31,"Process",$F$7:$F$31)</f>
        <v>73</v>
      </c>
      <c r="D38" s="122">
        <f>C38+'13'!D38</f>
        <v>686</v>
      </c>
      <c r="E38" s="147">
        <f t="shared" ref="E38:E52" si="18">D38/60</f>
        <v>11.433333333333334</v>
      </c>
      <c r="F38" s="598">
        <v>1200</v>
      </c>
      <c r="G38" s="598">
        <v>936</v>
      </c>
      <c r="H38" s="189" t="s">
        <v>76</v>
      </c>
      <c r="I38" s="534">
        <f>15.249+14.951+15.367</f>
        <v>45.567000000000007</v>
      </c>
      <c r="J38" s="131">
        <f>+I38+'13'!J38</f>
        <v>242.06799999999998</v>
      </c>
      <c r="K38" s="132" t="s">
        <v>75</v>
      </c>
      <c r="N38" s="153" t="s">
        <v>534</v>
      </c>
      <c r="O38" s="153">
        <v>1275.7009345794393</v>
      </c>
      <c r="P38" s="153">
        <v>1017.9495327102803</v>
      </c>
      <c r="Q38" s="153">
        <v>535</v>
      </c>
    </row>
    <row r="39" spans="1:26" ht="17.45" customHeight="1">
      <c r="A39" s="799" t="s">
        <v>13</v>
      </c>
      <c r="B39" s="800"/>
      <c r="C39" s="168">
        <f>SUMIF($G$7:$G$31,"Cleaning",$F$7:$F$31)</f>
        <v>0</v>
      </c>
      <c r="D39" s="122">
        <f>C39+'13'!D39</f>
        <v>0</v>
      </c>
      <c r="E39" s="147">
        <f t="shared" si="18"/>
        <v>0</v>
      </c>
      <c r="F39" s="598">
        <v>1224.0625</v>
      </c>
      <c r="G39" s="598">
        <v>954.76874999999995</v>
      </c>
      <c r="H39" s="189" t="s">
        <v>77</v>
      </c>
      <c r="I39" s="146"/>
      <c r="J39" s="133">
        <f>J37/G4</f>
        <v>20.050048445266942</v>
      </c>
      <c r="K39" s="134" t="s">
        <v>75</v>
      </c>
      <c r="Q39" s="153">
        <f>+Q37+Q38</f>
        <v>1440</v>
      </c>
    </row>
    <row r="40" spans="1:26" ht="17.45" customHeight="1">
      <c r="A40" s="799" t="s">
        <v>78</v>
      </c>
      <c r="B40" s="800"/>
      <c r="C40" s="168">
        <f>SUMIF($G$7:$G$31,"Mechanical",$F$7:$F$31)</f>
        <v>0</v>
      </c>
      <c r="D40" s="122">
        <f>C40+'13'!D40</f>
        <v>0</v>
      </c>
      <c r="E40" s="147">
        <f t="shared" si="18"/>
        <v>0</v>
      </c>
      <c r="F40" s="599">
        <v>1276.3541666666667</v>
      </c>
      <c r="G40" s="599">
        <v>1021.0833333333334</v>
      </c>
      <c r="H40" s="189" t="s">
        <v>79</v>
      </c>
      <c r="I40" s="122">
        <f>(K34+L34)/1000</f>
        <v>39.456000000000003</v>
      </c>
      <c r="J40" s="135">
        <f>+I40+'13'!J40</f>
        <v>221.29400000000004</v>
      </c>
      <c r="K40" s="134" t="s">
        <v>75</v>
      </c>
    </row>
    <row r="41" spans="1:26" ht="17.45" customHeight="1">
      <c r="A41" s="799" t="s">
        <v>80</v>
      </c>
      <c r="B41" s="800"/>
      <c r="C41" s="168">
        <f>SUMIF($G$7:$G$31,"Electrical",$F$7:$F$31)</f>
        <v>0</v>
      </c>
      <c r="D41" s="122">
        <f>C41+'13'!D41</f>
        <v>60</v>
      </c>
      <c r="E41" s="147">
        <f t="shared" si="18"/>
        <v>1</v>
      </c>
      <c r="F41" s="311"/>
      <c r="G41" s="311"/>
      <c r="H41" s="189" t="s">
        <v>81</v>
      </c>
      <c r="I41" s="146"/>
      <c r="J41" s="133">
        <f>J40/G4</f>
        <v>15.806714285714289</v>
      </c>
      <c r="K41" s="134" t="s">
        <v>75</v>
      </c>
    </row>
    <row r="42" spans="1:26" ht="17.45" customHeight="1">
      <c r="A42" s="799" t="s">
        <v>16</v>
      </c>
      <c r="B42" s="800"/>
      <c r="C42" s="168">
        <f>SUMIF($G$7:$G$31,"Instrument",$F$7:$F$31)</f>
        <v>0</v>
      </c>
      <c r="D42" s="122">
        <f>C42+'13'!D42</f>
        <v>0</v>
      </c>
      <c r="E42" s="147">
        <f t="shared" si="18"/>
        <v>0</v>
      </c>
      <c r="F42" s="187">
        <f>+(480*F38+480*F39+480*F40)/1440</f>
        <v>1233.4722222222222</v>
      </c>
      <c r="G42" s="187">
        <f>+(480*G38+480*G39+480*G40)/1440</f>
        <v>970.61736111111111</v>
      </c>
      <c r="H42" s="189" t="s">
        <v>82</v>
      </c>
      <c r="I42" s="245" t="s">
        <v>539</v>
      </c>
      <c r="J42" s="136"/>
      <c r="K42" s="134" t="s">
        <v>83</v>
      </c>
    </row>
    <row r="43" spans="1:26" ht="17.45" customHeight="1">
      <c r="A43" s="799" t="s">
        <v>84</v>
      </c>
      <c r="B43" s="800"/>
      <c r="C43" s="168">
        <f>SUMIF($G$7:$G$31,"Water",$F$7:$F$31)</f>
        <v>0</v>
      </c>
      <c r="D43" s="122">
        <f>C43+'13'!D43</f>
        <v>0</v>
      </c>
      <c r="E43" s="147">
        <f t="shared" si="18"/>
        <v>0</v>
      </c>
      <c r="F43" s="311"/>
      <c r="G43" s="312"/>
      <c r="H43" s="190" t="s">
        <v>85</v>
      </c>
      <c r="I43" s="122">
        <f>+Report1!Z22</f>
        <v>95.4</v>
      </c>
      <c r="J43" s="137">
        <f>+I43+'13'!J43</f>
        <v>540.20000000000005</v>
      </c>
      <c r="K43" s="134" t="s">
        <v>75</v>
      </c>
      <c r="L43" s="191"/>
    </row>
    <row r="44" spans="1:26" ht="17.45" customHeight="1">
      <c r="A44" s="799" t="s">
        <v>17</v>
      </c>
      <c r="B44" s="800"/>
      <c r="C44" s="168">
        <f>SUMIF($G$7:$G$31,"PLN",$F$7:$F$31)</f>
        <v>0</v>
      </c>
      <c r="D44" s="122">
        <f>C44+'13'!D44</f>
        <v>0</v>
      </c>
      <c r="E44" s="147">
        <f t="shared" si="18"/>
        <v>0</v>
      </c>
      <c r="F44" s="311"/>
      <c r="G44" s="312"/>
      <c r="H44" s="190" t="s">
        <v>86</v>
      </c>
      <c r="I44" s="122">
        <f>I43/I38</f>
        <v>2.0936203831720324</v>
      </c>
      <c r="J44" s="138">
        <f>J43/J38</f>
        <v>2.2316043425814236</v>
      </c>
      <c r="K44" s="134" t="s">
        <v>75</v>
      </c>
    </row>
    <row r="45" spans="1:26" ht="17.45" customHeight="1">
      <c r="A45" s="799" t="s">
        <v>18</v>
      </c>
      <c r="B45" s="800"/>
      <c r="C45" s="168">
        <f>SUMIF($G$7:$G$31,"Boiler",$F$7:$F$31)</f>
        <v>0</v>
      </c>
      <c r="D45" s="122">
        <f>C45+'13'!D45</f>
        <v>0</v>
      </c>
      <c r="E45" s="147">
        <f t="shared" si="18"/>
        <v>0</v>
      </c>
      <c r="F45" s="311"/>
      <c r="G45" s="314"/>
      <c r="H45" s="190" t="s">
        <v>87</v>
      </c>
      <c r="I45" s="122">
        <f>I43/I40</f>
        <v>2.417883211678832</v>
      </c>
      <c r="J45" s="138">
        <f>J43/J40</f>
        <v>2.4410964599130565</v>
      </c>
      <c r="K45" s="134" t="s">
        <v>75</v>
      </c>
    </row>
    <row r="46" spans="1:26" ht="17.45" customHeight="1">
      <c r="A46" s="799" t="s">
        <v>88</v>
      </c>
      <c r="B46" s="800"/>
      <c r="C46" s="168">
        <f>SUMIF($G$7:$G$31,"Gas",$F$7:$F$31)</f>
        <v>0</v>
      </c>
      <c r="D46" s="122">
        <f>C46+'13'!D46</f>
        <v>0</v>
      </c>
      <c r="E46" s="147">
        <f t="shared" si="18"/>
        <v>0</v>
      </c>
      <c r="F46" s="311"/>
      <c r="G46" s="312"/>
      <c r="H46" s="190" t="s">
        <v>89</v>
      </c>
      <c r="I46" s="144">
        <f>+SUMIF(Listrik!X21,"&gt;0")</f>
        <v>42128.600000000035</v>
      </c>
      <c r="J46" s="139">
        <f>+I46+'13'!J46</f>
        <v>237817.16240000029</v>
      </c>
      <c r="K46" s="134" t="s">
        <v>90</v>
      </c>
    </row>
    <row r="47" spans="1:26" ht="17.45" customHeight="1">
      <c r="A47" s="799" t="s">
        <v>91</v>
      </c>
      <c r="B47" s="800"/>
      <c r="C47" s="168">
        <f>SUMIF($G$7:$G$31,"Gas",$F$7:$F$31)</f>
        <v>0</v>
      </c>
      <c r="D47" s="122">
        <f>C47+'13'!D47</f>
        <v>0</v>
      </c>
      <c r="E47" s="147">
        <f t="shared" si="18"/>
        <v>0</v>
      </c>
      <c r="F47" s="311"/>
      <c r="G47" s="312"/>
      <c r="H47" s="190" t="s">
        <v>92</v>
      </c>
      <c r="I47" s="122">
        <f>I46/I38</f>
        <v>924.54188338051722</v>
      </c>
      <c r="J47" s="139">
        <f>J46/J38</f>
        <v>982.43948973015972</v>
      </c>
      <c r="K47" s="134" t="s">
        <v>24</v>
      </c>
    </row>
    <row r="48" spans="1:26" ht="17.45" customHeight="1">
      <c r="A48" s="799" t="s">
        <v>14</v>
      </c>
      <c r="B48" s="800"/>
      <c r="C48" s="168">
        <f>SUMIF($G$7:$G$31,"Start Up",$F$7:$F$31)</f>
        <v>0</v>
      </c>
      <c r="D48" s="122">
        <f>C48+'13'!D48</f>
        <v>0</v>
      </c>
      <c r="E48" s="147">
        <f t="shared" si="18"/>
        <v>0</v>
      </c>
      <c r="F48" s="311"/>
      <c r="G48" s="312"/>
      <c r="H48" s="190" t="s">
        <v>93</v>
      </c>
      <c r="I48" s="122">
        <f>I46/I40</f>
        <v>1067.736212489863</v>
      </c>
      <c r="J48" s="139">
        <f>J46/J40</f>
        <v>1074.666111146259</v>
      </c>
      <c r="K48" s="134" t="s">
        <v>24</v>
      </c>
    </row>
    <row r="49" spans="1:11" ht="17.45" customHeight="1">
      <c r="A49" s="799" t="s">
        <v>20</v>
      </c>
      <c r="B49" s="800"/>
      <c r="C49" s="168">
        <f>SUMIF($G$7:$G$31,"Others",$F$7:$F$31)</f>
        <v>0</v>
      </c>
      <c r="D49" s="122">
        <f>C49+'13'!D49</f>
        <v>11845</v>
      </c>
      <c r="E49" s="147">
        <f t="shared" si="18"/>
        <v>197.41666666666666</v>
      </c>
      <c r="F49" s="187"/>
      <c r="H49" s="190" t="s">
        <v>279</v>
      </c>
      <c r="I49" s="122">
        <f>+Report1!T22</f>
        <v>4108.5239736060157</v>
      </c>
      <c r="J49" s="139">
        <f>+I49+'13'!J49</f>
        <v>22343.969583102764</v>
      </c>
      <c r="K49" s="134" t="s">
        <v>94</v>
      </c>
    </row>
    <row r="50" spans="1:11" ht="17.45" customHeight="1">
      <c r="A50" s="799" t="s">
        <v>19</v>
      </c>
      <c r="B50" s="800"/>
      <c r="C50" s="168">
        <f>SUMIF($G$7:$G$31,"Steam",$F$7:$F$31)</f>
        <v>0</v>
      </c>
      <c r="D50" s="122">
        <f>C50+'13'!D50</f>
        <v>0</v>
      </c>
      <c r="E50" s="147">
        <f t="shared" si="18"/>
        <v>0</v>
      </c>
      <c r="F50" s="187"/>
      <c r="H50" s="190" t="s">
        <v>95</v>
      </c>
      <c r="I50" s="144">
        <f>I49/I38</f>
        <v>90.164460543946603</v>
      </c>
      <c r="J50" s="137">
        <f>J49/J38</f>
        <v>92.304516016585282</v>
      </c>
      <c r="K50" s="134" t="s">
        <v>94</v>
      </c>
    </row>
    <row r="51" spans="1:11" ht="17.45" customHeight="1">
      <c r="A51" s="801" t="s">
        <v>96</v>
      </c>
      <c r="B51" s="801"/>
      <c r="C51" s="168">
        <f>SUMIF($G$7:$G$31,"Planned shut",$F$7:$F$31)</f>
        <v>0</v>
      </c>
      <c r="D51" s="122">
        <f>C51+'13'!D51</f>
        <v>0</v>
      </c>
      <c r="E51" s="147">
        <f t="shared" si="18"/>
        <v>0</v>
      </c>
      <c r="F51" s="187"/>
      <c r="H51" s="192" t="s">
        <v>97</v>
      </c>
      <c r="I51" s="145">
        <f>I49/I40</f>
        <v>104.12925723859529</v>
      </c>
      <c r="J51" s="140">
        <f>J49/J40</f>
        <v>100.96961319829168</v>
      </c>
      <c r="K51" s="141" t="s">
        <v>94</v>
      </c>
    </row>
    <row r="52" spans="1:11" ht="13.5" thickBot="1">
      <c r="A52" s="802" t="s">
        <v>229</v>
      </c>
      <c r="B52" s="803"/>
      <c r="C52" s="168">
        <f>SUMIF($G$7:$G$31,"Change Grade",$F$7:$F$31)</f>
        <v>0</v>
      </c>
      <c r="D52" s="122">
        <f>C52+'13'!D52</f>
        <v>0</v>
      </c>
      <c r="E52" s="147">
        <f t="shared" si="18"/>
        <v>0</v>
      </c>
      <c r="F52" s="187"/>
      <c r="H52" s="193"/>
      <c r="I52" s="194"/>
      <c r="J52" s="142"/>
      <c r="K52" s="143"/>
    </row>
    <row r="53" spans="1:11">
      <c r="A53" s="797" t="s">
        <v>28</v>
      </c>
      <c r="B53" s="798"/>
      <c r="C53" s="148">
        <f>SUM(C38:C52)</f>
        <v>73</v>
      </c>
      <c r="D53" s="148">
        <f>SUM(D38:D52)</f>
        <v>12591</v>
      </c>
      <c r="E53" s="149">
        <f>SUM(E38:E52)</f>
        <v>209.85</v>
      </c>
      <c r="F53" s="187"/>
    </row>
    <row r="54" spans="1:11" ht="13.5" thickBot="1">
      <c r="A54" s="795"/>
      <c r="B54" s="796"/>
      <c r="C54" s="150">
        <f>C53/(24*60)</f>
        <v>5.0694444444444445E-2</v>
      </c>
      <c r="D54" s="150">
        <f>D53/(24*60*G4)</f>
        <v>0.62455357142857137</v>
      </c>
      <c r="E54" s="151">
        <f>E53/(G4*24)</f>
        <v>0.62455357142857137</v>
      </c>
      <c r="F54" s="187"/>
    </row>
    <row r="55" spans="1:11">
      <c r="E55" s="195"/>
    </row>
    <row r="56" spans="1:11">
      <c r="A56" s="196" t="s">
        <v>98</v>
      </c>
      <c r="B56" s="197"/>
      <c r="C56" s="198"/>
      <c r="D56" s="198"/>
      <c r="E56" s="198"/>
      <c r="F56" s="199"/>
      <c r="G56" s="198"/>
      <c r="H56" s="200"/>
      <c r="I56" s="201" t="s">
        <v>99</v>
      </c>
      <c r="J56" s="202">
        <f>+D34+'13'!J56</f>
        <v>0</v>
      </c>
      <c r="K56" s="203">
        <f>J56/(J40+J56/1000)/1000</f>
        <v>0</v>
      </c>
    </row>
    <row r="57" spans="1:11">
      <c r="A57" s="178"/>
      <c r="I57" s="201" t="s">
        <v>100</v>
      </c>
      <c r="J57" s="202">
        <f>+E34+'13'!J57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3:B43"/>
    <mergeCell ref="A46:B46"/>
    <mergeCell ref="A47:B47"/>
    <mergeCell ref="A52:B52"/>
    <mergeCell ref="A53:B53"/>
    <mergeCell ref="A48:B48"/>
    <mergeCell ref="A49:B49"/>
    <mergeCell ref="A50:B50"/>
    <mergeCell ref="A51:B51"/>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B19" zoomScale="80" zoomScaleNormal="70"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13</v>
      </c>
      <c r="H4" s="158" t="str">
        <f>+'1'!H4</f>
        <v>.10.25</v>
      </c>
      <c r="J4" s="153">
        <f>391+391+438</f>
        <v>1220</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1100</v>
      </c>
      <c r="P6" s="153">
        <f>+O6-O6*0.22</f>
        <v>858</v>
      </c>
      <c r="Q6" s="153">
        <f>60*2+18</f>
        <v>138</v>
      </c>
      <c r="R6" s="153">
        <f>+O6*Q6</f>
        <v>151800</v>
      </c>
      <c r="S6" s="153">
        <f>+P6*Q6</f>
        <v>118404</v>
      </c>
    </row>
    <row r="7" spans="1:19" ht="13.5" customHeight="1" thickBot="1">
      <c r="A7" s="804"/>
      <c r="B7" s="217" t="s">
        <v>471</v>
      </c>
      <c r="C7" s="218">
        <v>14614</v>
      </c>
      <c r="D7" s="219"/>
      <c r="E7" s="220"/>
      <c r="F7" s="235"/>
      <c r="G7" s="582" t="s">
        <v>12</v>
      </c>
      <c r="H7" s="583" t="s">
        <v>418</v>
      </c>
      <c r="I7" s="807" t="s">
        <v>524</v>
      </c>
      <c r="J7" s="216" t="str">
        <f>+'12'!J7</f>
        <v>TW 17 RC HW</v>
      </c>
      <c r="K7" s="237"/>
      <c r="L7" s="241"/>
      <c r="M7" s="121">
        <f>+K7+'12'!M7+L7</f>
        <v>3364</v>
      </c>
      <c r="O7" s="153">
        <v>1170</v>
      </c>
      <c r="P7" s="153">
        <f>+O7-O7*0.22</f>
        <v>912.6</v>
      </c>
      <c r="Q7" s="153">
        <f>60-18+60+45</f>
        <v>147</v>
      </c>
      <c r="R7" s="153">
        <f>+O7*Q7</f>
        <v>171990</v>
      </c>
      <c r="S7" s="153">
        <f>+P7*Q7</f>
        <v>134152.20000000001</v>
      </c>
    </row>
    <row r="8" spans="1:19" ht="13.5" thickBot="1">
      <c r="A8" s="805"/>
      <c r="B8" s="217"/>
      <c r="C8" s="218"/>
      <c r="D8" s="219"/>
      <c r="E8" s="221"/>
      <c r="F8" s="231">
        <v>8</v>
      </c>
      <c r="G8" s="584" t="s">
        <v>12</v>
      </c>
      <c r="H8" s="230" t="s">
        <v>505</v>
      </c>
      <c r="I8" s="808"/>
      <c r="J8" s="216" t="str">
        <f>+'12'!J8</f>
        <v>T 14 VP OW</v>
      </c>
      <c r="K8" s="238"/>
      <c r="L8" s="238"/>
      <c r="M8" s="121">
        <f>+K8+'12'!M8+L8</f>
        <v>23832</v>
      </c>
      <c r="O8" s="153">
        <v>1200</v>
      </c>
      <c r="P8" s="153">
        <f>+O8-O8*0.22</f>
        <v>936</v>
      </c>
      <c r="Q8" s="153">
        <f>60-45+180</f>
        <v>195</v>
      </c>
      <c r="R8" s="153">
        <f t="shared" ref="R8:R11" si="0">+O8*Q8</f>
        <v>234000</v>
      </c>
      <c r="S8" s="153">
        <f t="shared" ref="S8:S11" si="1">+P8*Q8</f>
        <v>182520</v>
      </c>
    </row>
    <row r="9" spans="1:19" ht="13.5" thickBot="1">
      <c r="A9" s="805"/>
      <c r="B9" s="217"/>
      <c r="C9" s="218"/>
      <c r="D9" s="219"/>
      <c r="E9" s="222"/>
      <c r="F9" s="231">
        <v>12</v>
      </c>
      <c r="G9" s="584" t="s">
        <v>12</v>
      </c>
      <c r="H9" s="233" t="s">
        <v>484</v>
      </c>
      <c r="I9" s="808"/>
      <c r="J9" s="216" t="str">
        <f>+'12'!J9</f>
        <v>T 14,5 VP OW</v>
      </c>
      <c r="K9" s="238">
        <f>+C34</f>
        <v>42233</v>
      </c>
      <c r="L9" s="238"/>
      <c r="M9" s="121">
        <f>+K9+'12'!M9+L9</f>
        <v>154642</v>
      </c>
      <c r="R9" s="153">
        <f t="shared" si="0"/>
        <v>0</v>
      </c>
      <c r="S9" s="153">
        <f t="shared" si="1"/>
        <v>0</v>
      </c>
    </row>
    <row r="10" spans="1:19" ht="64.5" thickBot="1">
      <c r="A10" s="805"/>
      <c r="B10" s="217"/>
      <c r="C10" s="218"/>
      <c r="D10" s="219"/>
      <c r="E10" s="221"/>
      <c r="F10" s="231"/>
      <c r="G10" s="229"/>
      <c r="H10" s="233" t="s">
        <v>522</v>
      </c>
      <c r="I10" s="808"/>
      <c r="J10" s="216">
        <f>+'12'!J10</f>
        <v>0</v>
      </c>
      <c r="K10" s="238"/>
      <c r="L10" s="238"/>
      <c r="M10" s="121">
        <f>+K10+'12'!M10+L10</f>
        <v>0</v>
      </c>
      <c r="R10" s="153">
        <f t="shared" si="0"/>
        <v>0</v>
      </c>
      <c r="S10" s="153">
        <f t="shared" si="1"/>
        <v>0</v>
      </c>
    </row>
    <row r="11" spans="1:19" ht="90" thickBot="1">
      <c r="A11" s="805"/>
      <c r="B11" s="217"/>
      <c r="C11" s="218"/>
      <c r="D11" s="219"/>
      <c r="E11" s="221"/>
      <c r="F11" s="228"/>
      <c r="G11" s="232"/>
      <c r="H11" s="233" t="s">
        <v>521</v>
      </c>
      <c r="I11" s="808"/>
      <c r="J11" s="216">
        <f>+'12'!J11</f>
        <v>0</v>
      </c>
      <c r="K11" s="238"/>
      <c r="L11" s="238"/>
      <c r="M11" s="121">
        <f>+K11+'12'!M11+L11</f>
        <v>0</v>
      </c>
      <c r="R11" s="153">
        <f t="shared" si="0"/>
        <v>0</v>
      </c>
      <c r="S11" s="153">
        <f t="shared" si="1"/>
        <v>0</v>
      </c>
    </row>
    <row r="12" spans="1:19" ht="13.5" thickBot="1">
      <c r="A12" s="805"/>
      <c r="B12" s="217"/>
      <c r="C12" s="218"/>
      <c r="D12" s="219"/>
      <c r="E12" s="221"/>
      <c r="F12" s="228"/>
      <c r="G12" s="232"/>
      <c r="H12" s="233"/>
      <c r="I12" s="808"/>
      <c r="J12" s="216">
        <f>+'12'!J12</f>
        <v>0</v>
      </c>
      <c r="K12" s="238"/>
      <c r="L12" s="238"/>
      <c r="M12" s="121">
        <f>+K12+'12'!M12+L12</f>
        <v>0</v>
      </c>
      <c r="P12" s="153">
        <f t="shared" ref="P12" si="2">+O12-O12*0.17</f>
        <v>0</v>
      </c>
    </row>
    <row r="13" spans="1:19" ht="13.5" thickBot="1">
      <c r="A13" s="805"/>
      <c r="B13" s="217"/>
      <c r="C13" s="218"/>
      <c r="D13" s="218"/>
      <c r="E13" s="221"/>
      <c r="F13" s="228"/>
      <c r="G13" s="232"/>
      <c r="H13" s="233"/>
      <c r="I13" s="809"/>
      <c r="J13" s="216">
        <f>+'12'!J13</f>
        <v>0</v>
      </c>
      <c r="K13" s="238"/>
      <c r="L13" s="238"/>
      <c r="M13" s="121">
        <f>+K13+'12'!M13+L13</f>
        <v>0</v>
      </c>
      <c r="Q13" s="153">
        <f>SUM(Q6:Q11)</f>
        <v>480</v>
      </c>
      <c r="R13" s="153">
        <f>SUM(R5:R11)</f>
        <v>557790</v>
      </c>
      <c r="S13" s="153">
        <f>SUM(S5:S11)</f>
        <v>435076.2</v>
      </c>
    </row>
    <row r="14" spans="1:19" ht="13.5" thickBot="1">
      <c r="A14" s="806"/>
      <c r="B14" s="169" t="s">
        <v>3</v>
      </c>
      <c r="C14" s="103">
        <f>SUM(C7:C13)</f>
        <v>14614</v>
      </c>
      <c r="D14" s="115">
        <f>SUM(D7:D13)</f>
        <v>0</v>
      </c>
      <c r="E14" s="116">
        <f>SUM(E5:E13)</f>
        <v>0</v>
      </c>
      <c r="F14" s="120">
        <f>SUM(F7:F13)</f>
        <v>20</v>
      </c>
      <c r="G14" s="163"/>
      <c r="H14" s="170"/>
      <c r="I14" s="171"/>
      <c r="J14" s="216">
        <f>+'12'!J14</f>
        <v>0</v>
      </c>
      <c r="K14" s="238"/>
      <c r="L14" s="238"/>
      <c r="M14" s="121">
        <f>+K14+'12'!M14+L14</f>
        <v>0</v>
      </c>
      <c r="N14" s="153" t="s">
        <v>421</v>
      </c>
      <c r="P14" s="153">
        <f>60-18+60+48</f>
        <v>150</v>
      </c>
      <c r="Q14" s="153">
        <f>480-Q13</f>
        <v>0</v>
      </c>
      <c r="R14" s="153">
        <f>+R13/Q13</f>
        <v>1162.0625</v>
      </c>
      <c r="S14" s="153">
        <f>+S13/Q13</f>
        <v>906.40875000000005</v>
      </c>
    </row>
    <row r="15" spans="1:19" ht="13.5" customHeight="1" thickBot="1">
      <c r="A15" s="810"/>
      <c r="B15" s="528"/>
      <c r="C15" s="117">
        <f>C14/($C$23+$D$23+$E$23)</f>
        <v>1.0379261363636363</v>
      </c>
      <c r="D15" s="118">
        <f>D14/($C$23+$D$23+$E$23)</f>
        <v>0</v>
      </c>
      <c r="E15" s="119">
        <f>E14/($C$23+$D$23+$E$23)</f>
        <v>0</v>
      </c>
      <c r="F15" s="235"/>
      <c r="G15" s="582" t="s">
        <v>12</v>
      </c>
      <c r="H15" s="583" t="s">
        <v>418</v>
      </c>
      <c r="I15" s="807" t="s">
        <v>525</v>
      </c>
      <c r="J15" s="216">
        <f>+'12'!J15</f>
        <v>0</v>
      </c>
      <c r="K15" s="238"/>
      <c r="L15" s="238"/>
      <c r="M15" s="121">
        <f>+K15+'12'!M15+L15</f>
        <v>0</v>
      </c>
    </row>
    <row r="16" spans="1:19" ht="13.5" thickBot="1">
      <c r="A16" s="805"/>
      <c r="B16" s="527" t="s">
        <v>471</v>
      </c>
      <c r="C16" s="526">
        <v>14080</v>
      </c>
      <c r="D16" s="223"/>
      <c r="E16" s="224"/>
      <c r="F16" s="231">
        <v>6</v>
      </c>
      <c r="G16" s="584" t="s">
        <v>12</v>
      </c>
      <c r="H16" s="230" t="s">
        <v>398</v>
      </c>
      <c r="I16" s="808"/>
      <c r="J16" s="216">
        <f>+'12'!J16</f>
        <v>0</v>
      </c>
      <c r="K16" s="229"/>
      <c r="L16" s="229"/>
      <c r="M16" s="121">
        <f>+K16+'12'!M16+L16</f>
        <v>0</v>
      </c>
      <c r="N16" s="153" t="s">
        <v>453</v>
      </c>
      <c r="O16" s="153">
        <v>1215</v>
      </c>
      <c r="P16" s="153">
        <f>+O16-O16*0.22</f>
        <v>947.7</v>
      </c>
      <c r="Q16" s="153">
        <v>53</v>
      </c>
      <c r="R16" s="153">
        <f>+O16*Q16</f>
        <v>64395</v>
      </c>
      <c r="S16" s="153">
        <f>+P16*Q16</f>
        <v>50228.100000000006</v>
      </c>
    </row>
    <row r="17" spans="1:19" ht="13.5" thickBot="1">
      <c r="A17" s="805"/>
      <c r="B17" s="217"/>
      <c r="C17" s="218"/>
      <c r="D17" s="219"/>
      <c r="E17" s="225"/>
      <c r="F17" s="231">
        <v>12</v>
      </c>
      <c r="G17" s="584" t="s">
        <v>12</v>
      </c>
      <c r="H17" s="233" t="s">
        <v>484</v>
      </c>
      <c r="I17" s="808"/>
      <c r="J17" s="216">
        <f>+'12'!J17</f>
        <v>0</v>
      </c>
      <c r="K17" s="229"/>
      <c r="L17" s="229"/>
      <c r="M17" s="121">
        <f>+K17+'12'!M17+L17</f>
        <v>0</v>
      </c>
      <c r="O17" s="153">
        <v>1230</v>
      </c>
      <c r="P17" s="153">
        <f t="shared" ref="P17:P19" si="3">+O17-O17*0.22</f>
        <v>959.4</v>
      </c>
      <c r="Q17" s="153">
        <f>60-53+60+27</f>
        <v>94</v>
      </c>
      <c r="R17" s="153">
        <f t="shared" ref="R17:R19" si="4">+O17*Q17</f>
        <v>115620</v>
      </c>
      <c r="S17" s="153">
        <f t="shared" ref="S17:S19" si="5">+P17*Q17</f>
        <v>90183.599999999991</v>
      </c>
    </row>
    <row r="18" spans="1:19" ht="64.5" thickBot="1">
      <c r="A18" s="805"/>
      <c r="B18" s="217"/>
      <c r="C18" s="218"/>
      <c r="D18" s="219"/>
      <c r="E18" s="225"/>
      <c r="F18" s="231"/>
      <c r="G18" s="229"/>
      <c r="H18" s="233" t="s">
        <v>520</v>
      </c>
      <c r="I18" s="808"/>
      <c r="J18" s="216">
        <f>+'12'!J18</f>
        <v>0</v>
      </c>
      <c r="K18" s="238"/>
      <c r="L18" s="238"/>
      <c r="M18" s="121">
        <f>+K18+'12'!M18+L18</f>
        <v>0</v>
      </c>
      <c r="O18" s="153">
        <v>1215</v>
      </c>
      <c r="P18" s="153">
        <f t="shared" si="3"/>
        <v>947.7</v>
      </c>
      <c r="Q18" s="153">
        <f>60-27+60+21</f>
        <v>114</v>
      </c>
      <c r="R18" s="153">
        <f t="shared" si="4"/>
        <v>138510</v>
      </c>
      <c r="S18" s="153">
        <f t="shared" si="5"/>
        <v>108037.8</v>
      </c>
    </row>
    <row r="19" spans="1:19" ht="221.25" customHeight="1" thickBot="1">
      <c r="A19" s="805"/>
      <c r="B19" s="217"/>
      <c r="C19" s="218"/>
      <c r="D19" s="219"/>
      <c r="E19" s="225"/>
      <c r="F19" s="234"/>
      <c r="G19" s="232"/>
      <c r="H19" s="233" t="s">
        <v>523</v>
      </c>
      <c r="I19" s="808"/>
      <c r="J19" s="216">
        <f>+'12'!J19</f>
        <v>0</v>
      </c>
      <c r="K19" s="238"/>
      <c r="L19" s="238"/>
      <c r="M19" s="121">
        <f>+K19+'12'!M19+L19</f>
        <v>0</v>
      </c>
      <c r="O19" s="153">
        <v>1200</v>
      </c>
      <c r="P19" s="153">
        <f t="shared" si="3"/>
        <v>936</v>
      </c>
      <c r="Q19" s="153">
        <f>60-21+180</f>
        <v>219</v>
      </c>
      <c r="R19" s="153">
        <f t="shared" si="4"/>
        <v>262800</v>
      </c>
      <c r="S19" s="153">
        <f t="shared" si="5"/>
        <v>204984</v>
      </c>
    </row>
    <row r="20" spans="1:19" ht="13.5" thickBot="1">
      <c r="A20" s="805"/>
      <c r="B20" s="217"/>
      <c r="C20" s="218"/>
      <c r="D20" s="219"/>
      <c r="E20" s="225"/>
      <c r="F20" s="228"/>
      <c r="G20" s="232"/>
      <c r="H20" s="233"/>
      <c r="I20" s="808"/>
      <c r="J20" s="216">
        <f>+'12'!J20</f>
        <v>0</v>
      </c>
      <c r="K20" s="239"/>
      <c r="L20" s="239"/>
      <c r="M20" s="121">
        <f>+K20+'12'!M20+L20</f>
        <v>0</v>
      </c>
      <c r="R20" s="153">
        <f t="shared" ref="R20:R21" si="6">+O20*Q20</f>
        <v>0</v>
      </c>
      <c r="S20" s="153">
        <f t="shared" ref="S20:S21" si="7">+P20*Q20</f>
        <v>0</v>
      </c>
    </row>
    <row r="21" spans="1:19" ht="13.5" thickBot="1">
      <c r="A21" s="805"/>
      <c r="B21" s="217"/>
      <c r="C21" s="218"/>
      <c r="D21" s="219"/>
      <c r="E21" s="225"/>
      <c r="F21" s="231"/>
      <c r="G21" s="232"/>
      <c r="H21" s="233"/>
      <c r="I21" s="808"/>
      <c r="J21" s="216">
        <f>+'12'!J21</f>
        <v>0</v>
      </c>
      <c r="K21" s="238"/>
      <c r="L21" s="238"/>
      <c r="M21" s="121">
        <f>+K21+'12'!M21+L21</f>
        <v>0</v>
      </c>
      <c r="R21" s="153">
        <f t="shared" si="6"/>
        <v>0</v>
      </c>
      <c r="S21" s="153">
        <f t="shared" si="7"/>
        <v>0</v>
      </c>
    </row>
    <row r="22" spans="1:19" ht="13.5" thickBot="1">
      <c r="A22" s="805"/>
      <c r="B22" s="217"/>
      <c r="C22" s="218"/>
      <c r="D22" s="219"/>
      <c r="E22" s="225"/>
      <c r="F22" s="235"/>
      <c r="G22" s="232"/>
      <c r="H22" s="233"/>
      <c r="I22" s="809"/>
      <c r="J22" s="216">
        <f>+'12'!J22</f>
        <v>0</v>
      </c>
      <c r="K22" s="238"/>
      <c r="L22" s="238"/>
      <c r="M22" s="121">
        <f>+K22+'12'!M22+L22</f>
        <v>0</v>
      </c>
      <c r="P22" s="153">
        <f t="shared" ref="P22" si="8">+O22-O22*0.17</f>
        <v>0</v>
      </c>
    </row>
    <row r="23" spans="1:19" ht="13.5" thickBot="1">
      <c r="A23" s="806"/>
      <c r="B23" s="169" t="s">
        <v>3</v>
      </c>
      <c r="C23" s="103">
        <f>SUM(C16:C22)</f>
        <v>14080</v>
      </c>
      <c r="D23" s="115">
        <f>SUM(D16:D22)</f>
        <v>0</v>
      </c>
      <c r="E23" s="116">
        <f>SUM(E18:E22)</f>
        <v>0</v>
      </c>
      <c r="F23" s="120">
        <f>SUM(F15:F22)</f>
        <v>18</v>
      </c>
      <c r="G23" s="163"/>
      <c r="H23" s="170"/>
      <c r="I23" s="172"/>
      <c r="J23" s="216">
        <f>+'12'!J23</f>
        <v>0</v>
      </c>
      <c r="K23" s="238"/>
      <c r="L23" s="238"/>
      <c r="M23" s="121">
        <f>+K23+'12'!M23+L23</f>
        <v>0</v>
      </c>
      <c r="Q23" s="153">
        <f>SUM(Q16:Q21)</f>
        <v>480</v>
      </c>
      <c r="R23" s="153">
        <f>SUM(R15:R21)</f>
        <v>581325</v>
      </c>
      <c r="S23" s="153">
        <f>SUM(S15:S21)</f>
        <v>453433.5</v>
      </c>
    </row>
    <row r="24" spans="1:19" ht="13.5" customHeight="1" thickBot="1">
      <c r="A24" s="810"/>
      <c r="B24" s="528"/>
      <c r="C24" s="117">
        <f>C23/($C$23+$D$23+$E$23)</f>
        <v>1</v>
      </c>
      <c r="D24" s="118">
        <f>D23/($C$23+$D$23+$E$23)</f>
        <v>0</v>
      </c>
      <c r="E24" s="119">
        <f>E23/($C$23+$D$23+$E$23)</f>
        <v>0</v>
      </c>
      <c r="F24" s="235"/>
      <c r="G24" s="582" t="s">
        <v>12</v>
      </c>
      <c r="H24" s="583" t="s">
        <v>418</v>
      </c>
      <c r="I24" s="807" t="s">
        <v>526</v>
      </c>
      <c r="J24" s="216">
        <f>+'12'!J24</f>
        <v>0</v>
      </c>
      <c r="K24" s="238"/>
      <c r="L24" s="238"/>
      <c r="M24" s="121">
        <f>+K24+'12'!M24+L24</f>
        <v>0</v>
      </c>
      <c r="N24" s="153" t="s">
        <v>421</v>
      </c>
      <c r="P24" s="153">
        <f>60-18+60+48</f>
        <v>150</v>
      </c>
      <c r="Q24" s="153">
        <f>480-Q23</f>
        <v>0</v>
      </c>
      <c r="R24" s="153">
        <f>+R23/Q23</f>
        <v>1211.09375</v>
      </c>
      <c r="S24" s="153">
        <f>+S23/Q23</f>
        <v>944.65312500000005</v>
      </c>
    </row>
    <row r="25" spans="1:19" ht="13.5" thickBot="1">
      <c r="A25" s="805"/>
      <c r="B25" s="527" t="s">
        <v>471</v>
      </c>
      <c r="C25" s="226">
        <v>13539</v>
      </c>
      <c r="D25" s="219"/>
      <c r="E25" s="225"/>
      <c r="F25" s="231">
        <v>4</v>
      </c>
      <c r="G25" s="584" t="s">
        <v>12</v>
      </c>
      <c r="H25" s="230" t="s">
        <v>529</v>
      </c>
      <c r="I25" s="808"/>
      <c r="J25" s="216">
        <f>+'12'!J25</f>
        <v>0</v>
      </c>
      <c r="K25" s="238"/>
      <c r="L25" s="238"/>
      <c r="M25" s="121">
        <f>+K25+'12'!M25+L25</f>
        <v>0</v>
      </c>
    </row>
    <row r="26" spans="1:19" ht="13.5" thickBot="1">
      <c r="A26" s="805"/>
      <c r="B26" s="217"/>
      <c r="C26" s="226"/>
      <c r="D26" s="219"/>
      <c r="E26" s="227"/>
      <c r="F26" s="231">
        <v>13</v>
      </c>
      <c r="G26" s="584" t="s">
        <v>12</v>
      </c>
      <c r="H26" s="233" t="s">
        <v>528</v>
      </c>
      <c r="I26" s="808"/>
      <c r="J26" s="216">
        <f>+'12'!J26</f>
        <v>0</v>
      </c>
      <c r="K26" s="238"/>
      <c r="L26" s="238"/>
      <c r="M26" s="121">
        <f>+K26+'12'!M26+L26</f>
        <v>0</v>
      </c>
      <c r="N26" s="153" t="s">
        <v>453</v>
      </c>
      <c r="O26" s="153">
        <v>1200</v>
      </c>
      <c r="P26" s="153">
        <f>+O26-O26*0.22</f>
        <v>936</v>
      </c>
      <c r="Q26" s="153">
        <f>60-27</f>
        <v>33</v>
      </c>
      <c r="R26" s="153">
        <f>+O26*Q26</f>
        <v>39600</v>
      </c>
      <c r="S26" s="153">
        <f>+P26*Q26</f>
        <v>30888</v>
      </c>
    </row>
    <row r="27" spans="1:19" ht="64.5" thickBot="1">
      <c r="A27" s="805"/>
      <c r="B27" s="217"/>
      <c r="C27" s="218"/>
      <c r="D27" s="219"/>
      <c r="E27" s="225"/>
      <c r="F27" s="231"/>
      <c r="G27" s="229"/>
      <c r="H27" s="233" t="s">
        <v>518</v>
      </c>
      <c r="I27" s="808"/>
      <c r="J27" s="216">
        <f>+'12'!J27</f>
        <v>0</v>
      </c>
      <c r="K27" s="238"/>
      <c r="L27" s="238"/>
      <c r="M27" s="121">
        <f>+K27+'12'!M27+L27</f>
        <v>0</v>
      </c>
      <c r="O27" s="153">
        <v>1180</v>
      </c>
      <c r="P27" s="153">
        <f t="shared" ref="P27" si="9">+O27-O27*0.22</f>
        <v>920.4</v>
      </c>
      <c r="Q27" s="153">
        <f>60-27+21</f>
        <v>54</v>
      </c>
      <c r="R27" s="153">
        <f t="shared" ref="R27:R31" si="10">+O27*Q27</f>
        <v>63720</v>
      </c>
      <c r="S27" s="153">
        <f t="shared" ref="S27:S31" si="11">+P27*Q27</f>
        <v>49701.599999999999</v>
      </c>
    </row>
    <row r="28" spans="1:19" ht="205.5" customHeight="1" thickBot="1">
      <c r="A28" s="805"/>
      <c r="B28" s="217"/>
      <c r="C28" s="218"/>
      <c r="D28" s="219"/>
      <c r="E28" s="225"/>
      <c r="F28" s="231"/>
      <c r="G28" s="229"/>
      <c r="H28" s="233" t="s">
        <v>519</v>
      </c>
      <c r="I28" s="808"/>
      <c r="J28" s="216">
        <f>+'12'!J28</f>
        <v>0</v>
      </c>
      <c r="K28" s="238"/>
      <c r="L28" s="238"/>
      <c r="M28" s="121">
        <f>+K28+'12'!M28+L28</f>
        <v>0</v>
      </c>
      <c r="O28" s="153">
        <v>1190</v>
      </c>
      <c r="P28" s="153">
        <f>+O28-O28*0.23</f>
        <v>916.3</v>
      </c>
      <c r="Q28" s="153">
        <f>60-21+60+20</f>
        <v>119</v>
      </c>
      <c r="R28" s="153">
        <f t="shared" si="10"/>
        <v>141610</v>
      </c>
      <c r="S28" s="153">
        <f t="shared" si="11"/>
        <v>109039.7</v>
      </c>
    </row>
    <row r="29" spans="1:19" ht="13.5" thickBot="1">
      <c r="A29" s="805"/>
      <c r="B29" s="217"/>
      <c r="C29" s="218"/>
      <c r="D29" s="219"/>
      <c r="E29" s="225"/>
      <c r="F29" s="235"/>
      <c r="G29" s="232"/>
      <c r="H29" s="233"/>
      <c r="I29" s="808"/>
      <c r="J29" s="216">
        <f>+'12'!J29</f>
        <v>0</v>
      </c>
      <c r="K29" s="238"/>
      <c r="L29" s="238"/>
      <c r="M29" s="121">
        <f>+K29+'12'!M29+L29</f>
        <v>0</v>
      </c>
      <c r="O29" s="153">
        <v>1190</v>
      </c>
      <c r="P29" s="153">
        <f>+O29-O29*0.22</f>
        <v>928.2</v>
      </c>
      <c r="Q29" s="153">
        <f>480-Q26-Q27-Q28-Q30</f>
        <v>132</v>
      </c>
      <c r="R29" s="153">
        <f t="shared" si="10"/>
        <v>157080</v>
      </c>
      <c r="S29" s="153">
        <f t="shared" si="11"/>
        <v>122522.40000000001</v>
      </c>
    </row>
    <row r="30" spans="1:19" ht="13.5" thickBot="1">
      <c r="A30" s="805"/>
      <c r="B30" s="217"/>
      <c r="C30" s="226"/>
      <c r="D30" s="219"/>
      <c r="E30" s="225"/>
      <c r="F30" s="235"/>
      <c r="G30" s="232"/>
      <c r="H30" s="233"/>
      <c r="I30" s="808"/>
      <c r="J30" s="216">
        <f>+'12'!J30</f>
        <v>0</v>
      </c>
      <c r="K30" s="238"/>
      <c r="L30" s="238"/>
      <c r="M30" s="121">
        <f>+K30+'12'!M30+L30</f>
        <v>0</v>
      </c>
      <c r="O30" s="153">
        <v>1250</v>
      </c>
      <c r="P30" s="153">
        <f>+O30-O30*0.22</f>
        <v>975</v>
      </c>
      <c r="Q30" s="153">
        <f>60-38+120</f>
        <v>142</v>
      </c>
      <c r="R30" s="153">
        <f t="shared" si="10"/>
        <v>177500</v>
      </c>
      <c r="S30" s="153">
        <f t="shared" si="11"/>
        <v>138450</v>
      </c>
    </row>
    <row r="31" spans="1:19" ht="13.5" thickBot="1">
      <c r="A31" s="805"/>
      <c r="B31" s="217"/>
      <c r="C31" s="226"/>
      <c r="D31" s="219"/>
      <c r="E31" s="225"/>
      <c r="F31" s="235"/>
      <c r="G31" s="236"/>
      <c r="H31" s="413"/>
      <c r="I31" s="809"/>
      <c r="J31" s="216">
        <f>+'12'!J31</f>
        <v>0</v>
      </c>
      <c r="K31" s="238"/>
      <c r="L31" s="238"/>
      <c r="M31" s="121">
        <f>+K31+'12'!M31+L31</f>
        <v>0</v>
      </c>
      <c r="R31" s="153">
        <f t="shared" si="10"/>
        <v>0</v>
      </c>
      <c r="S31" s="153">
        <f t="shared" si="11"/>
        <v>0</v>
      </c>
    </row>
    <row r="32" spans="1:19" ht="13.5" thickBot="1">
      <c r="A32" s="806"/>
      <c r="B32" s="169" t="s">
        <v>3</v>
      </c>
      <c r="C32" s="103">
        <f>SUM(C25:C31)</f>
        <v>13539</v>
      </c>
      <c r="D32" s="104">
        <f>SUM(D25:D31)</f>
        <v>0</v>
      </c>
      <c r="E32" s="105">
        <f>SUM(E25:E31)</f>
        <v>0</v>
      </c>
      <c r="F32" s="103">
        <f>SUM(F24:F31)</f>
        <v>17</v>
      </c>
      <c r="G32" s="173"/>
      <c r="H32" s="174"/>
      <c r="I32" s="172"/>
      <c r="J32" s="216">
        <f>+'12'!J32</f>
        <v>0</v>
      </c>
      <c r="K32" s="240"/>
      <c r="L32" s="242"/>
      <c r="M32" s="121">
        <f>+K32+'12'!M32+L32</f>
        <v>0</v>
      </c>
      <c r="P32" s="153">
        <f t="shared" ref="P32" si="12">+O32-O32*0.17</f>
        <v>0</v>
      </c>
    </row>
    <row r="33" spans="1:19" ht="13.5" thickBot="1">
      <c r="A33" s="175"/>
      <c r="B33" s="176"/>
      <c r="C33" s="107">
        <f>C32/($C$32+$D$32+$E$32)</f>
        <v>1</v>
      </c>
      <c r="D33" s="108">
        <f>D32/($C$32+$D$32+$E$32)</f>
        <v>0</v>
      </c>
      <c r="E33" s="109">
        <f>E32/($C$32+$D$32+$E$32)</f>
        <v>0</v>
      </c>
      <c r="F33" s="110"/>
      <c r="G33" s="177"/>
      <c r="H33" s="178"/>
      <c r="I33" s="179"/>
      <c r="J33" s="125"/>
      <c r="K33" s="126"/>
      <c r="L33" s="215"/>
      <c r="M33" s="123"/>
      <c r="Q33" s="153">
        <f>SUM(Q26:Q31)</f>
        <v>480</v>
      </c>
      <c r="R33" s="153">
        <f>SUM(R25:R31)</f>
        <v>579510</v>
      </c>
      <c r="S33" s="153">
        <f>SUM(S25:S31)</f>
        <v>450601.7</v>
      </c>
    </row>
    <row r="34" spans="1:19" ht="13.5" thickBot="1">
      <c r="A34" s="811" t="s">
        <v>69</v>
      </c>
      <c r="B34" s="812"/>
      <c r="C34" s="111">
        <f>C14+C23+C32</f>
        <v>42233</v>
      </c>
      <c r="D34" s="111">
        <f>D14+D23+D32</f>
        <v>0</v>
      </c>
      <c r="E34" s="111">
        <f>E14+E23+E32</f>
        <v>0</v>
      </c>
      <c r="F34" s="112">
        <f>F14+F23+F32</f>
        <v>55</v>
      </c>
      <c r="H34" s="180"/>
      <c r="I34" s="180"/>
      <c r="J34" s="127" t="s">
        <v>28</v>
      </c>
      <c r="K34" s="128">
        <f>SUM(K7:K32)</f>
        <v>42233</v>
      </c>
      <c r="L34" s="214">
        <f>SUM(L7:L32)</f>
        <v>0</v>
      </c>
      <c r="M34" s="124">
        <f>SUM(M7:M32)</f>
        <v>181838</v>
      </c>
      <c r="N34" s="153" t="s">
        <v>421</v>
      </c>
      <c r="P34" s="153">
        <f>60-18+60+48</f>
        <v>150</v>
      </c>
      <c r="Q34" s="153">
        <f>480-Q33</f>
        <v>0</v>
      </c>
      <c r="R34" s="153">
        <f>+R33/Q33</f>
        <v>1207.3125</v>
      </c>
      <c r="S34" s="153">
        <f>+S33/Q33</f>
        <v>938.75354166666671</v>
      </c>
    </row>
    <row r="35" spans="1:19" ht="13.5" thickBot="1">
      <c r="A35" s="573"/>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row>
    <row r="37" spans="1:19" ht="17.45" customHeight="1" thickBot="1">
      <c r="A37" s="813" t="s">
        <v>70</v>
      </c>
      <c r="B37" s="814"/>
      <c r="C37" s="166" t="s">
        <v>71</v>
      </c>
      <c r="D37" s="185" t="s">
        <v>72</v>
      </c>
      <c r="E37" s="186" t="s">
        <v>73</v>
      </c>
      <c r="F37" s="311"/>
      <c r="G37" s="313"/>
      <c r="H37" s="188" t="s">
        <v>74</v>
      </c>
      <c r="I37" s="243">
        <f>(14.5*1440)/1440*G42*2.7*1440/1000000</f>
        <v>52.426211309999999</v>
      </c>
      <c r="J37" s="129">
        <f>+I37+'12'!J37</f>
        <v>227.38321066186217</v>
      </c>
      <c r="K37" s="130" t="s">
        <v>75</v>
      </c>
    </row>
    <row r="38" spans="1:19" ht="17.45" customHeight="1">
      <c r="A38" s="797" t="s">
        <v>12</v>
      </c>
      <c r="B38" s="798"/>
      <c r="C38" s="168">
        <f>SUMIF($G$7:$G$31,"Process",$F$7:$F$31)</f>
        <v>55</v>
      </c>
      <c r="D38" s="122">
        <f>C38+'12'!D38</f>
        <v>613</v>
      </c>
      <c r="E38" s="147">
        <f t="shared" ref="E38:E52" si="13">D38/60</f>
        <v>10.216666666666667</v>
      </c>
      <c r="F38" s="565">
        <v>1162.0625</v>
      </c>
      <c r="G38" s="565">
        <v>906.40875000000005</v>
      </c>
      <c r="H38" s="189" t="s">
        <v>76</v>
      </c>
      <c r="I38" s="244">
        <f>14.115+13.464+16.06</f>
        <v>43.638999999999996</v>
      </c>
      <c r="J38" s="131">
        <f>+I38+'12'!J38</f>
        <v>196.50099999999998</v>
      </c>
      <c r="K38" s="132" t="s">
        <v>75</v>
      </c>
    </row>
    <row r="39" spans="1:19" ht="17.45" customHeight="1">
      <c r="A39" s="799" t="s">
        <v>13</v>
      </c>
      <c r="B39" s="800"/>
      <c r="C39" s="168">
        <f>SUMIF($G$7:$G$31,"Cleaning",$F$7:$F$31)</f>
        <v>0</v>
      </c>
      <c r="D39" s="122">
        <f>C39+'12'!D39</f>
        <v>0</v>
      </c>
      <c r="E39" s="147">
        <f t="shared" si="13"/>
        <v>0</v>
      </c>
      <c r="F39" s="565">
        <v>1211.09375</v>
      </c>
      <c r="G39" s="565">
        <v>944.65312500000005</v>
      </c>
      <c r="H39" s="189" t="s">
        <v>77</v>
      </c>
      <c r="I39" s="146"/>
      <c r="J39" s="133">
        <f>J37/G4</f>
        <v>17.49101620475863</v>
      </c>
      <c r="K39" s="134" t="s">
        <v>75</v>
      </c>
    </row>
    <row r="40" spans="1:19" ht="17.45" customHeight="1">
      <c r="A40" s="799" t="s">
        <v>78</v>
      </c>
      <c r="B40" s="800"/>
      <c r="C40" s="168">
        <f>SUMIF($G$7:$G$31,"Mechanical",$F$7:$F$31)</f>
        <v>0</v>
      </c>
      <c r="D40" s="122">
        <f>C40+'12'!D40</f>
        <v>0</v>
      </c>
      <c r="E40" s="147">
        <f t="shared" si="13"/>
        <v>0</v>
      </c>
      <c r="F40" s="565">
        <v>1207.3125</v>
      </c>
      <c r="G40" s="565">
        <v>938.75354166666671</v>
      </c>
      <c r="H40" s="189" t="s">
        <v>79</v>
      </c>
      <c r="I40" s="122">
        <f>(K34+L34)/1000</f>
        <v>42.232999999999997</v>
      </c>
      <c r="J40" s="135">
        <f>+I40+'12'!J40</f>
        <v>181.83800000000002</v>
      </c>
      <c r="K40" s="134" t="s">
        <v>75</v>
      </c>
    </row>
    <row r="41" spans="1:19" ht="17.45" customHeight="1">
      <c r="A41" s="799" t="s">
        <v>80</v>
      </c>
      <c r="B41" s="800"/>
      <c r="C41" s="168">
        <f>SUMIF($G$7:$G$31,"Electrical",$F$7:$F$31)</f>
        <v>0</v>
      </c>
      <c r="D41" s="122">
        <f>C41+'12'!D41</f>
        <v>60</v>
      </c>
      <c r="E41" s="147">
        <f t="shared" si="13"/>
        <v>1</v>
      </c>
      <c r="F41" s="311"/>
      <c r="G41" s="311"/>
      <c r="H41" s="189" t="s">
        <v>81</v>
      </c>
      <c r="I41" s="146"/>
      <c r="J41" s="133">
        <f>J40/G4</f>
        <v>13.987538461538463</v>
      </c>
      <c r="K41" s="134" t="s">
        <v>75</v>
      </c>
    </row>
    <row r="42" spans="1:19" ht="17.45" customHeight="1">
      <c r="A42" s="799" t="s">
        <v>16</v>
      </c>
      <c r="B42" s="800"/>
      <c r="C42" s="168">
        <f>SUMIF($G$7:$G$31,"Instrument",$F$7:$F$31)</f>
        <v>0</v>
      </c>
      <c r="D42" s="122">
        <f>C42+'12'!D42</f>
        <v>0</v>
      </c>
      <c r="E42" s="147">
        <f t="shared" si="13"/>
        <v>0</v>
      </c>
      <c r="F42" s="566">
        <f>+(F38*480+F39*480+F40*480)/1440</f>
        <v>1193.4895833333333</v>
      </c>
      <c r="G42" s="566">
        <f>+(G38*480+G39*480+G40*480)/1440</f>
        <v>929.93847222222212</v>
      </c>
      <c r="H42" s="189" t="s">
        <v>82</v>
      </c>
      <c r="I42" s="245" t="s">
        <v>527</v>
      </c>
      <c r="J42" s="136"/>
      <c r="K42" s="134" t="s">
        <v>83</v>
      </c>
    </row>
    <row r="43" spans="1:19" ht="17.45" customHeight="1">
      <c r="A43" s="799" t="s">
        <v>84</v>
      </c>
      <c r="B43" s="800"/>
      <c r="C43" s="168">
        <f>SUMIF($G$7:$G$31,"Water",$F$7:$F$31)</f>
        <v>0</v>
      </c>
      <c r="D43" s="122">
        <f>C43+'12'!D43</f>
        <v>0</v>
      </c>
      <c r="E43" s="147">
        <f t="shared" si="13"/>
        <v>0</v>
      </c>
      <c r="F43" s="311"/>
      <c r="G43" s="312"/>
      <c r="H43" s="190" t="s">
        <v>85</v>
      </c>
      <c r="I43" s="122">
        <f>+Report1!Z21</f>
        <v>94.3</v>
      </c>
      <c r="J43" s="137">
        <f>+I43+'12'!J43</f>
        <v>444.8</v>
      </c>
      <c r="K43" s="134" t="s">
        <v>75</v>
      </c>
      <c r="L43" s="191"/>
    </row>
    <row r="44" spans="1:19" ht="17.45" customHeight="1">
      <c r="A44" s="799" t="s">
        <v>17</v>
      </c>
      <c r="B44" s="800"/>
      <c r="C44" s="168">
        <f>SUMIF($G$7:$G$31,"PLN",$F$7:$F$31)</f>
        <v>0</v>
      </c>
      <c r="D44" s="122">
        <f>C44+'12'!D44</f>
        <v>0</v>
      </c>
      <c r="E44" s="147">
        <f t="shared" si="13"/>
        <v>0</v>
      </c>
      <c r="F44" s="311"/>
      <c r="G44" s="312"/>
      <c r="H44" s="190" t="s">
        <v>86</v>
      </c>
      <c r="I44" s="122">
        <f>I43/I38</f>
        <v>2.1609111116203397</v>
      </c>
      <c r="J44" s="138">
        <f>J43/J38</f>
        <v>2.2636017119505758</v>
      </c>
      <c r="K44" s="134" t="s">
        <v>75</v>
      </c>
    </row>
    <row r="45" spans="1:19" ht="17.45" customHeight="1">
      <c r="A45" s="799" t="s">
        <v>18</v>
      </c>
      <c r="B45" s="800"/>
      <c r="C45" s="168">
        <f>SUMIF($G$7:$G$31,"Boiler",$F$7:$F$31)</f>
        <v>0</v>
      </c>
      <c r="D45" s="122">
        <f>C45+'12'!D45</f>
        <v>0</v>
      </c>
      <c r="E45" s="147">
        <f t="shared" si="13"/>
        <v>0</v>
      </c>
      <c r="F45" s="311"/>
      <c r="G45" s="314"/>
      <c r="H45" s="190" t="s">
        <v>87</v>
      </c>
      <c r="I45" s="122">
        <f>I43/I40</f>
        <v>2.2328510880117443</v>
      </c>
      <c r="J45" s="138">
        <f>J43/J40</f>
        <v>2.4461333714625102</v>
      </c>
      <c r="K45" s="134" t="s">
        <v>75</v>
      </c>
    </row>
    <row r="46" spans="1:19" ht="17.45" customHeight="1">
      <c r="A46" s="799" t="s">
        <v>88</v>
      </c>
      <c r="B46" s="800"/>
      <c r="C46" s="168">
        <f>SUMIF($G$7:$G$31,"Gas",$F$7:$F$31)</f>
        <v>0</v>
      </c>
      <c r="D46" s="122">
        <f>C46+'12'!D46</f>
        <v>0</v>
      </c>
      <c r="E46" s="147">
        <f t="shared" si="13"/>
        <v>0</v>
      </c>
      <c r="F46" s="311"/>
      <c r="G46" s="312"/>
      <c r="H46" s="190" t="s">
        <v>89</v>
      </c>
      <c r="I46" s="144">
        <f>+SUMIF(Listrik!X20,"&gt;0")</f>
        <v>40184.410000000003</v>
      </c>
      <c r="J46" s="139">
        <f>+I46+'12'!J46</f>
        <v>195688.56240000026</v>
      </c>
      <c r="K46" s="134" t="s">
        <v>90</v>
      </c>
    </row>
    <row r="47" spans="1:19" ht="17.45" customHeight="1">
      <c r="A47" s="799" t="s">
        <v>91</v>
      </c>
      <c r="B47" s="800"/>
      <c r="C47" s="168">
        <f>SUMIF($G$7:$G$31,"Gas",$F$7:$F$31)</f>
        <v>0</v>
      </c>
      <c r="D47" s="122">
        <f>C47+'12'!D47</f>
        <v>0</v>
      </c>
      <c r="E47" s="147">
        <f t="shared" si="13"/>
        <v>0</v>
      </c>
      <c r="F47" s="311"/>
      <c r="G47" s="312"/>
      <c r="H47" s="190" t="s">
        <v>92</v>
      </c>
      <c r="I47" s="122">
        <f>I46/I38</f>
        <v>920.8370952588283</v>
      </c>
      <c r="J47" s="139">
        <f>J46/J38</f>
        <v>995.86547854718435</v>
      </c>
      <c r="K47" s="134" t="s">
        <v>24</v>
      </c>
    </row>
    <row r="48" spans="1:19" ht="17.45" customHeight="1">
      <c r="A48" s="799" t="s">
        <v>14</v>
      </c>
      <c r="B48" s="800"/>
      <c r="C48" s="168">
        <f>SUMIF($G$7:$G$31,"Start Up",$F$7:$F$31)</f>
        <v>0</v>
      </c>
      <c r="D48" s="122">
        <f>C48+'12'!D48</f>
        <v>0</v>
      </c>
      <c r="E48" s="147">
        <f t="shared" si="13"/>
        <v>0</v>
      </c>
      <c r="F48" s="311"/>
      <c r="G48" s="312"/>
      <c r="H48" s="190" t="s">
        <v>93</v>
      </c>
      <c r="I48" s="122">
        <f>I46/I40</f>
        <v>951.49314517083815</v>
      </c>
      <c r="J48" s="139">
        <f>J46/J40</f>
        <v>1076.1697906928157</v>
      </c>
      <c r="K48" s="134" t="s">
        <v>24</v>
      </c>
    </row>
    <row r="49" spans="1:11" ht="17.45" customHeight="1">
      <c r="A49" s="799" t="s">
        <v>20</v>
      </c>
      <c r="B49" s="800"/>
      <c r="C49" s="168">
        <f>SUMIF($G$7:$G$31,"Others",$F$7:$F$31)</f>
        <v>0</v>
      </c>
      <c r="D49" s="122">
        <f>C49+'12'!D49</f>
        <v>11845</v>
      </c>
      <c r="E49" s="147">
        <f t="shared" si="13"/>
        <v>197.41666666666666</v>
      </c>
      <c r="F49" s="187"/>
      <c r="H49" s="190" t="s">
        <v>279</v>
      </c>
      <c r="I49" s="122">
        <f>+Report1!T21</f>
        <v>3966.528986965367</v>
      </c>
      <c r="J49" s="139">
        <f>+I49+'12'!J49</f>
        <v>18235.445609496746</v>
      </c>
      <c r="K49" s="134" t="s">
        <v>94</v>
      </c>
    </row>
    <row r="50" spans="1:11" ht="17.45" customHeight="1">
      <c r="A50" s="799" t="s">
        <v>19</v>
      </c>
      <c r="B50" s="800"/>
      <c r="C50" s="168">
        <f>SUMIF($G$7:$G$31,"Steam",$F$7:$F$31)</f>
        <v>0</v>
      </c>
      <c r="D50" s="122">
        <f>C50+'12'!D50</f>
        <v>0</v>
      </c>
      <c r="E50" s="147">
        <f t="shared" si="13"/>
        <v>0</v>
      </c>
      <c r="F50" s="187"/>
      <c r="H50" s="190" t="s">
        <v>95</v>
      </c>
      <c r="I50" s="144">
        <f>I49/I38</f>
        <v>90.894131097535862</v>
      </c>
      <c r="J50" s="137">
        <f>J49/J38</f>
        <v>92.800777652514483</v>
      </c>
      <c r="K50" s="134" t="s">
        <v>94</v>
      </c>
    </row>
    <row r="51" spans="1:11" ht="17.45" customHeight="1">
      <c r="A51" s="801" t="s">
        <v>96</v>
      </c>
      <c r="B51" s="801"/>
      <c r="C51" s="168">
        <f>SUMIF($G$7:$G$31,"Planned shut",$F$7:$F$31)</f>
        <v>0</v>
      </c>
      <c r="D51" s="122">
        <f>C51+'12'!D51</f>
        <v>0</v>
      </c>
      <c r="E51" s="147">
        <f t="shared" si="13"/>
        <v>0</v>
      </c>
      <c r="F51" s="187"/>
      <c r="H51" s="192" t="s">
        <v>97</v>
      </c>
      <c r="I51" s="145">
        <f>I49/I40</f>
        <v>93.920133236222085</v>
      </c>
      <c r="J51" s="140">
        <f>J49/J40</f>
        <v>100.28401989406363</v>
      </c>
      <c r="K51" s="141" t="s">
        <v>94</v>
      </c>
    </row>
    <row r="52" spans="1:11" ht="13.5" thickBot="1">
      <c r="A52" s="802" t="s">
        <v>229</v>
      </c>
      <c r="B52" s="803"/>
      <c r="C52" s="168">
        <f>SUMIF($G$7:$G$31,"Change Grade",$F$7:$F$31)</f>
        <v>0</v>
      </c>
      <c r="D52" s="122">
        <f>C52+'12'!D52</f>
        <v>0</v>
      </c>
      <c r="E52" s="147">
        <f t="shared" si="13"/>
        <v>0</v>
      </c>
      <c r="F52" s="187"/>
      <c r="H52" s="193"/>
      <c r="I52" s="194"/>
      <c r="J52" s="142"/>
      <c r="K52" s="143"/>
    </row>
    <row r="53" spans="1:11">
      <c r="A53" s="797" t="s">
        <v>28</v>
      </c>
      <c r="B53" s="798"/>
      <c r="C53" s="148">
        <f>SUM(C38:C52)</f>
        <v>55</v>
      </c>
      <c r="D53" s="148">
        <f>SUM(D38:D52)</f>
        <v>12518</v>
      </c>
      <c r="E53" s="149">
        <f>SUM(E38:E52)</f>
        <v>208.63333333333333</v>
      </c>
      <c r="F53" s="187"/>
    </row>
    <row r="54" spans="1:11" ht="13.5" thickBot="1">
      <c r="A54" s="795"/>
      <c r="B54" s="796"/>
      <c r="C54" s="150">
        <f>C53/(24*60)</f>
        <v>3.8194444444444448E-2</v>
      </c>
      <c r="D54" s="150">
        <f>D53/(24*60*G4)</f>
        <v>0.66869658119658115</v>
      </c>
      <c r="E54" s="151">
        <f>E53/(G4*24)</f>
        <v>0.66869658119658115</v>
      </c>
      <c r="F54" s="187"/>
    </row>
    <row r="55" spans="1:11">
      <c r="E55" s="195"/>
    </row>
    <row r="56" spans="1:11">
      <c r="A56" s="196" t="s">
        <v>98</v>
      </c>
      <c r="B56" s="197"/>
      <c r="C56" s="198"/>
      <c r="D56" s="198"/>
      <c r="E56" s="198"/>
      <c r="F56" s="199"/>
      <c r="G56" s="198"/>
      <c r="H56" s="200"/>
      <c r="I56" s="201" t="s">
        <v>99</v>
      </c>
      <c r="J56" s="202">
        <f>+D34+'12'!J56</f>
        <v>0</v>
      </c>
      <c r="K56" s="203">
        <f>J56/(J40+J56/1000)/1000</f>
        <v>0</v>
      </c>
    </row>
    <row r="57" spans="1:11">
      <c r="A57" s="178"/>
      <c r="I57" s="201" t="s">
        <v>100</v>
      </c>
      <c r="J57" s="202">
        <f>+E34+'12'!J57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B10" zoomScale="80" zoomScaleNormal="80" zoomScaleSheetLayoutView="80" workbookViewId="0">
      <selection activeCell="E22" sqref="E2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12</v>
      </c>
      <c r="H4" s="158" t="str">
        <f>+'1'!H4</f>
        <v>.10.25</v>
      </c>
      <c r="J4" s="153">
        <f>422+481+539</f>
        <v>1442</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1150</v>
      </c>
      <c r="P6" s="153">
        <f>+O6-O6*0.22</f>
        <v>897</v>
      </c>
      <c r="Q6" s="153">
        <f>60*2+48</f>
        <v>168</v>
      </c>
      <c r="R6" s="153">
        <f>+O6*Q6</f>
        <v>193200</v>
      </c>
      <c r="S6" s="153">
        <f>+P6*Q6</f>
        <v>150696</v>
      </c>
    </row>
    <row r="7" spans="1:19" ht="13.5" customHeight="1" thickBot="1">
      <c r="A7" s="804"/>
      <c r="B7" s="217" t="s">
        <v>471</v>
      </c>
      <c r="C7" s="218">
        <v>11888</v>
      </c>
      <c r="D7" s="219"/>
      <c r="E7" s="220"/>
      <c r="F7" s="235"/>
      <c r="G7" s="582" t="s">
        <v>12</v>
      </c>
      <c r="H7" s="583" t="s">
        <v>418</v>
      </c>
      <c r="I7" s="807" t="s">
        <v>508</v>
      </c>
      <c r="J7" s="216" t="str">
        <f>+'11'!J7</f>
        <v>TW 17 RC HW</v>
      </c>
      <c r="K7" s="237"/>
      <c r="L7" s="241"/>
      <c r="M7" s="121">
        <f>+K7+'11'!M7+L7</f>
        <v>3364</v>
      </c>
      <c r="O7" s="153">
        <v>1200</v>
      </c>
      <c r="P7" s="153">
        <f>+O7-O7*0.22</f>
        <v>936</v>
      </c>
      <c r="Q7" s="153">
        <f>480-168-150</f>
        <v>162</v>
      </c>
      <c r="R7" s="153">
        <f>+O7*Q7</f>
        <v>194400</v>
      </c>
      <c r="S7" s="153">
        <f>+P7*Q7</f>
        <v>151632</v>
      </c>
    </row>
    <row r="8" spans="1:19" ht="13.5" thickBot="1">
      <c r="A8" s="805"/>
      <c r="B8" s="217"/>
      <c r="C8" s="218"/>
      <c r="D8" s="219"/>
      <c r="E8" s="221"/>
      <c r="F8" s="231">
        <v>6</v>
      </c>
      <c r="G8" s="584" t="s">
        <v>12</v>
      </c>
      <c r="H8" s="230" t="s">
        <v>398</v>
      </c>
      <c r="I8" s="808"/>
      <c r="J8" s="216" t="str">
        <f>+'11'!J8</f>
        <v>T 14 VP OW</v>
      </c>
      <c r="K8" s="238"/>
      <c r="L8" s="238"/>
      <c r="M8" s="121">
        <f>+K8+'11'!M8+L8</f>
        <v>23832</v>
      </c>
      <c r="R8" s="153">
        <f t="shared" ref="R8:R11" si="0">+O8*Q8</f>
        <v>0</v>
      </c>
      <c r="S8" s="153">
        <f t="shared" ref="S8:S11" si="1">+P8*Q8</f>
        <v>0</v>
      </c>
    </row>
    <row r="9" spans="1:19" ht="13.5" thickBot="1">
      <c r="A9" s="805"/>
      <c r="B9" s="217"/>
      <c r="C9" s="218"/>
      <c r="D9" s="219"/>
      <c r="E9" s="222"/>
      <c r="F9" s="231">
        <v>10</v>
      </c>
      <c r="G9" s="584" t="s">
        <v>12</v>
      </c>
      <c r="H9" s="233" t="s">
        <v>511</v>
      </c>
      <c r="I9" s="808"/>
      <c r="J9" s="216" t="str">
        <f>+'11'!J9</f>
        <v>T 14,5 VP OW</v>
      </c>
      <c r="K9" s="238">
        <f>+C34</f>
        <v>44765</v>
      </c>
      <c r="L9" s="238"/>
      <c r="M9" s="121">
        <f>+K9+'11'!M9+L9</f>
        <v>112409</v>
      </c>
      <c r="R9" s="153">
        <f t="shared" si="0"/>
        <v>0</v>
      </c>
      <c r="S9" s="153">
        <f t="shared" si="1"/>
        <v>0</v>
      </c>
    </row>
    <row r="10" spans="1:19" ht="64.5" thickBot="1">
      <c r="A10" s="805"/>
      <c r="B10" s="217"/>
      <c r="C10" s="218"/>
      <c r="D10" s="219"/>
      <c r="E10" s="221"/>
      <c r="F10" s="231"/>
      <c r="G10" s="229"/>
      <c r="H10" s="233" t="s">
        <v>492</v>
      </c>
      <c r="I10" s="808"/>
      <c r="J10" s="216">
        <f>+'11'!J10</f>
        <v>0</v>
      </c>
      <c r="K10" s="238"/>
      <c r="L10" s="238"/>
      <c r="M10" s="121">
        <f>+K10+'11'!M10+L10</f>
        <v>0</v>
      </c>
      <c r="R10" s="153">
        <f t="shared" si="0"/>
        <v>0</v>
      </c>
      <c r="S10" s="153">
        <f t="shared" si="1"/>
        <v>0</v>
      </c>
    </row>
    <row r="11" spans="1:19" ht="111" customHeight="1" thickBot="1">
      <c r="A11" s="805"/>
      <c r="B11" s="217"/>
      <c r="C11" s="218"/>
      <c r="D11" s="219"/>
      <c r="E11" s="221"/>
      <c r="F11" s="228">
        <v>150</v>
      </c>
      <c r="G11" s="584" t="s">
        <v>12</v>
      </c>
      <c r="H11" s="233" t="s">
        <v>493</v>
      </c>
      <c r="I11" s="808"/>
      <c r="J11" s="216">
        <f>+'11'!J11</f>
        <v>0</v>
      </c>
      <c r="K11" s="238"/>
      <c r="L11" s="238"/>
      <c r="M11" s="121">
        <f>+K11+'11'!M11+L11</f>
        <v>0</v>
      </c>
      <c r="R11" s="153">
        <f t="shared" si="0"/>
        <v>0</v>
      </c>
      <c r="S11" s="153">
        <f t="shared" si="1"/>
        <v>0</v>
      </c>
    </row>
    <row r="12" spans="1:19" ht="13.5" thickBot="1">
      <c r="A12" s="805"/>
      <c r="B12" s="217"/>
      <c r="C12" s="218"/>
      <c r="D12" s="219"/>
      <c r="E12" s="221"/>
      <c r="F12" s="228"/>
      <c r="G12" s="232"/>
      <c r="H12" s="233"/>
      <c r="I12" s="808"/>
      <c r="J12" s="216">
        <f>+'11'!J12</f>
        <v>0</v>
      </c>
      <c r="K12" s="238"/>
      <c r="L12" s="238"/>
      <c r="M12" s="121">
        <f>+K12+'11'!M12+L12</f>
        <v>0</v>
      </c>
      <c r="P12" s="153">
        <f t="shared" ref="P12" si="2">+O12-O12*0.17</f>
        <v>0</v>
      </c>
    </row>
    <row r="13" spans="1:19" ht="13.5" thickBot="1">
      <c r="A13" s="805"/>
      <c r="B13" s="217"/>
      <c r="C13" s="218"/>
      <c r="D13" s="218"/>
      <c r="E13" s="221"/>
      <c r="F13" s="228"/>
      <c r="G13" s="232"/>
      <c r="H13" s="233"/>
      <c r="I13" s="809"/>
      <c r="J13" s="216">
        <f>+'11'!J13</f>
        <v>0</v>
      </c>
      <c r="K13" s="238"/>
      <c r="L13" s="238"/>
      <c r="M13" s="121">
        <f>+K13+'11'!M13+L13</f>
        <v>0</v>
      </c>
      <c r="Q13" s="153">
        <f>SUM(Q6:Q11)</f>
        <v>330</v>
      </c>
      <c r="R13" s="153">
        <f>SUM(R6:R11)</f>
        <v>387600</v>
      </c>
      <c r="S13" s="153">
        <f>SUM(S6:S11)</f>
        <v>302328</v>
      </c>
    </row>
    <row r="14" spans="1:19" ht="13.5" thickBot="1">
      <c r="A14" s="806"/>
      <c r="B14" s="169"/>
      <c r="C14" s="103">
        <f>SUM(C7:C13)</f>
        <v>11888</v>
      </c>
      <c r="D14" s="115">
        <f>SUM(D7:D13)</f>
        <v>0</v>
      </c>
      <c r="E14" s="116">
        <f>SUM(E5:E13)</f>
        <v>0</v>
      </c>
      <c r="F14" s="120">
        <f>SUM(F7:F13)</f>
        <v>166</v>
      </c>
      <c r="G14" s="163"/>
      <c r="H14" s="170"/>
      <c r="I14" s="171"/>
      <c r="J14" s="216">
        <f>+'11'!J14</f>
        <v>0</v>
      </c>
      <c r="K14" s="238"/>
      <c r="L14" s="238"/>
      <c r="M14" s="121">
        <f>+K14+'11'!M14+L14</f>
        <v>0</v>
      </c>
      <c r="N14" s="153" t="s">
        <v>421</v>
      </c>
      <c r="P14" s="153">
        <f>60-18+60+48</f>
        <v>150</v>
      </c>
      <c r="Q14" s="153">
        <f>480-Q13</f>
        <v>150</v>
      </c>
      <c r="R14" s="153">
        <f>+R13/Q13</f>
        <v>1174.5454545454545</v>
      </c>
      <c r="S14" s="153">
        <f>+S13/Q13</f>
        <v>916.14545454545453</v>
      </c>
    </row>
    <row r="15" spans="1:19" ht="13.5" customHeight="1" thickBot="1">
      <c r="A15" s="810"/>
      <c r="B15" s="528"/>
      <c r="C15" s="117">
        <f>C14/($C$23+$D$23+$E$23)</f>
        <v>0.60028277115734197</v>
      </c>
      <c r="D15" s="118">
        <f>D14/($C$23+$D$23+$E$23)</f>
        <v>0</v>
      </c>
      <c r="E15" s="119">
        <f>E14/($C$23+$D$23+$E$23)</f>
        <v>0</v>
      </c>
      <c r="F15" s="235"/>
      <c r="G15" s="582" t="s">
        <v>12</v>
      </c>
      <c r="H15" s="583" t="s">
        <v>418</v>
      </c>
      <c r="I15" s="807" t="s">
        <v>509</v>
      </c>
      <c r="J15" s="216">
        <f>+'11'!J15</f>
        <v>0</v>
      </c>
      <c r="K15" s="238"/>
      <c r="L15" s="238"/>
      <c r="M15" s="121">
        <f>+K15+'11'!M15+L15</f>
        <v>0</v>
      </c>
    </row>
    <row r="16" spans="1:19" ht="13.5" thickBot="1">
      <c r="A16" s="805"/>
      <c r="B16" s="527" t="s">
        <v>471</v>
      </c>
      <c r="C16" s="526">
        <v>19804</v>
      </c>
      <c r="D16" s="223"/>
      <c r="E16" s="224"/>
      <c r="F16" s="231">
        <v>3</v>
      </c>
      <c r="G16" s="584" t="s">
        <v>12</v>
      </c>
      <c r="H16" s="230" t="s">
        <v>398</v>
      </c>
      <c r="I16" s="808"/>
      <c r="J16" s="216">
        <f>+'11'!J16</f>
        <v>0</v>
      </c>
      <c r="K16" s="229"/>
      <c r="L16" s="229"/>
      <c r="M16" s="121">
        <f>+K16+'11'!M16+L16</f>
        <v>0</v>
      </c>
      <c r="N16" s="153" t="s">
        <v>453</v>
      </c>
      <c r="O16" s="153">
        <v>1250</v>
      </c>
      <c r="P16" s="153">
        <f>+O16-O16*0.22</f>
        <v>975</v>
      </c>
      <c r="Q16" s="153">
        <f>60*7+7</f>
        <v>427</v>
      </c>
      <c r="R16" s="153">
        <f>+O16*Q16</f>
        <v>533750</v>
      </c>
      <c r="S16" s="153">
        <f>+P16*Q16</f>
        <v>416325</v>
      </c>
    </row>
    <row r="17" spans="1:19" ht="13.5" thickBot="1">
      <c r="A17" s="805"/>
      <c r="B17" s="217"/>
      <c r="C17" s="218"/>
      <c r="D17" s="219"/>
      <c r="E17" s="225"/>
      <c r="F17" s="231">
        <v>3</v>
      </c>
      <c r="G17" s="584" t="s">
        <v>12</v>
      </c>
      <c r="H17" s="233" t="s">
        <v>484</v>
      </c>
      <c r="I17" s="808"/>
      <c r="J17" s="216">
        <f>+'11'!J17</f>
        <v>0</v>
      </c>
      <c r="K17" s="229"/>
      <c r="L17" s="229"/>
      <c r="M17" s="121">
        <f>+K17+'11'!M17+L17</f>
        <v>0</v>
      </c>
      <c r="O17" s="153">
        <v>1200</v>
      </c>
      <c r="P17" s="153">
        <f>+O17-O17*0.23</f>
        <v>924</v>
      </c>
      <c r="Q17" s="153">
        <f>480-Q16</f>
        <v>53</v>
      </c>
      <c r="R17" s="153">
        <f>+O17*Q17</f>
        <v>63600</v>
      </c>
      <c r="S17" s="153">
        <f>+P17*Q17</f>
        <v>48972</v>
      </c>
    </row>
    <row r="18" spans="1:19" ht="64.5" thickBot="1">
      <c r="A18" s="805"/>
      <c r="B18" s="217"/>
      <c r="C18" s="218"/>
      <c r="D18" s="219"/>
      <c r="E18" s="225"/>
      <c r="F18" s="231"/>
      <c r="G18" s="229"/>
      <c r="H18" s="233" t="s">
        <v>490</v>
      </c>
      <c r="I18" s="808"/>
      <c r="J18" s="216">
        <f>+'11'!J18</f>
        <v>0</v>
      </c>
      <c r="K18" s="238"/>
      <c r="L18" s="238"/>
      <c r="M18" s="121">
        <f>+K18+'11'!M18+L18</f>
        <v>0</v>
      </c>
      <c r="R18" s="153">
        <f t="shared" ref="R18:R21" si="3">+O18*Q18</f>
        <v>0</v>
      </c>
      <c r="S18" s="153">
        <f t="shared" ref="S18:S21" si="4">+P18*Q18</f>
        <v>0</v>
      </c>
    </row>
    <row r="19" spans="1:19" ht="74.25" customHeight="1" thickBot="1">
      <c r="A19" s="805"/>
      <c r="B19" s="217"/>
      <c r="C19" s="218"/>
      <c r="D19" s="219"/>
      <c r="E19" s="225"/>
      <c r="F19" s="234"/>
      <c r="G19" s="232"/>
      <c r="H19" s="233" t="s">
        <v>491</v>
      </c>
      <c r="I19" s="808"/>
      <c r="J19" s="216">
        <f>+'11'!J19</f>
        <v>0</v>
      </c>
      <c r="K19" s="238"/>
      <c r="L19" s="238"/>
      <c r="M19" s="121">
        <f>+K19+'11'!M19+L19</f>
        <v>0</v>
      </c>
      <c r="R19" s="153">
        <f t="shared" si="3"/>
        <v>0</v>
      </c>
      <c r="S19" s="153">
        <f t="shared" si="4"/>
        <v>0</v>
      </c>
    </row>
    <row r="20" spans="1:19" ht="13.5" thickBot="1">
      <c r="A20" s="805"/>
      <c r="B20" s="217"/>
      <c r="C20" s="218"/>
      <c r="D20" s="219"/>
      <c r="E20" s="225"/>
      <c r="F20" s="228"/>
      <c r="G20" s="232"/>
      <c r="H20" s="233"/>
      <c r="I20" s="808"/>
      <c r="J20" s="216">
        <f>+'11'!J20</f>
        <v>0</v>
      </c>
      <c r="K20" s="239"/>
      <c r="L20" s="239"/>
      <c r="M20" s="121">
        <f>+K20+'11'!M20+L20</f>
        <v>0</v>
      </c>
      <c r="R20" s="153">
        <f t="shared" si="3"/>
        <v>0</v>
      </c>
      <c r="S20" s="153">
        <f t="shared" si="4"/>
        <v>0</v>
      </c>
    </row>
    <row r="21" spans="1:19" ht="13.5" thickBot="1">
      <c r="A21" s="805"/>
      <c r="B21" s="217"/>
      <c r="C21" s="218"/>
      <c r="D21" s="219"/>
      <c r="E21" s="225"/>
      <c r="F21" s="231"/>
      <c r="G21" s="232"/>
      <c r="H21" s="233"/>
      <c r="I21" s="808"/>
      <c r="J21" s="216">
        <f>+'11'!J21</f>
        <v>0</v>
      </c>
      <c r="K21" s="238"/>
      <c r="L21" s="238"/>
      <c r="M21" s="121">
        <f>+K21+'11'!M21+L21</f>
        <v>0</v>
      </c>
      <c r="R21" s="153">
        <f t="shared" si="3"/>
        <v>0</v>
      </c>
      <c r="S21" s="153">
        <f t="shared" si="4"/>
        <v>0</v>
      </c>
    </row>
    <row r="22" spans="1:19" ht="13.5" thickBot="1">
      <c r="A22" s="805"/>
      <c r="B22" s="217"/>
      <c r="C22" s="218"/>
      <c r="D22" s="219"/>
      <c r="E22" s="225"/>
      <c r="F22" s="235"/>
      <c r="G22" s="232"/>
      <c r="H22" s="233"/>
      <c r="I22" s="809"/>
      <c r="J22" s="216">
        <f>+'11'!J22</f>
        <v>0</v>
      </c>
      <c r="K22" s="238"/>
      <c r="L22" s="238"/>
      <c r="M22" s="121">
        <f>+K22+'11'!M22+L22</f>
        <v>0</v>
      </c>
      <c r="P22" s="153">
        <f t="shared" ref="P22" si="5">+O22-O22*0.17</f>
        <v>0</v>
      </c>
    </row>
    <row r="23" spans="1:19" ht="13.5" thickBot="1">
      <c r="A23" s="806"/>
      <c r="B23" s="169"/>
      <c r="C23" s="103">
        <f>SUM(C16:C22)</f>
        <v>19804</v>
      </c>
      <c r="D23" s="115">
        <f>SUM(D16:D22)</f>
        <v>0</v>
      </c>
      <c r="E23" s="116">
        <f>SUM(E18:E22)</f>
        <v>0</v>
      </c>
      <c r="F23" s="120">
        <f>SUM(F15:F22)</f>
        <v>6</v>
      </c>
      <c r="G23" s="163"/>
      <c r="H23" s="170"/>
      <c r="I23" s="172"/>
      <c r="J23" s="216">
        <f>+'11'!J23</f>
        <v>0</v>
      </c>
      <c r="K23" s="238"/>
      <c r="L23" s="238"/>
      <c r="M23" s="121">
        <f>+K23+'11'!M23+L23</f>
        <v>0</v>
      </c>
      <c r="Q23" s="153">
        <f>SUM(Q16:Q21)</f>
        <v>480</v>
      </c>
      <c r="R23" s="153">
        <f>SUM(R15:R21)</f>
        <v>597350</v>
      </c>
      <c r="S23" s="153">
        <f>SUM(S15:S21)</f>
        <v>465297</v>
      </c>
    </row>
    <row r="24" spans="1:19" ht="13.5" thickBot="1">
      <c r="A24" s="810"/>
      <c r="B24" s="528"/>
      <c r="C24" s="117">
        <f>C23/($C$23+$D$23+$E$23)</f>
        <v>1</v>
      </c>
      <c r="D24" s="118">
        <f>D23/($C$23+$D$23+$E$23)</f>
        <v>0</v>
      </c>
      <c r="E24" s="119">
        <f>E23/($C$23+$D$23+$E$23)</f>
        <v>0</v>
      </c>
      <c r="F24" s="235"/>
      <c r="G24" s="582" t="s">
        <v>12</v>
      </c>
      <c r="H24" s="583" t="s">
        <v>418</v>
      </c>
      <c r="I24" s="807" t="s">
        <v>510</v>
      </c>
      <c r="J24" s="216">
        <f>+'11'!J24</f>
        <v>0</v>
      </c>
      <c r="K24" s="238"/>
      <c r="L24" s="238"/>
      <c r="M24" s="121">
        <f>+K24+'11'!M24+L24</f>
        <v>0</v>
      </c>
      <c r="N24" s="153" t="s">
        <v>421</v>
      </c>
      <c r="P24" s="153">
        <f>60-18+60+48</f>
        <v>150</v>
      </c>
      <c r="Q24" s="153">
        <f>480-Q23</f>
        <v>0</v>
      </c>
      <c r="R24" s="153">
        <f>+R23/Q23</f>
        <v>1244.4791666666667</v>
      </c>
      <c r="S24" s="153">
        <f>+S23/Q23</f>
        <v>969.36874999999998</v>
      </c>
    </row>
    <row r="25" spans="1:19" ht="13.5" thickBot="1">
      <c r="A25" s="805"/>
      <c r="B25" s="527" t="s">
        <v>471</v>
      </c>
      <c r="C25" s="226">
        <v>13073</v>
      </c>
      <c r="D25" s="219"/>
      <c r="E25" s="225"/>
      <c r="F25" s="231">
        <v>3</v>
      </c>
      <c r="G25" s="584" t="s">
        <v>12</v>
      </c>
      <c r="H25" s="230" t="s">
        <v>398</v>
      </c>
      <c r="I25" s="808"/>
      <c r="J25" s="216">
        <f>+'11'!J25</f>
        <v>0</v>
      </c>
      <c r="K25" s="238"/>
      <c r="L25" s="238"/>
      <c r="M25" s="121">
        <f>+K25+'11'!M25+L25</f>
        <v>0</v>
      </c>
    </row>
    <row r="26" spans="1:19" ht="13.5" thickBot="1">
      <c r="A26" s="805"/>
      <c r="B26" s="217"/>
      <c r="C26" s="226"/>
      <c r="D26" s="219"/>
      <c r="E26" s="227"/>
      <c r="F26" s="231">
        <v>5</v>
      </c>
      <c r="G26" s="584" t="s">
        <v>12</v>
      </c>
      <c r="H26" s="233" t="s">
        <v>484</v>
      </c>
      <c r="I26" s="808"/>
      <c r="J26" s="216">
        <f>+'11'!J26</f>
        <v>0</v>
      </c>
      <c r="K26" s="238"/>
      <c r="L26" s="238"/>
      <c r="M26" s="121">
        <f>+K26+'11'!M26+L26</f>
        <v>0</v>
      </c>
      <c r="N26" s="153" t="s">
        <v>453</v>
      </c>
      <c r="O26" s="153">
        <v>1200</v>
      </c>
      <c r="P26" s="153">
        <f>+O26-O26*0.22</f>
        <v>936</v>
      </c>
      <c r="Q26" s="153">
        <v>30</v>
      </c>
      <c r="R26" s="153">
        <f>+O26*Q26</f>
        <v>36000</v>
      </c>
      <c r="S26" s="153">
        <f>+P26*Q26</f>
        <v>28080</v>
      </c>
    </row>
    <row r="27" spans="1:19" ht="64.5" thickBot="1">
      <c r="A27" s="805"/>
      <c r="B27" s="217"/>
      <c r="C27" s="218"/>
      <c r="D27" s="219"/>
      <c r="E27" s="225"/>
      <c r="F27" s="231"/>
      <c r="G27" s="229"/>
      <c r="H27" s="233" t="s">
        <v>500</v>
      </c>
      <c r="I27" s="808"/>
      <c r="J27" s="216">
        <f>+'11'!J27</f>
        <v>0</v>
      </c>
      <c r="K27" s="238"/>
      <c r="L27" s="238"/>
      <c r="M27" s="121">
        <f>+K27+'11'!M27+L27</f>
        <v>0</v>
      </c>
      <c r="O27" s="153">
        <v>1225</v>
      </c>
      <c r="P27" s="153">
        <f>+O27-O27*0.23</f>
        <v>943.25</v>
      </c>
      <c r="Q27" s="153">
        <f>60-30+300+15</f>
        <v>345</v>
      </c>
      <c r="R27" s="153">
        <f>+O27*Q27</f>
        <v>422625</v>
      </c>
      <c r="S27" s="153">
        <f>+P27*Q27</f>
        <v>325421.25</v>
      </c>
    </row>
    <row r="28" spans="1:19" ht="139.5" customHeight="1" thickBot="1">
      <c r="A28" s="805"/>
      <c r="B28" s="217"/>
      <c r="C28" s="218"/>
      <c r="D28" s="219"/>
      <c r="E28" s="225"/>
      <c r="F28" s="231">
        <f>40-17</f>
        <v>23</v>
      </c>
      <c r="G28" s="584" t="s">
        <v>12</v>
      </c>
      <c r="H28" s="233" t="s">
        <v>501</v>
      </c>
      <c r="I28" s="808"/>
      <c r="J28" s="216">
        <f>+'11'!J28</f>
        <v>0</v>
      </c>
      <c r="K28" s="238"/>
      <c r="L28" s="238"/>
      <c r="M28" s="121">
        <f>+K28+'11'!M28+L28</f>
        <v>0</v>
      </c>
      <c r="O28" s="153">
        <v>1235</v>
      </c>
      <c r="P28" s="153">
        <f>+O28-O28*0.23</f>
        <v>950.95</v>
      </c>
      <c r="Q28" s="153">
        <f>60-15+17+20</f>
        <v>82</v>
      </c>
      <c r="R28" s="153">
        <f t="shared" ref="R28:R31" si="6">+O28*Q28</f>
        <v>101270</v>
      </c>
      <c r="S28" s="153">
        <f t="shared" ref="S28:S31" si="7">+P28*Q28</f>
        <v>77977.900000000009</v>
      </c>
    </row>
    <row r="29" spans="1:19" ht="13.5" thickBot="1">
      <c r="A29" s="805"/>
      <c r="B29" s="217"/>
      <c r="C29" s="218"/>
      <c r="D29" s="219"/>
      <c r="E29" s="225"/>
      <c r="F29" s="235"/>
      <c r="G29" s="232"/>
      <c r="H29" s="233"/>
      <c r="I29" s="808"/>
      <c r="J29" s="216">
        <f>+'11'!J29</f>
        <v>0</v>
      </c>
      <c r="K29" s="238"/>
      <c r="L29" s="238"/>
      <c r="M29" s="121">
        <f>+K29+'11'!M29+L29</f>
        <v>0</v>
      </c>
      <c r="R29" s="153">
        <f t="shared" si="6"/>
        <v>0</v>
      </c>
      <c r="S29" s="153">
        <f t="shared" si="7"/>
        <v>0</v>
      </c>
    </row>
    <row r="30" spans="1:19" ht="13.5" thickBot="1">
      <c r="A30" s="805"/>
      <c r="B30" s="217"/>
      <c r="C30" s="226"/>
      <c r="D30" s="219"/>
      <c r="E30" s="225"/>
      <c r="F30" s="235"/>
      <c r="G30" s="232"/>
      <c r="H30" s="233"/>
      <c r="I30" s="808"/>
      <c r="J30" s="216">
        <f>+'11'!J30</f>
        <v>0</v>
      </c>
      <c r="K30" s="238"/>
      <c r="L30" s="238"/>
      <c r="M30" s="121">
        <f>+K30+'11'!M30+L30</f>
        <v>0</v>
      </c>
      <c r="R30" s="153">
        <f t="shared" si="6"/>
        <v>0</v>
      </c>
      <c r="S30" s="153">
        <f t="shared" si="7"/>
        <v>0</v>
      </c>
    </row>
    <row r="31" spans="1:19" ht="13.5" thickBot="1">
      <c r="A31" s="805"/>
      <c r="B31" s="217"/>
      <c r="C31" s="226"/>
      <c r="D31" s="219"/>
      <c r="E31" s="225"/>
      <c r="F31" s="235"/>
      <c r="G31" s="236"/>
      <c r="H31" s="413"/>
      <c r="I31" s="809"/>
      <c r="J31" s="216">
        <f>+'11'!J31</f>
        <v>0</v>
      </c>
      <c r="K31" s="238"/>
      <c r="L31" s="238"/>
      <c r="M31" s="121">
        <f>+K31+'11'!M31+L31</f>
        <v>0</v>
      </c>
      <c r="R31" s="153">
        <f t="shared" si="6"/>
        <v>0</v>
      </c>
      <c r="S31" s="153">
        <f t="shared" si="7"/>
        <v>0</v>
      </c>
    </row>
    <row r="32" spans="1:19" ht="13.5" customHeight="1" thickBot="1">
      <c r="A32" s="806"/>
      <c r="B32" s="169"/>
      <c r="C32" s="103">
        <f>SUM(C25:C31)</f>
        <v>13073</v>
      </c>
      <c r="D32" s="104">
        <f>SUM(D25:D31)</f>
        <v>0</v>
      </c>
      <c r="E32" s="105">
        <f>SUM(E25:E31)</f>
        <v>0</v>
      </c>
      <c r="F32" s="103">
        <f>SUM(F24:F31)</f>
        <v>31</v>
      </c>
      <c r="G32" s="173"/>
      <c r="H32" s="174"/>
      <c r="I32" s="172"/>
      <c r="J32" s="216">
        <f>+'1'!J32</f>
        <v>0</v>
      </c>
      <c r="K32" s="240"/>
      <c r="L32" s="242"/>
      <c r="M32" s="121">
        <f>+K32+'11'!M32+L32</f>
        <v>0</v>
      </c>
      <c r="P32" s="153">
        <f t="shared" ref="P32" si="8">+O32-O32*0.17</f>
        <v>0</v>
      </c>
    </row>
    <row r="33" spans="1:19" ht="13.5" thickBot="1">
      <c r="A33" s="175"/>
      <c r="B33" s="176"/>
      <c r="C33" s="107">
        <f>C32/($C$32+$D$32+$E$32)</f>
        <v>1</v>
      </c>
      <c r="D33" s="108">
        <f>D32/($C$32+$D$32+$E$32)</f>
        <v>0</v>
      </c>
      <c r="E33" s="109">
        <f>E32/($C$32+$D$32+$E$32)</f>
        <v>0</v>
      </c>
      <c r="F33" s="110"/>
      <c r="G33" s="177"/>
      <c r="H33" s="178"/>
      <c r="I33" s="179"/>
      <c r="J33" s="125"/>
      <c r="K33" s="126"/>
      <c r="L33" s="215"/>
      <c r="M33" s="123"/>
      <c r="Q33" s="153">
        <f>SUM(Q26:Q31)</f>
        <v>457</v>
      </c>
      <c r="R33" s="153">
        <f>SUM(R25:R31)</f>
        <v>559895</v>
      </c>
      <c r="S33" s="153">
        <f>SUM(S25:S31)</f>
        <v>431479.15</v>
      </c>
    </row>
    <row r="34" spans="1:19" ht="13.5" thickBot="1">
      <c r="A34" s="811" t="s">
        <v>69</v>
      </c>
      <c r="B34" s="812"/>
      <c r="C34" s="111">
        <f>C14+C23+C32</f>
        <v>44765</v>
      </c>
      <c r="D34" s="111">
        <f>D14+D23+D32</f>
        <v>0</v>
      </c>
      <c r="E34" s="111">
        <f>E14+E23+E32</f>
        <v>0</v>
      </c>
      <c r="F34" s="112">
        <f>F14+F23+F32</f>
        <v>203</v>
      </c>
      <c r="H34" s="180"/>
      <c r="I34" s="180"/>
      <c r="J34" s="127" t="s">
        <v>28</v>
      </c>
      <c r="K34" s="128">
        <f>SUM(K7:K32)</f>
        <v>44765</v>
      </c>
      <c r="L34" s="214">
        <f>SUM(L7:L32)</f>
        <v>0</v>
      </c>
      <c r="M34" s="124">
        <f>SUM(M7:M32)</f>
        <v>139605</v>
      </c>
      <c r="N34" s="153" t="s">
        <v>421</v>
      </c>
      <c r="P34" s="153">
        <f>60-18+60+48</f>
        <v>150</v>
      </c>
      <c r="Q34" s="153">
        <f>480-Q33</f>
        <v>23</v>
      </c>
      <c r="R34" s="153">
        <f>+R33/Q33</f>
        <v>1225.1531728665209</v>
      </c>
      <c r="S34" s="153">
        <f>+S33/Q33</f>
        <v>944.15568927789934</v>
      </c>
    </row>
    <row r="35" spans="1:19" ht="13.5" thickBot="1">
      <c r="A35" s="573"/>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c r="N36" s="153">
        <v>330</v>
      </c>
    </row>
    <row r="37" spans="1:19" ht="17.45" customHeight="1" thickBot="1">
      <c r="A37" s="813" t="s">
        <v>70</v>
      </c>
      <c r="B37" s="814"/>
      <c r="C37" s="166" t="s">
        <v>71</v>
      </c>
      <c r="D37" s="185" t="s">
        <v>72</v>
      </c>
      <c r="E37" s="186" t="s">
        <v>73</v>
      </c>
      <c r="F37" s="311"/>
      <c r="G37" s="313"/>
      <c r="H37" s="188" t="s">
        <v>74</v>
      </c>
      <c r="I37" s="243">
        <f>(14.5*1267)/1267*G42*2.7*1267/1000000</f>
        <v>46.944927472500005</v>
      </c>
      <c r="J37" s="129">
        <f>+I37+'11'!J37</f>
        <v>174.95699935186218</v>
      </c>
      <c r="K37" s="130" t="s">
        <v>75</v>
      </c>
      <c r="N37" s="153">
        <v>480</v>
      </c>
    </row>
    <row r="38" spans="1:19" ht="17.45" customHeight="1">
      <c r="A38" s="797" t="s">
        <v>12</v>
      </c>
      <c r="B38" s="798"/>
      <c r="C38" s="168">
        <f>SUMIF($G$7:$G$31,"Process",$F$7:$F$31)</f>
        <v>203</v>
      </c>
      <c r="D38" s="122">
        <f>C38+'11'!D38</f>
        <v>558</v>
      </c>
      <c r="E38" s="147">
        <f t="shared" ref="E38:E52" si="9">D38/60</f>
        <v>9.3000000000000007</v>
      </c>
      <c r="F38" s="565">
        <v>1174.5454545454545</v>
      </c>
      <c r="G38" s="565">
        <v>916.14545454545453</v>
      </c>
      <c r="H38" s="189" t="s">
        <v>76</v>
      </c>
      <c r="I38" s="244">
        <f>9.633+16.733+16.305</f>
        <v>42.670999999999999</v>
      </c>
      <c r="J38" s="131">
        <f>+I38+'11'!J38</f>
        <v>152.86199999999999</v>
      </c>
      <c r="K38" s="132" t="s">
        <v>75</v>
      </c>
      <c r="N38" s="153">
        <f>480-23</f>
        <v>457</v>
      </c>
    </row>
    <row r="39" spans="1:19" ht="17.45" customHeight="1">
      <c r="A39" s="799" t="s">
        <v>13</v>
      </c>
      <c r="B39" s="800"/>
      <c r="C39" s="168">
        <f>SUMIF($G$7:$G$31,"Cleaning",$F$7:$F$31)</f>
        <v>0</v>
      </c>
      <c r="D39" s="122">
        <f>C39+'11'!D39</f>
        <v>0</v>
      </c>
      <c r="E39" s="147">
        <f t="shared" si="9"/>
        <v>0</v>
      </c>
      <c r="F39" s="565">
        <v>1244.4791666666667</v>
      </c>
      <c r="G39" s="565">
        <v>969.36874999999998</v>
      </c>
      <c r="H39" s="189" t="s">
        <v>77</v>
      </c>
      <c r="I39" s="146"/>
      <c r="J39" s="133">
        <f>J37/G4</f>
        <v>14.579749945988516</v>
      </c>
      <c r="K39" s="134" t="s">
        <v>75</v>
      </c>
      <c r="N39" s="153">
        <f>+N36+N37+N38</f>
        <v>1267</v>
      </c>
    </row>
    <row r="40" spans="1:19" ht="17.45" customHeight="1">
      <c r="A40" s="799" t="s">
        <v>78</v>
      </c>
      <c r="B40" s="800"/>
      <c r="C40" s="168">
        <f>SUMIF($G$7:$G$31,"Mechanical",$F$7:$F$31)</f>
        <v>0</v>
      </c>
      <c r="D40" s="122">
        <f>C40+'11'!D40</f>
        <v>0</v>
      </c>
      <c r="E40" s="147">
        <f t="shared" si="9"/>
        <v>0</v>
      </c>
      <c r="F40" s="565">
        <v>1225.1531728665209</v>
      </c>
      <c r="G40" s="565">
        <v>944.15568927789934</v>
      </c>
      <c r="H40" s="189" t="s">
        <v>79</v>
      </c>
      <c r="I40" s="122">
        <f>(K34+L34)/1000</f>
        <v>44.765000000000001</v>
      </c>
      <c r="J40" s="135">
        <f>+I40+'11'!J40</f>
        <v>139.60500000000002</v>
      </c>
      <c r="K40" s="134" t="s">
        <v>75</v>
      </c>
    </row>
    <row r="41" spans="1:19" ht="17.45" customHeight="1">
      <c r="A41" s="799" t="s">
        <v>80</v>
      </c>
      <c r="B41" s="800"/>
      <c r="C41" s="168">
        <f>SUMIF($G$7:$G$31,"Electrical",$F$7:$F$31)</f>
        <v>0</v>
      </c>
      <c r="D41" s="122">
        <f>C41+'11'!D41</f>
        <v>60</v>
      </c>
      <c r="E41" s="147">
        <f t="shared" si="9"/>
        <v>1</v>
      </c>
      <c r="F41" s="311"/>
      <c r="G41" s="311"/>
      <c r="H41" s="189" t="s">
        <v>81</v>
      </c>
      <c r="I41" s="146"/>
      <c r="J41" s="133">
        <f>J40/G4</f>
        <v>11.633750000000001</v>
      </c>
      <c r="K41" s="134" t="s">
        <v>75</v>
      </c>
    </row>
    <row r="42" spans="1:19" ht="17.45" customHeight="1">
      <c r="A42" s="799" t="s">
        <v>16</v>
      </c>
      <c r="B42" s="800"/>
      <c r="C42" s="168">
        <f>SUMIF($G$7:$G$31,"Instrument",$F$7:$F$31)</f>
        <v>0</v>
      </c>
      <c r="D42" s="122">
        <f>C42+'11'!D42</f>
        <v>0</v>
      </c>
      <c r="E42" s="147">
        <f t="shared" si="9"/>
        <v>0</v>
      </c>
      <c r="F42" s="566">
        <f>+(330*F38+480*F39+457*F40)/1267</f>
        <v>1219.2936069455407</v>
      </c>
      <c r="G42" s="566">
        <f>+(330*G38+480*G39+457*G40)/1267</f>
        <v>946.41211523283334</v>
      </c>
      <c r="H42" s="189" t="s">
        <v>82</v>
      </c>
      <c r="I42" s="245" t="s">
        <v>507</v>
      </c>
      <c r="J42" s="136"/>
      <c r="K42" s="134" t="s">
        <v>83</v>
      </c>
    </row>
    <row r="43" spans="1:19" ht="17.45" customHeight="1">
      <c r="A43" s="799" t="s">
        <v>84</v>
      </c>
      <c r="B43" s="800"/>
      <c r="C43" s="168">
        <f>SUMIF($G$7:$G$31,"Water",$F$7:$F$31)</f>
        <v>0</v>
      </c>
      <c r="D43" s="122">
        <f>C43+'11'!D43</f>
        <v>0</v>
      </c>
      <c r="E43" s="147">
        <f t="shared" si="9"/>
        <v>0</v>
      </c>
      <c r="F43" s="311"/>
      <c r="G43" s="312"/>
      <c r="H43" s="190" t="s">
        <v>85</v>
      </c>
      <c r="I43" s="122">
        <f>+Report1!Z20</f>
        <v>90.4</v>
      </c>
      <c r="J43" s="137">
        <f>+I43+'11'!J43</f>
        <v>350.5</v>
      </c>
      <c r="K43" s="134" t="s">
        <v>75</v>
      </c>
      <c r="L43" s="191"/>
    </row>
    <row r="44" spans="1:19" ht="17.45" customHeight="1">
      <c r="A44" s="799" t="s">
        <v>17</v>
      </c>
      <c r="B44" s="800"/>
      <c r="C44" s="168">
        <f>SUMIF($G$7:$G$31,"PLN",$F$7:$F$31)</f>
        <v>0</v>
      </c>
      <c r="D44" s="122">
        <f>C44+'11'!D44</f>
        <v>0</v>
      </c>
      <c r="E44" s="147">
        <f t="shared" si="9"/>
        <v>0</v>
      </c>
      <c r="F44" s="311"/>
      <c r="G44" s="312"/>
      <c r="H44" s="190" t="s">
        <v>86</v>
      </c>
      <c r="I44" s="122">
        <f>I43/I38</f>
        <v>2.1185348363056877</v>
      </c>
      <c r="J44" s="138">
        <f>J43/J38</f>
        <v>2.2929177951354816</v>
      </c>
      <c r="K44" s="134" t="s">
        <v>75</v>
      </c>
    </row>
    <row r="45" spans="1:19" ht="17.45" customHeight="1">
      <c r="A45" s="799" t="s">
        <v>18</v>
      </c>
      <c r="B45" s="800"/>
      <c r="C45" s="168">
        <f>SUMIF($G$7:$G$31,"Boiler",$F$7:$F$31)</f>
        <v>0</v>
      </c>
      <c r="D45" s="122">
        <f>C45+'11'!D45</f>
        <v>0</v>
      </c>
      <c r="E45" s="147">
        <f t="shared" si="9"/>
        <v>0</v>
      </c>
      <c r="F45" s="311"/>
      <c r="G45" s="314"/>
      <c r="H45" s="190" t="s">
        <v>87</v>
      </c>
      <c r="I45" s="122">
        <f>I43/I40</f>
        <v>2.0194348263152015</v>
      </c>
      <c r="J45" s="138">
        <f>J43/J40</f>
        <v>2.510655062497761</v>
      </c>
      <c r="K45" s="134" t="s">
        <v>75</v>
      </c>
      <c r="M45" s="153" t="s">
        <v>1</v>
      </c>
    </row>
    <row r="46" spans="1:19" ht="17.45" customHeight="1">
      <c r="A46" s="799" t="s">
        <v>88</v>
      </c>
      <c r="B46" s="800"/>
      <c r="C46" s="168">
        <f>SUMIF($G$7:$G$31,"Gas",$F$7:$F$31)</f>
        <v>0</v>
      </c>
      <c r="D46" s="122">
        <f>C46+'11'!D46</f>
        <v>0</v>
      </c>
      <c r="E46" s="147">
        <f t="shared" si="9"/>
        <v>0</v>
      </c>
      <c r="F46" s="311"/>
      <c r="G46" s="312"/>
      <c r="H46" s="190" t="s">
        <v>89</v>
      </c>
      <c r="I46" s="144">
        <f>+SUMIF(Listrik!X19,"&gt;0")</f>
        <v>37186.619999999719</v>
      </c>
      <c r="J46" s="139">
        <f>+I46+'11'!J46</f>
        <v>155504.15240000025</v>
      </c>
      <c r="K46" s="134" t="s">
        <v>90</v>
      </c>
    </row>
    <row r="47" spans="1:19" ht="17.45" customHeight="1">
      <c r="A47" s="799" t="s">
        <v>91</v>
      </c>
      <c r="B47" s="800"/>
      <c r="C47" s="168">
        <f>SUMIF($G$7:$G$31,"Gas",$F$7:$F$31)</f>
        <v>0</v>
      </c>
      <c r="D47" s="122">
        <f>C47+'11'!D47</f>
        <v>0</v>
      </c>
      <c r="E47" s="147">
        <f t="shared" si="9"/>
        <v>0</v>
      </c>
      <c r="F47" s="311"/>
      <c r="G47" s="312"/>
      <c r="H47" s="190" t="s">
        <v>92</v>
      </c>
      <c r="I47" s="122">
        <f>I46/I38</f>
        <v>871.47289728386306</v>
      </c>
      <c r="J47" s="139">
        <f>J46/J38</f>
        <v>1017.2845599298731</v>
      </c>
      <c r="K47" s="134" t="s">
        <v>24</v>
      </c>
    </row>
    <row r="48" spans="1:19" ht="17.45" customHeight="1">
      <c r="A48" s="799" t="s">
        <v>14</v>
      </c>
      <c r="B48" s="800"/>
      <c r="C48" s="168">
        <f>SUMIF($G$7:$G$31,"Start Up",$F$7:$F$31)</f>
        <v>0</v>
      </c>
      <c r="D48" s="122">
        <f>C48+'11'!D48</f>
        <v>0</v>
      </c>
      <c r="E48" s="147">
        <f t="shared" si="9"/>
        <v>0</v>
      </c>
      <c r="F48" s="311"/>
      <c r="G48" s="312"/>
      <c r="H48" s="190" t="s">
        <v>93</v>
      </c>
      <c r="I48" s="122">
        <f>I46/I40</f>
        <v>830.70747235562874</v>
      </c>
      <c r="J48" s="139">
        <f>J46/J40</f>
        <v>1113.8866974678574</v>
      </c>
      <c r="K48" s="134" t="s">
        <v>24</v>
      </c>
    </row>
    <row r="49" spans="1:11" ht="17.45" customHeight="1">
      <c r="A49" s="799" t="s">
        <v>20</v>
      </c>
      <c r="B49" s="800"/>
      <c r="C49" s="168">
        <f>SUMIF($G$7:$G$31,"Others",$F$7:$F$31)</f>
        <v>0</v>
      </c>
      <c r="D49" s="122">
        <f>C49+'11'!D49</f>
        <v>11845</v>
      </c>
      <c r="E49" s="147">
        <f t="shared" si="9"/>
        <v>197.41666666666666</v>
      </c>
      <c r="F49" s="187"/>
      <c r="H49" s="190" t="s">
        <v>279</v>
      </c>
      <c r="I49" s="122">
        <f>+Report1!T20</f>
        <v>3583.8023488021686</v>
      </c>
      <c r="J49" s="139">
        <f>+I49+'11'!J49</f>
        <v>14268.916622531378</v>
      </c>
      <c r="K49" s="134" t="s">
        <v>94</v>
      </c>
    </row>
    <row r="50" spans="1:11" ht="17.45" customHeight="1">
      <c r="A50" s="799" t="s">
        <v>19</v>
      </c>
      <c r="B50" s="800"/>
      <c r="C50" s="168">
        <f>SUMIF($G$7:$G$31,"Steam",$F$7:$F$31)</f>
        <v>0</v>
      </c>
      <c r="D50" s="122">
        <f>C50+'11'!D50</f>
        <v>0</v>
      </c>
      <c r="E50" s="147">
        <f t="shared" si="9"/>
        <v>0</v>
      </c>
      <c r="F50" s="187"/>
      <c r="H50" s="190" t="s">
        <v>95</v>
      </c>
      <c r="I50" s="144">
        <f>I49/I38</f>
        <v>83.986837636853338</v>
      </c>
      <c r="J50" s="137">
        <f>J49/J38</f>
        <v>93.345086565211616</v>
      </c>
      <c r="K50" s="134" t="s">
        <v>94</v>
      </c>
    </row>
    <row r="51" spans="1:11" ht="17.45" customHeight="1">
      <c r="A51" s="801" t="s">
        <v>96</v>
      </c>
      <c r="B51" s="801"/>
      <c r="C51" s="168">
        <f>SUMIF($G$7:$G$31,"Planned shut",$F$7:$F$31)</f>
        <v>0</v>
      </c>
      <c r="D51" s="122">
        <f>C51+'11'!D51</f>
        <v>0</v>
      </c>
      <c r="E51" s="147">
        <f t="shared" si="9"/>
        <v>0</v>
      </c>
      <c r="F51" s="187"/>
      <c r="H51" s="192" t="s">
        <v>97</v>
      </c>
      <c r="I51" s="145">
        <f>I49/I40</f>
        <v>80.058133559749095</v>
      </c>
      <c r="J51" s="140">
        <f>J49/J40</f>
        <v>102.20920900061873</v>
      </c>
      <c r="K51" s="141" t="s">
        <v>94</v>
      </c>
    </row>
    <row r="52" spans="1:11" ht="13.5" thickBot="1">
      <c r="A52" s="802" t="s">
        <v>229</v>
      </c>
      <c r="B52" s="803"/>
      <c r="C52" s="168">
        <f>SUMIF($G$7:$G$31,"Change Grade",$F$7:$F$31)</f>
        <v>0</v>
      </c>
      <c r="D52" s="122">
        <f>C52+'11'!D52</f>
        <v>0</v>
      </c>
      <c r="E52" s="147">
        <f t="shared" si="9"/>
        <v>0</v>
      </c>
      <c r="F52" s="187"/>
      <c r="H52" s="193"/>
      <c r="I52" s="194"/>
      <c r="J52" s="142"/>
      <c r="K52" s="143"/>
    </row>
    <row r="53" spans="1:11">
      <c r="A53" s="797" t="s">
        <v>28</v>
      </c>
      <c r="B53" s="798"/>
      <c r="C53" s="148">
        <f>SUM(C38:C52)</f>
        <v>203</v>
      </c>
      <c r="D53" s="148">
        <f>SUM(D38:D52)</f>
        <v>12463</v>
      </c>
      <c r="E53" s="149">
        <f>SUM(E38:E52)</f>
        <v>207.71666666666667</v>
      </c>
      <c r="F53" s="187"/>
    </row>
    <row r="54" spans="1:11" ht="13.5" thickBot="1">
      <c r="A54" s="795"/>
      <c r="B54" s="796"/>
      <c r="C54" s="150">
        <f>C53/(24*60)</f>
        <v>0.14097222222222222</v>
      </c>
      <c r="D54" s="150">
        <f>D53/(24*60*G4)</f>
        <v>0.72123842592592591</v>
      </c>
      <c r="E54" s="151">
        <f>E53/(G4*24)</f>
        <v>0.72123842592592591</v>
      </c>
      <c r="F54" s="187"/>
    </row>
    <row r="55" spans="1:11">
      <c r="E55" s="195"/>
    </row>
    <row r="56" spans="1:11">
      <c r="A56" s="196" t="s">
        <v>98</v>
      </c>
      <c r="B56" s="197"/>
      <c r="C56" s="198"/>
      <c r="D56" s="198"/>
      <c r="E56" s="198"/>
      <c r="F56" s="199"/>
      <c r="G56" s="198"/>
      <c r="H56" s="200"/>
      <c r="I56" s="201" t="s">
        <v>99</v>
      </c>
      <c r="J56" s="202">
        <f>+D34+'11'!J56</f>
        <v>0</v>
      </c>
      <c r="K56" s="203">
        <f>J56/(J40+J56/1000)/1000</f>
        <v>0</v>
      </c>
    </row>
    <row r="57" spans="1:11">
      <c r="A57" s="178"/>
      <c r="I57" s="201" t="s">
        <v>100</v>
      </c>
      <c r="J57" s="202">
        <f>+E34+'11'!J57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7:B47"/>
    <mergeCell ref="A39:B39"/>
    <mergeCell ref="I24:I31"/>
    <mergeCell ref="A37:B37"/>
    <mergeCell ref="A38:B38"/>
    <mergeCell ref="A24:A32"/>
    <mergeCell ref="A34:B34"/>
    <mergeCell ref="A42:B42"/>
    <mergeCell ref="A43:B43"/>
    <mergeCell ref="A44:B44"/>
    <mergeCell ref="A45:B45"/>
    <mergeCell ref="A40:B40"/>
    <mergeCell ref="A41:B41"/>
    <mergeCell ref="A7:A14"/>
    <mergeCell ref="I7:I13"/>
    <mergeCell ref="A15:A23"/>
    <mergeCell ref="I15:I22"/>
    <mergeCell ref="A46:B46"/>
    <mergeCell ref="A54:B54"/>
    <mergeCell ref="A52:B52"/>
    <mergeCell ref="A53:B53"/>
    <mergeCell ref="A48:B48"/>
    <mergeCell ref="A49:B49"/>
    <mergeCell ref="A50:B50"/>
    <mergeCell ref="A51:B51"/>
  </mergeCells>
  <phoneticPr fontId="30" type="noConversion"/>
  <printOptions horizontalCentered="1"/>
  <pageMargins left="0.15625" right="0.15625" top="0.39027777777777778" bottom="0.39027777777777778" header="0" footer="0"/>
  <pageSetup paperSize="9" scale="40"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3" zoomScale="80" zoomScaleNormal="70" zoomScaleSheetLayoutView="80" workbookViewId="0">
      <selection activeCell="H12" sqref="H1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5.570312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11</v>
      </c>
      <c r="H4" s="158" t="str">
        <f>+'1'!H4</f>
        <v>.10.25</v>
      </c>
      <c r="J4" s="153">
        <f>478+465+414</f>
        <v>1357</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1180</v>
      </c>
      <c r="P6" s="153">
        <f>+O6-O6*0.23</f>
        <v>908.59999999999991</v>
      </c>
      <c r="Q6" s="153">
        <f>60+30</f>
        <v>90</v>
      </c>
      <c r="R6" s="153">
        <f>+O6*Q6</f>
        <v>106200</v>
      </c>
      <c r="S6" s="153">
        <f>+P6*Q6</f>
        <v>81773.999999999985</v>
      </c>
    </row>
    <row r="7" spans="1:19" ht="13.5" customHeight="1" thickBot="1">
      <c r="A7" s="804"/>
      <c r="B7" s="217" t="s">
        <v>471</v>
      </c>
      <c r="C7" s="218">
        <v>8883</v>
      </c>
      <c r="D7" s="219"/>
      <c r="E7" s="220"/>
      <c r="F7" s="235"/>
      <c r="G7" s="582" t="s">
        <v>12</v>
      </c>
      <c r="H7" s="583" t="s">
        <v>418</v>
      </c>
      <c r="I7" s="807" t="s">
        <v>504</v>
      </c>
      <c r="J7" s="216" t="str">
        <f>+'10'!J7</f>
        <v>TW 17 RC HW</v>
      </c>
      <c r="K7" s="237"/>
      <c r="L7" s="241"/>
      <c r="M7" s="121">
        <f>+K7+'10'!M7+L7</f>
        <v>3364</v>
      </c>
      <c r="O7" s="153">
        <v>1200</v>
      </c>
      <c r="P7" s="153">
        <f>+O7-O7*0.23</f>
        <v>924</v>
      </c>
      <c r="Q7" s="153">
        <f>60-30+50</f>
        <v>80</v>
      </c>
      <c r="R7" s="153">
        <f>+O7*Q7</f>
        <v>96000</v>
      </c>
      <c r="S7" s="153">
        <f>+P7*Q7</f>
        <v>73920</v>
      </c>
    </row>
    <row r="8" spans="1:19" ht="13.5" thickBot="1">
      <c r="A8" s="805"/>
      <c r="B8" s="217"/>
      <c r="C8" s="218"/>
      <c r="D8" s="219"/>
      <c r="E8" s="221"/>
      <c r="F8" s="231">
        <v>8</v>
      </c>
      <c r="G8" s="584" t="s">
        <v>12</v>
      </c>
      <c r="H8" s="230" t="s">
        <v>505</v>
      </c>
      <c r="I8" s="808"/>
      <c r="J8" s="216" t="str">
        <f>+'10'!J8</f>
        <v>T 14 VP OW</v>
      </c>
      <c r="K8" s="238"/>
      <c r="L8" s="238"/>
      <c r="M8" s="121">
        <f>+K8+'10'!M8+L8</f>
        <v>23832</v>
      </c>
      <c r="O8" s="153">
        <v>1210</v>
      </c>
      <c r="P8" s="153">
        <f>+O8-O8*0.23</f>
        <v>931.7</v>
      </c>
      <c r="Q8" s="153">
        <f>60-50+60+45</f>
        <v>115</v>
      </c>
      <c r="R8" s="153">
        <f t="shared" ref="R8:R11" si="0">+O8*Q8</f>
        <v>139150</v>
      </c>
      <c r="S8" s="153">
        <f t="shared" ref="S8:S11" si="1">+P8*Q8</f>
        <v>107145.5</v>
      </c>
    </row>
    <row r="9" spans="1:19" ht="13.5" thickBot="1">
      <c r="A9" s="805"/>
      <c r="B9" s="217"/>
      <c r="C9" s="218"/>
      <c r="D9" s="219"/>
      <c r="E9" s="222"/>
      <c r="F9" s="231">
        <f>22-8</f>
        <v>14</v>
      </c>
      <c r="G9" s="584" t="s">
        <v>12</v>
      </c>
      <c r="H9" s="233" t="s">
        <v>484</v>
      </c>
      <c r="I9" s="808"/>
      <c r="J9" s="216" t="str">
        <f>+'10'!J9</f>
        <v>T 14,5 VP OW</v>
      </c>
      <c r="K9" s="238">
        <f>+C34</f>
        <v>35464</v>
      </c>
      <c r="L9" s="238"/>
      <c r="M9" s="121">
        <f>+K9+'10'!M9+L9</f>
        <v>67644</v>
      </c>
      <c r="O9" s="153">
        <v>1220</v>
      </c>
      <c r="P9" s="153">
        <f>+O9-O9*0.23</f>
        <v>939.4</v>
      </c>
      <c r="Q9" s="153">
        <f>60-45+180</f>
        <v>195</v>
      </c>
      <c r="R9" s="153">
        <f t="shared" si="0"/>
        <v>237900</v>
      </c>
      <c r="S9" s="153">
        <f t="shared" si="1"/>
        <v>183183</v>
      </c>
    </row>
    <row r="10" spans="1:19" ht="64.5" thickBot="1">
      <c r="A10" s="805"/>
      <c r="B10" s="217"/>
      <c r="C10" s="218"/>
      <c r="D10" s="219"/>
      <c r="E10" s="221"/>
      <c r="F10" s="231"/>
      <c r="G10" s="229"/>
      <c r="H10" s="233" t="s">
        <v>498</v>
      </c>
      <c r="I10" s="808"/>
      <c r="J10" s="216">
        <f>+'10'!J10</f>
        <v>0</v>
      </c>
      <c r="K10" s="238"/>
      <c r="L10" s="238"/>
      <c r="M10" s="121">
        <f>+K10+'10'!M10+L10</f>
        <v>0</v>
      </c>
      <c r="R10" s="153">
        <f t="shared" si="0"/>
        <v>0</v>
      </c>
      <c r="S10" s="153">
        <f t="shared" si="1"/>
        <v>0</v>
      </c>
    </row>
    <row r="11" spans="1:19" ht="102.75" thickBot="1">
      <c r="A11" s="805"/>
      <c r="B11" s="217"/>
      <c r="C11" s="218"/>
      <c r="D11" s="219"/>
      <c r="E11" s="221"/>
      <c r="F11" s="228"/>
      <c r="G11" s="232"/>
      <c r="H11" s="233" t="s">
        <v>499</v>
      </c>
      <c r="I11" s="808"/>
      <c r="J11" s="216">
        <f>+'10'!J11</f>
        <v>0</v>
      </c>
      <c r="K11" s="238"/>
      <c r="L11" s="238"/>
      <c r="M11" s="121">
        <f>+K11+'10'!M11+L11</f>
        <v>0</v>
      </c>
      <c r="R11" s="153">
        <f t="shared" si="0"/>
        <v>0</v>
      </c>
      <c r="S11" s="153">
        <f t="shared" si="1"/>
        <v>0</v>
      </c>
    </row>
    <row r="12" spans="1:19" ht="13.5" thickBot="1">
      <c r="A12" s="805"/>
      <c r="B12" s="217"/>
      <c r="C12" s="218"/>
      <c r="D12" s="219"/>
      <c r="E12" s="221"/>
      <c r="F12" s="228"/>
      <c r="G12" s="232"/>
      <c r="H12" s="233"/>
      <c r="I12" s="808"/>
      <c r="J12" s="216">
        <f>+'10'!J12</f>
        <v>0</v>
      </c>
      <c r="K12" s="238"/>
      <c r="L12" s="238"/>
      <c r="M12" s="121">
        <f>+K12+'10'!M12+L12</f>
        <v>0</v>
      </c>
      <c r="P12" s="153">
        <f t="shared" ref="P12" si="2">+O12-O12*0.17</f>
        <v>0</v>
      </c>
    </row>
    <row r="13" spans="1:19" ht="13.5" thickBot="1">
      <c r="A13" s="805"/>
      <c r="B13" s="217"/>
      <c r="C13" s="218"/>
      <c r="D13" s="218"/>
      <c r="E13" s="221"/>
      <c r="F13" s="228"/>
      <c r="G13" s="232"/>
      <c r="H13" s="233"/>
      <c r="I13" s="809"/>
      <c r="J13" s="216">
        <f>+'10'!J13</f>
        <v>0</v>
      </c>
      <c r="K13" s="238"/>
      <c r="L13" s="238"/>
      <c r="M13" s="121">
        <f>+K13+'10'!M13+L13</f>
        <v>0</v>
      </c>
      <c r="Q13" s="153">
        <f>SUM(Q6:Q11)</f>
        <v>480</v>
      </c>
      <c r="R13" s="153">
        <f>SUM(R5:R11)</f>
        <v>579250</v>
      </c>
      <c r="S13" s="153">
        <f>SUM(S5:S11)</f>
        <v>446022.5</v>
      </c>
    </row>
    <row r="14" spans="1:19" ht="13.5" thickBot="1">
      <c r="A14" s="806"/>
      <c r="B14" s="169"/>
      <c r="C14" s="103">
        <f>SUM(C7:C13)</f>
        <v>8883</v>
      </c>
      <c r="D14" s="115">
        <f>SUM(D7:D13)</f>
        <v>0</v>
      </c>
      <c r="E14" s="116">
        <f>SUM(E5:E13)</f>
        <v>0</v>
      </c>
      <c r="F14" s="120">
        <f>SUM(F7:F13)</f>
        <v>22</v>
      </c>
      <c r="G14" s="163"/>
      <c r="H14" s="170"/>
      <c r="I14" s="171"/>
      <c r="J14" s="216">
        <f>+'10'!J14</f>
        <v>0</v>
      </c>
      <c r="K14" s="238"/>
      <c r="L14" s="238"/>
      <c r="M14" s="121">
        <f>+K14+'10'!M14+L14</f>
        <v>0</v>
      </c>
      <c r="N14" s="153" t="s">
        <v>421</v>
      </c>
      <c r="Q14" s="153">
        <f>480-Q13</f>
        <v>0</v>
      </c>
      <c r="R14" s="153">
        <f>+R13/Q13</f>
        <v>1206.7708333333333</v>
      </c>
      <c r="S14" s="153">
        <f>+S13/Q13</f>
        <v>929.21354166666663</v>
      </c>
    </row>
    <row r="15" spans="1:19" ht="13.5" thickBot="1">
      <c r="A15" s="810"/>
      <c r="B15" s="528"/>
      <c r="C15" s="117">
        <f>C14/($C$23+$D$23+$E$23)</f>
        <v>0.62640152316479802</v>
      </c>
      <c r="D15" s="118">
        <f>D14/($C$23+$D$23+$E$23)</f>
        <v>0</v>
      </c>
      <c r="E15" s="119">
        <f>E14/($C$23+$D$23+$E$23)</f>
        <v>0</v>
      </c>
      <c r="F15" s="235"/>
      <c r="G15" s="582" t="s">
        <v>12</v>
      </c>
      <c r="H15" s="583" t="s">
        <v>418</v>
      </c>
      <c r="I15" s="807" t="s">
        <v>503</v>
      </c>
      <c r="J15" s="216">
        <f>+'10'!J15</f>
        <v>0</v>
      </c>
      <c r="K15" s="238"/>
      <c r="L15" s="238"/>
      <c r="M15" s="121">
        <f>+K15+'10'!M15+L15</f>
        <v>0</v>
      </c>
    </row>
    <row r="16" spans="1:19" ht="13.5" thickBot="1">
      <c r="A16" s="805"/>
      <c r="B16" s="527" t="s">
        <v>471</v>
      </c>
      <c r="C16" s="526">
        <v>14181</v>
      </c>
      <c r="D16" s="223"/>
      <c r="E16" s="224"/>
      <c r="F16" s="231">
        <v>8</v>
      </c>
      <c r="G16" s="584" t="s">
        <v>12</v>
      </c>
      <c r="H16" s="230" t="s">
        <v>505</v>
      </c>
      <c r="I16" s="808"/>
      <c r="J16" s="216">
        <f>+'10'!J16</f>
        <v>0</v>
      </c>
      <c r="K16" s="229"/>
      <c r="L16" s="229"/>
      <c r="M16" s="121">
        <f>+K16+'10'!M16+L16</f>
        <v>0</v>
      </c>
      <c r="N16" s="153" t="s">
        <v>453</v>
      </c>
      <c r="O16" s="153">
        <v>1220</v>
      </c>
      <c r="P16" s="153">
        <f>+O16-O16*0.22</f>
        <v>951.6</v>
      </c>
      <c r="Q16" s="153">
        <v>480</v>
      </c>
      <c r="R16" s="153">
        <f>+O16*Q16</f>
        <v>585600</v>
      </c>
      <c r="S16" s="153">
        <f>+P16*Q16</f>
        <v>456768</v>
      </c>
    </row>
    <row r="17" spans="1:19" ht="13.5" thickBot="1">
      <c r="A17" s="805"/>
      <c r="B17" s="217"/>
      <c r="C17" s="218"/>
      <c r="D17" s="219"/>
      <c r="E17" s="225"/>
      <c r="F17" s="231">
        <v>17</v>
      </c>
      <c r="G17" s="584" t="s">
        <v>12</v>
      </c>
      <c r="H17" s="233" t="s">
        <v>483</v>
      </c>
      <c r="I17" s="808"/>
      <c r="J17" s="216">
        <f>+'10'!J17</f>
        <v>0</v>
      </c>
      <c r="K17" s="229"/>
      <c r="L17" s="229"/>
      <c r="M17" s="121">
        <f>+K17+'10'!M17+L17</f>
        <v>0</v>
      </c>
      <c r="R17" s="153">
        <f>+O17*Q17</f>
        <v>0</v>
      </c>
      <c r="S17" s="153">
        <f>+P17*Q17</f>
        <v>0</v>
      </c>
    </row>
    <row r="18" spans="1:19" ht="64.5" thickBot="1">
      <c r="A18" s="805"/>
      <c r="B18" s="217"/>
      <c r="C18" s="218"/>
      <c r="D18" s="219"/>
      <c r="E18" s="225"/>
      <c r="F18" s="231"/>
      <c r="G18" s="229"/>
      <c r="H18" s="233" t="s">
        <v>496</v>
      </c>
      <c r="I18" s="808"/>
      <c r="J18" s="216">
        <f>+'10'!J18</f>
        <v>0</v>
      </c>
      <c r="K18" s="238"/>
      <c r="L18" s="238"/>
      <c r="M18" s="121">
        <f>+K18+'10'!M18+L18</f>
        <v>0</v>
      </c>
      <c r="R18" s="153">
        <f t="shared" ref="R18:R21" si="3">+O18*Q18</f>
        <v>0</v>
      </c>
      <c r="S18" s="153">
        <f t="shared" ref="S18:S21" si="4">+P18*Q18</f>
        <v>0</v>
      </c>
    </row>
    <row r="19" spans="1:19" ht="138" customHeight="1" thickBot="1">
      <c r="A19" s="805"/>
      <c r="B19" s="217"/>
      <c r="C19" s="218"/>
      <c r="D19" s="219"/>
      <c r="E19" s="225"/>
      <c r="F19" s="234"/>
      <c r="G19" s="232"/>
      <c r="H19" s="233" t="s">
        <v>497</v>
      </c>
      <c r="I19" s="808"/>
      <c r="J19" s="216">
        <f>+'10'!J19</f>
        <v>0</v>
      </c>
      <c r="K19" s="238"/>
      <c r="L19" s="238"/>
      <c r="M19" s="121">
        <f>+K19+'10'!M19+L19</f>
        <v>0</v>
      </c>
      <c r="R19" s="153">
        <f t="shared" si="3"/>
        <v>0</v>
      </c>
      <c r="S19" s="153">
        <f t="shared" si="4"/>
        <v>0</v>
      </c>
    </row>
    <row r="20" spans="1:19" ht="13.5" thickBot="1">
      <c r="A20" s="805"/>
      <c r="B20" s="217"/>
      <c r="C20" s="218"/>
      <c r="D20" s="219"/>
      <c r="E20" s="225"/>
      <c r="F20" s="228"/>
      <c r="G20" s="232"/>
      <c r="H20" s="233"/>
      <c r="I20" s="808"/>
      <c r="J20" s="216">
        <f>+'10'!J20</f>
        <v>0</v>
      </c>
      <c r="K20" s="239"/>
      <c r="L20" s="239"/>
      <c r="M20" s="121">
        <f>+K20+'10'!M20+L20</f>
        <v>0</v>
      </c>
      <c r="R20" s="153">
        <f t="shared" si="3"/>
        <v>0</v>
      </c>
      <c r="S20" s="153">
        <f t="shared" si="4"/>
        <v>0</v>
      </c>
    </row>
    <row r="21" spans="1:19" ht="13.5" thickBot="1">
      <c r="A21" s="805"/>
      <c r="B21" s="217"/>
      <c r="C21" s="218"/>
      <c r="D21" s="219"/>
      <c r="E21" s="225"/>
      <c r="F21" s="231"/>
      <c r="G21" s="232"/>
      <c r="H21" s="233"/>
      <c r="I21" s="808"/>
      <c r="J21" s="216">
        <f>+'10'!J21</f>
        <v>0</v>
      </c>
      <c r="K21" s="238"/>
      <c r="L21" s="238"/>
      <c r="M21" s="121">
        <f>+K21+'10'!M21+L21</f>
        <v>0</v>
      </c>
      <c r="R21" s="153">
        <f t="shared" si="3"/>
        <v>0</v>
      </c>
      <c r="S21" s="153">
        <f t="shared" si="4"/>
        <v>0</v>
      </c>
    </row>
    <row r="22" spans="1:19" ht="13.5" thickBot="1">
      <c r="A22" s="805"/>
      <c r="B22" s="217"/>
      <c r="C22" s="218"/>
      <c r="D22" s="219"/>
      <c r="E22" s="225"/>
      <c r="F22" s="235"/>
      <c r="G22" s="232"/>
      <c r="H22" s="233"/>
      <c r="I22" s="809"/>
      <c r="J22" s="216">
        <f>+'10'!J22</f>
        <v>0</v>
      </c>
      <c r="K22" s="238"/>
      <c r="L22" s="238"/>
      <c r="M22" s="121">
        <f>+K22+'10'!M22+L22</f>
        <v>0</v>
      </c>
      <c r="P22" s="153">
        <f t="shared" ref="P22" si="5">+O22-O22*0.17</f>
        <v>0</v>
      </c>
    </row>
    <row r="23" spans="1:19" ht="13.5" thickBot="1">
      <c r="A23" s="806"/>
      <c r="B23" s="169"/>
      <c r="C23" s="103">
        <f>SUM(C16:C22)</f>
        <v>14181</v>
      </c>
      <c r="D23" s="115">
        <f>SUM(D16:D22)</f>
        <v>0</v>
      </c>
      <c r="E23" s="116">
        <f>SUM(E18:E22)</f>
        <v>0</v>
      </c>
      <c r="F23" s="120">
        <f>SUM(F15:F22)</f>
        <v>25</v>
      </c>
      <c r="G23" s="163"/>
      <c r="H23" s="170"/>
      <c r="I23" s="172"/>
      <c r="J23" s="216">
        <f>+'10'!J23</f>
        <v>0</v>
      </c>
      <c r="K23" s="238"/>
      <c r="L23" s="238"/>
      <c r="M23" s="121">
        <f>+K23+'10'!M23+L23</f>
        <v>0</v>
      </c>
      <c r="Q23" s="153">
        <f>SUM(Q16:Q21)</f>
        <v>480</v>
      </c>
      <c r="R23" s="153">
        <f>SUM(R15:R21)</f>
        <v>585600</v>
      </c>
      <c r="S23" s="153">
        <f>SUM(S15:S21)</f>
        <v>456768</v>
      </c>
    </row>
    <row r="24" spans="1:19" ht="13.5" thickBot="1">
      <c r="A24" s="810"/>
      <c r="B24" s="528"/>
      <c r="C24" s="117">
        <f>C23/($C$23+$D$23+$E$23)</f>
        <v>1</v>
      </c>
      <c r="D24" s="118">
        <f>D23/($C$23+$D$23+$E$23)</f>
        <v>0</v>
      </c>
      <c r="E24" s="119">
        <f>E23/($C$23+$D$23+$E$23)</f>
        <v>0</v>
      </c>
      <c r="F24" s="235">
        <v>10</v>
      </c>
      <c r="G24" s="582" t="s">
        <v>12</v>
      </c>
      <c r="H24" s="583" t="s">
        <v>506</v>
      </c>
      <c r="I24" s="807" t="s">
        <v>503</v>
      </c>
      <c r="J24" s="216">
        <f>+'10'!J24</f>
        <v>0</v>
      </c>
      <c r="K24" s="238"/>
      <c r="L24" s="238"/>
      <c r="M24" s="121">
        <f>+K24+'10'!M24+L24</f>
        <v>0</v>
      </c>
      <c r="N24" s="153" t="s">
        <v>421</v>
      </c>
      <c r="Q24" s="153">
        <f>480-Q23</f>
        <v>0</v>
      </c>
      <c r="R24" s="153">
        <f>+R23/Q23</f>
        <v>1220</v>
      </c>
      <c r="S24" s="153">
        <f>+S23/Q23</f>
        <v>951.6</v>
      </c>
    </row>
    <row r="25" spans="1:19" ht="13.5" thickBot="1">
      <c r="A25" s="805"/>
      <c r="B25" s="527" t="s">
        <v>471</v>
      </c>
      <c r="C25" s="226">
        <v>12400</v>
      </c>
      <c r="D25" s="219"/>
      <c r="E25" s="225"/>
      <c r="F25" s="231">
        <v>12</v>
      </c>
      <c r="G25" s="584" t="s">
        <v>12</v>
      </c>
      <c r="H25" s="230" t="s">
        <v>505</v>
      </c>
      <c r="I25" s="808"/>
      <c r="J25" s="216">
        <f>+'10'!J25</f>
        <v>0</v>
      </c>
      <c r="K25" s="238"/>
      <c r="L25" s="238"/>
      <c r="M25" s="121">
        <f>+K25+'10'!M25+L25</f>
        <v>0</v>
      </c>
    </row>
    <row r="26" spans="1:19" ht="13.5" thickBot="1">
      <c r="A26" s="805"/>
      <c r="B26" s="217"/>
      <c r="C26" s="226"/>
      <c r="D26" s="219"/>
      <c r="E26" s="227"/>
      <c r="F26" s="231">
        <f>45-F24-F25</f>
        <v>23</v>
      </c>
      <c r="G26" s="584" t="s">
        <v>12</v>
      </c>
      <c r="H26" s="233" t="s">
        <v>399</v>
      </c>
      <c r="I26" s="808"/>
      <c r="J26" s="216">
        <f>+'10'!J26</f>
        <v>0</v>
      </c>
      <c r="K26" s="229"/>
      <c r="L26" s="229"/>
      <c r="M26" s="121">
        <f>+K26+'10'!M26+L26</f>
        <v>0</v>
      </c>
      <c r="N26" s="153" t="s">
        <v>453</v>
      </c>
      <c r="O26" s="153">
        <v>1220</v>
      </c>
      <c r="P26" s="153">
        <f>+O26-O26*0.22</f>
        <v>951.6</v>
      </c>
      <c r="Q26" s="153">
        <v>480</v>
      </c>
      <c r="R26" s="153">
        <f>+O26*Q26</f>
        <v>585600</v>
      </c>
      <c r="S26" s="153">
        <f>+P26*Q26</f>
        <v>456768</v>
      </c>
    </row>
    <row r="27" spans="1:19" ht="64.5" thickBot="1">
      <c r="A27" s="805"/>
      <c r="B27" s="217"/>
      <c r="C27" s="218"/>
      <c r="D27" s="219"/>
      <c r="E27" s="225"/>
      <c r="F27" s="231"/>
      <c r="G27" s="229"/>
      <c r="H27" s="233" t="s">
        <v>494</v>
      </c>
      <c r="I27" s="808"/>
      <c r="J27" s="216">
        <f>+'10'!J27</f>
        <v>0</v>
      </c>
      <c r="K27" s="229"/>
      <c r="L27" s="229"/>
      <c r="M27" s="121">
        <f>+K27+'10'!M27+L27</f>
        <v>0</v>
      </c>
      <c r="R27" s="153">
        <f>+O27*Q27</f>
        <v>0</v>
      </c>
      <c r="S27" s="153">
        <f>+P27*Q27</f>
        <v>0</v>
      </c>
    </row>
    <row r="28" spans="1:19" ht="125.25" customHeight="1" thickBot="1">
      <c r="A28" s="805"/>
      <c r="B28" s="217"/>
      <c r="C28" s="218"/>
      <c r="D28" s="219"/>
      <c r="E28" s="225"/>
      <c r="F28" s="231"/>
      <c r="G28" s="229"/>
      <c r="H28" s="233" t="s">
        <v>495</v>
      </c>
      <c r="I28" s="808"/>
      <c r="J28" s="216">
        <f>+'10'!J28</f>
        <v>0</v>
      </c>
      <c r="K28" s="238"/>
      <c r="L28" s="238"/>
      <c r="M28" s="121">
        <f>+K28+'10'!M28+L28</f>
        <v>0</v>
      </c>
      <c r="R28" s="153">
        <f t="shared" ref="R28:R31" si="6">+O28*Q28</f>
        <v>0</v>
      </c>
      <c r="S28" s="153">
        <f t="shared" ref="S28:S31" si="7">+P28*Q28</f>
        <v>0</v>
      </c>
    </row>
    <row r="29" spans="1:19" ht="13.5" thickBot="1">
      <c r="A29" s="805"/>
      <c r="B29" s="217"/>
      <c r="C29" s="218"/>
      <c r="D29" s="219"/>
      <c r="E29" s="225"/>
      <c r="F29" s="235"/>
      <c r="G29" s="232"/>
      <c r="H29" s="233"/>
      <c r="I29" s="808"/>
      <c r="J29" s="216">
        <f>+'10'!J29</f>
        <v>0</v>
      </c>
      <c r="K29" s="238"/>
      <c r="L29" s="238"/>
      <c r="M29" s="121">
        <f>+K29+'10'!M29+L29</f>
        <v>0</v>
      </c>
      <c r="R29" s="153">
        <f t="shared" si="6"/>
        <v>0</v>
      </c>
      <c r="S29" s="153">
        <f t="shared" si="7"/>
        <v>0</v>
      </c>
    </row>
    <row r="30" spans="1:19" ht="13.5" thickBot="1">
      <c r="A30" s="805"/>
      <c r="B30" s="217"/>
      <c r="C30" s="226"/>
      <c r="D30" s="219"/>
      <c r="E30" s="225"/>
      <c r="F30" s="235"/>
      <c r="G30" s="232"/>
      <c r="H30" s="233"/>
      <c r="I30" s="808"/>
      <c r="J30" s="216">
        <f>+'10'!J30</f>
        <v>0</v>
      </c>
      <c r="K30" s="239"/>
      <c r="L30" s="239"/>
      <c r="M30" s="121">
        <f>+K30+'10'!M30+L30</f>
        <v>0</v>
      </c>
      <c r="R30" s="153">
        <f t="shared" si="6"/>
        <v>0</v>
      </c>
      <c r="S30" s="153">
        <f t="shared" si="7"/>
        <v>0</v>
      </c>
    </row>
    <row r="31" spans="1:19" ht="13.5" thickBot="1">
      <c r="A31" s="805"/>
      <c r="B31" s="217"/>
      <c r="C31" s="226"/>
      <c r="D31" s="219"/>
      <c r="E31" s="225"/>
      <c r="F31" s="235"/>
      <c r="G31" s="236"/>
      <c r="H31" s="413"/>
      <c r="I31" s="809"/>
      <c r="J31" s="216">
        <f>+'10'!J31</f>
        <v>0</v>
      </c>
      <c r="K31" s="238"/>
      <c r="L31" s="238"/>
      <c r="M31" s="121">
        <f>+K31+'10'!M31+L31</f>
        <v>0</v>
      </c>
      <c r="R31" s="153">
        <f t="shared" si="6"/>
        <v>0</v>
      </c>
      <c r="S31" s="153">
        <f t="shared" si="7"/>
        <v>0</v>
      </c>
    </row>
    <row r="32" spans="1:19" ht="13.5" thickBot="1">
      <c r="A32" s="806"/>
      <c r="B32" s="169" t="s">
        <v>3</v>
      </c>
      <c r="C32" s="103">
        <f>SUM(C25:C31)</f>
        <v>12400</v>
      </c>
      <c r="D32" s="104">
        <f>SUM(D25:D31)</f>
        <v>0</v>
      </c>
      <c r="E32" s="105">
        <f>SUM(E25:E31)</f>
        <v>0</v>
      </c>
      <c r="F32" s="103">
        <f>SUM(F24:F31)</f>
        <v>45</v>
      </c>
      <c r="G32" s="173"/>
      <c r="H32" s="174"/>
      <c r="I32" s="172"/>
      <c r="J32" s="216">
        <f>+'10'!J32</f>
        <v>0</v>
      </c>
      <c r="K32" s="238"/>
      <c r="L32" s="238"/>
      <c r="M32" s="121">
        <f>+K32+'10'!M32+L32</f>
        <v>0</v>
      </c>
      <c r="P32" s="153">
        <f t="shared" ref="P32" si="8">+O32-O32*0.17</f>
        <v>0</v>
      </c>
    </row>
    <row r="33" spans="1:19" ht="13.5" thickBot="1">
      <c r="A33" s="175"/>
      <c r="B33" s="176"/>
      <c r="C33" s="107">
        <f>C32/($C$32+$D$32+$E$32)</f>
        <v>1</v>
      </c>
      <c r="D33" s="108">
        <f>D32/($C$32+$D$32+$E$32)</f>
        <v>0</v>
      </c>
      <c r="E33" s="109">
        <f>E32/($C$32+$D$32+$E$32)</f>
        <v>0</v>
      </c>
      <c r="F33" s="110"/>
      <c r="G33" s="177"/>
      <c r="H33" s="178"/>
      <c r="I33" s="179"/>
      <c r="J33" s="125"/>
      <c r="K33" s="126"/>
      <c r="L33" s="215"/>
      <c r="M33" s="123"/>
      <c r="Q33" s="153">
        <f>SUM(Q26:Q31)</f>
        <v>480</v>
      </c>
      <c r="R33" s="153">
        <f>SUM(R25:R31)</f>
        <v>585600</v>
      </c>
      <c r="S33" s="153">
        <f>SUM(S25:S31)</f>
        <v>456768</v>
      </c>
    </row>
    <row r="34" spans="1:19" ht="13.5" thickBot="1">
      <c r="A34" s="811" t="s">
        <v>69</v>
      </c>
      <c r="B34" s="812"/>
      <c r="C34" s="111">
        <f>C14+C23+C32</f>
        <v>35464</v>
      </c>
      <c r="D34" s="111">
        <f>D14+D23+D32</f>
        <v>0</v>
      </c>
      <c r="E34" s="111">
        <f>E14+E23+E32</f>
        <v>0</v>
      </c>
      <c r="F34" s="112">
        <f>F14+F23+F32</f>
        <v>92</v>
      </c>
      <c r="H34" s="180"/>
      <c r="I34" s="180"/>
      <c r="J34" s="127" t="s">
        <v>28</v>
      </c>
      <c r="K34" s="128">
        <f>SUM(K7:K32)</f>
        <v>35464</v>
      </c>
      <c r="L34" s="214">
        <f>SUM(L7:L32)</f>
        <v>0</v>
      </c>
      <c r="M34" s="124">
        <f>SUM(M7:M32)</f>
        <v>94840</v>
      </c>
      <c r="N34" s="153" t="s">
        <v>421</v>
      </c>
      <c r="Q34" s="153">
        <f>480-Q33</f>
        <v>0</v>
      </c>
      <c r="R34" s="153">
        <f>+R33/Q33</f>
        <v>1220</v>
      </c>
      <c r="S34" s="153">
        <f>+S33/Q33</f>
        <v>951.6</v>
      </c>
    </row>
    <row r="35" spans="1:19" ht="13.5" thickBot="1">
      <c r="A35" s="573"/>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row>
    <row r="37" spans="1:19" ht="17.45" customHeight="1" thickBot="1">
      <c r="A37" s="813" t="s">
        <v>70</v>
      </c>
      <c r="B37" s="814"/>
      <c r="C37" s="166" t="s">
        <v>71</v>
      </c>
      <c r="D37" s="185" t="s">
        <v>72</v>
      </c>
      <c r="E37" s="186" t="s">
        <v>73</v>
      </c>
      <c r="F37" s="311"/>
      <c r="G37" s="313"/>
      <c r="H37" s="188" t="s">
        <v>74</v>
      </c>
      <c r="I37" s="243">
        <f>(14.5*1440)/1440*G42*2.7*1440/1000000</f>
        <v>53.226715274999997</v>
      </c>
      <c r="J37" s="129">
        <f>+I37+'10'!J37</f>
        <v>128.01207187936217</v>
      </c>
      <c r="K37" s="130" t="s">
        <v>75</v>
      </c>
    </row>
    <row r="38" spans="1:19" ht="17.45" customHeight="1">
      <c r="A38" s="797" t="s">
        <v>12</v>
      </c>
      <c r="B38" s="798"/>
      <c r="C38" s="168">
        <f>SUMIF($G$7:$G$31,"Process",$F$7:$F$31)</f>
        <v>92</v>
      </c>
      <c r="D38" s="122">
        <f>C38+'10'!D38</f>
        <v>355</v>
      </c>
      <c r="E38" s="147">
        <f t="shared" ref="E38:E52" si="9">D38/60</f>
        <v>5.916666666666667</v>
      </c>
      <c r="F38" s="311">
        <v>1206.7708333333333</v>
      </c>
      <c r="G38" s="311">
        <v>929.21354166666663</v>
      </c>
      <c r="H38" s="189" t="s">
        <v>76</v>
      </c>
      <c r="I38" s="534">
        <f>15.509+16.718+12.869</f>
        <v>45.096000000000004</v>
      </c>
      <c r="J38" s="131">
        <f>+I38+'10'!J38</f>
        <v>110.191</v>
      </c>
      <c r="K38" s="132" t="s">
        <v>75</v>
      </c>
    </row>
    <row r="39" spans="1:19" ht="17.45" customHeight="1">
      <c r="A39" s="799" t="s">
        <v>13</v>
      </c>
      <c r="B39" s="800"/>
      <c r="C39" s="168">
        <f>SUMIF($G$7:$G$31,"Cleaning",$F$7:$F$31)</f>
        <v>0</v>
      </c>
      <c r="D39" s="122">
        <f>C39+'10'!D39</f>
        <v>0</v>
      </c>
      <c r="E39" s="147">
        <f t="shared" si="9"/>
        <v>0</v>
      </c>
      <c r="F39" s="311">
        <v>1220</v>
      </c>
      <c r="G39" s="311">
        <v>951.6</v>
      </c>
      <c r="H39" s="189" t="s">
        <v>77</v>
      </c>
      <c r="I39" s="146"/>
      <c r="J39" s="133">
        <f>J37/G4</f>
        <v>11.637461079942016</v>
      </c>
      <c r="K39" s="134" t="s">
        <v>75</v>
      </c>
    </row>
    <row r="40" spans="1:19" ht="17.45" customHeight="1">
      <c r="A40" s="799" t="s">
        <v>78</v>
      </c>
      <c r="B40" s="800"/>
      <c r="C40" s="168">
        <f>SUMIF($G$7:$G$31,"Mechanical",$F$7:$F$31)</f>
        <v>0</v>
      </c>
      <c r="D40" s="122">
        <f>C40+'10'!D40</f>
        <v>0</v>
      </c>
      <c r="E40" s="147">
        <f t="shared" si="9"/>
        <v>0</v>
      </c>
      <c r="F40" s="311">
        <v>1220</v>
      </c>
      <c r="G40" s="311">
        <v>951.6</v>
      </c>
      <c r="H40" s="189" t="s">
        <v>79</v>
      </c>
      <c r="I40" s="122">
        <f>(K34+L34)/1000</f>
        <v>35.463999999999999</v>
      </c>
      <c r="J40" s="135">
        <f>+I40+'10'!J40</f>
        <v>94.84</v>
      </c>
      <c r="K40" s="134" t="s">
        <v>75</v>
      </c>
    </row>
    <row r="41" spans="1:19" ht="17.45" customHeight="1">
      <c r="A41" s="799" t="s">
        <v>80</v>
      </c>
      <c r="B41" s="800"/>
      <c r="C41" s="168">
        <f>SUMIF($G$7:$G$31,"Electrical",$F$7:$F$31)</f>
        <v>0</v>
      </c>
      <c r="D41" s="122">
        <f>C41+'10'!D41</f>
        <v>60</v>
      </c>
      <c r="E41" s="147">
        <f t="shared" si="9"/>
        <v>1</v>
      </c>
      <c r="F41" s="311"/>
      <c r="G41" s="311"/>
      <c r="H41" s="189" t="s">
        <v>81</v>
      </c>
      <c r="I41" s="146"/>
      <c r="J41" s="133">
        <f>J40/G4</f>
        <v>8.6218181818181829</v>
      </c>
      <c r="K41" s="134" t="s">
        <v>75</v>
      </c>
    </row>
    <row r="42" spans="1:19" ht="17.45" customHeight="1">
      <c r="A42" s="799" t="s">
        <v>16</v>
      </c>
      <c r="B42" s="800"/>
      <c r="C42" s="168">
        <f>SUMIF($G$7:$G$31,"Instrument",$F$7:$F$31)</f>
        <v>0</v>
      </c>
      <c r="D42" s="122">
        <f>C42+'10'!D42</f>
        <v>0</v>
      </c>
      <c r="E42" s="147">
        <f t="shared" si="9"/>
        <v>0</v>
      </c>
      <c r="F42" s="187">
        <f>+(480*F38+480*F39+480*F40)/1440</f>
        <v>1215.5902777777778</v>
      </c>
      <c r="G42" s="187">
        <f>+(480*G38+480*G39+480*G40)/1440</f>
        <v>944.13784722222226</v>
      </c>
      <c r="H42" s="189" t="s">
        <v>82</v>
      </c>
      <c r="I42" s="245" t="s">
        <v>502</v>
      </c>
      <c r="J42" s="136"/>
      <c r="K42" s="134" t="s">
        <v>83</v>
      </c>
    </row>
    <row r="43" spans="1:19" ht="17.45" customHeight="1">
      <c r="A43" s="799" t="s">
        <v>84</v>
      </c>
      <c r="B43" s="800"/>
      <c r="C43" s="168">
        <f>SUMIF($G$7:$G$31,"Water",$F$7:$F$31)</f>
        <v>0</v>
      </c>
      <c r="D43" s="122">
        <f>C43+'10'!D43</f>
        <v>0</v>
      </c>
      <c r="E43" s="147">
        <f t="shared" si="9"/>
        <v>0</v>
      </c>
      <c r="F43" s="311"/>
      <c r="G43" s="312"/>
      <c r="H43" s="190" t="s">
        <v>85</v>
      </c>
      <c r="I43" s="122">
        <f>+Report1!Z19</f>
        <v>98.4</v>
      </c>
      <c r="J43" s="137">
        <f>+I43+'10'!J43</f>
        <v>260.10000000000002</v>
      </c>
      <c r="K43" s="134" t="s">
        <v>75</v>
      </c>
      <c r="L43" s="191"/>
    </row>
    <row r="44" spans="1:19" ht="17.45" customHeight="1">
      <c r="A44" s="799" t="s">
        <v>17</v>
      </c>
      <c r="B44" s="800"/>
      <c r="C44" s="168">
        <f>SUMIF($G$7:$G$31,"PLN",$F$7:$F$31)</f>
        <v>0</v>
      </c>
      <c r="D44" s="122">
        <f>C44+'10'!D44</f>
        <v>0</v>
      </c>
      <c r="E44" s="147">
        <f t="shared" si="9"/>
        <v>0</v>
      </c>
      <c r="F44" s="311"/>
      <c r="G44" s="312"/>
      <c r="H44" s="190" t="s">
        <v>86</v>
      </c>
      <c r="I44" s="122">
        <f>I43/I38</f>
        <v>2.1820117083555082</v>
      </c>
      <c r="J44" s="138">
        <f>J43/J38</f>
        <v>2.3604468604513982</v>
      </c>
      <c r="K44" s="134" t="s">
        <v>75</v>
      </c>
    </row>
    <row r="45" spans="1:19" ht="17.45" customHeight="1">
      <c r="A45" s="799" t="s">
        <v>18</v>
      </c>
      <c r="B45" s="800"/>
      <c r="C45" s="168">
        <f>SUMIF($G$7:$G$31,"Boiler",$F$7:$F$31)</f>
        <v>0</v>
      </c>
      <c r="D45" s="122">
        <f>C45+'10'!D45</f>
        <v>0</v>
      </c>
      <c r="E45" s="147">
        <f t="shared" si="9"/>
        <v>0</v>
      </c>
      <c r="F45" s="311"/>
      <c r="G45" s="314"/>
      <c r="H45" s="190" t="s">
        <v>87</v>
      </c>
      <c r="I45" s="122">
        <f>I43/I40</f>
        <v>2.7746447101285812</v>
      </c>
      <c r="J45" s="138">
        <f>J43/J40</f>
        <v>2.7425137072964993</v>
      </c>
      <c r="K45" s="134" t="s">
        <v>75</v>
      </c>
    </row>
    <row r="46" spans="1:19" ht="17.45" customHeight="1">
      <c r="A46" s="799" t="s">
        <v>88</v>
      </c>
      <c r="B46" s="800"/>
      <c r="C46" s="168">
        <f>SUMIF($G$7:$G$31,"Gas",$F$7:$F$31)</f>
        <v>0</v>
      </c>
      <c r="D46" s="122">
        <f>C46+'10'!D46</f>
        <v>0</v>
      </c>
      <c r="E46" s="147">
        <f t="shared" si="9"/>
        <v>0</v>
      </c>
      <c r="F46" s="311"/>
      <c r="G46" s="312"/>
      <c r="H46" s="190" t="s">
        <v>89</v>
      </c>
      <c r="I46" s="144">
        <f>+SUMIF(Listrik!X18,"&gt;0")</f>
        <v>40069.170000002458</v>
      </c>
      <c r="J46" s="139">
        <f>+I46+'10'!J46</f>
        <v>118317.53240000055</v>
      </c>
      <c r="K46" s="134" t="s">
        <v>90</v>
      </c>
    </row>
    <row r="47" spans="1:19" ht="17.45" customHeight="1">
      <c r="A47" s="799" t="s">
        <v>91</v>
      </c>
      <c r="B47" s="800"/>
      <c r="C47" s="168">
        <f>SUMIF($G$7:$G$31,"Gas",$F$7:$F$31)</f>
        <v>0</v>
      </c>
      <c r="D47" s="122">
        <f>C47+'10'!D47</f>
        <v>0</v>
      </c>
      <c r="E47" s="147">
        <f t="shared" si="9"/>
        <v>0</v>
      </c>
      <c r="F47" s="311"/>
      <c r="G47" s="312"/>
      <c r="H47" s="190" t="s">
        <v>92</v>
      </c>
      <c r="I47" s="122">
        <f>I46/I38</f>
        <v>888.5304683342747</v>
      </c>
      <c r="J47" s="139">
        <f>J46/J38</f>
        <v>1073.7495113031059</v>
      </c>
      <c r="K47" s="134" t="s">
        <v>24</v>
      </c>
    </row>
    <row r="48" spans="1:19" ht="17.45" customHeight="1">
      <c r="A48" s="799" t="s">
        <v>14</v>
      </c>
      <c r="B48" s="800"/>
      <c r="C48" s="168">
        <f>SUMIF($G$7:$G$31,"Start Up",$F$7:$F$31)</f>
        <v>0</v>
      </c>
      <c r="D48" s="122">
        <f>C48+'10'!D48</f>
        <v>0</v>
      </c>
      <c r="E48" s="147">
        <f t="shared" si="9"/>
        <v>0</v>
      </c>
      <c r="F48" s="311"/>
      <c r="G48" s="312"/>
      <c r="H48" s="190" t="s">
        <v>93</v>
      </c>
      <c r="I48" s="122">
        <f>I46/I40</f>
        <v>1129.8547823145291</v>
      </c>
      <c r="J48" s="139">
        <f>J46/J40</f>
        <v>1247.5488443694701</v>
      </c>
      <c r="K48" s="134" t="s">
        <v>24</v>
      </c>
    </row>
    <row r="49" spans="1:11" ht="17.45" customHeight="1">
      <c r="A49" s="799" t="s">
        <v>20</v>
      </c>
      <c r="B49" s="800"/>
      <c r="C49" s="168">
        <f>SUMIF($G$7:$G$31,"Others",$F$7:$F$31)</f>
        <v>0</v>
      </c>
      <c r="D49" s="122">
        <f>C49+'10'!D49</f>
        <v>11845</v>
      </c>
      <c r="E49" s="147">
        <f t="shared" si="9"/>
        <v>197.41666666666666</v>
      </c>
      <c r="F49" s="187"/>
      <c r="H49" s="190" t="s">
        <v>278</v>
      </c>
      <c r="I49" s="122">
        <f>+Report1!T19</f>
        <v>4117.2851796564555</v>
      </c>
      <c r="J49" s="139">
        <f>+I49+'10'!J49</f>
        <v>10685.11427372921</v>
      </c>
      <c r="K49" s="134" t="s">
        <v>94</v>
      </c>
    </row>
    <row r="50" spans="1:11" ht="17.45" customHeight="1">
      <c r="A50" s="799" t="s">
        <v>19</v>
      </c>
      <c r="B50" s="800"/>
      <c r="C50" s="168">
        <f>SUMIF($G$7:$G$31,"Steam",$F$7:$F$31)</f>
        <v>0</v>
      </c>
      <c r="D50" s="122">
        <f>C50+'10'!D50</f>
        <v>0</v>
      </c>
      <c r="E50" s="147">
        <f t="shared" si="9"/>
        <v>0</v>
      </c>
      <c r="F50" s="187"/>
      <c r="H50" s="190" t="s">
        <v>95</v>
      </c>
      <c r="I50" s="144">
        <f>I49/I38</f>
        <v>91.300451917164608</v>
      </c>
      <c r="J50" s="137">
        <f>J49/J38</f>
        <v>96.969028992651033</v>
      </c>
      <c r="K50" s="134" t="s">
        <v>94</v>
      </c>
    </row>
    <row r="51" spans="1:11" ht="17.45" customHeight="1">
      <c r="A51" s="801" t="s">
        <v>96</v>
      </c>
      <c r="B51" s="801"/>
      <c r="C51" s="168">
        <f>SUMIF($G$7:$G$31,"Planned shut",$F$7:$F$31)</f>
        <v>0</v>
      </c>
      <c r="D51" s="122">
        <f>C51+'10'!D51</f>
        <v>0</v>
      </c>
      <c r="E51" s="147">
        <f t="shared" si="9"/>
        <v>0</v>
      </c>
      <c r="F51" s="187"/>
      <c r="H51" s="192" t="s">
        <v>97</v>
      </c>
      <c r="I51" s="145">
        <f>I49/I40</f>
        <v>116.0975969900873</v>
      </c>
      <c r="J51" s="140">
        <f>J49/J40</f>
        <v>112.66463806125275</v>
      </c>
      <c r="K51" s="141" t="s">
        <v>94</v>
      </c>
    </row>
    <row r="52" spans="1:11" ht="13.5" thickBot="1">
      <c r="A52" s="802" t="s">
        <v>229</v>
      </c>
      <c r="B52" s="803"/>
      <c r="C52" s="168">
        <f>SUMIF($G$7:$G$31,"Change Grade",$F$7:$F$31)</f>
        <v>0</v>
      </c>
      <c r="D52" s="122">
        <f>C52+'10'!D52</f>
        <v>0</v>
      </c>
      <c r="E52" s="147">
        <f t="shared" si="9"/>
        <v>0</v>
      </c>
      <c r="F52" s="187"/>
      <c r="H52" s="193"/>
      <c r="I52" s="194"/>
      <c r="J52" s="142"/>
      <c r="K52" s="143"/>
    </row>
    <row r="53" spans="1:11">
      <c r="A53" s="797" t="s">
        <v>28</v>
      </c>
      <c r="B53" s="798"/>
      <c r="C53" s="148">
        <f>SUM(C38:C52)</f>
        <v>92</v>
      </c>
      <c r="D53" s="148">
        <f>SUM(D38:D52)</f>
        <v>12260</v>
      </c>
      <c r="E53" s="149">
        <f>SUM(E38:E52)</f>
        <v>204.33333333333331</v>
      </c>
      <c r="F53" s="187"/>
    </row>
    <row r="54" spans="1:11" ht="13.5" thickBot="1">
      <c r="A54" s="795"/>
      <c r="B54" s="796"/>
      <c r="C54" s="150">
        <f>C53/(24*60)</f>
        <v>6.3888888888888884E-2</v>
      </c>
      <c r="D54" s="150">
        <f>D53/(24*60*G4)</f>
        <v>0.77398989898989901</v>
      </c>
      <c r="E54" s="151">
        <f>E53/(G4*24)</f>
        <v>0.77398989898989889</v>
      </c>
      <c r="F54" s="187"/>
    </row>
    <row r="55" spans="1:11">
      <c r="E55" s="195"/>
    </row>
    <row r="56" spans="1:11">
      <c r="A56" s="196" t="s">
        <v>98</v>
      </c>
      <c r="B56" s="197"/>
      <c r="C56" s="198"/>
      <c r="D56" s="198"/>
      <c r="E56" s="198"/>
      <c r="F56" s="199"/>
      <c r="G56" s="198"/>
      <c r="H56" s="200"/>
      <c r="I56" s="201" t="s">
        <v>99</v>
      </c>
      <c r="J56" s="202">
        <f>+D34+'10'!J56</f>
        <v>0</v>
      </c>
      <c r="K56" s="203">
        <f>J56/(J40+J56/1000)/1000</f>
        <v>0</v>
      </c>
    </row>
    <row r="57" spans="1:11">
      <c r="A57" s="178"/>
      <c r="I57" s="201" t="s">
        <v>100</v>
      </c>
      <c r="J57" s="202">
        <f>+E34+'10'!J57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39:B39"/>
    <mergeCell ref="A53:B53"/>
    <mergeCell ref="A52:B52"/>
    <mergeCell ref="A46:B46"/>
    <mergeCell ref="A51:B51"/>
    <mergeCell ref="A50:B50"/>
    <mergeCell ref="A49:B49"/>
    <mergeCell ref="A47:B47"/>
    <mergeCell ref="A48:B48"/>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s>
  <phoneticPr fontId="30" type="noConversion"/>
  <pageMargins left="0.17" right="0.16" top="0.17" bottom="0.16" header="0" footer="0"/>
  <pageSetup paperSize="9" scale="56"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B10" zoomScale="80" zoomScaleNormal="75" zoomScaleSheetLayoutView="80" workbookViewId="0">
      <selection activeCell="E13" sqref="E13"/>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10</v>
      </c>
      <c r="H4" s="158" t="str">
        <f>+'1'!H4</f>
        <v>.10.25</v>
      </c>
      <c r="J4" s="153">
        <f>492+460+419</f>
        <v>1371</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1030</v>
      </c>
      <c r="P6" s="153">
        <f>+O6-O6*0.21</f>
        <v>813.7</v>
      </c>
      <c r="Q6" s="153">
        <v>24</v>
      </c>
      <c r="R6" s="153">
        <f>+O6*Q6</f>
        <v>24720</v>
      </c>
      <c r="S6" s="153">
        <f>+P6*Q6</f>
        <v>19528.800000000003</v>
      </c>
    </row>
    <row r="7" spans="1:19" ht="13.5" customHeight="1" thickBot="1">
      <c r="A7" s="804"/>
      <c r="B7" s="217" t="s">
        <v>466</v>
      </c>
      <c r="C7" s="218">
        <v>5965</v>
      </c>
      <c r="D7" s="219"/>
      <c r="E7" s="220"/>
      <c r="F7" s="235"/>
      <c r="G7" s="582" t="s">
        <v>12</v>
      </c>
      <c r="H7" s="583" t="s">
        <v>418</v>
      </c>
      <c r="I7" s="807" t="s">
        <v>478</v>
      </c>
      <c r="J7" s="216" t="str">
        <f>+'9'!J7</f>
        <v>TW 17 RC HW</v>
      </c>
      <c r="K7" s="237"/>
      <c r="L7" s="241"/>
      <c r="M7" s="121">
        <f>+K7+'9'!M7+L7</f>
        <v>3364</v>
      </c>
      <c r="O7" s="153">
        <v>1040</v>
      </c>
      <c r="P7" s="153">
        <f>+O7-O7*0.21</f>
        <v>821.6</v>
      </c>
      <c r="Q7" s="153">
        <f>60-24+56</f>
        <v>92</v>
      </c>
      <c r="R7" s="153">
        <f>+O7*Q7</f>
        <v>95680</v>
      </c>
      <c r="S7" s="153">
        <f>+P7*Q7</f>
        <v>75587.199999999997</v>
      </c>
    </row>
    <row r="8" spans="1:19" ht="13.5" thickBot="1">
      <c r="A8" s="805"/>
      <c r="B8" s="217" t="s">
        <v>471</v>
      </c>
      <c r="C8" s="218">
        <v>7927</v>
      </c>
      <c r="D8" s="219"/>
      <c r="E8" s="221"/>
      <c r="F8" s="231">
        <v>4</v>
      </c>
      <c r="G8" s="584" t="s">
        <v>12</v>
      </c>
      <c r="H8" s="230" t="s">
        <v>482</v>
      </c>
      <c r="I8" s="808"/>
      <c r="J8" s="216" t="str">
        <f>+'9'!J8</f>
        <v>T 14 VP OW</v>
      </c>
      <c r="K8" s="238">
        <f>+C7</f>
        <v>5965</v>
      </c>
      <c r="L8" s="238"/>
      <c r="M8" s="121">
        <f>+K8+'9'!M8+L8</f>
        <v>23832</v>
      </c>
      <c r="O8" s="153">
        <v>1100</v>
      </c>
      <c r="P8" s="153">
        <f>+O8-O8*0.21</f>
        <v>869</v>
      </c>
      <c r="Q8" s="153">
        <f>480-Q6-Q7-Q9</f>
        <v>348</v>
      </c>
      <c r="R8" s="153">
        <f t="shared" ref="R8:R11" si="0">+O8*Q8</f>
        <v>382800</v>
      </c>
      <c r="S8" s="153">
        <f t="shared" ref="S8:S11" si="1">+P8*Q8</f>
        <v>302412</v>
      </c>
    </row>
    <row r="9" spans="1:19" ht="13.5" thickBot="1">
      <c r="A9" s="805"/>
      <c r="B9" s="217"/>
      <c r="C9" s="218"/>
      <c r="D9" s="219"/>
      <c r="E9" s="222"/>
      <c r="F9" s="231">
        <v>5</v>
      </c>
      <c r="G9" s="584" t="s">
        <v>12</v>
      </c>
      <c r="H9" s="233" t="s">
        <v>483</v>
      </c>
      <c r="I9" s="808"/>
      <c r="J9" s="216" t="s">
        <v>471</v>
      </c>
      <c r="K9" s="238">
        <f>+C8+C16+C25</f>
        <v>32180</v>
      </c>
      <c r="L9" s="238"/>
      <c r="M9" s="121">
        <f>+K9+'9'!M9+L9</f>
        <v>32180</v>
      </c>
      <c r="O9" s="153">
        <v>1200</v>
      </c>
      <c r="P9" s="153">
        <f>+O9-O9*0.21</f>
        <v>948</v>
      </c>
      <c r="Q9" s="153">
        <f>60-44</f>
        <v>16</v>
      </c>
      <c r="R9" s="153">
        <f t="shared" si="0"/>
        <v>19200</v>
      </c>
      <c r="S9" s="153">
        <f t="shared" si="1"/>
        <v>15168</v>
      </c>
    </row>
    <row r="10" spans="1:19" ht="64.5" thickBot="1">
      <c r="A10" s="805"/>
      <c r="B10" s="217"/>
      <c r="C10" s="218"/>
      <c r="D10" s="219"/>
      <c r="E10" s="221"/>
      <c r="F10" s="231"/>
      <c r="G10" s="229"/>
      <c r="H10" s="233" t="s">
        <v>477</v>
      </c>
      <c r="I10" s="808"/>
      <c r="J10" s="216">
        <f>+'9'!J10</f>
        <v>0</v>
      </c>
      <c r="K10" s="238"/>
      <c r="L10" s="238"/>
      <c r="M10" s="121">
        <f>+K10+'9'!M10+L10</f>
        <v>0</v>
      </c>
      <c r="R10" s="153">
        <f t="shared" si="0"/>
        <v>0</v>
      </c>
      <c r="S10" s="153">
        <f t="shared" si="1"/>
        <v>0</v>
      </c>
    </row>
    <row r="11" spans="1:19" ht="115.5" thickBot="1">
      <c r="A11" s="805"/>
      <c r="B11" s="217"/>
      <c r="C11" s="218"/>
      <c r="D11" s="219"/>
      <c r="E11" s="221"/>
      <c r="F11" s="228"/>
      <c r="G11" s="229"/>
      <c r="H11" s="233" t="s">
        <v>476</v>
      </c>
      <c r="I11" s="808"/>
      <c r="J11" s="216">
        <f>+'9'!J11</f>
        <v>0</v>
      </c>
      <c r="K11" s="238"/>
      <c r="L11" s="238"/>
      <c r="M11" s="121">
        <f>+K11+'9'!M11+L11</f>
        <v>0</v>
      </c>
      <c r="R11" s="153">
        <f t="shared" si="0"/>
        <v>0</v>
      </c>
      <c r="S11" s="153">
        <f t="shared" si="1"/>
        <v>0</v>
      </c>
    </row>
    <row r="12" spans="1:19" ht="13.5" thickBot="1">
      <c r="A12" s="805"/>
      <c r="B12" s="217"/>
      <c r="C12" s="218"/>
      <c r="D12" s="219"/>
      <c r="E12" s="221"/>
      <c r="F12" s="228"/>
      <c r="G12" s="232"/>
      <c r="H12" s="233"/>
      <c r="I12" s="808"/>
      <c r="J12" s="216">
        <f>+'9'!J12</f>
        <v>0</v>
      </c>
      <c r="K12" s="238"/>
      <c r="L12" s="238"/>
      <c r="M12" s="121">
        <f>+K12+'9'!M12+L12</f>
        <v>0</v>
      </c>
      <c r="P12" s="153">
        <f t="shared" ref="P12" si="2">+O12-O12*0.17</f>
        <v>0</v>
      </c>
    </row>
    <row r="13" spans="1:19" ht="13.5" thickBot="1">
      <c r="A13" s="805"/>
      <c r="B13" s="217"/>
      <c r="C13" s="218"/>
      <c r="D13" s="218"/>
      <c r="E13" s="221"/>
      <c r="F13" s="228"/>
      <c r="G13" s="232"/>
      <c r="H13" s="233"/>
      <c r="I13" s="809"/>
      <c r="J13" s="216">
        <f>+'9'!J13</f>
        <v>0</v>
      </c>
      <c r="K13" s="238"/>
      <c r="L13" s="238"/>
      <c r="M13" s="121">
        <f>+K13+'9'!M13+L13</f>
        <v>0</v>
      </c>
      <c r="Q13" s="153">
        <f>SUM(Q6:Q11)</f>
        <v>480</v>
      </c>
      <c r="R13" s="153">
        <f>SUM(R5:R11)</f>
        <v>522400</v>
      </c>
      <c r="S13" s="153">
        <f>SUM(S5:S11)</f>
        <v>412696</v>
      </c>
    </row>
    <row r="14" spans="1:19" ht="13.5" thickBot="1">
      <c r="A14" s="806"/>
      <c r="B14" s="169" t="s">
        <v>3</v>
      </c>
      <c r="C14" s="103">
        <f>SUM(C7:C13)</f>
        <v>13892</v>
      </c>
      <c r="D14" s="115">
        <f>SUM(D7:D13)</f>
        <v>0</v>
      </c>
      <c r="E14" s="116">
        <f>SUM(E5:E13)</f>
        <v>0</v>
      </c>
      <c r="F14" s="120">
        <f>SUM(F7:F13)</f>
        <v>9</v>
      </c>
      <c r="G14" s="163"/>
      <c r="H14" s="170"/>
      <c r="I14" s="171"/>
      <c r="J14" s="216">
        <f>+'9'!J14</f>
        <v>0</v>
      </c>
      <c r="K14" s="238"/>
      <c r="L14" s="238"/>
      <c r="M14" s="121">
        <f>+K14+'9'!M14+L14</f>
        <v>0</v>
      </c>
      <c r="N14" s="153" t="s">
        <v>421</v>
      </c>
      <c r="Q14" s="153">
        <f>480-Q13</f>
        <v>0</v>
      </c>
      <c r="R14" s="153">
        <f>+R13/Q13</f>
        <v>1088.3333333333333</v>
      </c>
      <c r="S14" s="153">
        <f>+S13/Q13</f>
        <v>859.7833333333333</v>
      </c>
    </row>
    <row r="15" spans="1:19" ht="13.5" customHeight="1" thickBot="1">
      <c r="A15" s="810"/>
      <c r="B15" s="528"/>
      <c r="C15" s="117">
        <f>C14/($C$23+$D$23+$E$23)</f>
        <v>1.084295972525757</v>
      </c>
      <c r="D15" s="118">
        <f>D14/($C$23+$D$23+$E$23)</f>
        <v>0</v>
      </c>
      <c r="E15" s="119">
        <f>E14/($C$23+$D$23+$E$23)</f>
        <v>0</v>
      </c>
      <c r="F15" s="235"/>
      <c r="G15" s="582" t="s">
        <v>12</v>
      </c>
      <c r="H15" s="583" t="s">
        <v>418</v>
      </c>
      <c r="I15" s="807" t="s">
        <v>480</v>
      </c>
      <c r="J15" s="216">
        <f>+'9'!J15</f>
        <v>0</v>
      </c>
      <c r="K15" s="238"/>
      <c r="L15" s="238"/>
      <c r="M15" s="121">
        <f>+K15+'9'!M15+L15</f>
        <v>0</v>
      </c>
    </row>
    <row r="16" spans="1:19" ht="13.5" thickBot="1">
      <c r="A16" s="805"/>
      <c r="B16" s="527" t="s">
        <v>471</v>
      </c>
      <c r="C16" s="526">
        <v>12812</v>
      </c>
      <c r="D16" s="223"/>
      <c r="E16" s="224"/>
      <c r="F16" s="231">
        <v>9</v>
      </c>
      <c r="G16" s="584" t="s">
        <v>12</v>
      </c>
      <c r="H16" s="230" t="s">
        <v>398</v>
      </c>
      <c r="I16" s="808"/>
      <c r="J16" s="216">
        <f>+'9'!J16</f>
        <v>0</v>
      </c>
      <c r="K16" s="238"/>
      <c r="L16" s="229"/>
      <c r="M16" s="121">
        <f>+K16+'9'!M16+L16</f>
        <v>0</v>
      </c>
      <c r="N16" s="153" t="s">
        <v>453</v>
      </c>
      <c r="O16" s="153">
        <v>1250</v>
      </c>
      <c r="P16" s="153">
        <f>+O16-O16*0.22</f>
        <v>975</v>
      </c>
      <c r="Q16" s="153">
        <f>60*5+30</f>
        <v>330</v>
      </c>
      <c r="R16" s="153">
        <f>+O16*Q16</f>
        <v>412500</v>
      </c>
      <c r="S16" s="153">
        <f>+P16*Q16</f>
        <v>321750</v>
      </c>
    </row>
    <row r="17" spans="1:19" ht="13.5" thickBot="1">
      <c r="A17" s="805"/>
      <c r="B17" s="217"/>
      <c r="C17" s="218"/>
      <c r="D17" s="219"/>
      <c r="E17" s="225"/>
      <c r="F17" s="231">
        <f>23-9</f>
        <v>14</v>
      </c>
      <c r="G17" s="584" t="s">
        <v>12</v>
      </c>
      <c r="H17" s="233" t="s">
        <v>484</v>
      </c>
      <c r="I17" s="808"/>
      <c r="J17" s="216">
        <f>+'9'!J17</f>
        <v>0</v>
      </c>
      <c r="K17" s="238"/>
      <c r="L17" s="229"/>
      <c r="M17" s="121">
        <f>+K17+'9'!M17+L17</f>
        <v>0</v>
      </c>
      <c r="O17" s="153">
        <v>1220</v>
      </c>
      <c r="P17" s="153">
        <f>+O17-O17*0.22</f>
        <v>951.6</v>
      </c>
      <c r="Q17" s="153">
        <f>60-30+60</f>
        <v>90</v>
      </c>
      <c r="R17" s="153">
        <f>+O17*Q17</f>
        <v>109800</v>
      </c>
      <c r="S17" s="153">
        <f>+P17*Q17</f>
        <v>85644</v>
      </c>
    </row>
    <row r="18" spans="1:19" ht="51.75" thickBot="1">
      <c r="A18" s="805"/>
      <c r="B18" s="217"/>
      <c r="C18" s="218"/>
      <c r="D18" s="219"/>
      <c r="E18" s="225"/>
      <c r="F18" s="231">
        <v>60</v>
      </c>
      <c r="G18" s="229" t="s">
        <v>80</v>
      </c>
      <c r="H18" s="233" t="s">
        <v>474</v>
      </c>
      <c r="I18" s="808"/>
      <c r="J18" s="216">
        <f>+'9'!J18</f>
        <v>0</v>
      </c>
      <c r="K18" s="238"/>
      <c r="L18" s="238"/>
      <c r="M18" s="121">
        <f>+K18+'9'!M18+L18</f>
        <v>0</v>
      </c>
      <c r="P18" s="153">
        <f>+O18-O18*0.21</f>
        <v>0</v>
      </c>
      <c r="R18" s="153">
        <f t="shared" ref="R18:R21" si="3">+O18*Q18</f>
        <v>0</v>
      </c>
      <c r="S18" s="153">
        <f t="shared" ref="S18:S21" si="4">+P18*Q18</f>
        <v>0</v>
      </c>
    </row>
    <row r="19" spans="1:19" ht="77.25" thickBot="1">
      <c r="A19" s="805"/>
      <c r="B19" s="217"/>
      <c r="C19" s="218"/>
      <c r="D19" s="219"/>
      <c r="E19" s="225"/>
      <c r="F19" s="234"/>
      <c r="G19" s="232"/>
      <c r="H19" s="233" t="s">
        <v>475</v>
      </c>
      <c r="I19" s="808"/>
      <c r="J19" s="216">
        <f>+'9'!J19</f>
        <v>0</v>
      </c>
      <c r="K19" s="238"/>
      <c r="L19" s="238"/>
      <c r="M19" s="121">
        <f>+K19+'9'!M19+L19</f>
        <v>0</v>
      </c>
      <c r="P19" s="153">
        <f>+O19-O19*0.21</f>
        <v>0</v>
      </c>
      <c r="R19" s="153">
        <f t="shared" si="3"/>
        <v>0</v>
      </c>
      <c r="S19" s="153">
        <f t="shared" si="4"/>
        <v>0</v>
      </c>
    </row>
    <row r="20" spans="1:19" ht="13.5" thickBot="1">
      <c r="A20" s="805"/>
      <c r="B20" s="217"/>
      <c r="C20" s="218"/>
      <c r="D20" s="219"/>
      <c r="E20" s="225"/>
      <c r="F20" s="228"/>
      <c r="G20" s="232"/>
      <c r="H20" s="233"/>
      <c r="I20" s="808"/>
      <c r="J20" s="216">
        <f>+'9'!J20</f>
        <v>0</v>
      </c>
      <c r="K20" s="239"/>
      <c r="L20" s="239"/>
      <c r="M20" s="121">
        <f>+K20+'9'!M20+L20</f>
        <v>0</v>
      </c>
      <c r="R20" s="153">
        <f t="shared" si="3"/>
        <v>0</v>
      </c>
      <c r="S20" s="153">
        <f t="shared" si="4"/>
        <v>0</v>
      </c>
    </row>
    <row r="21" spans="1:19" ht="13.5" thickBot="1">
      <c r="A21" s="805"/>
      <c r="B21" s="217"/>
      <c r="C21" s="218"/>
      <c r="D21" s="219"/>
      <c r="E21" s="225"/>
      <c r="F21" s="231"/>
      <c r="G21" s="232"/>
      <c r="H21" s="233"/>
      <c r="I21" s="808"/>
      <c r="J21" s="216">
        <f>+'9'!J21</f>
        <v>0</v>
      </c>
      <c r="K21" s="238"/>
      <c r="L21" s="238"/>
      <c r="M21" s="121">
        <f>+K21+'9'!M21+L21</f>
        <v>0</v>
      </c>
      <c r="R21" s="153">
        <f t="shared" si="3"/>
        <v>0</v>
      </c>
      <c r="S21" s="153">
        <f t="shared" si="4"/>
        <v>0</v>
      </c>
    </row>
    <row r="22" spans="1:19" ht="13.5" thickBot="1">
      <c r="A22" s="805"/>
      <c r="B22" s="217"/>
      <c r="C22" s="218"/>
      <c r="D22" s="219"/>
      <c r="E22" s="225"/>
      <c r="F22" s="235"/>
      <c r="G22" s="232"/>
      <c r="H22" s="233"/>
      <c r="I22" s="809"/>
      <c r="J22" s="216">
        <f>+'9'!J22</f>
        <v>0</v>
      </c>
      <c r="K22" s="238"/>
      <c r="L22" s="238"/>
      <c r="M22" s="121">
        <f>+K22+'9'!M22+L22</f>
        <v>0</v>
      </c>
      <c r="P22" s="153">
        <f t="shared" ref="P22" si="5">+O22-O22*0.17</f>
        <v>0</v>
      </c>
    </row>
    <row r="23" spans="1:19" ht="13.5" thickBot="1">
      <c r="A23" s="806"/>
      <c r="B23" s="169" t="s">
        <v>3</v>
      </c>
      <c r="C23" s="103">
        <f>SUM(C16:C22)</f>
        <v>12812</v>
      </c>
      <c r="D23" s="115">
        <f>SUM(D16:D22)</f>
        <v>0</v>
      </c>
      <c r="E23" s="116">
        <f>SUM(E18:E22)</f>
        <v>0</v>
      </c>
      <c r="F23" s="120">
        <f>SUM(F15:F22)</f>
        <v>83</v>
      </c>
      <c r="G23" s="163"/>
      <c r="H23" s="170"/>
      <c r="I23" s="172"/>
      <c r="J23" s="216">
        <f>+'9'!J23</f>
        <v>0</v>
      </c>
      <c r="K23" s="238"/>
      <c r="L23" s="238"/>
      <c r="M23" s="121">
        <f>+K23+'9'!M23+L23</f>
        <v>0</v>
      </c>
      <c r="Q23" s="153">
        <f>SUM(Q16:Q21)</f>
        <v>420</v>
      </c>
      <c r="R23" s="153">
        <f>SUM(R15:R21)</f>
        <v>522300</v>
      </c>
      <c r="S23" s="153">
        <f>SUM(S15:S21)</f>
        <v>407394</v>
      </c>
    </row>
    <row r="24" spans="1:19" ht="13.5" customHeight="1" thickBot="1">
      <c r="A24" s="810"/>
      <c r="B24" s="528"/>
      <c r="C24" s="117">
        <f>C23/($C$23+$D$23+$E$23)</f>
        <v>1</v>
      </c>
      <c r="D24" s="118">
        <f>D23/($C$23+$D$23+$E$23)</f>
        <v>0</v>
      </c>
      <c r="E24" s="119">
        <f>E23/($C$23+$D$23+$E$23)</f>
        <v>0</v>
      </c>
      <c r="F24" s="235"/>
      <c r="G24" s="582" t="s">
        <v>12</v>
      </c>
      <c r="H24" s="583" t="s">
        <v>418</v>
      </c>
      <c r="I24" s="807" t="s">
        <v>479</v>
      </c>
      <c r="J24" s="216">
        <f>+'9'!J24</f>
        <v>0</v>
      </c>
      <c r="K24" s="238"/>
      <c r="L24" s="238"/>
      <c r="M24" s="121">
        <f>+K24+'9'!M24+L24</f>
        <v>0</v>
      </c>
      <c r="N24" s="153" t="s">
        <v>421</v>
      </c>
      <c r="P24" s="153">
        <f>60-30+30</f>
        <v>60</v>
      </c>
      <c r="Q24" s="153">
        <f>480-Q23</f>
        <v>60</v>
      </c>
      <c r="R24" s="153">
        <f>+R23/Q23</f>
        <v>1243.5714285714287</v>
      </c>
      <c r="S24" s="153">
        <f>+S23/Q23</f>
        <v>969.98571428571427</v>
      </c>
    </row>
    <row r="25" spans="1:19" ht="13.5" customHeight="1" thickBot="1">
      <c r="A25" s="805"/>
      <c r="B25" s="527" t="s">
        <v>471</v>
      </c>
      <c r="C25" s="226">
        <v>11441</v>
      </c>
      <c r="D25" s="219"/>
      <c r="E25" s="225"/>
      <c r="F25" s="231">
        <v>14</v>
      </c>
      <c r="G25" s="584" t="s">
        <v>12</v>
      </c>
      <c r="H25" s="230" t="s">
        <v>485</v>
      </c>
      <c r="I25" s="808"/>
      <c r="J25" s="216">
        <f>+'9'!J25</f>
        <v>0</v>
      </c>
      <c r="K25" s="238"/>
      <c r="L25" s="238"/>
      <c r="M25" s="121">
        <f>+K25+'9'!M25+L25</f>
        <v>0</v>
      </c>
      <c r="P25" s="178"/>
    </row>
    <row r="26" spans="1:19" ht="13.5" customHeight="1" thickBot="1">
      <c r="A26" s="805"/>
      <c r="B26" s="217"/>
      <c r="C26" s="226"/>
      <c r="D26" s="219"/>
      <c r="E26" s="227"/>
      <c r="F26" s="231">
        <v>11</v>
      </c>
      <c r="G26" s="584" t="s">
        <v>12</v>
      </c>
      <c r="H26" s="233" t="s">
        <v>484</v>
      </c>
      <c r="I26" s="808"/>
      <c r="J26" s="216">
        <f>+'9'!J26</f>
        <v>0</v>
      </c>
      <c r="K26" s="238"/>
      <c r="L26" s="238"/>
      <c r="M26" s="121">
        <f>+K26+'9'!M26+L26</f>
        <v>0</v>
      </c>
      <c r="N26" s="153" t="s">
        <v>453</v>
      </c>
      <c r="O26" s="153">
        <v>1150</v>
      </c>
      <c r="P26" s="153">
        <f>+O26-O26*0.22</f>
        <v>897</v>
      </c>
      <c r="Q26" s="153">
        <v>240</v>
      </c>
      <c r="R26" s="153">
        <f>+O26*Q26</f>
        <v>276000</v>
      </c>
      <c r="S26" s="153">
        <f>+P26*Q26</f>
        <v>215280</v>
      </c>
    </row>
    <row r="27" spans="1:19" ht="77.25" thickBot="1">
      <c r="A27" s="805"/>
      <c r="B27" s="217"/>
      <c r="C27" s="218"/>
      <c r="D27" s="219"/>
      <c r="E27" s="225"/>
      <c r="F27" s="231"/>
      <c r="G27" s="229"/>
      <c r="H27" s="233" t="s">
        <v>472</v>
      </c>
      <c r="I27" s="808"/>
      <c r="J27" s="216">
        <f>+'9'!J27</f>
        <v>0</v>
      </c>
      <c r="K27" s="238"/>
      <c r="L27" s="238"/>
      <c r="M27" s="121">
        <f>+K27+'9'!M27+L27</f>
        <v>0</v>
      </c>
      <c r="O27" s="153">
        <v>1185</v>
      </c>
      <c r="P27" s="153">
        <f>+O27-O27*0.22</f>
        <v>924.3</v>
      </c>
      <c r="Q27" s="153">
        <v>240</v>
      </c>
      <c r="R27" s="153">
        <f>+O27*Q27</f>
        <v>284400</v>
      </c>
      <c r="S27" s="153">
        <f>+P27*Q27</f>
        <v>221832</v>
      </c>
    </row>
    <row r="28" spans="1:19" ht="26.25" thickBot="1">
      <c r="A28" s="805"/>
      <c r="B28" s="217"/>
      <c r="C28" s="218"/>
      <c r="D28" s="219"/>
      <c r="E28" s="225"/>
      <c r="F28" s="231"/>
      <c r="G28" s="229"/>
      <c r="H28" s="233" t="s">
        <v>473</v>
      </c>
      <c r="I28" s="808"/>
      <c r="J28" s="216">
        <f>+'9'!J28</f>
        <v>0</v>
      </c>
      <c r="K28" s="238"/>
      <c r="L28" s="238"/>
      <c r="M28" s="121">
        <f>+K28+'9'!M28+L28</f>
        <v>0</v>
      </c>
      <c r="P28" s="153">
        <f>+O28-O28*0.21</f>
        <v>0</v>
      </c>
      <c r="R28" s="153">
        <f t="shared" ref="R28:R31" si="6">+O28*Q28</f>
        <v>0</v>
      </c>
      <c r="S28" s="153">
        <f t="shared" ref="S28:S31" si="7">+P28*Q28</f>
        <v>0</v>
      </c>
    </row>
    <row r="29" spans="1:19" ht="13.5" customHeight="1" thickBot="1">
      <c r="A29" s="805"/>
      <c r="B29" s="217"/>
      <c r="C29" s="218"/>
      <c r="D29" s="219"/>
      <c r="E29" s="225"/>
      <c r="F29" s="235"/>
      <c r="G29" s="232"/>
      <c r="H29" s="233"/>
      <c r="I29" s="808"/>
      <c r="J29" s="216">
        <f>+'9'!J29</f>
        <v>0</v>
      </c>
      <c r="K29" s="238"/>
      <c r="L29" s="238"/>
      <c r="M29" s="121">
        <f>+K29+'9'!M29+L29</f>
        <v>0</v>
      </c>
      <c r="P29" s="153">
        <f>+O29-O29*0.21</f>
        <v>0</v>
      </c>
      <c r="R29" s="153">
        <f t="shared" si="6"/>
        <v>0</v>
      </c>
      <c r="S29" s="153">
        <f t="shared" si="7"/>
        <v>0</v>
      </c>
    </row>
    <row r="30" spans="1:19" ht="13.5" customHeight="1" thickBot="1">
      <c r="A30" s="805"/>
      <c r="B30" s="217"/>
      <c r="C30" s="226"/>
      <c r="D30" s="219"/>
      <c r="E30" s="225"/>
      <c r="F30" s="235"/>
      <c r="G30" s="232"/>
      <c r="H30" s="233"/>
      <c r="I30" s="808"/>
      <c r="J30" s="216">
        <f>+'9'!J30</f>
        <v>0</v>
      </c>
      <c r="K30" s="238"/>
      <c r="L30" s="238"/>
      <c r="M30" s="121">
        <f>+K30+'9'!M30+L30</f>
        <v>0</v>
      </c>
      <c r="R30" s="153">
        <f t="shared" si="6"/>
        <v>0</v>
      </c>
      <c r="S30" s="153">
        <f t="shared" si="7"/>
        <v>0</v>
      </c>
    </row>
    <row r="31" spans="1:19" ht="13.5" customHeight="1" thickBot="1">
      <c r="A31" s="805"/>
      <c r="B31" s="217"/>
      <c r="C31" s="226"/>
      <c r="D31" s="219"/>
      <c r="E31" s="225"/>
      <c r="F31" s="235"/>
      <c r="G31" s="236"/>
      <c r="H31" s="413"/>
      <c r="I31" s="809"/>
      <c r="J31" s="216">
        <f>+'9'!J31</f>
        <v>0</v>
      </c>
      <c r="K31" s="238"/>
      <c r="L31" s="238"/>
      <c r="M31" s="121">
        <f>+K31+'9'!M31+L31</f>
        <v>0</v>
      </c>
      <c r="R31" s="153">
        <f t="shared" si="6"/>
        <v>0</v>
      </c>
      <c r="S31" s="153">
        <f t="shared" si="7"/>
        <v>0</v>
      </c>
    </row>
    <row r="32" spans="1:19" ht="13.5" customHeight="1" thickBot="1">
      <c r="A32" s="806"/>
      <c r="B32" s="169" t="s">
        <v>3</v>
      </c>
      <c r="C32" s="103">
        <f>SUM(C25:C31)</f>
        <v>11441</v>
      </c>
      <c r="D32" s="104">
        <f>SUM(D25:D31)</f>
        <v>0</v>
      </c>
      <c r="E32" s="105">
        <f>SUM(E25:E31)</f>
        <v>0</v>
      </c>
      <c r="F32" s="103">
        <f>SUM(F24:F31)</f>
        <v>25</v>
      </c>
      <c r="G32" s="173"/>
      <c r="H32" s="174"/>
      <c r="I32" s="172"/>
      <c r="J32" s="216">
        <f>+'8'!J32</f>
        <v>0</v>
      </c>
      <c r="K32" s="240"/>
      <c r="L32" s="242"/>
      <c r="M32" s="121">
        <f>+K32+'9'!M32+L32</f>
        <v>0</v>
      </c>
      <c r="P32" s="153">
        <f t="shared" ref="P32" si="8">+O32-O32*0.17</f>
        <v>0</v>
      </c>
    </row>
    <row r="33" spans="1:19" ht="13.5" thickBot="1">
      <c r="A33" s="175"/>
      <c r="B33" s="176"/>
      <c r="C33" s="107">
        <f>C32/($C$32+$D$32+$E$32)</f>
        <v>1</v>
      </c>
      <c r="D33" s="108">
        <f>D32/($C$32+$D$32+$E$32)</f>
        <v>0</v>
      </c>
      <c r="E33" s="109">
        <f>E32/($C$32+$D$32+$E$32)</f>
        <v>0</v>
      </c>
      <c r="F33" s="110"/>
      <c r="G33" s="177"/>
      <c r="H33" s="178"/>
      <c r="I33" s="179"/>
      <c r="J33" s="125"/>
      <c r="K33" s="126"/>
      <c r="L33" s="215"/>
      <c r="M33" s="123"/>
      <c r="Q33" s="153">
        <f>SUM(Q26:Q31)</f>
        <v>480</v>
      </c>
      <c r="R33" s="153">
        <f>SUM(R25:R31)</f>
        <v>560400</v>
      </c>
      <c r="S33" s="153">
        <f>SUM(S25:S31)</f>
        <v>437112</v>
      </c>
    </row>
    <row r="34" spans="1:19" ht="13.5" thickBot="1">
      <c r="A34" s="811" t="s">
        <v>69</v>
      </c>
      <c r="B34" s="812"/>
      <c r="C34" s="111">
        <f>C14+C23+C32</f>
        <v>38145</v>
      </c>
      <c r="D34" s="111">
        <f>D14+D23+D32</f>
        <v>0</v>
      </c>
      <c r="E34" s="111">
        <f>E14+E23+E32</f>
        <v>0</v>
      </c>
      <c r="F34" s="112">
        <f>F14+F23+F32</f>
        <v>117</v>
      </c>
      <c r="H34" s="180"/>
      <c r="I34" s="180"/>
      <c r="J34" s="127" t="s">
        <v>28</v>
      </c>
      <c r="K34" s="128">
        <f>SUM(K7:K32)</f>
        <v>38145</v>
      </c>
      <c r="L34" s="214">
        <f>SUM(L7:L32)</f>
        <v>0</v>
      </c>
      <c r="M34" s="124">
        <f>SUM(M7:M32)</f>
        <v>59376</v>
      </c>
      <c r="N34" s="153" t="s">
        <v>421</v>
      </c>
      <c r="P34" s="153">
        <f>60-30+30</f>
        <v>60</v>
      </c>
      <c r="Q34" s="153">
        <f>480-Q33</f>
        <v>0</v>
      </c>
      <c r="R34" s="153">
        <f>+R33/Q33</f>
        <v>1167.5</v>
      </c>
      <c r="S34" s="153">
        <f>+S33/Q33</f>
        <v>910.65</v>
      </c>
    </row>
    <row r="35" spans="1:19" ht="13.5" thickBot="1">
      <c r="A35" s="573"/>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row>
    <row r="37" spans="1:19" ht="17.45" customHeight="1" thickBot="1">
      <c r="A37" s="813" t="s">
        <v>70</v>
      </c>
      <c r="B37" s="814"/>
      <c r="C37" s="166" t="s">
        <v>71</v>
      </c>
      <c r="D37" s="185" t="s">
        <v>72</v>
      </c>
      <c r="E37" s="186" t="s">
        <v>73</v>
      </c>
      <c r="F37" s="311"/>
      <c r="G37" s="313"/>
      <c r="H37" s="188" t="s">
        <v>74</v>
      </c>
      <c r="I37" s="243">
        <f>(14.5*1380)/1380*G42*2.7*1380/1000000</f>
        <v>49.219458299999999</v>
      </c>
      <c r="J37" s="323">
        <f>+I37+'9'!J37</f>
        <v>74.785356604362164</v>
      </c>
      <c r="K37" s="130" t="s">
        <v>75</v>
      </c>
    </row>
    <row r="38" spans="1:19" ht="17.45" customHeight="1">
      <c r="A38" s="797" t="s">
        <v>12</v>
      </c>
      <c r="B38" s="798"/>
      <c r="C38" s="168">
        <f>SUMIF($G$7:$G$31,"Process",$F$7:$F$31)</f>
        <v>57</v>
      </c>
      <c r="D38" s="122">
        <f>C38+'9'!D38</f>
        <v>263</v>
      </c>
      <c r="E38" s="147">
        <f t="shared" ref="E38:E52" si="9">D38/60</f>
        <v>4.3833333333333337</v>
      </c>
      <c r="F38" s="311">
        <v>1088.3333333333333</v>
      </c>
      <c r="G38" s="311">
        <v>859.7833333333333</v>
      </c>
      <c r="H38" s="189" t="s">
        <v>76</v>
      </c>
      <c r="I38" s="534">
        <f>15.863+12.404+14.393</f>
        <v>42.66</v>
      </c>
      <c r="J38" s="324">
        <f>+I38+'9'!J38</f>
        <v>65.094999999999999</v>
      </c>
      <c r="K38" s="132" t="s">
        <v>75</v>
      </c>
      <c r="N38" s="153">
        <v>480</v>
      </c>
    </row>
    <row r="39" spans="1:19" ht="17.45" customHeight="1">
      <c r="A39" s="799" t="s">
        <v>13</v>
      </c>
      <c r="B39" s="800"/>
      <c r="C39" s="168">
        <f>SUMIF($G$7:$G$31,"Cleaning",$F$7:$F$31)</f>
        <v>0</v>
      </c>
      <c r="D39" s="122">
        <f>C39+'9'!D39</f>
        <v>0</v>
      </c>
      <c r="E39" s="147">
        <f t="shared" si="9"/>
        <v>0</v>
      </c>
      <c r="F39" s="311">
        <v>1243.5714285714287</v>
      </c>
      <c r="G39" s="311">
        <v>969.98571428571427</v>
      </c>
      <c r="H39" s="189" t="s">
        <v>77</v>
      </c>
      <c r="I39" s="146"/>
      <c r="J39" s="325">
        <f>J37/G4</f>
        <v>7.4785356604362168</v>
      </c>
      <c r="K39" s="134" t="s">
        <v>75</v>
      </c>
      <c r="N39" s="153">
        <v>420</v>
      </c>
    </row>
    <row r="40" spans="1:19" ht="17.45" customHeight="1">
      <c r="A40" s="799" t="s">
        <v>78</v>
      </c>
      <c r="B40" s="800"/>
      <c r="C40" s="168">
        <f>SUMIF($G$7:$G$31,"Mechanical",$F$7:$F$31)</f>
        <v>0</v>
      </c>
      <c r="D40" s="122">
        <f>C40+'9'!D40</f>
        <v>0</v>
      </c>
      <c r="E40" s="147">
        <f t="shared" si="9"/>
        <v>0</v>
      </c>
      <c r="F40" s="311">
        <v>1167.5</v>
      </c>
      <c r="G40" s="311">
        <v>910.65</v>
      </c>
      <c r="H40" s="189" t="s">
        <v>79</v>
      </c>
      <c r="I40" s="122">
        <f>+(K34+L34)/1000</f>
        <v>38.145000000000003</v>
      </c>
      <c r="J40" s="326">
        <f>+I40+'9'!J40</f>
        <v>59.376000000000005</v>
      </c>
      <c r="K40" s="134" t="s">
        <v>75</v>
      </c>
      <c r="N40" s="153">
        <v>480</v>
      </c>
    </row>
    <row r="41" spans="1:19" ht="17.45" customHeight="1">
      <c r="A41" s="799" t="s">
        <v>80</v>
      </c>
      <c r="B41" s="800"/>
      <c r="C41" s="168">
        <f>SUMIF($G$7:$G$31,"Electrical",$F$7:$F$31)</f>
        <v>60</v>
      </c>
      <c r="D41" s="122">
        <f>C41+'9'!D41</f>
        <v>60</v>
      </c>
      <c r="E41" s="147">
        <f t="shared" si="9"/>
        <v>1</v>
      </c>
      <c r="F41" s="311"/>
      <c r="G41" s="311"/>
      <c r="H41" s="189" t="s">
        <v>81</v>
      </c>
      <c r="I41" s="146"/>
      <c r="J41" s="325">
        <f>J40/G4</f>
        <v>5.9376000000000007</v>
      </c>
      <c r="K41" s="134" t="s">
        <v>75</v>
      </c>
      <c r="N41" s="153">
        <f>+N38+N39+N40</f>
        <v>1380</v>
      </c>
    </row>
    <row r="42" spans="1:19" ht="17.45" customHeight="1">
      <c r="A42" s="799" t="s">
        <v>16</v>
      </c>
      <c r="B42" s="800"/>
      <c r="C42" s="168">
        <f>SUMIF($G$7:$G$31,"Instrument",$F$7:$F$31)</f>
        <v>0</v>
      </c>
      <c r="D42" s="122">
        <f>C42+'9'!D42</f>
        <v>0</v>
      </c>
      <c r="E42" s="147">
        <f t="shared" si="9"/>
        <v>0</v>
      </c>
      <c r="F42" s="187">
        <f>+(480*F38+420*F39+480*F40)/1380</f>
        <v>1163.1159420289855</v>
      </c>
      <c r="G42" s="187">
        <f>+(480*G38+420*G39+480*G40)/1380</f>
        <v>911.01594202898548</v>
      </c>
      <c r="H42" s="189" t="s">
        <v>82</v>
      </c>
      <c r="I42" s="245" t="s">
        <v>481</v>
      </c>
      <c r="J42" s="327"/>
      <c r="K42" s="134" t="s">
        <v>83</v>
      </c>
    </row>
    <row r="43" spans="1:19" ht="17.45" customHeight="1">
      <c r="A43" s="799" t="s">
        <v>84</v>
      </c>
      <c r="B43" s="800"/>
      <c r="C43" s="168">
        <f>SUMIF($G$7:$G$31,"Water",$F$7:$F$31)</f>
        <v>0</v>
      </c>
      <c r="D43" s="122">
        <f>C43+'9'!D43</f>
        <v>0</v>
      </c>
      <c r="E43" s="147">
        <f t="shared" si="9"/>
        <v>0</v>
      </c>
      <c r="F43" s="311"/>
      <c r="G43" s="312"/>
      <c r="H43" s="190" t="s">
        <v>85</v>
      </c>
      <c r="I43" s="122">
        <f>+Report1!Z18</f>
        <v>95.2</v>
      </c>
      <c r="J43" s="328">
        <f>+I43+'9'!J43</f>
        <v>161.69999999999999</v>
      </c>
      <c r="K43" s="134" t="s">
        <v>75</v>
      </c>
      <c r="L43" s="191"/>
    </row>
    <row r="44" spans="1:19" ht="17.45" customHeight="1">
      <c r="A44" s="799" t="s">
        <v>17</v>
      </c>
      <c r="B44" s="800"/>
      <c r="C44" s="168">
        <f>SUMIF($G$7:$G$31,"PLN",$F$7:$F$31)</f>
        <v>0</v>
      </c>
      <c r="D44" s="122">
        <f>C44+'9'!D44</f>
        <v>0</v>
      </c>
      <c r="E44" s="147">
        <f t="shared" si="9"/>
        <v>0</v>
      </c>
      <c r="F44" s="311"/>
      <c r="G44" s="312"/>
      <c r="H44" s="190" t="s">
        <v>86</v>
      </c>
      <c r="I44" s="122">
        <f>I43/I38</f>
        <v>2.2315986872948899</v>
      </c>
      <c r="J44" s="328">
        <f>J43/J38</f>
        <v>2.48406175589523</v>
      </c>
      <c r="K44" s="134" t="s">
        <v>75</v>
      </c>
    </row>
    <row r="45" spans="1:19" ht="17.45" customHeight="1">
      <c r="A45" s="799" t="s">
        <v>18</v>
      </c>
      <c r="B45" s="800"/>
      <c r="C45" s="168">
        <f>SUMIF($G$7:$G$31,"Boiler",$F$7:$F$31)</f>
        <v>0</v>
      </c>
      <c r="D45" s="122">
        <f>C45+'9'!D45</f>
        <v>0</v>
      </c>
      <c r="E45" s="147">
        <f t="shared" si="9"/>
        <v>0</v>
      </c>
      <c r="F45" s="311"/>
      <c r="G45" s="314"/>
      <c r="H45" s="190" t="s">
        <v>87</v>
      </c>
      <c r="I45" s="122">
        <f>I43/I40</f>
        <v>2.4957399397037618</v>
      </c>
      <c r="J45" s="328">
        <f>J43/J40</f>
        <v>2.7233225545675017</v>
      </c>
      <c r="K45" s="134" t="s">
        <v>75</v>
      </c>
    </row>
    <row r="46" spans="1:19" ht="17.45" customHeight="1">
      <c r="A46" s="799" t="s">
        <v>88</v>
      </c>
      <c r="B46" s="800"/>
      <c r="C46" s="168">
        <f>SUMIF($G$7:$G$31,"Gas",$F$7:$F$31)</f>
        <v>0</v>
      </c>
      <c r="D46" s="122">
        <f>C46+'9'!D46</f>
        <v>0</v>
      </c>
      <c r="E46" s="147">
        <f t="shared" si="9"/>
        <v>0</v>
      </c>
      <c r="F46" s="311"/>
      <c r="G46" s="312"/>
      <c r="H46" s="190" t="s">
        <v>89</v>
      </c>
      <c r="I46" s="144">
        <f>+SUMIF(Listrik!X17,"&gt;0")</f>
        <v>35815.582399998078</v>
      </c>
      <c r="J46" s="328">
        <f>+I46+'9'!J46</f>
        <v>78248.362399998092</v>
      </c>
      <c r="K46" s="134" t="s">
        <v>90</v>
      </c>
    </row>
    <row r="47" spans="1:19" ht="17.45" customHeight="1">
      <c r="A47" s="799" t="s">
        <v>91</v>
      </c>
      <c r="B47" s="800"/>
      <c r="C47" s="168">
        <f>SUMIF($G$7:$G$31,"Gas",$F$7:$F$31)</f>
        <v>0</v>
      </c>
      <c r="D47" s="122">
        <f>C47+'9'!D47</f>
        <v>0</v>
      </c>
      <c r="E47" s="147">
        <f t="shared" si="9"/>
        <v>0</v>
      </c>
      <c r="F47" s="311"/>
      <c r="G47" s="312"/>
      <c r="H47" s="190" t="s">
        <v>92</v>
      </c>
      <c r="I47" s="122">
        <f>I46/I38</f>
        <v>839.55889357707645</v>
      </c>
      <c r="J47" s="328">
        <f>J46/J38</f>
        <v>1202.0640970888408</v>
      </c>
      <c r="K47" s="134" t="s">
        <v>24</v>
      </c>
    </row>
    <row r="48" spans="1:19" ht="17.45" customHeight="1">
      <c r="A48" s="799" t="s">
        <v>14</v>
      </c>
      <c r="B48" s="800"/>
      <c r="C48" s="168">
        <f>SUMIF($G$7:$G$31,"Start Up",$F$7:$F$31)</f>
        <v>0</v>
      </c>
      <c r="D48" s="122">
        <f>C48+'9'!D48</f>
        <v>0</v>
      </c>
      <c r="E48" s="147">
        <f t="shared" si="9"/>
        <v>0</v>
      </c>
      <c r="F48" s="311"/>
      <c r="G48" s="312"/>
      <c r="H48" s="190" t="s">
        <v>93</v>
      </c>
      <c r="I48" s="122">
        <f>I46/I40</f>
        <v>938.93255734691502</v>
      </c>
      <c r="J48" s="328">
        <f>J46/J40</f>
        <v>1317.8449609269417</v>
      </c>
      <c r="K48" s="134" t="s">
        <v>24</v>
      </c>
    </row>
    <row r="49" spans="1:11" ht="17.45" customHeight="1">
      <c r="A49" s="799" t="s">
        <v>20</v>
      </c>
      <c r="B49" s="800"/>
      <c r="C49" s="168">
        <f>SUMIF($G$7:$G$31,"Others",$F$7:$F$31)</f>
        <v>0</v>
      </c>
      <c r="D49" s="122">
        <f>C49+'9'!D49</f>
        <v>11845</v>
      </c>
      <c r="E49" s="147">
        <f t="shared" si="9"/>
        <v>197.41666666666666</v>
      </c>
      <c r="F49" s="187"/>
      <c r="H49" s="190" t="s">
        <v>278</v>
      </c>
      <c r="I49" s="122">
        <f>+Report1!T18</f>
        <v>3799.328145868416</v>
      </c>
      <c r="J49" s="328">
        <f>+I49+'9'!J49</f>
        <v>6567.8290940727538</v>
      </c>
      <c r="K49" s="134" t="s">
        <v>94</v>
      </c>
    </row>
    <row r="50" spans="1:11" ht="17.45" customHeight="1">
      <c r="A50" s="799" t="s">
        <v>19</v>
      </c>
      <c r="B50" s="800"/>
      <c r="C50" s="168">
        <f>SUMIF($G$7:$G$31,"Steam",$F$7:$F$31)</f>
        <v>0</v>
      </c>
      <c r="D50" s="122">
        <f>C50+'9'!D50</f>
        <v>0</v>
      </c>
      <c r="E50" s="147">
        <f t="shared" si="9"/>
        <v>0</v>
      </c>
      <c r="F50" s="187"/>
      <c r="H50" s="190" t="s">
        <v>95</v>
      </c>
      <c r="I50" s="144">
        <f>I49/I38</f>
        <v>89.06066914834544</v>
      </c>
      <c r="J50" s="328">
        <f>J49/J38</f>
        <v>100.8960610503534</v>
      </c>
      <c r="K50" s="134" t="s">
        <v>94</v>
      </c>
    </row>
    <row r="51" spans="1:11" ht="17.45" customHeight="1">
      <c r="A51" s="801" t="s">
        <v>96</v>
      </c>
      <c r="B51" s="801"/>
      <c r="C51" s="168">
        <f>SUMIF($G$7:$G$31,"Planned shut",$F$7:$F$31)</f>
        <v>0</v>
      </c>
      <c r="D51" s="122">
        <f>C51+'9'!D51</f>
        <v>0</v>
      </c>
      <c r="E51" s="147">
        <f t="shared" si="9"/>
        <v>0</v>
      </c>
      <c r="F51" s="187"/>
      <c r="H51" s="192" t="s">
        <v>97</v>
      </c>
      <c r="I51" s="145">
        <f>I49/I40</f>
        <v>99.60225837903829</v>
      </c>
      <c r="J51" s="329">
        <f>J49/J40</f>
        <v>110.6142059767036</v>
      </c>
      <c r="K51" s="141" t="s">
        <v>94</v>
      </c>
    </row>
    <row r="52" spans="1:11" ht="13.5" thickBot="1">
      <c r="A52" s="802" t="s">
        <v>229</v>
      </c>
      <c r="B52" s="803"/>
      <c r="C52" s="168">
        <f>SUMIF($G$7:$G$31,"Change Grade",$F$7:$F$31)</f>
        <v>0</v>
      </c>
      <c r="D52" s="122">
        <f>C52+'9'!D52</f>
        <v>0</v>
      </c>
      <c r="E52" s="147">
        <f t="shared" si="9"/>
        <v>0</v>
      </c>
      <c r="F52" s="187"/>
      <c r="H52" s="193"/>
      <c r="I52" s="194"/>
      <c r="J52" s="330"/>
      <c r="K52" s="143"/>
    </row>
    <row r="53" spans="1:11">
      <c r="A53" s="797" t="s">
        <v>28</v>
      </c>
      <c r="B53" s="798"/>
      <c r="C53" s="148">
        <f>SUM(C38:C52)</f>
        <v>117</v>
      </c>
      <c r="D53" s="148">
        <f>SUM(D38:D52)</f>
        <v>12168</v>
      </c>
      <c r="E53" s="149">
        <f>SUM(E38:E52)</f>
        <v>202.79999999999998</v>
      </c>
      <c r="F53" s="187"/>
    </row>
    <row r="54" spans="1:11" ht="13.5" thickBot="1">
      <c r="A54" s="795"/>
      <c r="B54" s="796"/>
      <c r="C54" s="150">
        <f>C53/(24*60)</f>
        <v>8.1250000000000003E-2</v>
      </c>
      <c r="D54" s="150">
        <f>D53/(24*60*G4)</f>
        <v>0.84499999999999997</v>
      </c>
      <c r="E54" s="151">
        <f>E53/(G4*24)</f>
        <v>0.84499999999999997</v>
      </c>
      <c r="F54" s="187"/>
    </row>
    <row r="55" spans="1:11">
      <c r="E55" s="195"/>
    </row>
    <row r="56" spans="1:11">
      <c r="A56" s="196" t="s">
        <v>98</v>
      </c>
      <c r="B56" s="197"/>
      <c r="C56" s="198"/>
      <c r="D56" s="198"/>
      <c r="E56" s="198"/>
      <c r="F56" s="199"/>
      <c r="G56" s="198"/>
      <c r="H56" s="200"/>
      <c r="I56" s="201" t="s">
        <v>99</v>
      </c>
      <c r="J56" s="202">
        <f>+D34+'9'!J56</f>
        <v>0</v>
      </c>
      <c r="K56" s="203">
        <f>J56/(J40+J56/1000)/1000</f>
        <v>0</v>
      </c>
    </row>
    <row r="57" spans="1:11">
      <c r="A57" s="178"/>
      <c r="I57" s="201" t="s">
        <v>100</v>
      </c>
      <c r="J57" s="202"/>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2:B42"/>
    <mergeCell ref="A43:B43"/>
    <mergeCell ref="A44:B44"/>
    <mergeCell ref="A45:B45"/>
    <mergeCell ref="A48:B48"/>
    <mergeCell ref="A50:B50"/>
    <mergeCell ref="A52:B52"/>
    <mergeCell ref="A51:B51"/>
    <mergeCell ref="A46:B46"/>
    <mergeCell ref="A54:B54"/>
    <mergeCell ref="A53:B53"/>
    <mergeCell ref="A49:B49"/>
    <mergeCell ref="A47:B47"/>
    <mergeCell ref="A41:B41"/>
    <mergeCell ref="A40:B40"/>
    <mergeCell ref="A7:A14"/>
    <mergeCell ref="I7:I13"/>
    <mergeCell ref="A15:A23"/>
    <mergeCell ref="I15:I22"/>
    <mergeCell ref="A24:A32"/>
    <mergeCell ref="I24:I31"/>
    <mergeCell ref="A37:B37"/>
    <mergeCell ref="A34:B34"/>
    <mergeCell ref="A38:B38"/>
    <mergeCell ref="A39:B39"/>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F10" zoomScale="80" zoomScaleNormal="75" zoomScaleSheetLayoutView="80" workbookViewId="0">
      <selection activeCell="H14" sqref="H14"/>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10.5703125" style="153" bestFit="1" customWidth="1"/>
    <col min="13" max="13" width="12.140625" style="153" customWidth="1"/>
    <col min="14" max="16384" width="9.140625" style="153"/>
  </cols>
  <sheetData>
    <row r="1" spans="1:28" ht="15.75">
      <c r="A1" s="152"/>
      <c r="W1" s="529"/>
      <c r="X1" s="533"/>
      <c r="Y1" s="533"/>
      <c r="AA1" s="533"/>
      <c r="AB1" s="533"/>
    </row>
    <row r="2" spans="1:28" ht="15.75">
      <c r="A2" s="152" t="s">
        <v>230</v>
      </c>
      <c r="W2" s="529"/>
      <c r="X2" s="533"/>
      <c r="Y2" s="533"/>
    </row>
    <row r="3" spans="1:28" ht="15">
      <c r="A3" s="154"/>
      <c r="W3" s="564"/>
      <c r="Y3" s="533"/>
    </row>
    <row r="4" spans="1:28" ht="20.25">
      <c r="A4" s="155" t="s">
        <v>4</v>
      </c>
      <c r="B4" s="156"/>
      <c r="F4" s="157" t="s">
        <v>30</v>
      </c>
      <c r="G4" s="158">
        <v>9</v>
      </c>
      <c r="H4" s="158" t="str">
        <f>+'1'!H4</f>
        <v>.10.25</v>
      </c>
      <c r="J4" s="153">
        <f>419+514+575</f>
        <v>1508</v>
      </c>
      <c r="W4" s="564"/>
      <c r="Y4" s="533"/>
    </row>
    <row r="5" spans="1:28" ht="13.5" thickBot="1">
      <c r="C5" s="159"/>
      <c r="D5" s="159"/>
      <c r="Y5" s="533"/>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452</v>
      </c>
      <c r="O6" s="153">
        <v>900</v>
      </c>
      <c r="P6" s="153">
        <f>+O6-O6*0.25</f>
        <v>675</v>
      </c>
      <c r="Q6" s="153">
        <f>480-325</f>
        <v>155</v>
      </c>
      <c r="R6" s="153">
        <f>+O6*Q6</f>
        <v>139500</v>
      </c>
      <c r="S6" s="153">
        <f>+P6*Q6</f>
        <v>104625</v>
      </c>
      <c r="T6" s="153" t="s">
        <v>452</v>
      </c>
      <c r="U6" s="153">
        <v>900</v>
      </c>
      <c r="V6" s="153">
        <f>+U6-U6*0.25</f>
        <v>675</v>
      </c>
      <c r="W6" s="153">
        <f>480-325</f>
        <v>155</v>
      </c>
      <c r="X6" s="153">
        <f>+U6*W6</f>
        <v>139500</v>
      </c>
      <c r="Y6" s="153">
        <f>+V6*W6</f>
        <v>104625</v>
      </c>
      <c r="Z6" s="178"/>
    </row>
    <row r="7" spans="1:28" ht="13.5" customHeight="1" thickBot="1">
      <c r="A7" s="804"/>
      <c r="B7" s="217" t="s">
        <v>421</v>
      </c>
      <c r="C7" s="218"/>
      <c r="D7" s="219"/>
      <c r="E7" s="220"/>
      <c r="F7" s="235"/>
      <c r="G7" s="582" t="s">
        <v>12</v>
      </c>
      <c r="H7" s="583" t="s">
        <v>418</v>
      </c>
      <c r="I7" s="807" t="s">
        <v>454</v>
      </c>
      <c r="J7" s="216" t="str">
        <f>+'8'!J7</f>
        <v>TW 17 RC HW</v>
      </c>
      <c r="K7" s="237"/>
      <c r="L7" s="241"/>
      <c r="M7" s="121">
        <f>+K7+'8'!M7+L7</f>
        <v>3364</v>
      </c>
      <c r="P7" s="153">
        <f t="shared" ref="P7:P9" si="0">+O7-O7*0.23</f>
        <v>0</v>
      </c>
      <c r="R7" s="153">
        <f>+O7*Q7</f>
        <v>0</v>
      </c>
      <c r="S7" s="153">
        <f>+P7*Q7</f>
        <v>0</v>
      </c>
      <c r="T7" s="153" t="s">
        <v>452</v>
      </c>
      <c r="U7" s="153">
        <v>920</v>
      </c>
      <c r="V7" s="153">
        <v>708.4</v>
      </c>
      <c r="W7" s="153">
        <v>109</v>
      </c>
      <c r="X7" s="153">
        <f>+U7*W7</f>
        <v>100280</v>
      </c>
      <c r="Y7" s="153">
        <f>+V7*W7</f>
        <v>77215.599999999991</v>
      </c>
      <c r="AA7" s="178"/>
      <c r="AB7" s="178"/>
    </row>
    <row r="8" spans="1:28" ht="13.5" thickBot="1">
      <c r="A8" s="805"/>
      <c r="B8" s="217"/>
      <c r="C8" s="218"/>
      <c r="D8" s="219"/>
      <c r="E8" s="221"/>
      <c r="F8" s="231">
        <v>3</v>
      </c>
      <c r="G8" s="584" t="s">
        <v>12</v>
      </c>
      <c r="H8" s="230" t="s">
        <v>398</v>
      </c>
      <c r="I8" s="808"/>
      <c r="J8" s="216" t="s">
        <v>466</v>
      </c>
      <c r="K8" s="238">
        <f>+C16+C25</f>
        <v>17867</v>
      </c>
      <c r="L8" s="238"/>
      <c r="M8" s="121">
        <f>+K8+'8'!M8+L8</f>
        <v>17867</v>
      </c>
      <c r="P8" s="153">
        <f t="shared" si="0"/>
        <v>0</v>
      </c>
      <c r="R8" s="153">
        <f t="shared" ref="R8:R11" si="1">+O8*Q8</f>
        <v>0</v>
      </c>
      <c r="S8" s="153">
        <f t="shared" ref="S8:S11" si="2">+P8*Q8</f>
        <v>0</v>
      </c>
      <c r="U8" s="153">
        <v>940</v>
      </c>
      <c r="V8" s="153">
        <v>723.8</v>
      </c>
      <c r="W8" s="153">
        <v>115</v>
      </c>
      <c r="X8" s="153">
        <f t="shared" ref="X8:X12" si="3">+U8*W8</f>
        <v>108100</v>
      </c>
      <c r="Y8" s="153">
        <f t="shared" ref="Y8:Y12" si="4">+V8*W8</f>
        <v>83237</v>
      </c>
    </row>
    <row r="9" spans="1:28" ht="13.5" thickBot="1">
      <c r="A9" s="805"/>
      <c r="B9" s="217"/>
      <c r="C9" s="218"/>
      <c r="D9" s="219"/>
      <c r="E9" s="222"/>
      <c r="F9" s="231">
        <v>7</v>
      </c>
      <c r="G9" s="584" t="s">
        <v>12</v>
      </c>
      <c r="H9" s="233" t="s">
        <v>458</v>
      </c>
      <c r="I9" s="808"/>
      <c r="J9" s="216">
        <f>+'8'!J9</f>
        <v>0</v>
      </c>
      <c r="K9" s="238"/>
      <c r="L9" s="238"/>
      <c r="M9" s="121">
        <f>+K9+'8'!M9+L9</f>
        <v>0</v>
      </c>
      <c r="P9" s="153">
        <f t="shared" si="0"/>
        <v>0</v>
      </c>
      <c r="R9" s="153">
        <f t="shared" si="1"/>
        <v>0</v>
      </c>
      <c r="S9" s="153">
        <f t="shared" si="2"/>
        <v>0</v>
      </c>
      <c r="U9" s="153">
        <v>900</v>
      </c>
      <c r="V9" s="153">
        <v>693</v>
      </c>
      <c r="W9" s="153">
        <v>66</v>
      </c>
      <c r="X9" s="153">
        <f t="shared" si="3"/>
        <v>59400</v>
      </c>
      <c r="Y9" s="153">
        <f t="shared" si="4"/>
        <v>45738</v>
      </c>
    </row>
    <row r="10" spans="1:28" ht="64.5" thickBot="1">
      <c r="A10" s="805"/>
      <c r="B10" s="217"/>
      <c r="C10" s="218"/>
      <c r="D10" s="219"/>
      <c r="E10" s="221"/>
      <c r="F10" s="231">
        <v>325</v>
      </c>
      <c r="G10" s="584" t="s">
        <v>20</v>
      </c>
      <c r="H10" s="233" t="s">
        <v>450</v>
      </c>
      <c r="I10" s="808"/>
      <c r="J10" s="216">
        <f>+'8'!J10</f>
        <v>0</v>
      </c>
      <c r="K10" s="238"/>
      <c r="L10" s="238"/>
      <c r="M10" s="121">
        <f>+K10+'8'!M10+L10</f>
        <v>0</v>
      </c>
      <c r="R10" s="153">
        <f t="shared" si="1"/>
        <v>0</v>
      </c>
      <c r="S10" s="153">
        <f t="shared" si="2"/>
        <v>0</v>
      </c>
      <c r="T10" s="153" t="s">
        <v>452</v>
      </c>
      <c r="U10" s="153">
        <v>940</v>
      </c>
      <c r="V10" s="153">
        <v>723.8</v>
      </c>
      <c r="W10" s="153">
        <v>120</v>
      </c>
      <c r="X10" s="153">
        <f t="shared" si="3"/>
        <v>112800</v>
      </c>
      <c r="Y10" s="153">
        <f t="shared" si="4"/>
        <v>86856</v>
      </c>
    </row>
    <row r="11" spans="1:28" ht="190.5" customHeight="1" thickBot="1">
      <c r="A11" s="805"/>
      <c r="B11" s="217"/>
      <c r="C11" s="218"/>
      <c r="D11" s="219"/>
      <c r="E11" s="221"/>
      <c r="F11" s="228"/>
      <c r="G11" s="232"/>
      <c r="H11" s="233" t="s">
        <v>451</v>
      </c>
      <c r="I11" s="808"/>
      <c r="J11" s="216">
        <f>+'8'!J11</f>
        <v>0</v>
      </c>
      <c r="K11" s="238"/>
      <c r="L11" s="238"/>
      <c r="M11" s="121">
        <f>+K11+'8'!M11+L11</f>
        <v>0</v>
      </c>
      <c r="R11" s="153">
        <f t="shared" si="1"/>
        <v>0</v>
      </c>
      <c r="S11" s="153">
        <f t="shared" si="2"/>
        <v>0</v>
      </c>
      <c r="U11" s="153">
        <v>980</v>
      </c>
      <c r="V11" s="153">
        <v>754.6</v>
      </c>
      <c r="W11" s="153">
        <v>130</v>
      </c>
      <c r="X11" s="153">
        <f t="shared" si="3"/>
        <v>127400</v>
      </c>
      <c r="Y11" s="153">
        <f t="shared" si="4"/>
        <v>98098</v>
      </c>
    </row>
    <row r="12" spans="1:28" ht="13.5" thickBot="1">
      <c r="A12" s="805"/>
      <c r="B12" s="217"/>
      <c r="C12" s="218"/>
      <c r="D12" s="219"/>
      <c r="E12" s="221"/>
      <c r="F12" s="228"/>
      <c r="G12" s="232"/>
      <c r="H12" s="233"/>
      <c r="I12" s="808"/>
      <c r="J12" s="216">
        <f>+'8'!J12</f>
        <v>0</v>
      </c>
      <c r="K12" s="238"/>
      <c r="L12" s="238"/>
      <c r="M12" s="121">
        <f>+K12+'8'!M12+L12</f>
        <v>0</v>
      </c>
      <c r="P12" s="153">
        <f t="shared" ref="P12" si="5">+O12-O12*0.17</f>
        <v>0</v>
      </c>
      <c r="U12" s="153">
        <v>1000</v>
      </c>
      <c r="V12" s="153">
        <v>770</v>
      </c>
      <c r="W12" s="153">
        <v>173</v>
      </c>
      <c r="X12" s="153">
        <f t="shared" si="3"/>
        <v>173000</v>
      </c>
      <c r="Y12" s="153">
        <f t="shared" si="4"/>
        <v>133210</v>
      </c>
    </row>
    <row r="13" spans="1:28" ht="13.5" thickBot="1">
      <c r="A13" s="805"/>
      <c r="B13" s="217"/>
      <c r="C13" s="218"/>
      <c r="D13" s="218"/>
      <c r="E13" s="221"/>
      <c r="F13" s="228"/>
      <c r="G13" s="232"/>
      <c r="H13" s="233"/>
      <c r="I13" s="809"/>
      <c r="J13" s="216">
        <f>+'8'!J13</f>
        <v>0</v>
      </c>
      <c r="K13" s="238"/>
      <c r="L13" s="238"/>
      <c r="M13" s="121">
        <f>+K13+'8'!M13+L13</f>
        <v>0</v>
      </c>
      <c r="Q13" s="153">
        <f>SUM(Q5:Q11)</f>
        <v>155</v>
      </c>
      <c r="R13" s="153">
        <f>SUM(R5:R11)</f>
        <v>139500</v>
      </c>
      <c r="S13" s="153">
        <f>SUM(S5:S11)</f>
        <v>104625</v>
      </c>
    </row>
    <row r="14" spans="1:28" ht="13.5" thickBot="1">
      <c r="A14" s="806"/>
      <c r="B14" s="169" t="s">
        <v>3</v>
      </c>
      <c r="C14" s="103">
        <f>SUM(C7:C13)</f>
        <v>0</v>
      </c>
      <c r="D14" s="115">
        <f>SUM(D7:D13)</f>
        <v>0</v>
      </c>
      <c r="E14" s="116">
        <f>SUM(E5:E13)</f>
        <v>0</v>
      </c>
      <c r="F14" s="120">
        <f>SUM(F7:F13)</f>
        <v>335</v>
      </c>
      <c r="G14" s="163"/>
      <c r="H14" s="170"/>
      <c r="I14" s="171"/>
      <c r="J14" s="216">
        <f>+'8'!J14</f>
        <v>0</v>
      </c>
      <c r="K14" s="238"/>
      <c r="L14" s="238"/>
      <c r="M14" s="121">
        <f>+K14+'8'!M14+L14</f>
        <v>0</v>
      </c>
      <c r="N14" s="153" t="s">
        <v>421</v>
      </c>
      <c r="Q14" s="153">
        <f>480-Q13</f>
        <v>325</v>
      </c>
      <c r="R14" s="153">
        <f>+R13/Q13</f>
        <v>900</v>
      </c>
      <c r="S14" s="153">
        <f>+S13/Q13</f>
        <v>675</v>
      </c>
      <c r="T14" s="153" t="s">
        <v>421</v>
      </c>
    </row>
    <row r="15" spans="1:28" ht="13.5" customHeight="1" thickBot="1">
      <c r="A15" s="810"/>
      <c r="B15" s="528"/>
      <c r="C15" s="117">
        <f>C14/($C$23+$D$23+$E$23)</f>
        <v>0</v>
      </c>
      <c r="D15" s="118">
        <f>D14/($C$23+$D$23+$E$23)</f>
        <v>0</v>
      </c>
      <c r="E15" s="119">
        <f>E14/($C$23+$D$23+$E$23)</f>
        <v>0</v>
      </c>
      <c r="F15" s="235"/>
      <c r="G15" s="582" t="s">
        <v>12</v>
      </c>
      <c r="H15" s="583" t="s">
        <v>418</v>
      </c>
      <c r="I15" s="807" t="s">
        <v>455</v>
      </c>
      <c r="J15" s="216">
        <f>+'8'!J15</f>
        <v>0</v>
      </c>
      <c r="K15" s="238"/>
      <c r="L15" s="238"/>
      <c r="M15" s="121">
        <f>+K15+'8'!M15+L15</f>
        <v>0</v>
      </c>
      <c r="N15" s="153" t="s">
        <v>452</v>
      </c>
      <c r="O15" s="153">
        <v>920</v>
      </c>
      <c r="P15" s="153">
        <f>+O15-O15*0.23</f>
        <v>708.4</v>
      </c>
      <c r="Q15" s="153">
        <f>60-16+60+5</f>
        <v>109</v>
      </c>
      <c r="R15" s="153">
        <f>+O15*Q15</f>
        <v>100280</v>
      </c>
      <c r="S15" s="153">
        <f>+P15*Q15</f>
        <v>77215.599999999991</v>
      </c>
    </row>
    <row r="16" spans="1:28" ht="13.5" thickBot="1">
      <c r="A16" s="805"/>
      <c r="B16" s="527" t="s">
        <v>466</v>
      </c>
      <c r="C16" s="526">
        <v>6279</v>
      </c>
      <c r="D16" s="223"/>
      <c r="E16" s="224"/>
      <c r="F16" s="231"/>
      <c r="G16" s="584" t="s">
        <v>12</v>
      </c>
      <c r="H16" s="230" t="s">
        <v>398</v>
      </c>
      <c r="I16" s="808"/>
      <c r="J16" s="216">
        <f>+'8'!J16</f>
        <v>0</v>
      </c>
      <c r="K16" s="229"/>
      <c r="L16" s="229"/>
      <c r="M16" s="121">
        <f>+K16+'8'!M16+L16</f>
        <v>0</v>
      </c>
      <c r="O16" s="153">
        <v>940</v>
      </c>
      <c r="P16" s="153">
        <f t="shared" ref="P16:P18" si="6">+O16-O16*0.23</f>
        <v>723.8</v>
      </c>
      <c r="Q16" s="153">
        <f>60-5+60</f>
        <v>115</v>
      </c>
      <c r="R16" s="153">
        <f>+O16*Q16</f>
        <v>108100</v>
      </c>
      <c r="S16" s="153">
        <f>+P16*Q16</f>
        <v>83237</v>
      </c>
      <c r="W16" s="153">
        <f>SUM(W5:W12)</f>
        <v>868</v>
      </c>
      <c r="X16" s="153">
        <f>SUM(X5:X12)</f>
        <v>820480</v>
      </c>
      <c r="Y16" s="153">
        <f>SUM(Y5:Y12)</f>
        <v>628979.6</v>
      </c>
    </row>
    <row r="17" spans="1:25" ht="13.5" thickBot="1">
      <c r="A17" s="805"/>
      <c r="B17" s="217"/>
      <c r="C17" s="218"/>
      <c r="D17" s="219"/>
      <c r="E17" s="225"/>
      <c r="F17" s="231"/>
      <c r="G17" s="584" t="s">
        <v>12</v>
      </c>
      <c r="H17" s="233" t="s">
        <v>459</v>
      </c>
      <c r="I17" s="808"/>
      <c r="J17" s="216">
        <f>+'8'!J17</f>
        <v>0</v>
      </c>
      <c r="K17" s="229"/>
      <c r="L17" s="229"/>
      <c r="M17" s="121">
        <f>+K17+'8'!M17+L17</f>
        <v>0</v>
      </c>
      <c r="O17" s="153">
        <v>900</v>
      </c>
      <c r="P17" s="153">
        <f t="shared" si="6"/>
        <v>693</v>
      </c>
      <c r="Q17" s="153">
        <f>60+6</f>
        <v>66</v>
      </c>
      <c r="R17" s="153">
        <f t="shared" ref="R17:R20" si="7">+O17*Q17</f>
        <v>59400</v>
      </c>
      <c r="S17" s="153">
        <f t="shared" ref="S17:S20" si="8">+P17*Q17</f>
        <v>45738</v>
      </c>
      <c r="W17" s="153">
        <f>480-W16</f>
        <v>-388</v>
      </c>
      <c r="X17" s="153">
        <f>+X16/W16</f>
        <v>945.25345622119812</v>
      </c>
      <c r="Y17" s="153">
        <f>+Y16/W16</f>
        <v>724.63087557603683</v>
      </c>
    </row>
    <row r="18" spans="1:25" ht="51.75" thickBot="1">
      <c r="A18" s="805"/>
      <c r="B18" s="217"/>
      <c r="C18" s="218"/>
      <c r="D18" s="219"/>
      <c r="E18" s="225"/>
      <c r="F18" s="231">
        <f>60-6+120+16</f>
        <v>190</v>
      </c>
      <c r="G18" s="584" t="s">
        <v>12</v>
      </c>
      <c r="H18" s="233" t="s">
        <v>448</v>
      </c>
      <c r="I18" s="808"/>
      <c r="J18" s="216">
        <f>+'8'!J18</f>
        <v>0</v>
      </c>
      <c r="K18" s="238"/>
      <c r="L18" s="238"/>
      <c r="M18" s="121">
        <f>+K18+'8'!M18+L18</f>
        <v>0</v>
      </c>
      <c r="P18" s="153">
        <f t="shared" si="6"/>
        <v>0</v>
      </c>
      <c r="R18" s="153">
        <f t="shared" si="7"/>
        <v>0</v>
      </c>
      <c r="S18" s="153">
        <f t="shared" si="8"/>
        <v>0</v>
      </c>
    </row>
    <row r="19" spans="1:25" ht="64.5" thickBot="1">
      <c r="A19" s="805"/>
      <c r="B19" s="217"/>
      <c r="C19" s="218"/>
      <c r="D19" s="219"/>
      <c r="E19" s="225"/>
      <c r="F19" s="234"/>
      <c r="G19" s="232"/>
      <c r="H19" s="233" t="s">
        <v>449</v>
      </c>
      <c r="I19" s="808"/>
      <c r="J19" s="216">
        <f>+'8'!J19</f>
        <v>0</v>
      </c>
      <c r="K19" s="238"/>
      <c r="L19" s="238"/>
      <c r="M19" s="121">
        <f>+K19+'8'!M19+L19</f>
        <v>0</v>
      </c>
      <c r="R19" s="153">
        <f t="shared" si="7"/>
        <v>0</v>
      </c>
      <c r="S19" s="153">
        <f t="shared" si="8"/>
        <v>0</v>
      </c>
    </row>
    <row r="20" spans="1:25" ht="13.5" thickBot="1">
      <c r="A20" s="805"/>
      <c r="B20" s="217"/>
      <c r="C20" s="218"/>
      <c r="D20" s="219"/>
      <c r="E20" s="225"/>
      <c r="F20" s="228"/>
      <c r="G20" s="232"/>
      <c r="H20" s="233"/>
      <c r="I20" s="808"/>
      <c r="J20" s="216">
        <f>+'8'!J20</f>
        <v>0</v>
      </c>
      <c r="K20" s="239"/>
      <c r="L20" s="239"/>
      <c r="M20" s="121">
        <f>+K20+'8'!M20+L20</f>
        <v>0</v>
      </c>
      <c r="R20" s="153">
        <f t="shared" si="7"/>
        <v>0</v>
      </c>
      <c r="S20" s="153">
        <f t="shared" si="8"/>
        <v>0</v>
      </c>
    </row>
    <row r="21" spans="1:25" ht="13.5" thickBot="1">
      <c r="A21" s="805"/>
      <c r="B21" s="217"/>
      <c r="C21" s="218"/>
      <c r="D21" s="219"/>
      <c r="E21" s="225"/>
      <c r="F21" s="231"/>
      <c r="G21" s="232"/>
      <c r="H21" s="233"/>
      <c r="I21" s="808"/>
      <c r="J21" s="216">
        <f>+'8'!J21</f>
        <v>0</v>
      </c>
      <c r="K21" s="238"/>
      <c r="L21" s="238"/>
      <c r="M21" s="121">
        <f>+K21+'8'!M21+L21</f>
        <v>0</v>
      </c>
      <c r="P21" s="153">
        <f t="shared" ref="P21" si="9">+O21-O21*0.17</f>
        <v>0</v>
      </c>
    </row>
    <row r="22" spans="1:25" ht="13.5" thickBot="1">
      <c r="A22" s="805"/>
      <c r="B22" s="217"/>
      <c r="C22" s="218"/>
      <c r="D22" s="219"/>
      <c r="E22" s="225"/>
      <c r="F22" s="235"/>
      <c r="G22" s="232"/>
      <c r="H22" s="233"/>
      <c r="I22" s="809"/>
      <c r="J22" s="216">
        <f>+'8'!J22</f>
        <v>0</v>
      </c>
      <c r="K22" s="238"/>
      <c r="L22" s="238"/>
      <c r="M22" s="121">
        <f>+K22+'8'!M22+L22</f>
        <v>0</v>
      </c>
      <c r="Q22" s="153">
        <f>SUM(Q15:Q20)</f>
        <v>290</v>
      </c>
      <c r="R22" s="153">
        <f>SUM(R14:R20)</f>
        <v>268680</v>
      </c>
      <c r="S22" s="153">
        <f>SUM(S14:S20)</f>
        <v>206865.59999999998</v>
      </c>
    </row>
    <row r="23" spans="1:25" ht="13.5" thickBot="1">
      <c r="A23" s="806"/>
      <c r="B23" s="169" t="s">
        <v>3</v>
      </c>
      <c r="C23" s="103">
        <f>SUM(C16:C22)</f>
        <v>6279</v>
      </c>
      <c r="D23" s="115">
        <f>SUM(D16:D22)</f>
        <v>0</v>
      </c>
      <c r="E23" s="116">
        <f>SUM(E18:E22)</f>
        <v>0</v>
      </c>
      <c r="F23" s="120">
        <f>SUM(F15:F22)</f>
        <v>190</v>
      </c>
      <c r="G23" s="163"/>
      <c r="H23" s="170"/>
      <c r="I23" s="172"/>
      <c r="J23" s="216">
        <f>+'8'!J23</f>
        <v>0</v>
      </c>
      <c r="K23" s="238"/>
      <c r="L23" s="238"/>
      <c r="M23" s="121">
        <f>+K23+'8'!M23+L23</f>
        <v>0</v>
      </c>
      <c r="N23" s="153" t="s">
        <v>421</v>
      </c>
      <c r="Q23" s="153">
        <f>480-Q22</f>
        <v>190</v>
      </c>
      <c r="R23" s="153">
        <f>+R22/Q22</f>
        <v>926.48275862068965</v>
      </c>
      <c r="S23" s="153">
        <f>+S22/Q22</f>
        <v>713.32965517241371</v>
      </c>
    </row>
    <row r="24" spans="1:25" ht="13.5" customHeight="1" thickBot="1">
      <c r="A24" s="810"/>
      <c r="B24" s="528"/>
      <c r="C24" s="117">
        <f>C23/($C$23+$D$23+$E$23)</f>
        <v>1</v>
      </c>
      <c r="D24" s="118">
        <f>D23/($C$23+$D$23+$E$23)</f>
        <v>0</v>
      </c>
      <c r="E24" s="119">
        <f>E23/($C$23+$D$23+$E$23)</f>
        <v>0</v>
      </c>
      <c r="F24" s="235"/>
      <c r="G24" s="582" t="s">
        <v>12</v>
      </c>
      <c r="H24" s="583" t="s">
        <v>418</v>
      </c>
      <c r="I24" s="807" t="s">
        <v>456</v>
      </c>
      <c r="J24" s="216">
        <f>+'8'!J24</f>
        <v>0</v>
      </c>
      <c r="K24" s="238"/>
      <c r="L24" s="238"/>
      <c r="M24" s="121">
        <f>+K24+'8'!M24+L24</f>
        <v>0</v>
      </c>
    </row>
    <row r="25" spans="1:25" ht="13.5" thickBot="1">
      <c r="A25" s="805"/>
      <c r="B25" s="527" t="s">
        <v>466</v>
      </c>
      <c r="C25" s="226">
        <v>11588</v>
      </c>
      <c r="D25" s="219"/>
      <c r="E25" s="225"/>
      <c r="F25" s="231">
        <v>2</v>
      </c>
      <c r="G25" s="584" t="s">
        <v>12</v>
      </c>
      <c r="H25" s="230" t="s">
        <v>398</v>
      </c>
      <c r="I25" s="808"/>
      <c r="J25" s="216">
        <f>+'8'!J25</f>
        <v>0</v>
      </c>
      <c r="K25" s="238"/>
      <c r="L25" s="238"/>
      <c r="M25" s="121">
        <f>+K25+'8'!M25+L25</f>
        <v>0</v>
      </c>
      <c r="N25" s="153" t="s">
        <v>452</v>
      </c>
      <c r="O25" s="153">
        <v>940</v>
      </c>
      <c r="P25" s="153">
        <f>+O25-O25*0.23</f>
        <v>723.8</v>
      </c>
      <c r="Q25" s="153">
        <f>60*2</f>
        <v>120</v>
      </c>
      <c r="R25" s="153">
        <f>+O25*Q25</f>
        <v>112800</v>
      </c>
      <c r="S25" s="153">
        <f>+P25*Q25</f>
        <v>86856</v>
      </c>
    </row>
    <row r="26" spans="1:25" ht="13.5" thickBot="1">
      <c r="A26" s="805"/>
      <c r="B26" s="217"/>
      <c r="C26" s="226"/>
      <c r="D26" s="219"/>
      <c r="E26" s="227"/>
      <c r="F26" s="231">
        <v>4</v>
      </c>
      <c r="G26" s="584" t="s">
        <v>12</v>
      </c>
      <c r="H26" s="233" t="s">
        <v>399</v>
      </c>
      <c r="I26" s="808"/>
      <c r="J26" s="216">
        <f>+'8'!J26</f>
        <v>0</v>
      </c>
      <c r="K26" s="238"/>
      <c r="L26" s="238"/>
      <c r="M26" s="121">
        <f>+K26+'8'!M26+L26</f>
        <v>0</v>
      </c>
      <c r="O26" s="153">
        <v>980</v>
      </c>
      <c r="P26" s="153">
        <f t="shared" ref="P26:P28" si="10">+O26-O26*0.23</f>
        <v>754.6</v>
      </c>
      <c r="Q26" s="153">
        <f>60*2+10</f>
        <v>130</v>
      </c>
      <c r="R26" s="153">
        <f>+O26*Q26</f>
        <v>127400</v>
      </c>
      <c r="S26" s="153">
        <f>+P26*Q26</f>
        <v>98098</v>
      </c>
    </row>
    <row r="27" spans="1:25" ht="51.75" thickBot="1">
      <c r="A27" s="805"/>
      <c r="B27" s="217"/>
      <c r="C27" s="218"/>
      <c r="D27" s="219"/>
      <c r="E27" s="225"/>
      <c r="F27" s="231"/>
      <c r="G27" s="229"/>
      <c r="H27" s="233" t="s">
        <v>446</v>
      </c>
      <c r="I27" s="808"/>
      <c r="J27" s="216">
        <f>+'8'!J27</f>
        <v>0</v>
      </c>
      <c r="K27" s="238"/>
      <c r="L27" s="238"/>
      <c r="M27" s="121">
        <f>+K27+'8'!M27+L27</f>
        <v>0</v>
      </c>
      <c r="O27" s="153">
        <v>1000</v>
      </c>
      <c r="P27" s="153">
        <f t="shared" si="10"/>
        <v>770</v>
      </c>
      <c r="Q27" s="153">
        <f>60-10+120+3</f>
        <v>173</v>
      </c>
      <c r="R27" s="153">
        <f t="shared" ref="R27:R30" si="11">+O27*Q27</f>
        <v>173000</v>
      </c>
      <c r="S27" s="153">
        <f t="shared" ref="S27:S30" si="12">+P27*Q27</f>
        <v>133210</v>
      </c>
    </row>
    <row r="28" spans="1:25" ht="84.75" customHeight="1" thickBot="1">
      <c r="A28" s="805"/>
      <c r="B28" s="217"/>
      <c r="C28" s="218"/>
      <c r="D28" s="219"/>
      <c r="E28" s="225"/>
      <c r="F28" s="231"/>
      <c r="G28" s="229"/>
      <c r="H28" s="233" t="s">
        <v>447</v>
      </c>
      <c r="I28" s="808"/>
      <c r="J28" s="216">
        <f>+'8'!J28</f>
        <v>0</v>
      </c>
      <c r="K28" s="238"/>
      <c r="L28" s="238"/>
      <c r="M28" s="121">
        <f>+K28+'8'!M28+L28</f>
        <v>0</v>
      </c>
      <c r="N28" s="153" t="s">
        <v>453</v>
      </c>
      <c r="O28" s="153">
        <v>1030</v>
      </c>
      <c r="P28" s="153">
        <f t="shared" si="10"/>
        <v>793.1</v>
      </c>
      <c r="Q28" s="153">
        <f>60-3</f>
        <v>57</v>
      </c>
      <c r="R28" s="153">
        <f t="shared" si="11"/>
        <v>58710</v>
      </c>
      <c r="S28" s="153">
        <f t="shared" si="12"/>
        <v>45206.700000000004</v>
      </c>
    </row>
    <row r="29" spans="1:25" ht="13.5" thickBot="1">
      <c r="A29" s="805"/>
      <c r="B29" s="217"/>
      <c r="C29" s="218"/>
      <c r="D29" s="219"/>
      <c r="E29" s="225"/>
      <c r="F29" s="235"/>
      <c r="G29" s="232"/>
      <c r="H29" s="233"/>
      <c r="I29" s="808"/>
      <c r="J29" s="216">
        <f>+'8'!J29</f>
        <v>0</v>
      </c>
      <c r="K29" s="238"/>
      <c r="L29" s="238"/>
      <c r="M29" s="121">
        <f>+K29+'8'!M29+L29</f>
        <v>0</v>
      </c>
      <c r="R29" s="153">
        <f t="shared" si="11"/>
        <v>0</v>
      </c>
      <c r="S29" s="153">
        <f t="shared" si="12"/>
        <v>0</v>
      </c>
    </row>
    <row r="30" spans="1:25" ht="13.5" thickBot="1">
      <c r="A30" s="805"/>
      <c r="B30" s="217"/>
      <c r="C30" s="226"/>
      <c r="D30" s="219"/>
      <c r="E30" s="225"/>
      <c r="F30" s="235"/>
      <c r="G30" s="232"/>
      <c r="H30" s="233"/>
      <c r="I30" s="808"/>
      <c r="J30" s="216">
        <f>+'8'!J30</f>
        <v>0</v>
      </c>
      <c r="K30" s="238"/>
      <c r="L30" s="238"/>
      <c r="M30" s="121">
        <f>+K30+'8'!M30+L30</f>
        <v>0</v>
      </c>
      <c r="R30" s="153">
        <f t="shared" si="11"/>
        <v>0</v>
      </c>
      <c r="S30" s="153">
        <f t="shared" si="12"/>
        <v>0</v>
      </c>
    </row>
    <row r="31" spans="1:25" ht="13.5" thickBot="1">
      <c r="A31" s="805"/>
      <c r="B31" s="217"/>
      <c r="C31" s="226"/>
      <c r="D31" s="219"/>
      <c r="E31" s="225"/>
      <c r="F31" s="235"/>
      <c r="G31" s="236"/>
      <c r="H31" s="413"/>
      <c r="I31" s="809"/>
      <c r="J31" s="216">
        <f>+'8'!J31</f>
        <v>0</v>
      </c>
      <c r="K31" s="238"/>
      <c r="L31" s="238"/>
      <c r="M31" s="121">
        <f>+K31+'8'!M31+L31</f>
        <v>0</v>
      </c>
      <c r="P31" s="153">
        <f t="shared" ref="P31" si="13">+O31-O31*0.17</f>
        <v>0</v>
      </c>
    </row>
    <row r="32" spans="1:25" ht="13.5" thickBot="1">
      <c r="A32" s="806"/>
      <c r="B32" s="169" t="s">
        <v>3</v>
      </c>
      <c r="C32" s="103">
        <f>SUM(C25:C31)</f>
        <v>11588</v>
      </c>
      <c r="D32" s="104">
        <f>SUM(D25:D31)</f>
        <v>0</v>
      </c>
      <c r="E32" s="105">
        <f>SUM(E25:E31)</f>
        <v>0</v>
      </c>
      <c r="F32" s="103">
        <f>SUM(F24:F31)</f>
        <v>6</v>
      </c>
      <c r="G32" s="173"/>
      <c r="H32" s="174"/>
      <c r="I32" s="172"/>
      <c r="J32" s="216">
        <f>+'8'!J32</f>
        <v>0</v>
      </c>
      <c r="K32" s="240"/>
      <c r="L32" s="242"/>
      <c r="M32" s="121">
        <f>+K32+'8'!M32+L32</f>
        <v>0</v>
      </c>
      <c r="Q32" s="153">
        <f>SUM(Q25:Q30)</f>
        <v>480</v>
      </c>
      <c r="R32" s="153">
        <f>SUM(R24:R30)</f>
        <v>471910</v>
      </c>
      <c r="S32" s="153">
        <f>SUM(S24:S30)</f>
        <v>363370.7</v>
      </c>
    </row>
    <row r="33" spans="1:19" ht="13.5" thickBot="1">
      <c r="A33" s="175"/>
      <c r="B33" s="176"/>
      <c r="C33" s="107">
        <f>C32/($C$32+$D$32+$E$32)</f>
        <v>1</v>
      </c>
      <c r="D33" s="108">
        <f>D32/($C$32+$D$32+$E$32)</f>
        <v>0</v>
      </c>
      <c r="E33" s="109">
        <f>E32/($C$32+$D$32+$E$32)</f>
        <v>0</v>
      </c>
      <c r="F33" s="110"/>
      <c r="G33" s="177"/>
      <c r="H33" s="178"/>
      <c r="I33" s="179"/>
      <c r="J33" s="125"/>
      <c r="K33" s="126"/>
      <c r="L33" s="215"/>
      <c r="M33" s="123"/>
      <c r="N33" s="153" t="s">
        <v>421</v>
      </c>
      <c r="Q33" s="153">
        <f>480-Q32</f>
        <v>0</v>
      </c>
      <c r="R33" s="153">
        <f>+R32/Q32</f>
        <v>983.14583333333337</v>
      </c>
      <c r="S33" s="153">
        <f>+S32/Q32</f>
        <v>757.02229166666666</v>
      </c>
    </row>
    <row r="34" spans="1:19" ht="13.5" thickBot="1">
      <c r="A34" s="811" t="s">
        <v>69</v>
      </c>
      <c r="B34" s="812"/>
      <c r="C34" s="111">
        <f>C14+C23+C32</f>
        <v>17867</v>
      </c>
      <c r="D34" s="111">
        <f>D14+D23+D32</f>
        <v>0</v>
      </c>
      <c r="E34" s="111">
        <f>E14+E23+E32</f>
        <v>0</v>
      </c>
      <c r="F34" s="112">
        <f>F14+F23+F32</f>
        <v>531</v>
      </c>
      <c r="H34" s="180"/>
      <c r="I34" s="180"/>
      <c r="J34" s="127" t="s">
        <v>28</v>
      </c>
      <c r="K34" s="128">
        <f>SUM(K7:K32)</f>
        <v>17867</v>
      </c>
      <c r="L34" s="214">
        <f>SUM(L7:L32)</f>
        <v>0</v>
      </c>
      <c r="M34" s="124">
        <f>SUM(M7:M32)</f>
        <v>21231</v>
      </c>
      <c r="N34" s="159"/>
    </row>
    <row r="35" spans="1:19" ht="13.5" thickBot="1">
      <c r="A35" s="181"/>
      <c r="B35" s="182"/>
      <c r="C35" s="108">
        <f>C34/($C$34+$D$34+$E$34)</f>
        <v>1</v>
      </c>
      <c r="D35" s="108">
        <f>D34/($C$34+$D$34+$E$34)</f>
        <v>0</v>
      </c>
      <c r="E35" s="113">
        <f>E34/($C$34+$D$34+$E$34)</f>
        <v>0</v>
      </c>
      <c r="K35" s="159"/>
      <c r="N35" s="153" t="s">
        <v>452</v>
      </c>
      <c r="O35" s="153">
        <v>945.25345622119812</v>
      </c>
      <c r="P35" s="153">
        <v>724.63087557603683</v>
      </c>
      <c r="Q35" s="153">
        <v>868</v>
      </c>
    </row>
    <row r="36" spans="1:19" ht="13.5" thickBot="1">
      <c r="A36" s="180"/>
      <c r="B36" s="180"/>
      <c r="C36" s="159"/>
      <c r="D36" s="159"/>
      <c r="E36" s="159"/>
      <c r="G36" s="159"/>
      <c r="H36" s="183"/>
      <c r="I36" s="166" t="s">
        <v>38</v>
      </c>
      <c r="J36" s="166" t="s">
        <v>39</v>
      </c>
      <c r="K36" s="184"/>
      <c r="N36" s="153" t="s">
        <v>453</v>
      </c>
      <c r="O36" s="153">
        <v>1030</v>
      </c>
      <c r="P36" s="153">
        <v>793.1</v>
      </c>
      <c r="Q36" s="153">
        <v>57</v>
      </c>
    </row>
    <row r="37" spans="1:19" ht="17.45" customHeight="1" thickBot="1">
      <c r="A37" s="813" t="s">
        <v>70</v>
      </c>
      <c r="B37" s="814"/>
      <c r="C37" s="166" t="s">
        <v>71</v>
      </c>
      <c r="D37" s="185" t="s">
        <v>72</v>
      </c>
      <c r="E37" s="186" t="s">
        <v>73</v>
      </c>
      <c r="F37" s="311"/>
      <c r="G37" s="313"/>
      <c r="H37" s="188" t="s">
        <v>74</v>
      </c>
      <c r="I37" s="243">
        <f>(14*868+57*14.5)/925*G42*2.7*925/1000000</f>
        <v>25.565898304362165</v>
      </c>
      <c r="J37" s="129">
        <f>+I37+'8'!J37</f>
        <v>25.565898304362165</v>
      </c>
      <c r="K37" s="130" t="s">
        <v>75</v>
      </c>
      <c r="Q37" s="153">
        <f>+Q35+Q36</f>
        <v>925</v>
      </c>
    </row>
    <row r="38" spans="1:19" ht="17.45" customHeight="1">
      <c r="A38" s="797" t="s">
        <v>12</v>
      </c>
      <c r="B38" s="798"/>
      <c r="C38" s="168">
        <f>SUMIF($G$7:$G$31,"Process",$F$7:$F$31)</f>
        <v>206</v>
      </c>
      <c r="D38" s="122">
        <f>C38+'8'!D38</f>
        <v>206</v>
      </c>
      <c r="E38" s="147">
        <f t="shared" ref="E38:E52" si="14">D38/60</f>
        <v>3.4333333333333331</v>
      </c>
      <c r="F38" s="311">
        <v>900</v>
      </c>
      <c r="G38" s="311">
        <v>675</v>
      </c>
      <c r="H38" s="189" t="s">
        <v>76</v>
      </c>
      <c r="I38" s="534">
        <f>2.994+6.542+12.899</f>
        <v>22.434999999999999</v>
      </c>
      <c r="J38" s="131">
        <f>+I38+'8'!J38</f>
        <v>22.434999999999999</v>
      </c>
      <c r="K38" s="132" t="s">
        <v>75</v>
      </c>
    </row>
    <row r="39" spans="1:19" ht="17.45" customHeight="1">
      <c r="A39" s="799" t="s">
        <v>13</v>
      </c>
      <c r="B39" s="800"/>
      <c r="C39" s="168">
        <f>SUMIF($G$7:$G$31,"Cleaning",$F$7:$F$31)</f>
        <v>0</v>
      </c>
      <c r="D39" s="122">
        <f>C39+'8'!D39</f>
        <v>0</v>
      </c>
      <c r="E39" s="147">
        <f t="shared" si="14"/>
        <v>0</v>
      </c>
      <c r="F39" s="311">
        <v>926.48275862068965</v>
      </c>
      <c r="G39" s="311">
        <v>713.32965517241371</v>
      </c>
      <c r="H39" s="189" t="s">
        <v>77</v>
      </c>
      <c r="I39" s="146"/>
      <c r="J39" s="133">
        <f>J37/G4</f>
        <v>2.8406553671513515</v>
      </c>
      <c r="K39" s="134" t="s">
        <v>75</v>
      </c>
      <c r="N39" s="153">
        <v>155</v>
      </c>
    </row>
    <row r="40" spans="1:19" ht="17.45" customHeight="1">
      <c r="A40" s="799" t="s">
        <v>78</v>
      </c>
      <c r="B40" s="800"/>
      <c r="C40" s="168">
        <f>SUMIF($G$7:$G$31,"Mechanical",$F$7:$F$31)</f>
        <v>0</v>
      </c>
      <c r="D40" s="122">
        <f>C40+'8'!D40</f>
        <v>0</v>
      </c>
      <c r="E40" s="147">
        <f t="shared" si="14"/>
        <v>0</v>
      </c>
      <c r="F40" s="311">
        <v>983.14583333333337</v>
      </c>
      <c r="G40" s="311">
        <v>757.02229166666666</v>
      </c>
      <c r="H40" s="189" t="s">
        <v>79</v>
      </c>
      <c r="I40" s="122">
        <f>(K34+L34)/1000</f>
        <v>17.867000000000001</v>
      </c>
      <c r="J40" s="135">
        <f>+I40+'8'!J40</f>
        <v>21.231000000000002</v>
      </c>
      <c r="K40" s="134" t="s">
        <v>75</v>
      </c>
      <c r="N40" s="153">
        <v>290</v>
      </c>
    </row>
    <row r="41" spans="1:19" ht="17.45" customHeight="1">
      <c r="A41" s="799" t="s">
        <v>80</v>
      </c>
      <c r="B41" s="800"/>
      <c r="C41" s="168">
        <f>SUMIF($G$7:$G$31,"Electrical",$F$7:$F$31)</f>
        <v>0</v>
      </c>
      <c r="D41" s="122">
        <f>C41+'8'!D41</f>
        <v>0</v>
      </c>
      <c r="E41" s="147">
        <f t="shared" si="14"/>
        <v>0</v>
      </c>
      <c r="F41" s="311"/>
      <c r="G41" s="311"/>
      <c r="H41" s="189" t="s">
        <v>81</v>
      </c>
      <c r="I41" s="146"/>
      <c r="J41" s="133">
        <f>J40/G4</f>
        <v>2.359</v>
      </c>
      <c r="K41" s="134" t="s">
        <v>75</v>
      </c>
      <c r="N41" s="153">
        <v>480</v>
      </c>
    </row>
    <row r="42" spans="1:19" ht="17.45" customHeight="1">
      <c r="A42" s="799" t="s">
        <v>16</v>
      </c>
      <c r="B42" s="800"/>
      <c r="C42" s="168">
        <f>SUMIF($G$7:$G$31,"Instrument",$F$7:$F$31)</f>
        <v>0</v>
      </c>
      <c r="D42" s="122">
        <f>C42+'8'!D42</f>
        <v>0</v>
      </c>
      <c r="E42" s="147">
        <f t="shared" si="14"/>
        <v>0</v>
      </c>
      <c r="F42" s="187">
        <f>+(155*F38+290*F39+480*F40)/925</f>
        <v>951.4486486486486</v>
      </c>
      <c r="G42" s="187">
        <f>+(155*G38+290*G39+480*G40)/925</f>
        <v>729.5797837837838</v>
      </c>
      <c r="H42" s="189" t="s">
        <v>82</v>
      </c>
      <c r="I42" s="245" t="s">
        <v>457</v>
      </c>
      <c r="J42" s="136"/>
      <c r="K42" s="134" t="s">
        <v>83</v>
      </c>
      <c r="N42" s="153">
        <f>+N39+N40+N41</f>
        <v>925</v>
      </c>
    </row>
    <row r="43" spans="1:19" ht="17.45" customHeight="1">
      <c r="A43" s="799" t="s">
        <v>84</v>
      </c>
      <c r="B43" s="800"/>
      <c r="C43" s="168">
        <f>SUMIF($G$7:$G$31,"Water",$F$7:$F$31)</f>
        <v>0</v>
      </c>
      <c r="D43" s="122">
        <f>C43+'8'!D43</f>
        <v>0</v>
      </c>
      <c r="E43" s="147">
        <f t="shared" si="14"/>
        <v>0</v>
      </c>
      <c r="F43" s="311"/>
      <c r="G43" s="312"/>
      <c r="H43" s="190" t="s">
        <v>85</v>
      </c>
      <c r="I43" s="122">
        <f>+Report1!Z17</f>
        <v>63.9</v>
      </c>
      <c r="J43" s="137">
        <f>+I43+'8'!J43</f>
        <v>66.5</v>
      </c>
      <c r="K43" s="134" t="s">
        <v>75</v>
      </c>
      <c r="L43" s="191"/>
    </row>
    <row r="44" spans="1:19" ht="17.45" customHeight="1">
      <c r="A44" s="799" t="s">
        <v>17</v>
      </c>
      <c r="B44" s="800"/>
      <c r="C44" s="168">
        <f>SUMIF($G$7:$G$31,"PLN",$F$7:$F$31)</f>
        <v>0</v>
      </c>
      <c r="D44" s="122">
        <f>C44+'8'!D44</f>
        <v>0</v>
      </c>
      <c r="E44" s="147">
        <f t="shared" si="14"/>
        <v>0</v>
      </c>
      <c r="F44" s="311"/>
      <c r="G44" s="312"/>
      <c r="H44" s="190" t="s">
        <v>86</v>
      </c>
      <c r="I44" s="122">
        <f>I43/I38</f>
        <v>2.8482282148428797</v>
      </c>
      <c r="J44" s="138">
        <f>J43/J38</f>
        <v>2.9641185647425901</v>
      </c>
      <c r="K44" s="134" t="s">
        <v>75</v>
      </c>
    </row>
    <row r="45" spans="1:19" ht="17.45" customHeight="1">
      <c r="A45" s="799" t="s">
        <v>18</v>
      </c>
      <c r="B45" s="800"/>
      <c r="C45" s="168">
        <f>SUMIF($G$7:$G$31,"Boiler",$F$7:$F$31)</f>
        <v>0</v>
      </c>
      <c r="D45" s="122">
        <f>C45+'8'!D45</f>
        <v>0</v>
      </c>
      <c r="E45" s="147">
        <f t="shared" si="14"/>
        <v>0</v>
      </c>
      <c r="F45" s="311"/>
      <c r="G45" s="314"/>
      <c r="H45" s="190" t="s">
        <v>87</v>
      </c>
      <c r="I45" s="122">
        <f>I43/I40</f>
        <v>3.5764258129512507</v>
      </c>
      <c r="J45" s="138">
        <f>J43/J40</f>
        <v>3.1322123310253871</v>
      </c>
      <c r="K45" s="134" t="s">
        <v>75</v>
      </c>
    </row>
    <row r="46" spans="1:19" ht="17.45" customHeight="1">
      <c r="A46" s="799" t="s">
        <v>88</v>
      </c>
      <c r="B46" s="800"/>
      <c r="C46" s="168">
        <f>SUMIF($G$7:$G$31,"Gas",$F$7:$F$31)</f>
        <v>0</v>
      </c>
      <c r="D46" s="122">
        <f>C46+'8'!D46</f>
        <v>0</v>
      </c>
      <c r="E46" s="147">
        <f t="shared" si="14"/>
        <v>0</v>
      </c>
      <c r="F46" s="311"/>
      <c r="G46" s="312"/>
      <c r="H46" s="190" t="s">
        <v>89</v>
      </c>
      <c r="I46" s="144">
        <f>+SUMIF(Listrik!X16,"&gt;0")</f>
        <v>16669.859999999389</v>
      </c>
      <c r="J46" s="139">
        <f>+I46+'8'!J46</f>
        <v>42432.780000000006</v>
      </c>
      <c r="K46" s="134" t="s">
        <v>90</v>
      </c>
    </row>
    <row r="47" spans="1:19" ht="17.45" customHeight="1">
      <c r="A47" s="799" t="s">
        <v>91</v>
      </c>
      <c r="B47" s="800"/>
      <c r="C47" s="168">
        <f>SUMIF($G$7:$G$31,"Gas",$F$7:$F$31)</f>
        <v>0</v>
      </c>
      <c r="D47" s="122">
        <f>C47+'8'!D47</f>
        <v>0</v>
      </c>
      <c r="E47" s="147">
        <f t="shared" si="14"/>
        <v>0</v>
      </c>
      <c r="F47" s="311"/>
      <c r="G47" s="312"/>
      <c r="H47" s="190" t="s">
        <v>92</v>
      </c>
      <c r="I47" s="122">
        <f>I46/I38</f>
        <v>743.02919545350528</v>
      </c>
      <c r="J47" s="139">
        <f>J46/J38</f>
        <v>1891.3652774682419</v>
      </c>
      <c r="K47" s="134" t="s">
        <v>24</v>
      </c>
    </row>
    <row r="48" spans="1:19" ht="17.45" customHeight="1">
      <c r="A48" s="799" t="s">
        <v>14</v>
      </c>
      <c r="B48" s="800"/>
      <c r="C48" s="168">
        <f>SUMIF($G$7:$G$31,"Start Up",$F$7:$F$31)</f>
        <v>0</v>
      </c>
      <c r="D48" s="122">
        <f>C48+'8'!D48</f>
        <v>0</v>
      </c>
      <c r="E48" s="147">
        <f t="shared" si="14"/>
        <v>0</v>
      </c>
      <c r="F48" s="311"/>
      <c r="G48" s="312"/>
      <c r="H48" s="190" t="s">
        <v>93</v>
      </c>
      <c r="I48" s="122">
        <f>I46/I40</f>
        <v>932.99714557560799</v>
      </c>
      <c r="J48" s="139">
        <f>J46/J40</f>
        <v>1998.6237106118413</v>
      </c>
      <c r="K48" s="134" t="s">
        <v>24</v>
      </c>
    </row>
    <row r="49" spans="1:11" ht="17.45" customHeight="1">
      <c r="A49" s="799" t="s">
        <v>20</v>
      </c>
      <c r="B49" s="800"/>
      <c r="C49" s="168">
        <f>SUMIF($G$7:$G$31,"Others",$F$7:$F$31)</f>
        <v>325</v>
      </c>
      <c r="D49" s="122">
        <f>C49+'8'!D49</f>
        <v>11845</v>
      </c>
      <c r="E49" s="147">
        <f t="shared" si="14"/>
        <v>197.41666666666666</v>
      </c>
      <c r="F49" s="187"/>
      <c r="H49" s="190" t="s">
        <v>278</v>
      </c>
      <c r="I49" s="122">
        <f>+Report1!T17</f>
        <v>2768.5009482043379</v>
      </c>
      <c r="J49" s="139">
        <f>+I49+'8'!J49</f>
        <v>2768.5009482043379</v>
      </c>
      <c r="K49" s="134" t="s">
        <v>94</v>
      </c>
    </row>
    <row r="50" spans="1:11" ht="17.45" customHeight="1">
      <c r="A50" s="799" t="s">
        <v>19</v>
      </c>
      <c r="B50" s="800"/>
      <c r="C50" s="168">
        <f>SUMIF($G$7:$G$31,"Steam",$F$7:$F$31)</f>
        <v>0</v>
      </c>
      <c r="D50" s="122">
        <f>C50+'8'!D50</f>
        <v>0</v>
      </c>
      <c r="E50" s="147">
        <f t="shared" si="14"/>
        <v>0</v>
      </c>
      <c r="F50" s="187"/>
      <c r="H50" s="190" t="s">
        <v>95</v>
      </c>
      <c r="I50" s="144">
        <f>I49/I38</f>
        <v>123.400978301954</v>
      </c>
      <c r="J50" s="137">
        <f>J49/J38</f>
        <v>123.400978301954</v>
      </c>
      <c r="K50" s="134" t="s">
        <v>94</v>
      </c>
    </row>
    <row r="51" spans="1:11" ht="17.45" customHeight="1">
      <c r="A51" s="801" t="s">
        <v>96</v>
      </c>
      <c r="B51" s="801"/>
      <c r="C51" s="168">
        <f>SUMIF($G$7:$G$31,"Planned shut",$F$7:$F$31)</f>
        <v>0</v>
      </c>
      <c r="D51" s="122">
        <f>C51+'8'!D51</f>
        <v>0</v>
      </c>
      <c r="E51" s="147">
        <f t="shared" si="14"/>
        <v>0</v>
      </c>
      <c r="F51" s="187"/>
      <c r="H51" s="192" t="s">
        <v>97</v>
      </c>
      <c r="I51" s="145">
        <f>I49/I40</f>
        <v>154.95052041217539</v>
      </c>
      <c r="J51" s="140">
        <f>J49/J40</f>
        <v>130.39898960031735</v>
      </c>
      <c r="K51" s="141" t="s">
        <v>94</v>
      </c>
    </row>
    <row r="52" spans="1:11" ht="13.5" thickBot="1">
      <c r="A52" s="802" t="s">
        <v>229</v>
      </c>
      <c r="B52" s="803"/>
      <c r="C52" s="168">
        <f>SUMIF($G$7:$G$31,"Change Grade",$F$7:$F$31)</f>
        <v>0</v>
      </c>
      <c r="D52" s="122">
        <f>C52+'8'!D52</f>
        <v>0</v>
      </c>
      <c r="E52" s="147">
        <f t="shared" si="14"/>
        <v>0</v>
      </c>
      <c r="F52" s="187"/>
      <c r="H52" s="193"/>
      <c r="I52" s="194"/>
      <c r="J52" s="142"/>
      <c r="K52" s="143"/>
    </row>
    <row r="53" spans="1:11">
      <c r="A53" s="797" t="s">
        <v>28</v>
      </c>
      <c r="B53" s="798"/>
      <c r="C53" s="148">
        <f>SUM(C38:C52)</f>
        <v>531</v>
      </c>
      <c r="D53" s="148">
        <f>SUM(D38:D52)</f>
        <v>12051</v>
      </c>
      <c r="E53" s="149">
        <f>SUM(E38:E52)</f>
        <v>200.85</v>
      </c>
      <c r="F53" s="187"/>
    </row>
    <row r="54" spans="1:11" ht="13.5" thickBot="1">
      <c r="A54" s="795"/>
      <c r="B54" s="796"/>
      <c r="C54" s="150">
        <f>C53/(24*60)</f>
        <v>0.36875000000000002</v>
      </c>
      <c r="D54" s="150">
        <f>D53/(24*60*G4)</f>
        <v>0.92986111111111114</v>
      </c>
      <c r="E54" s="151">
        <f>E53/(G4*24)</f>
        <v>0.92986111111111114</v>
      </c>
      <c r="F54" s="187"/>
    </row>
    <row r="55" spans="1:11">
      <c r="E55" s="195"/>
    </row>
    <row r="56" spans="1:11">
      <c r="A56" s="196" t="s">
        <v>98</v>
      </c>
      <c r="B56" s="197"/>
      <c r="C56" s="198"/>
      <c r="D56" s="198"/>
      <c r="E56" s="198"/>
      <c r="F56" s="199"/>
      <c r="G56" s="198"/>
      <c r="H56" s="200"/>
      <c r="I56" s="201" t="s">
        <v>99</v>
      </c>
      <c r="J56" s="202">
        <f>+D34+'8'!J56</f>
        <v>0</v>
      </c>
      <c r="K56" s="203">
        <f>J56/(J40+J56/1000)/1000</f>
        <v>0</v>
      </c>
    </row>
    <row r="57" spans="1:11">
      <c r="A57" s="178"/>
      <c r="I57" s="201" t="s">
        <v>100</v>
      </c>
      <c r="J57" s="202">
        <f>+E34+'8'!J57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3:B43"/>
    <mergeCell ref="A44:B44"/>
    <mergeCell ref="A45:B45"/>
    <mergeCell ref="A48:B48"/>
    <mergeCell ref="A53:B53"/>
    <mergeCell ref="A52:B52"/>
    <mergeCell ref="A49:B49"/>
    <mergeCell ref="A51:B51"/>
    <mergeCell ref="A50:B50"/>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s>
  <phoneticPr fontId="30"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D4" zoomScale="80" zoomScaleNormal="75"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13.7109375" style="153" bestFit="1" customWidth="1"/>
    <col min="13" max="13" width="14.5703125" style="153" customWidth="1"/>
    <col min="14" max="16384" width="9.140625" style="153"/>
  </cols>
  <sheetData>
    <row r="1" spans="1:27" ht="15.75">
      <c r="A1" s="152"/>
      <c r="V1" s="561"/>
    </row>
    <row r="2" spans="1:27" ht="15.75">
      <c r="A2" s="152" t="s">
        <v>230</v>
      </c>
      <c r="V2" s="563"/>
      <c r="W2" s="533"/>
      <c r="X2" s="533"/>
      <c r="Y2" s="533"/>
    </row>
    <row r="3" spans="1:27" ht="15">
      <c r="A3" s="154"/>
      <c r="V3" s="561"/>
    </row>
    <row r="4" spans="1:27" ht="20.25">
      <c r="A4" s="155" t="s">
        <v>4</v>
      </c>
      <c r="B4" s="156"/>
      <c r="F4" s="157" t="s">
        <v>30</v>
      </c>
      <c r="G4" s="158">
        <v>8</v>
      </c>
      <c r="H4" s="158" t="str">
        <f>+'1'!H4</f>
        <v>.10.25</v>
      </c>
      <c r="Y4" s="562"/>
    </row>
    <row r="5" spans="1:27" ht="13.5" thickBot="1">
      <c r="C5" s="159"/>
      <c r="D5" s="159"/>
      <c r="Z5" s="562"/>
      <c r="AA5" s="562"/>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27" ht="13.5" customHeight="1" thickBot="1">
      <c r="A7" s="804" t="s">
        <v>237</v>
      </c>
      <c r="B7" s="217"/>
      <c r="C7" s="218"/>
      <c r="D7" s="219"/>
      <c r="E7" s="220"/>
      <c r="F7" s="235"/>
      <c r="G7" s="582" t="s">
        <v>12</v>
      </c>
      <c r="H7" s="583" t="s">
        <v>400</v>
      </c>
      <c r="I7" s="807"/>
      <c r="J7" s="419" t="str">
        <f>+'7'!J7</f>
        <v>TW 17 RC HW</v>
      </c>
      <c r="K7" s="420"/>
      <c r="L7" s="421"/>
      <c r="M7" s="422">
        <f>+K7+'7'!M7+L7</f>
        <v>3364</v>
      </c>
    </row>
    <row r="8" spans="1:27" ht="13.5" thickBot="1">
      <c r="A8" s="805"/>
      <c r="B8" s="217"/>
      <c r="C8" s="218"/>
      <c r="D8" s="219"/>
      <c r="E8" s="221"/>
      <c r="F8" s="231"/>
      <c r="G8" s="584" t="s">
        <v>12</v>
      </c>
      <c r="H8" s="230" t="s">
        <v>398</v>
      </c>
      <c r="I8" s="808"/>
      <c r="J8" s="419">
        <f>+'7'!J8</f>
        <v>0</v>
      </c>
      <c r="K8" s="423"/>
      <c r="L8" s="423"/>
      <c r="M8" s="422">
        <f>+K8+'7'!M8+L8</f>
        <v>0</v>
      </c>
      <c r="N8" s="529"/>
      <c r="O8" s="178"/>
      <c r="P8" s="178"/>
      <c r="Q8" s="178"/>
    </row>
    <row r="9" spans="1:27" ht="13.5" thickBot="1">
      <c r="A9" s="805"/>
      <c r="B9" s="217"/>
      <c r="C9" s="218"/>
      <c r="D9" s="219"/>
      <c r="E9" s="222"/>
      <c r="F9" s="231"/>
      <c r="G9" s="584" t="s">
        <v>12</v>
      </c>
      <c r="H9" s="233" t="s">
        <v>399</v>
      </c>
      <c r="I9" s="808"/>
      <c r="J9" s="419">
        <f>+'7'!J9</f>
        <v>0</v>
      </c>
      <c r="K9" s="423"/>
      <c r="L9" s="423"/>
      <c r="M9" s="422">
        <f>+K9+'7'!M9+L9</f>
        <v>0</v>
      </c>
      <c r="N9" s="561"/>
    </row>
    <row r="10" spans="1:27" ht="102.75" thickBot="1">
      <c r="A10" s="805"/>
      <c r="B10" s="217"/>
      <c r="C10" s="218"/>
      <c r="D10" s="219"/>
      <c r="E10" s="221"/>
      <c r="F10" s="231">
        <v>480</v>
      </c>
      <c r="G10" s="229" t="s">
        <v>20</v>
      </c>
      <c r="H10" s="233" t="s">
        <v>441</v>
      </c>
      <c r="I10" s="808"/>
      <c r="J10" s="419">
        <f>+'7'!J10</f>
        <v>0</v>
      </c>
      <c r="K10" s="423"/>
      <c r="L10" s="423"/>
      <c r="M10" s="422">
        <f>+K10+'7'!M10+L10</f>
        <v>0</v>
      </c>
      <c r="Q10" s="178"/>
    </row>
    <row r="11" spans="1:27" ht="13.5" thickBot="1">
      <c r="A11" s="805"/>
      <c r="B11" s="217"/>
      <c r="C11" s="218"/>
      <c r="D11" s="219"/>
      <c r="E11" s="221"/>
      <c r="F11" s="228"/>
      <c r="G11" s="232"/>
      <c r="H11" s="233"/>
      <c r="I11" s="808"/>
      <c r="J11" s="419">
        <f>+'7'!J11</f>
        <v>0</v>
      </c>
      <c r="K11" s="423"/>
      <c r="L11" s="423"/>
      <c r="M11" s="422">
        <f>+K11+'7'!M11+L11</f>
        <v>0</v>
      </c>
      <c r="R11" s="178"/>
      <c r="S11" s="178"/>
    </row>
    <row r="12" spans="1:27" ht="13.5" thickBot="1">
      <c r="A12" s="805"/>
      <c r="B12" s="217"/>
      <c r="C12" s="218"/>
      <c r="D12" s="219"/>
      <c r="E12" s="221"/>
      <c r="F12" s="228"/>
      <c r="G12" s="232"/>
      <c r="H12" s="233"/>
      <c r="I12" s="808"/>
      <c r="J12" s="419">
        <f>+'7'!J12</f>
        <v>0</v>
      </c>
      <c r="K12" s="423"/>
      <c r="L12" s="423"/>
      <c r="M12" s="422">
        <f>+K12+'7'!M12+L12</f>
        <v>0</v>
      </c>
    </row>
    <row r="13" spans="1:27" ht="13.5" thickBot="1">
      <c r="A13" s="805"/>
      <c r="B13" s="217"/>
      <c r="C13" s="218"/>
      <c r="D13" s="218"/>
      <c r="E13" s="221"/>
      <c r="F13" s="228"/>
      <c r="G13" s="232"/>
      <c r="H13" s="233"/>
      <c r="I13" s="809"/>
      <c r="J13" s="419">
        <f>+'7'!J13</f>
        <v>0</v>
      </c>
      <c r="K13" s="423"/>
      <c r="L13" s="423"/>
      <c r="M13" s="422">
        <f>+K13+'7'!M13+L13</f>
        <v>0</v>
      </c>
    </row>
    <row r="14" spans="1:27" ht="13.5" thickBot="1">
      <c r="A14" s="806"/>
      <c r="B14" s="169" t="s">
        <v>3</v>
      </c>
      <c r="C14" s="103">
        <f>SUM(C7:C13)</f>
        <v>0</v>
      </c>
      <c r="D14" s="115">
        <f>SUM(D7:D13)</f>
        <v>0</v>
      </c>
      <c r="E14" s="116">
        <f>SUM(E5:E13)</f>
        <v>0</v>
      </c>
      <c r="F14" s="120">
        <f>SUM(F7:F13)</f>
        <v>480</v>
      </c>
      <c r="G14" s="163"/>
      <c r="H14" s="170"/>
      <c r="I14" s="171"/>
      <c r="J14" s="419">
        <f>+'7'!J14</f>
        <v>0</v>
      </c>
      <c r="K14" s="423"/>
      <c r="L14" s="423"/>
      <c r="M14" s="422">
        <f>+K14+'7'!M14+L14</f>
        <v>0</v>
      </c>
    </row>
    <row r="15" spans="1:27" ht="13.5" customHeight="1" thickBot="1">
      <c r="A15" s="810" t="s">
        <v>395</v>
      </c>
      <c r="B15" s="528"/>
      <c r="C15" s="117" t="e">
        <f>C14/($C$23+$D$23+$E$23)</f>
        <v>#DIV/0!</v>
      </c>
      <c r="D15" s="118" t="e">
        <f>D14/($C$23+$D$23+$E$23)</f>
        <v>#DIV/0!</v>
      </c>
      <c r="E15" s="119" t="e">
        <f>E14/($C$23+$D$23+$E$23)</f>
        <v>#DIV/0!</v>
      </c>
      <c r="F15" s="235"/>
      <c r="G15" s="582" t="s">
        <v>12</v>
      </c>
      <c r="H15" s="583" t="s">
        <v>400</v>
      </c>
      <c r="I15" s="807"/>
      <c r="J15" s="419">
        <f>+'7'!J15</f>
        <v>0</v>
      </c>
      <c r="K15" s="423"/>
      <c r="L15" s="423"/>
      <c r="M15" s="422">
        <f>+K15+'7'!M15+L15</f>
        <v>0</v>
      </c>
    </row>
    <row r="16" spans="1:27" ht="13.5" thickBot="1">
      <c r="A16" s="805"/>
      <c r="B16" s="527"/>
      <c r="C16" s="526"/>
      <c r="D16" s="223"/>
      <c r="E16" s="224"/>
      <c r="F16" s="231"/>
      <c r="G16" s="584" t="s">
        <v>12</v>
      </c>
      <c r="H16" s="230" t="s">
        <v>398</v>
      </c>
      <c r="I16" s="808"/>
      <c r="J16" s="419">
        <f>+'7'!J16</f>
        <v>0</v>
      </c>
      <c r="K16" s="424"/>
      <c r="L16" s="424"/>
      <c r="M16" s="422">
        <f>+K16+'7'!M16+L16</f>
        <v>0</v>
      </c>
      <c r="N16" s="561"/>
      <c r="O16" s="562"/>
      <c r="P16" s="562"/>
      <c r="Q16" s="562"/>
    </row>
    <row r="17" spans="1:19" ht="13.5" thickBot="1">
      <c r="A17" s="805"/>
      <c r="B17" s="217"/>
      <c r="C17" s="218"/>
      <c r="D17" s="219"/>
      <c r="E17" s="225"/>
      <c r="F17" s="231"/>
      <c r="G17" s="584" t="s">
        <v>12</v>
      </c>
      <c r="H17" s="233" t="s">
        <v>399</v>
      </c>
      <c r="I17" s="808"/>
      <c r="J17" s="419">
        <f>+'7'!J17</f>
        <v>0</v>
      </c>
      <c r="K17" s="424"/>
      <c r="L17" s="424"/>
      <c r="M17" s="422">
        <f>+K17+'7'!M17+L17</f>
        <v>0</v>
      </c>
    </row>
    <row r="18" spans="1:19" ht="13.5" thickBot="1">
      <c r="A18" s="805"/>
      <c r="B18" s="217"/>
      <c r="C18" s="218"/>
      <c r="D18" s="219"/>
      <c r="E18" s="225"/>
      <c r="F18" s="231">
        <v>480</v>
      </c>
      <c r="G18" s="229" t="s">
        <v>20</v>
      </c>
      <c r="H18" s="233"/>
      <c r="I18" s="808"/>
      <c r="J18" s="419">
        <f>+'7'!J18</f>
        <v>0</v>
      </c>
      <c r="K18" s="238"/>
      <c r="L18" s="238"/>
      <c r="M18" s="121">
        <f>+K18+'7'!M18+L18</f>
        <v>0</v>
      </c>
    </row>
    <row r="19" spans="1:19" ht="13.5" thickBot="1">
      <c r="A19" s="805"/>
      <c r="B19" s="217"/>
      <c r="C19" s="218"/>
      <c r="D19" s="219"/>
      <c r="E19" s="225"/>
      <c r="F19" s="234"/>
      <c r="G19" s="232"/>
      <c r="H19" s="233"/>
      <c r="I19" s="808"/>
      <c r="J19" s="419">
        <f>+'7'!J19</f>
        <v>0</v>
      </c>
      <c r="K19" s="238"/>
      <c r="L19" s="238"/>
      <c r="M19" s="121">
        <f>+K19+'7'!M19+L19</f>
        <v>0</v>
      </c>
    </row>
    <row r="20" spans="1:19" ht="13.5" thickBot="1">
      <c r="A20" s="805"/>
      <c r="B20" s="217"/>
      <c r="C20" s="218"/>
      <c r="D20" s="219"/>
      <c r="E20" s="225"/>
      <c r="F20" s="228"/>
      <c r="G20" s="232"/>
      <c r="H20" s="233"/>
      <c r="I20" s="808"/>
      <c r="J20" s="419">
        <f>+'7'!J20</f>
        <v>0</v>
      </c>
      <c r="K20" s="239"/>
      <c r="L20" s="239"/>
      <c r="M20" s="121">
        <f>+K20+'7'!M20+L20</f>
        <v>0</v>
      </c>
    </row>
    <row r="21" spans="1:19" ht="13.5" thickBot="1">
      <c r="A21" s="805"/>
      <c r="B21" s="217"/>
      <c r="C21" s="218"/>
      <c r="D21" s="219"/>
      <c r="E21" s="225"/>
      <c r="F21" s="231"/>
      <c r="G21" s="232"/>
      <c r="H21" s="233"/>
      <c r="I21" s="808"/>
      <c r="J21" s="419">
        <f>+'7'!J21</f>
        <v>0</v>
      </c>
      <c r="K21" s="238"/>
      <c r="L21" s="238"/>
      <c r="M21" s="121">
        <f>+K21+'7'!M21+L21</f>
        <v>0</v>
      </c>
    </row>
    <row r="22" spans="1:19" ht="13.5" thickBot="1">
      <c r="A22" s="805"/>
      <c r="B22" s="217"/>
      <c r="C22" s="218"/>
      <c r="D22" s="219"/>
      <c r="E22" s="225"/>
      <c r="F22" s="235"/>
      <c r="G22" s="232"/>
      <c r="H22" s="233"/>
      <c r="I22" s="809"/>
      <c r="J22" s="419">
        <f>+'7'!J22</f>
        <v>0</v>
      </c>
      <c r="K22" s="238"/>
      <c r="L22" s="238"/>
      <c r="M22" s="121">
        <f>+K22+'7'!M22+L22</f>
        <v>0</v>
      </c>
    </row>
    <row r="23" spans="1:19" ht="13.5" thickBot="1">
      <c r="A23" s="806"/>
      <c r="B23" s="169" t="s">
        <v>3</v>
      </c>
      <c r="C23" s="103">
        <f>SUM(C16:C22)</f>
        <v>0</v>
      </c>
      <c r="D23" s="115">
        <f>SUM(D16:D22)</f>
        <v>0</v>
      </c>
      <c r="E23" s="116">
        <f>SUM(E18:E22)</f>
        <v>0</v>
      </c>
      <c r="F23" s="120">
        <f>SUM(F15:F22)</f>
        <v>480</v>
      </c>
      <c r="G23" s="163"/>
      <c r="H23" s="170"/>
      <c r="I23" s="172"/>
      <c r="J23" s="419">
        <f>+'7'!J23</f>
        <v>0</v>
      </c>
      <c r="K23" s="238"/>
      <c r="L23" s="238"/>
      <c r="M23" s="121">
        <f>+K23+'7'!M23+L23</f>
        <v>0</v>
      </c>
    </row>
    <row r="24" spans="1:19" ht="13.5" thickBot="1">
      <c r="A24" s="810" t="s">
        <v>397</v>
      </c>
      <c r="B24" s="528"/>
      <c r="C24" s="117" t="e">
        <f>C23/($C$23+$D$23+$E$23)</f>
        <v>#DIV/0!</v>
      </c>
      <c r="D24" s="118" t="e">
        <f>D23/($C$23+$D$23+$E$23)</f>
        <v>#DIV/0!</v>
      </c>
      <c r="E24" s="119" t="e">
        <f>E23/($C$23+$D$23+$E$23)</f>
        <v>#DIV/0!</v>
      </c>
      <c r="F24" s="235"/>
      <c r="G24" s="582" t="s">
        <v>12</v>
      </c>
      <c r="H24" s="583" t="s">
        <v>400</v>
      </c>
      <c r="I24" s="807"/>
      <c r="J24" s="419">
        <f>+'7'!J24</f>
        <v>0</v>
      </c>
      <c r="K24" s="238"/>
      <c r="L24" s="238"/>
      <c r="M24" s="121">
        <f>+K24+'7'!M24+L24</f>
        <v>0</v>
      </c>
      <c r="N24" s="561"/>
    </row>
    <row r="25" spans="1:19" ht="13.5" thickBot="1">
      <c r="A25" s="805"/>
      <c r="B25" s="527"/>
      <c r="C25" s="226"/>
      <c r="D25" s="219"/>
      <c r="E25" s="225"/>
      <c r="F25" s="231"/>
      <c r="G25" s="584" t="s">
        <v>12</v>
      </c>
      <c r="H25" s="230" t="s">
        <v>398</v>
      </c>
      <c r="I25" s="808"/>
      <c r="J25" s="216">
        <f>+'7'!J25</f>
        <v>0</v>
      </c>
      <c r="K25" s="238"/>
      <c r="L25" s="238"/>
      <c r="M25" s="121">
        <f>+K25+'7'!M25+L25</f>
        <v>0</v>
      </c>
      <c r="N25" s="530"/>
      <c r="O25" s="531"/>
      <c r="P25" s="531"/>
      <c r="Q25" s="531"/>
    </row>
    <row r="26" spans="1:19" ht="13.5" thickBot="1">
      <c r="A26" s="805"/>
      <c r="B26" s="217"/>
      <c r="C26" s="226"/>
      <c r="D26" s="219"/>
      <c r="E26" s="227"/>
      <c r="F26" s="231"/>
      <c r="G26" s="584" t="s">
        <v>12</v>
      </c>
      <c r="H26" s="233" t="s">
        <v>399</v>
      </c>
      <c r="I26" s="808"/>
      <c r="J26" s="216">
        <f>+'7'!J26</f>
        <v>0</v>
      </c>
      <c r="K26" s="238"/>
      <c r="L26" s="238"/>
      <c r="M26" s="121">
        <f>+K26+'7'!M26+L26</f>
        <v>0</v>
      </c>
      <c r="Q26" s="178"/>
    </row>
    <row r="27" spans="1:19" ht="128.25" thickBot="1">
      <c r="A27" s="805"/>
      <c r="B27" s="217"/>
      <c r="C27" s="218"/>
      <c r="D27" s="219"/>
      <c r="E27" s="225"/>
      <c r="F27" s="231">
        <v>480</v>
      </c>
      <c r="G27" s="229" t="s">
        <v>20</v>
      </c>
      <c r="H27" s="233" t="s">
        <v>442</v>
      </c>
      <c r="I27" s="808"/>
      <c r="J27" s="216">
        <f>+'7'!J27</f>
        <v>0</v>
      </c>
      <c r="K27" s="238"/>
      <c r="L27" s="238"/>
      <c r="M27" s="121">
        <f>+K27+'7'!M27+L27</f>
        <v>0</v>
      </c>
      <c r="R27" s="178"/>
      <c r="S27" s="178"/>
    </row>
    <row r="28" spans="1:19" ht="13.5" thickBot="1">
      <c r="A28" s="805"/>
      <c r="B28" s="217"/>
      <c r="C28" s="218"/>
      <c r="D28" s="219"/>
      <c r="E28" s="225"/>
      <c r="F28" s="231"/>
      <c r="G28" s="229"/>
      <c r="H28" s="233"/>
      <c r="I28" s="808"/>
      <c r="J28" s="216">
        <f>+'7'!J28</f>
        <v>0</v>
      </c>
      <c r="K28" s="238"/>
      <c r="L28" s="238"/>
      <c r="M28" s="121">
        <f>+K28+'7'!M28+L28</f>
        <v>0</v>
      </c>
    </row>
    <row r="29" spans="1:19" ht="13.5" thickBot="1">
      <c r="A29" s="805"/>
      <c r="B29" s="217"/>
      <c r="C29" s="218"/>
      <c r="D29" s="219"/>
      <c r="E29" s="225"/>
      <c r="F29" s="235"/>
      <c r="G29" s="232"/>
      <c r="H29" s="233"/>
      <c r="I29" s="808"/>
      <c r="J29" s="216">
        <f>+'7'!J29</f>
        <v>0</v>
      </c>
      <c r="K29" s="238"/>
      <c r="L29" s="238"/>
      <c r="M29" s="121">
        <f>+K29+'7'!M29+L29</f>
        <v>0</v>
      </c>
    </row>
    <row r="30" spans="1:19" ht="13.5" thickBot="1">
      <c r="A30" s="805"/>
      <c r="B30" s="217"/>
      <c r="C30" s="226"/>
      <c r="D30" s="219"/>
      <c r="E30" s="225"/>
      <c r="F30" s="235"/>
      <c r="G30" s="232"/>
      <c r="H30" s="233"/>
      <c r="I30" s="808"/>
      <c r="J30" s="216">
        <f>+'7'!J30</f>
        <v>0</v>
      </c>
      <c r="K30" s="238"/>
      <c r="L30" s="238"/>
      <c r="M30" s="121">
        <f>+K30+'7'!M30+L30</f>
        <v>0</v>
      </c>
      <c r="N30" s="159"/>
    </row>
    <row r="31" spans="1:19" ht="13.5" thickBot="1">
      <c r="A31" s="805"/>
      <c r="B31" s="217"/>
      <c r="C31" s="226"/>
      <c r="D31" s="219"/>
      <c r="E31" s="225"/>
      <c r="F31" s="235"/>
      <c r="G31" s="236"/>
      <c r="H31" s="413"/>
      <c r="I31" s="809"/>
      <c r="J31" s="216">
        <f>+'7'!J31</f>
        <v>0</v>
      </c>
      <c r="K31" s="238"/>
      <c r="L31" s="238"/>
      <c r="M31" s="121">
        <f>+K31+'7'!M31+L31</f>
        <v>0</v>
      </c>
    </row>
    <row r="32" spans="1:19" ht="13.5" thickBot="1">
      <c r="A32" s="806"/>
      <c r="B32" s="169" t="s">
        <v>3</v>
      </c>
      <c r="C32" s="103">
        <f>SUM(C25:C31)</f>
        <v>0</v>
      </c>
      <c r="D32" s="104">
        <f>SUM(D25:D31)</f>
        <v>0</v>
      </c>
      <c r="E32" s="105">
        <f>SUM(E25:E31)</f>
        <v>0</v>
      </c>
      <c r="F32" s="103">
        <f>SUM(F24:F31)</f>
        <v>480</v>
      </c>
      <c r="G32" s="173"/>
      <c r="H32" s="174"/>
      <c r="I32" s="172"/>
      <c r="J32" s="216">
        <f>+'7'!J32</f>
        <v>0</v>
      </c>
      <c r="K32" s="240"/>
      <c r="L32" s="242"/>
      <c r="M32" s="121">
        <f>+K32+'7'!M32+L32</f>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0</v>
      </c>
      <c r="D34" s="111">
        <f>D14+D23+D32</f>
        <v>0</v>
      </c>
      <c r="E34" s="111">
        <f>E14+E23+E32</f>
        <v>0</v>
      </c>
      <c r="F34" s="112">
        <f>F14+F23+F32</f>
        <v>1440</v>
      </c>
      <c r="H34" s="180"/>
      <c r="I34" s="180"/>
      <c r="J34" s="127" t="s">
        <v>28</v>
      </c>
      <c r="K34" s="128">
        <f>SUM(K7:K32)</f>
        <v>0</v>
      </c>
      <c r="L34" s="214">
        <f>SUM(L7:L32)</f>
        <v>0</v>
      </c>
      <c r="M34" s="124">
        <f>SUM(M7:M32)</f>
        <v>3364</v>
      </c>
      <c r="N34" s="159"/>
    </row>
    <row r="35" spans="1:14" ht="13.5" thickBot="1">
      <c r="A35" s="573"/>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c r="M36" s="159"/>
    </row>
    <row r="37" spans="1:14" ht="17.45" customHeight="1" thickBot="1">
      <c r="A37" s="813" t="s">
        <v>70</v>
      </c>
      <c r="B37" s="814"/>
      <c r="C37" s="166" t="s">
        <v>71</v>
      </c>
      <c r="D37" s="185" t="s">
        <v>72</v>
      </c>
      <c r="E37" s="186" t="s">
        <v>73</v>
      </c>
      <c r="F37" s="311"/>
      <c r="G37" s="313"/>
      <c r="H37" s="188" t="s">
        <v>74</v>
      </c>
      <c r="I37" s="243">
        <f>(13.5*95+12.5*1173+12*172)/1440*G42*2.66*1440/1000000</f>
        <v>0</v>
      </c>
      <c r="J37" s="129">
        <f>+I37+'7'!J37</f>
        <v>0</v>
      </c>
      <c r="K37" s="130" t="s">
        <v>75</v>
      </c>
    </row>
    <row r="38" spans="1:14" ht="17.45" customHeight="1">
      <c r="A38" s="797" t="s">
        <v>12</v>
      </c>
      <c r="B38" s="798"/>
      <c r="C38" s="168">
        <f>SUMIF($G$7:$G$31,"Process",$F$7:$F$31)</f>
        <v>0</v>
      </c>
      <c r="D38" s="122">
        <f>C38+'7'!D38</f>
        <v>0</v>
      </c>
      <c r="E38" s="147">
        <f t="shared" ref="E38:E52" si="0">D38/60</f>
        <v>0</v>
      </c>
      <c r="F38" s="311"/>
      <c r="G38" s="311"/>
      <c r="H38" s="189" t="s">
        <v>76</v>
      </c>
      <c r="I38" s="534"/>
      <c r="J38" s="131">
        <f>+I38+'7'!J38</f>
        <v>0</v>
      </c>
      <c r="K38" s="132" t="s">
        <v>75</v>
      </c>
    </row>
    <row r="39" spans="1:14" ht="17.45" customHeight="1">
      <c r="A39" s="799" t="s">
        <v>13</v>
      </c>
      <c r="B39" s="800"/>
      <c r="C39" s="168">
        <f>SUMIF($G$7:$G$31,"Cleaning",$F$7:$F$31)</f>
        <v>0</v>
      </c>
      <c r="D39" s="122">
        <f>C39+'7'!D39</f>
        <v>0</v>
      </c>
      <c r="E39" s="147">
        <f t="shared" si="0"/>
        <v>0</v>
      </c>
      <c r="F39" s="311"/>
      <c r="G39" s="311"/>
      <c r="H39" s="189" t="s">
        <v>77</v>
      </c>
      <c r="I39" s="146"/>
      <c r="J39" s="133">
        <f>J37/G4</f>
        <v>0</v>
      </c>
      <c r="K39" s="134" t="s">
        <v>75</v>
      </c>
    </row>
    <row r="40" spans="1:14" ht="17.45" customHeight="1">
      <c r="A40" s="799" t="s">
        <v>78</v>
      </c>
      <c r="B40" s="800"/>
      <c r="C40" s="168">
        <f>SUMIF($G$7:$G$31,"Mechanical",$F$7:$F$31)</f>
        <v>0</v>
      </c>
      <c r="D40" s="122">
        <f>C40+'7'!D40</f>
        <v>0</v>
      </c>
      <c r="E40" s="147">
        <f t="shared" si="0"/>
        <v>0</v>
      </c>
      <c r="F40" s="311"/>
      <c r="G40" s="311"/>
      <c r="H40" s="189" t="s">
        <v>79</v>
      </c>
      <c r="I40" s="122">
        <f>(K34+L34)/1000</f>
        <v>0</v>
      </c>
      <c r="J40" s="135">
        <f>+I40+'7'!J40</f>
        <v>3.3639999999999999</v>
      </c>
      <c r="K40" s="134" t="s">
        <v>75</v>
      </c>
    </row>
    <row r="41" spans="1:14" ht="17.45" customHeight="1">
      <c r="A41" s="799" t="s">
        <v>80</v>
      </c>
      <c r="B41" s="800"/>
      <c r="C41" s="168">
        <f>SUMIF($G$7:$G$31,"Electrical",$F$7:$F$31)</f>
        <v>0</v>
      </c>
      <c r="D41" s="122">
        <f>C41+'7'!D41</f>
        <v>0</v>
      </c>
      <c r="E41" s="147">
        <f t="shared" si="0"/>
        <v>0</v>
      </c>
      <c r="F41" s="311"/>
      <c r="G41" s="311"/>
      <c r="H41" s="189" t="s">
        <v>81</v>
      </c>
      <c r="I41" s="146"/>
      <c r="J41" s="133">
        <f>J40/G4</f>
        <v>0.42049999999999998</v>
      </c>
      <c r="K41" s="134" t="s">
        <v>75</v>
      </c>
    </row>
    <row r="42" spans="1:14" ht="17.45" customHeight="1">
      <c r="A42" s="799" t="s">
        <v>16</v>
      </c>
      <c r="B42" s="800"/>
      <c r="C42" s="168">
        <f>SUMIF($G$7:$G$31,"Instrument",$F$7:$F$31)</f>
        <v>0</v>
      </c>
      <c r="D42" s="122">
        <f>C42+'7'!D42</f>
        <v>0</v>
      </c>
      <c r="E42" s="147">
        <f t="shared" si="0"/>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C43+'7'!D43</f>
        <v>0</v>
      </c>
      <c r="E43" s="147">
        <f t="shared" si="0"/>
        <v>0</v>
      </c>
      <c r="F43" s="311"/>
      <c r="G43" s="312"/>
      <c r="H43" s="190" t="s">
        <v>85</v>
      </c>
      <c r="I43" s="122">
        <f>+Report1!Z16</f>
        <v>1.6</v>
      </c>
      <c r="J43" s="137">
        <f>+I43+'7'!J43</f>
        <v>2.6</v>
      </c>
      <c r="K43" s="134" t="s">
        <v>75</v>
      </c>
      <c r="L43" s="191"/>
    </row>
    <row r="44" spans="1:14" ht="17.45" customHeight="1">
      <c r="A44" s="799" t="s">
        <v>17</v>
      </c>
      <c r="B44" s="800"/>
      <c r="C44" s="168">
        <f>SUMIF($G$7:$G$31,"PLN",$F$7:$F$31)</f>
        <v>0</v>
      </c>
      <c r="D44" s="122">
        <f>C44+'7'!D44</f>
        <v>0</v>
      </c>
      <c r="E44" s="147">
        <f t="shared" si="0"/>
        <v>0</v>
      </c>
      <c r="F44" s="311"/>
      <c r="G44" s="312"/>
      <c r="H44" s="190" t="s">
        <v>86</v>
      </c>
      <c r="I44" s="122" t="e">
        <f>I43/I38</f>
        <v>#DIV/0!</v>
      </c>
      <c r="J44" s="138" t="e">
        <f>J43/J38</f>
        <v>#DIV/0!</v>
      </c>
      <c r="K44" s="134" t="s">
        <v>75</v>
      </c>
    </row>
    <row r="45" spans="1:14" ht="17.45" customHeight="1">
      <c r="A45" s="799" t="s">
        <v>18</v>
      </c>
      <c r="B45" s="800"/>
      <c r="C45" s="168">
        <f>SUMIF($G$7:$G$31,"Boiler",$F$7:$F$31)</f>
        <v>0</v>
      </c>
      <c r="D45" s="122">
        <f>C45+'7'!D45</f>
        <v>0</v>
      </c>
      <c r="E45" s="147">
        <f t="shared" si="0"/>
        <v>0</v>
      </c>
      <c r="F45" s="311"/>
      <c r="G45" s="314"/>
      <c r="H45" s="190" t="s">
        <v>87</v>
      </c>
      <c r="I45" s="122" t="e">
        <f>I43/I40</f>
        <v>#DIV/0!</v>
      </c>
      <c r="J45" s="138">
        <f>J43/J40</f>
        <v>0.77288941736028538</v>
      </c>
      <c r="K45" s="134" t="s">
        <v>75</v>
      </c>
    </row>
    <row r="46" spans="1:14" ht="17.45" customHeight="1">
      <c r="A46" s="799" t="s">
        <v>88</v>
      </c>
      <c r="B46" s="800"/>
      <c r="C46" s="168">
        <f>SUMIF($G$7:$G$31,"Gas",$F$7:$F$31)</f>
        <v>0</v>
      </c>
      <c r="D46" s="122">
        <f>C46+'7'!D46</f>
        <v>0</v>
      </c>
      <c r="E46" s="147">
        <f t="shared" si="0"/>
        <v>0</v>
      </c>
      <c r="F46" s="311"/>
      <c r="G46" s="312"/>
      <c r="H46" s="190" t="s">
        <v>89</v>
      </c>
      <c r="I46" s="144">
        <f>+SUMIF(Listrik!X15,"&gt;0")</f>
        <v>2439.2600000002321</v>
      </c>
      <c r="J46" s="139">
        <f>+I46+'7'!J46</f>
        <v>25762.920000000617</v>
      </c>
      <c r="K46" s="134" t="s">
        <v>90</v>
      </c>
    </row>
    <row r="47" spans="1:14" ht="17.45" customHeight="1">
      <c r="A47" s="799" t="s">
        <v>91</v>
      </c>
      <c r="B47" s="800"/>
      <c r="C47" s="168">
        <f>SUMIF($G$7:$G$31,"Gas",$F$7:$F$31)</f>
        <v>0</v>
      </c>
      <c r="D47" s="122">
        <f>C47+'7'!D47</f>
        <v>0</v>
      </c>
      <c r="E47" s="147">
        <f t="shared" si="0"/>
        <v>0</v>
      </c>
      <c r="F47" s="311"/>
      <c r="G47" s="312"/>
      <c r="H47" s="190" t="s">
        <v>92</v>
      </c>
      <c r="I47" s="122" t="e">
        <f>I46/I38</f>
        <v>#DIV/0!</v>
      </c>
      <c r="J47" s="139" t="e">
        <f>J46/J38</f>
        <v>#DIV/0!</v>
      </c>
      <c r="K47" s="134" t="s">
        <v>24</v>
      </c>
    </row>
    <row r="48" spans="1:14" ht="17.45" customHeight="1">
      <c r="A48" s="799" t="s">
        <v>14</v>
      </c>
      <c r="B48" s="800"/>
      <c r="C48" s="168">
        <f>SUMIF($G$7:$G$31,"Start Up",$F$7:$F$31)</f>
        <v>0</v>
      </c>
      <c r="D48" s="122">
        <f>C48+'7'!D48</f>
        <v>0</v>
      </c>
      <c r="E48" s="147">
        <f t="shared" si="0"/>
        <v>0</v>
      </c>
      <c r="F48" s="311"/>
      <c r="G48" s="312"/>
      <c r="H48" s="190" t="s">
        <v>93</v>
      </c>
      <c r="I48" s="122" t="e">
        <f>I46/I40</f>
        <v>#DIV/0!</v>
      </c>
      <c r="J48" s="139">
        <f>J46/J40</f>
        <v>7658.4185493462001</v>
      </c>
      <c r="K48" s="134" t="s">
        <v>24</v>
      </c>
    </row>
    <row r="49" spans="1:11" ht="17.45" customHeight="1">
      <c r="A49" s="799" t="s">
        <v>20</v>
      </c>
      <c r="B49" s="800"/>
      <c r="C49" s="168">
        <f>SUMIF($G$7:$G$31,"Others",$F$7:$F$31)</f>
        <v>1440</v>
      </c>
      <c r="D49" s="122">
        <f>C49+'7'!D49</f>
        <v>11520</v>
      </c>
      <c r="E49" s="147">
        <f t="shared" si="0"/>
        <v>192</v>
      </c>
      <c r="F49" s="187"/>
      <c r="H49" s="190" t="s">
        <v>278</v>
      </c>
      <c r="I49" s="122">
        <f>+Report1!T16</f>
        <v>0</v>
      </c>
      <c r="J49" s="139">
        <f>+I49+'7'!J49</f>
        <v>0</v>
      </c>
      <c r="K49" s="134" t="s">
        <v>94</v>
      </c>
    </row>
    <row r="50" spans="1:11" ht="17.45" customHeight="1">
      <c r="A50" s="799" t="s">
        <v>19</v>
      </c>
      <c r="B50" s="800"/>
      <c r="C50" s="168">
        <f>SUMIF($G$7:$G$31,"Steam",$F$7:$F$31)</f>
        <v>0</v>
      </c>
      <c r="D50" s="122">
        <f>C50+'7'!D50</f>
        <v>0</v>
      </c>
      <c r="E50" s="147">
        <f t="shared" si="0"/>
        <v>0</v>
      </c>
      <c r="F50" s="187"/>
      <c r="H50" s="190" t="s">
        <v>95</v>
      </c>
      <c r="I50" s="144" t="e">
        <f>I49/I38</f>
        <v>#DIV/0!</v>
      </c>
      <c r="J50" s="137" t="e">
        <f>J49/J38</f>
        <v>#DIV/0!</v>
      </c>
      <c r="K50" s="134" t="s">
        <v>94</v>
      </c>
    </row>
    <row r="51" spans="1:11" ht="17.45" customHeight="1">
      <c r="A51" s="801" t="s">
        <v>96</v>
      </c>
      <c r="B51" s="801"/>
      <c r="C51" s="168">
        <f>SUMIF($G$7:$G$31,"Planned shut",$F$7:$F$31)</f>
        <v>0</v>
      </c>
      <c r="D51" s="122">
        <f>C51+'7'!D51</f>
        <v>0</v>
      </c>
      <c r="E51" s="147">
        <f t="shared" si="0"/>
        <v>0</v>
      </c>
      <c r="F51" s="187"/>
      <c r="H51" s="192" t="s">
        <v>97</v>
      </c>
      <c r="I51" s="145" t="e">
        <f>I49/I40</f>
        <v>#DIV/0!</v>
      </c>
      <c r="J51" s="140">
        <f>J49/J40</f>
        <v>0</v>
      </c>
      <c r="K51" s="141" t="s">
        <v>94</v>
      </c>
    </row>
    <row r="52" spans="1:11" ht="13.5" thickBot="1">
      <c r="A52" s="802" t="s">
        <v>229</v>
      </c>
      <c r="B52" s="803"/>
      <c r="C52" s="168">
        <f>SUMIF($G$7:$G$31,"Change Grade",$F$7:$F$31)</f>
        <v>0</v>
      </c>
      <c r="D52" s="122">
        <f>C52+'7'!D52</f>
        <v>0</v>
      </c>
      <c r="E52" s="147">
        <f t="shared" si="0"/>
        <v>0</v>
      </c>
      <c r="F52" s="187"/>
      <c r="H52" s="193"/>
      <c r="I52" s="194"/>
      <c r="J52" s="142"/>
      <c r="K52" s="143"/>
    </row>
    <row r="53" spans="1:11">
      <c r="A53" s="797" t="s">
        <v>28</v>
      </c>
      <c r="B53" s="798"/>
      <c r="C53" s="148">
        <f>SUM(C38:C52)</f>
        <v>1440</v>
      </c>
      <c r="D53" s="148">
        <f>SUM(D38:D52)</f>
        <v>11520</v>
      </c>
      <c r="E53" s="149">
        <f>SUM(E38:E52)</f>
        <v>192</v>
      </c>
      <c r="F53" s="187"/>
    </row>
    <row r="54" spans="1:11" ht="13.5" thickBot="1">
      <c r="A54" s="795"/>
      <c r="B54" s="796"/>
      <c r="C54" s="150">
        <f>C53/(24*60)</f>
        <v>1</v>
      </c>
      <c r="D54" s="150">
        <f>D53/(24*60*G4)</f>
        <v>1</v>
      </c>
      <c r="E54" s="151">
        <f>E53/(G4*24)</f>
        <v>1</v>
      </c>
      <c r="F54" s="187"/>
    </row>
    <row r="55" spans="1:11">
      <c r="E55" s="195"/>
    </row>
    <row r="56" spans="1:11">
      <c r="A56" s="196" t="s">
        <v>98</v>
      </c>
      <c r="B56" s="197"/>
      <c r="C56" s="198"/>
      <c r="D56" s="198"/>
      <c r="E56" s="198"/>
      <c r="F56" s="199"/>
      <c r="G56" s="198"/>
      <c r="H56" s="200"/>
      <c r="I56" s="201" t="s">
        <v>99</v>
      </c>
      <c r="J56" s="202">
        <f>+D34+'7'!J56</f>
        <v>0</v>
      </c>
      <c r="K56" s="203">
        <f>J56/(J40+J56/1000)/1000</f>
        <v>0</v>
      </c>
    </row>
    <row r="57" spans="1:11">
      <c r="A57" s="178"/>
      <c r="I57" s="201" t="s">
        <v>100</v>
      </c>
      <c r="J57" s="202">
        <f>+E34+'7'!J57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5:B45"/>
    <mergeCell ref="A40:B40"/>
    <mergeCell ref="A41:B41"/>
    <mergeCell ref="A44:B44"/>
    <mergeCell ref="I7:I13"/>
    <mergeCell ref="A15:A23"/>
    <mergeCell ref="I15:I22"/>
    <mergeCell ref="A24:A32"/>
    <mergeCell ref="I24:I31"/>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zoomScale="80" zoomScaleNormal="75" zoomScaleSheetLayoutView="80" workbookViewId="0">
      <selection activeCell="F7" sqref="F7:G31"/>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3.28515625" style="153" bestFit="1" customWidth="1"/>
    <col min="12" max="12" width="12" style="153" bestFit="1" customWidth="1"/>
    <col min="13" max="13" width="14.7109375" style="153" customWidth="1"/>
    <col min="14" max="16384" width="9.140625" style="153"/>
  </cols>
  <sheetData>
    <row r="1" spans="1:28" ht="15.75">
      <c r="A1" s="152"/>
      <c r="W1" s="529"/>
    </row>
    <row r="2" spans="1:28" ht="15.75">
      <c r="A2" s="152" t="s">
        <v>230</v>
      </c>
      <c r="W2" s="553"/>
    </row>
    <row r="3" spans="1:28" ht="15">
      <c r="A3" s="154"/>
      <c r="W3" s="553"/>
    </row>
    <row r="4" spans="1:28" ht="20.25">
      <c r="A4" s="155" t="s">
        <v>4</v>
      </c>
      <c r="B4" s="156"/>
      <c r="F4" s="157" t="s">
        <v>30</v>
      </c>
      <c r="G4" s="158">
        <v>7</v>
      </c>
      <c r="H4" s="158" t="str">
        <f>+'1'!H4</f>
        <v>.10.25</v>
      </c>
      <c r="Z4" s="178"/>
    </row>
    <row r="5" spans="1:28" ht="13.5" thickBot="1">
      <c r="C5" s="159"/>
      <c r="D5" s="159"/>
      <c r="AA5" s="178"/>
      <c r="AB5" s="178"/>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28" ht="13.5" customHeight="1" thickBot="1">
      <c r="A7" s="804"/>
      <c r="B7" s="217"/>
      <c r="C7" s="218"/>
      <c r="D7" s="219"/>
      <c r="E7" s="220"/>
      <c r="F7" s="235"/>
      <c r="G7" s="582" t="s">
        <v>12</v>
      </c>
      <c r="H7" s="583" t="s">
        <v>400</v>
      </c>
      <c r="I7" s="807"/>
      <c r="J7" s="216" t="str">
        <f>+'6'!J7</f>
        <v>TW 17 RC HW</v>
      </c>
      <c r="K7" s="237"/>
      <c r="L7" s="241"/>
      <c r="M7" s="121">
        <f>+K7+'6'!M7+L7</f>
        <v>3364</v>
      </c>
    </row>
    <row r="8" spans="1:28" ht="13.5" thickBot="1">
      <c r="A8" s="805"/>
      <c r="B8" s="217"/>
      <c r="C8" s="218"/>
      <c r="D8" s="219"/>
      <c r="E8" s="221"/>
      <c r="F8" s="231"/>
      <c r="G8" s="584" t="s">
        <v>12</v>
      </c>
      <c r="H8" s="230" t="s">
        <v>398</v>
      </c>
      <c r="I8" s="808"/>
      <c r="J8" s="216">
        <f>+'6'!J8</f>
        <v>0</v>
      </c>
      <c r="K8" s="238"/>
      <c r="L8" s="238"/>
      <c r="M8" s="121">
        <f>+K8+'6'!M8+L8</f>
        <v>0</v>
      </c>
      <c r="N8" s="530"/>
      <c r="O8" s="531"/>
      <c r="P8" s="531"/>
      <c r="Q8" s="531"/>
    </row>
    <row r="9" spans="1:28" ht="13.5" thickBot="1">
      <c r="A9" s="805"/>
      <c r="B9" s="217"/>
      <c r="C9" s="218"/>
      <c r="D9" s="219"/>
      <c r="E9" s="222"/>
      <c r="F9" s="231"/>
      <c r="G9" s="584" t="s">
        <v>12</v>
      </c>
      <c r="H9" s="233" t="s">
        <v>399</v>
      </c>
      <c r="I9" s="808"/>
      <c r="J9" s="216">
        <f>+'6'!J9</f>
        <v>0</v>
      </c>
      <c r="K9" s="238"/>
      <c r="L9" s="238"/>
      <c r="M9" s="121">
        <f>+K9+'6'!M9+L9</f>
        <v>0</v>
      </c>
      <c r="N9" s="529"/>
    </row>
    <row r="10" spans="1:28" ht="39" thickBot="1">
      <c r="A10" s="805"/>
      <c r="B10" s="217"/>
      <c r="C10" s="218"/>
      <c r="D10" s="219"/>
      <c r="E10" s="221"/>
      <c r="F10" s="231">
        <v>480</v>
      </c>
      <c r="G10" s="229" t="s">
        <v>20</v>
      </c>
      <c r="H10" s="585" t="s">
        <v>438</v>
      </c>
      <c r="I10" s="808"/>
      <c r="J10" s="216">
        <f>+'6'!J10</f>
        <v>0</v>
      </c>
      <c r="K10" s="238"/>
      <c r="L10" s="238"/>
      <c r="M10" s="121">
        <f>+K10+'6'!M10+L10</f>
        <v>0</v>
      </c>
      <c r="Q10" s="178"/>
    </row>
    <row r="11" spans="1:28" ht="13.5" thickBot="1">
      <c r="A11" s="805"/>
      <c r="B11" s="217"/>
      <c r="C11" s="218"/>
      <c r="D11" s="219"/>
      <c r="E11" s="221"/>
      <c r="F11" s="228"/>
      <c r="G11" s="232"/>
      <c r="H11" s="233"/>
      <c r="I11" s="808"/>
      <c r="J11" s="216">
        <f>+'6'!J11</f>
        <v>0</v>
      </c>
      <c r="K11" s="238"/>
      <c r="L11" s="238"/>
      <c r="M11" s="121">
        <f>+K11+'6'!M11+L11</f>
        <v>0</v>
      </c>
      <c r="R11" s="178"/>
      <c r="S11" s="178"/>
    </row>
    <row r="12" spans="1:28" ht="13.5" thickBot="1">
      <c r="A12" s="805"/>
      <c r="B12" s="217"/>
      <c r="C12" s="218"/>
      <c r="D12" s="219"/>
      <c r="E12" s="221"/>
      <c r="F12" s="228"/>
      <c r="G12" s="232"/>
      <c r="H12" s="233"/>
      <c r="I12" s="808"/>
      <c r="J12" s="216">
        <f>+'6'!J12</f>
        <v>0</v>
      </c>
      <c r="K12" s="238"/>
      <c r="L12" s="238"/>
      <c r="M12" s="121">
        <f>+K12+'6'!M12+L12</f>
        <v>0</v>
      </c>
    </row>
    <row r="13" spans="1:28" ht="13.5" thickBot="1">
      <c r="A13" s="805"/>
      <c r="B13" s="217"/>
      <c r="C13" s="218"/>
      <c r="D13" s="218"/>
      <c r="E13" s="221"/>
      <c r="F13" s="228"/>
      <c r="G13" s="232"/>
      <c r="H13" s="233"/>
      <c r="I13" s="809"/>
      <c r="J13" s="216">
        <f>+'6'!J13</f>
        <v>0</v>
      </c>
      <c r="K13" s="238"/>
      <c r="L13" s="238"/>
      <c r="M13" s="121">
        <f>+K13+'6'!M13+L13</f>
        <v>0</v>
      </c>
    </row>
    <row r="14" spans="1:28" ht="13.5" thickBot="1">
      <c r="A14" s="806"/>
      <c r="B14" s="169" t="s">
        <v>3</v>
      </c>
      <c r="C14" s="103">
        <f>SUM(C7:C13)</f>
        <v>0</v>
      </c>
      <c r="D14" s="115">
        <f>SUM(D7:D13)</f>
        <v>0</v>
      </c>
      <c r="E14" s="116">
        <f>SUM(E5:E13)</f>
        <v>0</v>
      </c>
      <c r="F14" s="120">
        <f>SUM(F7:F13)</f>
        <v>480</v>
      </c>
      <c r="G14" s="163"/>
      <c r="H14" s="170"/>
      <c r="I14" s="171"/>
      <c r="J14" s="216">
        <f>+'6'!J14</f>
        <v>0</v>
      </c>
      <c r="K14" s="238"/>
      <c r="L14" s="238"/>
      <c r="M14" s="121">
        <f>+K14+'6'!M14+L14</f>
        <v>0</v>
      </c>
    </row>
    <row r="15" spans="1:28" ht="13.5" customHeight="1" thickBot="1">
      <c r="A15" s="810"/>
      <c r="B15" s="528"/>
      <c r="C15" s="117" t="e">
        <f>C14/($C$23+$D$23+$E$23)</f>
        <v>#DIV/0!</v>
      </c>
      <c r="D15" s="118" t="e">
        <f>D14/($C$23+$D$23+$E$23)</f>
        <v>#DIV/0!</v>
      </c>
      <c r="E15" s="119" t="e">
        <f>E14/($C$23+$D$23+$E$23)</f>
        <v>#DIV/0!</v>
      </c>
      <c r="F15" s="235"/>
      <c r="G15" s="582" t="s">
        <v>12</v>
      </c>
      <c r="H15" s="583" t="s">
        <v>400</v>
      </c>
      <c r="I15" s="807"/>
      <c r="J15" s="216">
        <f>+'6'!J15</f>
        <v>0</v>
      </c>
      <c r="K15" s="238"/>
      <c r="L15" s="238"/>
      <c r="M15" s="121">
        <f>+K15+'6'!M15+L15</f>
        <v>0</v>
      </c>
    </row>
    <row r="16" spans="1:28" ht="13.5" thickBot="1">
      <c r="A16" s="805"/>
      <c r="B16" s="527"/>
      <c r="C16" s="526"/>
      <c r="D16" s="223"/>
      <c r="E16" s="224"/>
      <c r="F16" s="231"/>
      <c r="G16" s="584" t="s">
        <v>12</v>
      </c>
      <c r="H16" s="230" t="s">
        <v>398</v>
      </c>
      <c r="I16" s="808"/>
      <c r="J16" s="216">
        <f>+'6'!J16</f>
        <v>0</v>
      </c>
      <c r="K16" s="229"/>
      <c r="L16" s="229"/>
      <c r="M16" s="121">
        <f>+K16+'6'!M16+L16</f>
        <v>0</v>
      </c>
      <c r="N16" s="529"/>
      <c r="O16" s="178"/>
      <c r="P16" s="178"/>
      <c r="Q16" s="178"/>
    </row>
    <row r="17" spans="1:17" ht="13.5" thickBot="1">
      <c r="A17" s="805"/>
      <c r="B17" s="217"/>
      <c r="C17" s="218"/>
      <c r="D17" s="219"/>
      <c r="E17" s="225"/>
      <c r="F17" s="231"/>
      <c r="G17" s="584" t="s">
        <v>12</v>
      </c>
      <c r="H17" s="233" t="s">
        <v>399</v>
      </c>
      <c r="I17" s="808"/>
      <c r="J17" s="216">
        <f>+'6'!J17</f>
        <v>0</v>
      </c>
      <c r="K17" s="229"/>
      <c r="L17" s="229"/>
      <c r="M17" s="121">
        <f>+K17+'6'!M17+L17</f>
        <v>0</v>
      </c>
    </row>
    <row r="18" spans="1:17" ht="51.75" thickBot="1">
      <c r="A18" s="805"/>
      <c r="B18" s="217"/>
      <c r="C18" s="218"/>
      <c r="D18" s="219"/>
      <c r="E18" s="225"/>
      <c r="F18" s="231">
        <v>480</v>
      </c>
      <c r="G18" s="229" t="s">
        <v>20</v>
      </c>
      <c r="H18" s="585" t="s">
        <v>439</v>
      </c>
      <c r="I18" s="808"/>
      <c r="J18" s="216">
        <f>+'6'!J18</f>
        <v>0</v>
      </c>
      <c r="K18" s="238"/>
      <c r="L18" s="238"/>
      <c r="M18" s="121">
        <f>+K18+'6'!M18+L18</f>
        <v>0</v>
      </c>
    </row>
    <row r="19" spans="1:17" ht="13.5" thickBot="1">
      <c r="A19" s="805"/>
      <c r="B19" s="217"/>
      <c r="C19" s="218"/>
      <c r="D19" s="219"/>
      <c r="E19" s="225"/>
      <c r="F19" s="234"/>
      <c r="G19" s="232"/>
      <c r="H19" s="233"/>
      <c r="I19" s="808"/>
      <c r="J19" s="216">
        <f>+'6'!J19</f>
        <v>0</v>
      </c>
      <c r="K19" s="238"/>
      <c r="L19" s="238"/>
      <c r="M19" s="121">
        <f>+K19+'6'!M19+L19</f>
        <v>0</v>
      </c>
    </row>
    <row r="20" spans="1:17" ht="13.5" thickBot="1">
      <c r="A20" s="805"/>
      <c r="B20" s="217"/>
      <c r="C20" s="218"/>
      <c r="D20" s="219"/>
      <c r="E20" s="225"/>
      <c r="F20" s="228"/>
      <c r="G20" s="232"/>
      <c r="H20" s="233"/>
      <c r="I20" s="808"/>
      <c r="J20" s="216">
        <f>+'6'!J20</f>
        <v>0</v>
      </c>
      <c r="K20" s="239"/>
      <c r="L20" s="239"/>
      <c r="M20" s="121">
        <f>+K20+'6'!M20+L20</f>
        <v>0</v>
      </c>
    </row>
    <row r="21" spans="1:17" ht="13.5" thickBot="1">
      <c r="A21" s="805"/>
      <c r="B21" s="217"/>
      <c r="C21" s="218"/>
      <c r="D21" s="219"/>
      <c r="E21" s="225"/>
      <c r="F21" s="231"/>
      <c r="G21" s="232"/>
      <c r="H21" s="233"/>
      <c r="I21" s="808"/>
      <c r="J21" s="216">
        <f>+'6'!J21</f>
        <v>0</v>
      </c>
      <c r="K21" s="238"/>
      <c r="L21" s="238"/>
      <c r="M21" s="121">
        <f>+K21+'6'!M21+L21</f>
        <v>0</v>
      </c>
    </row>
    <row r="22" spans="1:17" ht="13.5" thickBot="1">
      <c r="A22" s="805"/>
      <c r="B22" s="217"/>
      <c r="C22" s="218"/>
      <c r="D22" s="219"/>
      <c r="E22" s="225"/>
      <c r="F22" s="235"/>
      <c r="G22" s="232"/>
      <c r="H22" s="233"/>
      <c r="I22" s="809"/>
      <c r="J22" s="216">
        <f>+'6'!J22</f>
        <v>0</v>
      </c>
      <c r="K22" s="238"/>
      <c r="L22" s="238"/>
      <c r="M22" s="121">
        <f>+K22+'6'!M22+L22</f>
        <v>0</v>
      </c>
    </row>
    <row r="23" spans="1:17" ht="13.5" thickBot="1">
      <c r="A23" s="806"/>
      <c r="B23" s="169" t="s">
        <v>3</v>
      </c>
      <c r="C23" s="103">
        <f>SUM(C16:C22)</f>
        <v>0</v>
      </c>
      <c r="D23" s="115">
        <f>SUM(D16:D22)</f>
        <v>0</v>
      </c>
      <c r="E23" s="116">
        <f>SUM(E18:E22)</f>
        <v>0</v>
      </c>
      <c r="F23" s="120">
        <f>SUM(F15:F22)</f>
        <v>480</v>
      </c>
      <c r="G23" s="163"/>
      <c r="H23" s="170"/>
      <c r="I23" s="172"/>
      <c r="J23" s="216">
        <f>+'6'!J23</f>
        <v>0</v>
      </c>
      <c r="K23" s="238"/>
      <c r="L23" s="238"/>
      <c r="M23" s="121">
        <f>+K23+'6'!M23+L23</f>
        <v>0</v>
      </c>
    </row>
    <row r="24" spans="1:17" ht="13.5" customHeight="1" thickBot="1">
      <c r="A24" s="810"/>
      <c r="B24" s="528"/>
      <c r="C24" s="117" t="e">
        <f>C23/($C$23+$D$23+$E$23)</f>
        <v>#DIV/0!</v>
      </c>
      <c r="D24" s="118" t="e">
        <f>D23/($C$23+$D$23+$E$23)</f>
        <v>#DIV/0!</v>
      </c>
      <c r="E24" s="119" t="e">
        <f>E23/($C$23+$D$23+$E$23)</f>
        <v>#DIV/0!</v>
      </c>
      <c r="F24" s="235"/>
      <c r="G24" s="582" t="s">
        <v>12</v>
      </c>
      <c r="H24" s="583" t="s">
        <v>400</v>
      </c>
      <c r="I24" s="807"/>
      <c r="J24" s="216">
        <f>+'6'!J24</f>
        <v>0</v>
      </c>
      <c r="K24" s="238"/>
      <c r="L24" s="238"/>
      <c r="M24" s="121">
        <f>+K24+'6'!M24+L24</f>
        <v>0</v>
      </c>
    </row>
    <row r="25" spans="1:17" ht="13.5" thickBot="1">
      <c r="A25" s="805"/>
      <c r="B25" s="527"/>
      <c r="C25" s="226"/>
      <c r="D25" s="219"/>
      <c r="E25" s="225"/>
      <c r="F25" s="231"/>
      <c r="G25" s="584" t="s">
        <v>12</v>
      </c>
      <c r="H25" s="230" t="s">
        <v>398</v>
      </c>
      <c r="I25" s="808"/>
      <c r="J25" s="216">
        <f>+'6'!J25</f>
        <v>0</v>
      </c>
      <c r="K25" s="238"/>
      <c r="L25" s="238"/>
      <c r="M25" s="121">
        <f>+K25+'6'!M25+L25</f>
        <v>0</v>
      </c>
      <c r="N25" s="529"/>
      <c r="O25" s="178"/>
      <c r="P25" s="178"/>
      <c r="Q25" s="178"/>
    </row>
    <row r="26" spans="1:17" ht="13.5" thickBot="1">
      <c r="A26" s="805"/>
      <c r="B26" s="217"/>
      <c r="C26" s="226"/>
      <c r="D26" s="219"/>
      <c r="E26" s="227"/>
      <c r="F26" s="231"/>
      <c r="G26" s="584" t="s">
        <v>12</v>
      </c>
      <c r="H26" s="233" t="s">
        <v>399</v>
      </c>
      <c r="I26" s="808"/>
      <c r="J26" s="216">
        <f>+'6'!J26</f>
        <v>0</v>
      </c>
      <c r="K26" s="238"/>
      <c r="L26" s="238"/>
      <c r="M26" s="121">
        <f>+K26+'6'!M26+L26</f>
        <v>0</v>
      </c>
    </row>
    <row r="27" spans="1:17" ht="51.75" thickBot="1">
      <c r="A27" s="805"/>
      <c r="B27" s="217"/>
      <c r="C27" s="218"/>
      <c r="D27" s="219"/>
      <c r="E27" s="225"/>
      <c r="F27" s="231">
        <v>480</v>
      </c>
      <c r="G27" s="229" t="s">
        <v>20</v>
      </c>
      <c r="H27" s="585" t="s">
        <v>440</v>
      </c>
      <c r="I27" s="808"/>
      <c r="J27" s="216">
        <f>+'6'!J27</f>
        <v>0</v>
      </c>
      <c r="K27" s="238"/>
      <c r="L27" s="238"/>
      <c r="M27" s="121">
        <f>+K27+'6'!M27+L27</f>
        <v>0</v>
      </c>
    </row>
    <row r="28" spans="1:17" ht="13.5" thickBot="1">
      <c r="A28" s="805"/>
      <c r="B28" s="217"/>
      <c r="C28" s="218"/>
      <c r="D28" s="219"/>
      <c r="E28" s="225"/>
      <c r="F28" s="231"/>
      <c r="G28" s="229"/>
      <c r="H28" s="233"/>
      <c r="I28" s="808"/>
      <c r="J28" s="216">
        <f>+'6'!J28</f>
        <v>0</v>
      </c>
      <c r="K28" s="238"/>
      <c r="L28" s="238"/>
      <c r="M28" s="121">
        <f>+K28+'6'!M28+L28</f>
        <v>0</v>
      </c>
    </row>
    <row r="29" spans="1:17" ht="13.5" thickBot="1">
      <c r="A29" s="805"/>
      <c r="B29" s="217"/>
      <c r="C29" s="218"/>
      <c r="D29" s="219"/>
      <c r="E29" s="225"/>
      <c r="F29" s="235"/>
      <c r="G29" s="232"/>
      <c r="H29" s="233"/>
      <c r="I29" s="808"/>
      <c r="J29" s="216">
        <f>+'6'!J29</f>
        <v>0</v>
      </c>
      <c r="K29" s="238"/>
      <c r="L29" s="238"/>
      <c r="M29" s="121">
        <f>+K29+'6'!M29+L29</f>
        <v>0</v>
      </c>
    </row>
    <row r="30" spans="1:17" ht="13.5" thickBot="1">
      <c r="A30" s="805"/>
      <c r="B30" s="217"/>
      <c r="C30" s="226"/>
      <c r="D30" s="219"/>
      <c r="E30" s="225"/>
      <c r="F30" s="235"/>
      <c r="G30" s="232"/>
      <c r="H30" s="233"/>
      <c r="I30" s="808"/>
      <c r="J30" s="216">
        <f>+'6'!J30</f>
        <v>0</v>
      </c>
      <c r="K30" s="238"/>
      <c r="L30" s="238"/>
      <c r="M30" s="121">
        <f>+K30+'6'!M30+L30</f>
        <v>0</v>
      </c>
      <c r="N30" s="159"/>
    </row>
    <row r="31" spans="1:17" ht="13.5" thickBot="1">
      <c r="A31" s="805"/>
      <c r="B31" s="217"/>
      <c r="C31" s="226"/>
      <c r="D31" s="219"/>
      <c r="E31" s="225"/>
      <c r="F31" s="235"/>
      <c r="G31" s="236"/>
      <c r="H31" s="413"/>
      <c r="I31" s="809"/>
      <c r="J31" s="216">
        <f>+'6'!J31</f>
        <v>0</v>
      </c>
      <c r="K31" s="238"/>
      <c r="L31" s="238"/>
      <c r="M31" s="121">
        <f>+K31+'6'!M31+L31</f>
        <v>0</v>
      </c>
    </row>
    <row r="32" spans="1:17" ht="13.5" thickBot="1">
      <c r="A32" s="806"/>
      <c r="B32" s="169" t="s">
        <v>3</v>
      </c>
      <c r="C32" s="103">
        <f>SUM(C25:C31)</f>
        <v>0</v>
      </c>
      <c r="D32" s="104">
        <f>SUM(D25:D31)</f>
        <v>0</v>
      </c>
      <c r="E32" s="105">
        <f>SUM(E25:E31)</f>
        <v>0</v>
      </c>
      <c r="F32" s="103">
        <f>SUM(F24:F31)</f>
        <v>480</v>
      </c>
      <c r="G32" s="173"/>
      <c r="H32" s="174"/>
      <c r="I32" s="172"/>
      <c r="J32" s="216">
        <f>+'6'!J32</f>
        <v>0</v>
      </c>
      <c r="K32" s="240"/>
      <c r="L32" s="242"/>
      <c r="M32" s="121">
        <f>+K32+'6'!M32+L32</f>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0</v>
      </c>
      <c r="D34" s="111">
        <f>D14+D23+D32</f>
        <v>0</v>
      </c>
      <c r="E34" s="111">
        <f>E14+E23+E32</f>
        <v>0</v>
      </c>
      <c r="F34" s="112">
        <f>F14+F23+F32</f>
        <v>1440</v>
      </c>
      <c r="H34" s="180"/>
      <c r="I34" s="180"/>
      <c r="J34" s="127" t="s">
        <v>28</v>
      </c>
      <c r="K34" s="128">
        <f>SUM(K7:K32)</f>
        <v>0</v>
      </c>
      <c r="L34" s="214">
        <f>SUM(L7:L32)</f>
        <v>0</v>
      </c>
      <c r="M34" s="124">
        <f>SUM(M7:M32)</f>
        <v>3364</v>
      </c>
      <c r="N34" s="159"/>
    </row>
    <row r="35" spans="1:14" ht="13.5" thickBot="1">
      <c r="A35" s="573"/>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(12*50+13.5*1390)/1440*G42*2.66*1440/1000000</f>
        <v>0</v>
      </c>
      <c r="J37" s="129">
        <f>+I37+'6'!J37</f>
        <v>0</v>
      </c>
      <c r="K37" s="130" t="s">
        <v>75</v>
      </c>
    </row>
    <row r="38" spans="1:14" ht="17.45" customHeight="1">
      <c r="A38" s="797" t="s">
        <v>12</v>
      </c>
      <c r="B38" s="798"/>
      <c r="C38" s="168">
        <f>SUMIF($G$7:$G$31,"Process",$F$7:$F$31)</f>
        <v>0</v>
      </c>
      <c r="D38" s="122">
        <f>C38+'6'!D38</f>
        <v>0</v>
      </c>
      <c r="E38" s="147">
        <f t="shared" ref="E38:E52" si="0">D38/60</f>
        <v>0</v>
      </c>
      <c r="F38" s="311"/>
      <c r="G38" s="311"/>
      <c r="H38" s="189" t="s">
        <v>76</v>
      </c>
      <c r="I38" s="534"/>
      <c r="J38" s="131">
        <f>+I38+'6'!J38</f>
        <v>0</v>
      </c>
      <c r="K38" s="132" t="s">
        <v>75</v>
      </c>
    </row>
    <row r="39" spans="1:14" ht="17.45" customHeight="1">
      <c r="A39" s="799" t="s">
        <v>13</v>
      </c>
      <c r="B39" s="800"/>
      <c r="C39" s="168">
        <f>SUMIF($G$7:$G$31,"Cleaning",$F$7:$F$31)</f>
        <v>0</v>
      </c>
      <c r="D39" s="122">
        <f>C39+'6'!D39</f>
        <v>0</v>
      </c>
      <c r="E39" s="147">
        <f t="shared" si="0"/>
        <v>0</v>
      </c>
      <c r="F39" s="311"/>
      <c r="G39" s="311"/>
      <c r="H39" s="189" t="s">
        <v>77</v>
      </c>
      <c r="I39" s="146"/>
      <c r="J39" s="133">
        <f>J37/G4</f>
        <v>0</v>
      </c>
      <c r="K39" s="134" t="s">
        <v>75</v>
      </c>
    </row>
    <row r="40" spans="1:14" ht="17.45" customHeight="1">
      <c r="A40" s="799" t="s">
        <v>78</v>
      </c>
      <c r="B40" s="800"/>
      <c r="C40" s="168">
        <f>SUMIF($G$7:$G$31,"Mechanical",$F$7:$F$31)</f>
        <v>0</v>
      </c>
      <c r="D40" s="122">
        <f>C40+'6'!D40</f>
        <v>0</v>
      </c>
      <c r="E40" s="147">
        <f t="shared" si="0"/>
        <v>0</v>
      </c>
      <c r="F40" s="311"/>
      <c r="G40" s="311"/>
      <c r="H40" s="189" t="s">
        <v>79</v>
      </c>
      <c r="I40" s="122">
        <f>(K34+L34)/1000</f>
        <v>0</v>
      </c>
      <c r="J40" s="135">
        <f>+I40+'6'!J40</f>
        <v>3.3639999999999999</v>
      </c>
      <c r="K40" s="134" t="s">
        <v>75</v>
      </c>
    </row>
    <row r="41" spans="1:14" ht="17.45" customHeight="1">
      <c r="A41" s="799" t="s">
        <v>80</v>
      </c>
      <c r="B41" s="800"/>
      <c r="C41" s="168">
        <f>SUMIF($G$7:$G$31,"Electrical",$F$7:$F$31)</f>
        <v>0</v>
      </c>
      <c r="D41" s="122">
        <f>C41+'6'!D41</f>
        <v>0</v>
      </c>
      <c r="E41" s="147">
        <f t="shared" si="0"/>
        <v>0</v>
      </c>
      <c r="F41" s="311"/>
      <c r="G41" s="311"/>
      <c r="H41" s="189" t="s">
        <v>81</v>
      </c>
      <c r="I41" s="146"/>
      <c r="J41" s="133">
        <f>J40/G4</f>
        <v>0.48057142857142854</v>
      </c>
      <c r="K41" s="134" t="s">
        <v>75</v>
      </c>
    </row>
    <row r="42" spans="1:14" ht="17.45" customHeight="1">
      <c r="A42" s="799" t="s">
        <v>16</v>
      </c>
      <c r="B42" s="800"/>
      <c r="C42" s="168">
        <f>SUMIF($G$7:$G$31,"Instrument",$F$7:$F$31)</f>
        <v>0</v>
      </c>
      <c r="D42" s="122">
        <f>C42+'6'!D42</f>
        <v>0</v>
      </c>
      <c r="E42" s="147">
        <f t="shared" si="0"/>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C43+'6'!D43</f>
        <v>0</v>
      </c>
      <c r="E43" s="147">
        <f t="shared" si="0"/>
        <v>0</v>
      </c>
      <c r="F43" s="311"/>
      <c r="G43" s="312"/>
      <c r="H43" s="190" t="s">
        <v>85</v>
      </c>
      <c r="I43" s="122">
        <f>+Report1!Z15</f>
        <v>0.1</v>
      </c>
      <c r="J43" s="137">
        <f>+I43+'6'!J43</f>
        <v>0.99999999999999989</v>
      </c>
      <c r="K43" s="134" t="s">
        <v>75</v>
      </c>
      <c r="L43" s="191"/>
    </row>
    <row r="44" spans="1:14" ht="17.45" customHeight="1">
      <c r="A44" s="799" t="s">
        <v>17</v>
      </c>
      <c r="B44" s="800"/>
      <c r="C44" s="168">
        <f>SUMIF($G$7:$G$31,"PLN",$F$7:$F$31)</f>
        <v>0</v>
      </c>
      <c r="D44" s="122">
        <f>C44+'6'!D44</f>
        <v>0</v>
      </c>
      <c r="E44" s="147">
        <f t="shared" si="0"/>
        <v>0</v>
      </c>
      <c r="F44" s="311"/>
      <c r="G44" s="312"/>
      <c r="H44" s="190" t="s">
        <v>86</v>
      </c>
      <c r="I44" s="122" t="e">
        <f>I43/I38</f>
        <v>#DIV/0!</v>
      </c>
      <c r="J44" s="138" t="e">
        <f>J43/J38</f>
        <v>#DIV/0!</v>
      </c>
      <c r="K44" s="134" t="s">
        <v>75</v>
      </c>
    </row>
    <row r="45" spans="1:14" ht="17.45" customHeight="1">
      <c r="A45" s="799" t="s">
        <v>18</v>
      </c>
      <c r="B45" s="800"/>
      <c r="C45" s="168">
        <f>SUMIF($G$7:$G$31,"Boiler",$F$7:$F$31)</f>
        <v>0</v>
      </c>
      <c r="D45" s="122">
        <f>C45+'6'!D45</f>
        <v>0</v>
      </c>
      <c r="E45" s="147">
        <f t="shared" si="0"/>
        <v>0</v>
      </c>
      <c r="F45" s="311"/>
      <c r="G45" s="314"/>
      <c r="H45" s="190" t="s">
        <v>87</v>
      </c>
      <c r="I45" s="122" t="e">
        <f>I43/I40</f>
        <v>#DIV/0!</v>
      </c>
      <c r="J45" s="138">
        <f>J43/J40</f>
        <v>0.29726516052318663</v>
      </c>
      <c r="K45" s="134" t="s">
        <v>75</v>
      </c>
    </row>
    <row r="46" spans="1:14" ht="17.45" customHeight="1">
      <c r="A46" s="799" t="s">
        <v>88</v>
      </c>
      <c r="B46" s="800"/>
      <c r="C46" s="168">
        <f>SUMIF($G$7:$G$31,"Gas",$F$7:$F$31)</f>
        <v>0</v>
      </c>
      <c r="D46" s="122">
        <f>C46+'6'!D46</f>
        <v>0</v>
      </c>
      <c r="E46" s="147">
        <f t="shared" si="0"/>
        <v>0</v>
      </c>
      <c r="F46" s="311"/>
      <c r="G46" s="312"/>
      <c r="H46" s="190" t="s">
        <v>89</v>
      </c>
      <c r="I46" s="144">
        <f>+SUMIF(Listrik!X14,"&gt;0")</f>
        <v>2928.3000000000297</v>
      </c>
      <c r="J46" s="139">
        <f>+I46+'6'!J46</f>
        <v>23323.660000000385</v>
      </c>
      <c r="K46" s="134" t="s">
        <v>90</v>
      </c>
    </row>
    <row r="47" spans="1:14" ht="17.45" customHeight="1">
      <c r="A47" s="799" t="s">
        <v>91</v>
      </c>
      <c r="B47" s="800"/>
      <c r="C47" s="168">
        <f>SUMIF($G$7:$G$31,"Gas",$F$7:$F$31)</f>
        <v>0</v>
      </c>
      <c r="D47" s="122">
        <f>C47+'6'!D47</f>
        <v>0</v>
      </c>
      <c r="E47" s="147">
        <f t="shared" si="0"/>
        <v>0</v>
      </c>
      <c r="F47" s="311"/>
      <c r="G47" s="312"/>
      <c r="H47" s="190" t="s">
        <v>92</v>
      </c>
      <c r="I47" s="122" t="e">
        <f>I46/I38</f>
        <v>#DIV/0!</v>
      </c>
      <c r="J47" s="139" t="e">
        <f>J46/J38</f>
        <v>#DIV/0!</v>
      </c>
      <c r="K47" s="134" t="s">
        <v>24</v>
      </c>
    </row>
    <row r="48" spans="1:14" ht="17.45" customHeight="1">
      <c r="A48" s="799" t="s">
        <v>14</v>
      </c>
      <c r="B48" s="800"/>
      <c r="C48" s="168">
        <f>SUMIF($G$7:$G$31,"Start Up",$F$7:$F$31)</f>
        <v>0</v>
      </c>
      <c r="D48" s="122">
        <f>C48+'6'!D48</f>
        <v>0</v>
      </c>
      <c r="E48" s="147">
        <f t="shared" si="0"/>
        <v>0</v>
      </c>
      <c r="F48" s="311"/>
      <c r="G48" s="312"/>
      <c r="H48" s="190" t="s">
        <v>93</v>
      </c>
      <c r="I48" s="122" t="e">
        <f>I46/I40</f>
        <v>#DIV/0!</v>
      </c>
      <c r="J48" s="139">
        <f>J46/J40</f>
        <v>6933.3115338883435</v>
      </c>
      <c r="K48" s="134" t="s">
        <v>24</v>
      </c>
    </row>
    <row r="49" spans="1:11" ht="17.45" customHeight="1">
      <c r="A49" s="799" t="s">
        <v>20</v>
      </c>
      <c r="B49" s="800"/>
      <c r="C49" s="168">
        <f>SUMIF($G$7:$G$31,"Others",$F$7:$F$31)</f>
        <v>1440</v>
      </c>
      <c r="D49" s="122">
        <f>C49+'6'!D49</f>
        <v>10080</v>
      </c>
      <c r="E49" s="147">
        <f t="shared" si="0"/>
        <v>168</v>
      </c>
      <c r="F49" s="187"/>
      <c r="H49" s="190" t="s">
        <v>278</v>
      </c>
      <c r="I49" s="122">
        <f>+Report1!T15</f>
        <v>0</v>
      </c>
      <c r="J49" s="139">
        <f>+I49+'6'!J49</f>
        <v>0</v>
      </c>
      <c r="K49" s="134" t="s">
        <v>94</v>
      </c>
    </row>
    <row r="50" spans="1:11" ht="17.45" customHeight="1">
      <c r="A50" s="799" t="s">
        <v>19</v>
      </c>
      <c r="B50" s="800"/>
      <c r="C50" s="168">
        <f>SUMIF($G$7:$G$31,"Steam",$F$7:$F$31)</f>
        <v>0</v>
      </c>
      <c r="D50" s="122">
        <f>C50+'6'!D50</f>
        <v>0</v>
      </c>
      <c r="E50" s="147">
        <f t="shared" si="0"/>
        <v>0</v>
      </c>
      <c r="F50" s="187"/>
      <c r="H50" s="190" t="s">
        <v>95</v>
      </c>
      <c r="I50" s="144" t="e">
        <f>I49/I38</f>
        <v>#DIV/0!</v>
      </c>
      <c r="J50" s="137" t="e">
        <f>J49/J38</f>
        <v>#DIV/0!</v>
      </c>
      <c r="K50" s="134" t="s">
        <v>94</v>
      </c>
    </row>
    <row r="51" spans="1:11" ht="17.45" customHeight="1">
      <c r="A51" s="801" t="s">
        <v>96</v>
      </c>
      <c r="B51" s="801"/>
      <c r="C51" s="168">
        <f>SUMIF($G$7:$G$31,"Planned shut",$F$7:$F$31)</f>
        <v>0</v>
      </c>
      <c r="D51" s="122">
        <f>C51+'6'!D51</f>
        <v>0</v>
      </c>
      <c r="E51" s="147">
        <f t="shared" si="0"/>
        <v>0</v>
      </c>
      <c r="F51" s="187"/>
      <c r="H51" s="192" t="s">
        <v>97</v>
      </c>
      <c r="I51" s="145" t="e">
        <f>I49/I40</f>
        <v>#DIV/0!</v>
      </c>
      <c r="J51" s="140">
        <f>J49/J40</f>
        <v>0</v>
      </c>
      <c r="K51" s="141" t="s">
        <v>94</v>
      </c>
    </row>
    <row r="52" spans="1:11" ht="13.5" thickBot="1">
      <c r="A52" s="802" t="s">
        <v>229</v>
      </c>
      <c r="B52" s="803"/>
      <c r="C52" s="168">
        <f>SUMIF($G$7:$G$31,"Change Grade",$F$7:$F$31)</f>
        <v>0</v>
      </c>
      <c r="D52" s="122">
        <f>C52+'6'!D52</f>
        <v>0</v>
      </c>
      <c r="E52" s="147">
        <f t="shared" si="0"/>
        <v>0</v>
      </c>
      <c r="F52" s="187"/>
      <c r="H52" s="193"/>
      <c r="I52" s="194"/>
      <c r="J52" s="142"/>
      <c r="K52" s="143"/>
    </row>
    <row r="53" spans="1:11">
      <c r="A53" s="797" t="s">
        <v>28</v>
      </c>
      <c r="B53" s="798"/>
      <c r="C53" s="148">
        <f>SUM(C38:C52)</f>
        <v>1440</v>
      </c>
      <c r="D53" s="148">
        <f>SUM(D38:D52)</f>
        <v>10080</v>
      </c>
      <c r="E53" s="149">
        <f>SUM(E38:E52)</f>
        <v>168</v>
      </c>
      <c r="F53" s="187"/>
    </row>
    <row r="54" spans="1:11" ht="13.5" thickBot="1">
      <c r="A54" s="795"/>
      <c r="B54" s="796"/>
      <c r="C54" s="150">
        <f>C53/(24*60)</f>
        <v>1</v>
      </c>
      <c r="D54" s="150">
        <f>D53/(24*60*G4)</f>
        <v>1</v>
      </c>
      <c r="E54" s="151">
        <f>E53/(G4*24)</f>
        <v>1</v>
      </c>
      <c r="F54" s="187"/>
    </row>
    <row r="55" spans="1:11">
      <c r="E55" s="195"/>
    </row>
    <row r="56" spans="1:11">
      <c r="A56" s="196" t="s">
        <v>98</v>
      </c>
      <c r="B56" s="197"/>
      <c r="C56" s="198"/>
      <c r="D56" s="198"/>
      <c r="E56" s="198"/>
      <c r="F56" s="199"/>
      <c r="G56" s="198"/>
      <c r="H56" s="200"/>
      <c r="I56" s="201" t="s">
        <v>99</v>
      </c>
      <c r="J56" s="202">
        <f>+D34+'6'!J56</f>
        <v>0</v>
      </c>
      <c r="K56" s="203">
        <f>J56/(J40+J56/1000)/1000</f>
        <v>0</v>
      </c>
    </row>
    <row r="57" spans="1:11">
      <c r="A57" s="178"/>
      <c r="I57" s="201" t="s">
        <v>100</v>
      </c>
      <c r="J57" s="202">
        <f>+E34+'6'!J57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BreakPreview" topLeftCell="C4" zoomScale="80" zoomScaleNormal="75" zoomScaleSheetLayoutView="80" workbookViewId="0">
      <selection activeCell="F24" sqref="F24:H27"/>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85546875" style="153" bestFit="1" customWidth="1"/>
    <col min="12" max="12" width="8.28515625" style="153" customWidth="1"/>
    <col min="13" max="13" width="14.5703125" style="153" bestFit="1" customWidth="1"/>
    <col min="14" max="16384" width="9.140625" style="153"/>
  </cols>
  <sheetData>
    <row r="1" spans="1:13" ht="15.75">
      <c r="A1" s="152"/>
    </row>
    <row r="2" spans="1:13" ht="15.75">
      <c r="A2" s="152" t="s">
        <v>230</v>
      </c>
    </row>
    <row r="3" spans="1:13" ht="15">
      <c r="A3" s="154"/>
    </row>
    <row r="4" spans="1:13" ht="20.25">
      <c r="A4" s="155" t="s">
        <v>4</v>
      </c>
      <c r="B4" s="156"/>
      <c r="F4" s="157" t="s">
        <v>30</v>
      </c>
      <c r="G4" s="158">
        <v>6</v>
      </c>
      <c r="H4" s="158" t="str">
        <f>+'1'!H4</f>
        <v>.10.25</v>
      </c>
    </row>
    <row r="5" spans="1:13" ht="13.5" thickBot="1">
      <c r="C5" s="159"/>
      <c r="D5" s="159"/>
    </row>
    <row r="6" spans="1:13"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3" ht="13.5" customHeight="1" thickBot="1">
      <c r="A7" s="804"/>
      <c r="B7" s="217"/>
      <c r="C7" s="218"/>
      <c r="D7" s="219"/>
      <c r="E7" s="220"/>
      <c r="F7" s="235"/>
      <c r="G7" s="582" t="s">
        <v>12</v>
      </c>
      <c r="H7" s="583" t="s">
        <v>400</v>
      </c>
      <c r="I7" s="807"/>
      <c r="J7" s="216" t="str">
        <f>+'5'!J7</f>
        <v>TW 17 RC HW</v>
      </c>
      <c r="K7" s="237"/>
      <c r="L7" s="241"/>
      <c r="M7" s="121">
        <f>+K7+'5'!M7+L7</f>
        <v>3364</v>
      </c>
    </row>
    <row r="8" spans="1:13" ht="13.5" thickBot="1">
      <c r="A8" s="805"/>
      <c r="B8" s="217"/>
      <c r="C8" s="218"/>
      <c r="D8" s="219"/>
      <c r="E8" s="221"/>
      <c r="F8" s="231"/>
      <c r="G8" s="584" t="s">
        <v>12</v>
      </c>
      <c r="H8" s="230" t="s">
        <v>398</v>
      </c>
      <c r="I8" s="808"/>
      <c r="J8" s="216">
        <f>+'5'!J8</f>
        <v>0</v>
      </c>
      <c r="K8" s="238"/>
      <c r="L8" s="238"/>
      <c r="M8" s="121">
        <f>+K8+'5'!M8+L8</f>
        <v>0</v>
      </c>
    </row>
    <row r="9" spans="1:13" ht="13.5" thickBot="1">
      <c r="A9" s="805"/>
      <c r="B9" s="217"/>
      <c r="C9" s="218"/>
      <c r="D9" s="219"/>
      <c r="E9" s="222"/>
      <c r="F9" s="231"/>
      <c r="G9" s="584" t="s">
        <v>12</v>
      </c>
      <c r="H9" s="233" t="s">
        <v>399</v>
      </c>
      <c r="I9" s="808"/>
      <c r="J9" s="216">
        <f>+'5'!J9</f>
        <v>0</v>
      </c>
      <c r="K9" s="238"/>
      <c r="L9" s="238"/>
      <c r="M9" s="121">
        <f>+K9+'5'!M9+L9</f>
        <v>0</v>
      </c>
    </row>
    <row r="10" spans="1:13" ht="64.5" thickBot="1">
      <c r="A10" s="805"/>
      <c r="B10" s="217"/>
      <c r="C10" s="218"/>
      <c r="D10" s="219"/>
      <c r="E10" s="221"/>
      <c r="F10" s="231">
        <v>480</v>
      </c>
      <c r="G10" s="229" t="s">
        <v>20</v>
      </c>
      <c r="H10" s="585" t="s">
        <v>437</v>
      </c>
      <c r="I10" s="808"/>
      <c r="J10" s="216">
        <f>+'5'!J10</f>
        <v>0</v>
      </c>
      <c r="K10" s="238"/>
      <c r="L10" s="238"/>
      <c r="M10" s="121">
        <f>+K10+'5'!M10+L10</f>
        <v>0</v>
      </c>
    </row>
    <row r="11" spans="1:13" ht="13.5" thickBot="1">
      <c r="A11" s="805"/>
      <c r="B11" s="217"/>
      <c r="C11" s="218"/>
      <c r="D11" s="219"/>
      <c r="E11" s="221"/>
      <c r="F11" s="228"/>
      <c r="G11" s="232"/>
      <c r="H11" s="233"/>
      <c r="I11" s="808"/>
      <c r="J11" s="216">
        <f>+'5'!J11</f>
        <v>0</v>
      </c>
      <c r="K11" s="238"/>
      <c r="L11" s="238"/>
      <c r="M11" s="121">
        <f>+K11+'5'!M11+L11</f>
        <v>0</v>
      </c>
    </row>
    <row r="12" spans="1:13" ht="13.5" thickBot="1">
      <c r="A12" s="805"/>
      <c r="B12" s="217"/>
      <c r="C12" s="218"/>
      <c r="D12" s="219"/>
      <c r="E12" s="221"/>
      <c r="F12" s="228"/>
      <c r="G12" s="232"/>
      <c r="H12" s="233"/>
      <c r="I12" s="808"/>
      <c r="J12" s="216">
        <f>+'5'!J12</f>
        <v>0</v>
      </c>
      <c r="K12" s="238"/>
      <c r="L12" s="238"/>
      <c r="M12" s="121">
        <f>+K12+'5'!M12+L12</f>
        <v>0</v>
      </c>
    </row>
    <row r="13" spans="1:13" ht="13.5" thickBot="1">
      <c r="A13" s="805"/>
      <c r="B13" s="217"/>
      <c r="C13" s="218"/>
      <c r="D13" s="218"/>
      <c r="E13" s="221"/>
      <c r="F13" s="228"/>
      <c r="G13" s="232"/>
      <c r="H13" s="233"/>
      <c r="I13" s="809"/>
      <c r="J13" s="216">
        <f>+'5'!J13</f>
        <v>0</v>
      </c>
      <c r="K13" s="238"/>
      <c r="L13" s="238"/>
      <c r="M13" s="121">
        <f>+K13+'5'!M13+L13</f>
        <v>0</v>
      </c>
    </row>
    <row r="14" spans="1:13" ht="13.5" thickBot="1">
      <c r="A14" s="806"/>
      <c r="B14" s="169" t="s">
        <v>3</v>
      </c>
      <c r="C14" s="103">
        <f>SUM(C7:C13)</f>
        <v>0</v>
      </c>
      <c r="D14" s="115">
        <f>SUM(D7:D13)</f>
        <v>0</v>
      </c>
      <c r="E14" s="116">
        <f>SUM(E5:E13)</f>
        <v>0</v>
      </c>
      <c r="F14" s="120">
        <f>SUM(F7:F13)</f>
        <v>480</v>
      </c>
      <c r="G14" s="163"/>
      <c r="H14" s="170"/>
      <c r="I14" s="171"/>
      <c r="J14" s="216">
        <f>+'5'!J14</f>
        <v>0</v>
      </c>
      <c r="K14" s="238"/>
      <c r="L14" s="238"/>
      <c r="M14" s="121">
        <f>+K14+'5'!M14+L14</f>
        <v>0</v>
      </c>
    </row>
    <row r="15" spans="1:13" ht="13.5" customHeight="1" thickBot="1">
      <c r="A15" s="810"/>
      <c r="B15" s="528"/>
      <c r="C15" s="117" t="e">
        <f>C14/($C$23+$D$23+$E$23)</f>
        <v>#DIV/0!</v>
      </c>
      <c r="D15" s="118" t="e">
        <f>D14/($C$23+$D$23+$E$23)</f>
        <v>#DIV/0!</v>
      </c>
      <c r="E15" s="119" t="e">
        <f>E14/($C$23+$D$23+$E$23)</f>
        <v>#DIV/0!</v>
      </c>
      <c r="F15" s="235"/>
      <c r="G15" s="582" t="s">
        <v>12</v>
      </c>
      <c r="H15" s="583" t="s">
        <v>400</v>
      </c>
      <c r="I15" s="807"/>
      <c r="J15" s="216">
        <f>+'5'!J15</f>
        <v>0</v>
      </c>
      <c r="K15" s="238"/>
      <c r="L15" s="238"/>
      <c r="M15" s="121">
        <f>+K15+'5'!M15+L15</f>
        <v>0</v>
      </c>
    </row>
    <row r="16" spans="1:13" ht="13.5" thickBot="1">
      <c r="A16" s="805"/>
      <c r="B16" s="527"/>
      <c r="C16" s="526"/>
      <c r="D16" s="223"/>
      <c r="E16" s="224"/>
      <c r="F16" s="231"/>
      <c r="G16" s="584" t="s">
        <v>12</v>
      </c>
      <c r="H16" s="230" t="s">
        <v>398</v>
      </c>
      <c r="I16" s="808"/>
      <c r="J16" s="216">
        <f>+'5'!J16</f>
        <v>0</v>
      </c>
      <c r="K16" s="229"/>
      <c r="L16" s="229"/>
      <c r="M16" s="121">
        <f>+K16+'5'!M16+L16</f>
        <v>0</v>
      </c>
    </row>
    <row r="17" spans="1:14" ht="13.5" thickBot="1">
      <c r="A17" s="805"/>
      <c r="B17" s="217"/>
      <c r="C17" s="218"/>
      <c r="D17" s="219"/>
      <c r="E17" s="225"/>
      <c r="F17" s="231"/>
      <c r="G17" s="584" t="s">
        <v>12</v>
      </c>
      <c r="H17" s="233" t="s">
        <v>399</v>
      </c>
      <c r="I17" s="808"/>
      <c r="J17" s="216">
        <f>+'5'!J17</f>
        <v>0</v>
      </c>
      <c r="K17" s="229"/>
      <c r="L17" s="229"/>
      <c r="M17" s="121">
        <f>+K17+'5'!M17+L17</f>
        <v>0</v>
      </c>
    </row>
    <row r="18" spans="1:14" ht="77.25" thickBot="1">
      <c r="A18" s="805"/>
      <c r="B18" s="217"/>
      <c r="C18" s="218"/>
      <c r="D18" s="219"/>
      <c r="E18" s="225"/>
      <c r="F18" s="231">
        <v>480</v>
      </c>
      <c r="G18" s="229" t="s">
        <v>20</v>
      </c>
      <c r="H18" s="233" t="s">
        <v>436</v>
      </c>
      <c r="I18" s="808"/>
      <c r="J18" s="216">
        <f>+'5'!J18</f>
        <v>0</v>
      </c>
      <c r="K18" s="238"/>
      <c r="L18" s="238"/>
      <c r="M18" s="121">
        <f>+K18+'5'!M18+L18</f>
        <v>0</v>
      </c>
    </row>
    <row r="19" spans="1:14" ht="13.5" thickBot="1">
      <c r="A19" s="805"/>
      <c r="B19" s="217"/>
      <c r="C19" s="218"/>
      <c r="D19" s="219"/>
      <c r="E19" s="222"/>
      <c r="F19" s="234"/>
      <c r="G19" s="232"/>
      <c r="H19" s="233"/>
      <c r="I19" s="808"/>
      <c r="J19" s="216">
        <f>+'5'!J19</f>
        <v>0</v>
      </c>
      <c r="K19" s="238"/>
      <c r="L19" s="238"/>
      <c r="M19" s="121">
        <f>+K19+'5'!M19+L19</f>
        <v>0</v>
      </c>
    </row>
    <row r="20" spans="1:14" ht="13.5" thickBot="1">
      <c r="A20" s="805"/>
      <c r="B20" s="217"/>
      <c r="C20" s="218"/>
      <c r="D20" s="219"/>
      <c r="E20" s="225"/>
      <c r="F20" s="228"/>
      <c r="G20" s="232"/>
      <c r="H20" s="233"/>
      <c r="I20" s="808"/>
      <c r="J20" s="216">
        <f>+'5'!J20</f>
        <v>0</v>
      </c>
      <c r="K20" s="239"/>
      <c r="L20" s="239"/>
      <c r="M20" s="121">
        <f>+K20+'5'!M20+L20</f>
        <v>0</v>
      </c>
    </row>
    <row r="21" spans="1:14" ht="13.5" thickBot="1">
      <c r="A21" s="805"/>
      <c r="B21" s="217"/>
      <c r="C21" s="218"/>
      <c r="D21" s="219"/>
      <c r="E21" s="225"/>
      <c r="F21" s="231"/>
      <c r="G21" s="232"/>
      <c r="H21" s="233"/>
      <c r="I21" s="808"/>
      <c r="J21" s="216">
        <f>+'5'!J21</f>
        <v>0</v>
      </c>
      <c r="K21" s="238"/>
      <c r="L21" s="238"/>
      <c r="M21" s="121">
        <f>+K21+'5'!M21+L21</f>
        <v>0</v>
      </c>
    </row>
    <row r="22" spans="1:14" ht="13.5" thickBot="1">
      <c r="A22" s="805"/>
      <c r="B22" s="217"/>
      <c r="C22" s="218"/>
      <c r="D22" s="219"/>
      <c r="E22" s="225"/>
      <c r="F22" s="235"/>
      <c r="G22" s="232"/>
      <c r="H22" s="233"/>
      <c r="I22" s="809"/>
      <c r="J22" s="216">
        <f>+'5'!J22</f>
        <v>0</v>
      </c>
      <c r="K22" s="238"/>
      <c r="L22" s="238"/>
      <c r="M22" s="121">
        <f>+K22+'5'!M22+L22</f>
        <v>0</v>
      </c>
    </row>
    <row r="23" spans="1:14" ht="13.5" thickBot="1">
      <c r="A23" s="806"/>
      <c r="B23" s="169" t="s">
        <v>3</v>
      </c>
      <c r="C23" s="103">
        <f>SUM(C16:C22)</f>
        <v>0</v>
      </c>
      <c r="D23" s="115">
        <f>SUM(D16:D22)</f>
        <v>0</v>
      </c>
      <c r="E23" s="116">
        <f>SUM(E18:E22)</f>
        <v>0</v>
      </c>
      <c r="F23" s="120">
        <f>SUM(F15:F22)</f>
        <v>480</v>
      </c>
      <c r="G23" s="163"/>
      <c r="H23" s="170"/>
      <c r="I23" s="172"/>
      <c r="J23" s="216">
        <f>+'5'!J23</f>
        <v>0</v>
      </c>
      <c r="K23" s="238"/>
      <c r="L23" s="238"/>
      <c r="M23" s="121">
        <f>+K23+'5'!M23+L23</f>
        <v>0</v>
      </c>
    </row>
    <row r="24" spans="1:14" ht="13.5" customHeight="1" thickBot="1">
      <c r="A24" s="810"/>
      <c r="B24" s="528"/>
      <c r="C24" s="117" t="e">
        <f>C23/($C$23+$D$23+$E$23)</f>
        <v>#DIV/0!</v>
      </c>
      <c r="D24" s="118" t="e">
        <f>D23/($C$23+$D$23+$E$23)</f>
        <v>#DIV/0!</v>
      </c>
      <c r="E24" s="119" t="e">
        <f>E23/($C$23+$D$23+$E$23)</f>
        <v>#DIV/0!</v>
      </c>
      <c r="F24" s="235"/>
      <c r="G24" s="582" t="s">
        <v>12</v>
      </c>
      <c r="H24" s="583" t="s">
        <v>400</v>
      </c>
      <c r="I24" s="807"/>
      <c r="J24" s="216">
        <f>+'5'!J24</f>
        <v>0</v>
      </c>
      <c r="K24" s="238"/>
      <c r="L24" s="238"/>
      <c r="M24" s="121">
        <f>+K24+'5'!M24+L24</f>
        <v>0</v>
      </c>
    </row>
    <row r="25" spans="1:14" ht="13.5" thickBot="1">
      <c r="A25" s="805"/>
      <c r="B25" s="527"/>
      <c r="C25" s="226"/>
      <c r="D25" s="219"/>
      <c r="E25" s="225"/>
      <c r="F25" s="231"/>
      <c r="G25" s="584" t="s">
        <v>12</v>
      </c>
      <c r="H25" s="230" t="s">
        <v>398</v>
      </c>
      <c r="I25" s="808"/>
      <c r="J25" s="216">
        <f>+'5'!J25</f>
        <v>0</v>
      </c>
      <c r="K25" s="238"/>
      <c r="L25" s="238"/>
      <c r="M25" s="121">
        <f>+K25+'5'!M25+L25</f>
        <v>0</v>
      </c>
    </row>
    <row r="26" spans="1:14" ht="13.5" thickBot="1">
      <c r="A26" s="805"/>
      <c r="B26" s="217"/>
      <c r="C26" s="226"/>
      <c r="D26" s="219"/>
      <c r="E26" s="227"/>
      <c r="F26" s="231"/>
      <c r="G26" s="584" t="s">
        <v>12</v>
      </c>
      <c r="H26" s="233" t="s">
        <v>399</v>
      </c>
      <c r="I26" s="808"/>
      <c r="J26" s="216">
        <f>+'5'!J26</f>
        <v>0</v>
      </c>
      <c r="K26" s="238"/>
      <c r="L26" s="238"/>
      <c r="M26" s="121">
        <f>+K26+'5'!M26+L26</f>
        <v>0</v>
      </c>
    </row>
    <row r="27" spans="1:14" ht="13.5" thickBot="1">
      <c r="A27" s="805"/>
      <c r="B27" s="217"/>
      <c r="C27" s="218"/>
      <c r="D27" s="219"/>
      <c r="E27" s="225"/>
      <c r="F27" s="231">
        <v>480</v>
      </c>
      <c r="G27" s="229" t="s">
        <v>20</v>
      </c>
      <c r="H27" s="585"/>
      <c r="I27" s="808"/>
      <c r="J27" s="216">
        <f>+'5'!J27</f>
        <v>0</v>
      </c>
      <c r="K27" s="238"/>
      <c r="L27" s="238"/>
      <c r="M27" s="121">
        <f>+K27+'5'!M27+L27</f>
        <v>0</v>
      </c>
    </row>
    <row r="28" spans="1:14" ht="13.5" thickBot="1">
      <c r="A28" s="805"/>
      <c r="B28" s="217"/>
      <c r="C28" s="218"/>
      <c r="D28" s="219"/>
      <c r="E28" s="225"/>
      <c r="F28" s="231"/>
      <c r="G28" s="229"/>
      <c r="H28" s="233"/>
      <c r="I28" s="808"/>
      <c r="J28" s="216">
        <f>+'5'!J28</f>
        <v>0</v>
      </c>
      <c r="K28" s="238"/>
      <c r="L28" s="238"/>
      <c r="M28" s="121">
        <f>+K28+'5'!M28+L28</f>
        <v>0</v>
      </c>
    </row>
    <row r="29" spans="1:14" ht="13.5" thickBot="1">
      <c r="A29" s="805"/>
      <c r="B29" s="217"/>
      <c r="C29" s="218"/>
      <c r="D29" s="219"/>
      <c r="E29" s="225"/>
      <c r="F29" s="235"/>
      <c r="G29" s="232"/>
      <c r="H29" s="233"/>
      <c r="I29" s="808"/>
      <c r="J29" s="216">
        <f>+'5'!J29</f>
        <v>0</v>
      </c>
      <c r="K29" s="238"/>
      <c r="L29" s="238"/>
      <c r="M29" s="121">
        <f>+K29+'5'!M29+L29</f>
        <v>0</v>
      </c>
    </row>
    <row r="30" spans="1:14" ht="13.5" thickBot="1">
      <c r="A30" s="805"/>
      <c r="B30" s="217"/>
      <c r="C30" s="226"/>
      <c r="D30" s="219"/>
      <c r="E30" s="225"/>
      <c r="F30" s="235"/>
      <c r="G30" s="232"/>
      <c r="H30" s="233"/>
      <c r="I30" s="808"/>
      <c r="J30" s="216">
        <f>+'5'!J30</f>
        <v>0</v>
      </c>
      <c r="K30" s="238"/>
      <c r="L30" s="238"/>
      <c r="M30" s="121">
        <f>+K30+'5'!M30+L30</f>
        <v>0</v>
      </c>
      <c r="N30" s="159"/>
    </row>
    <row r="31" spans="1:14" ht="13.5" thickBot="1">
      <c r="A31" s="805"/>
      <c r="B31" s="217"/>
      <c r="C31" s="226"/>
      <c r="D31" s="219"/>
      <c r="E31" s="225"/>
      <c r="F31" s="235"/>
      <c r="G31" s="236"/>
      <c r="H31" s="413"/>
      <c r="I31" s="809"/>
      <c r="J31" s="216">
        <f>+'5'!J31</f>
        <v>0</v>
      </c>
      <c r="K31" s="238"/>
      <c r="L31" s="238"/>
      <c r="M31" s="121">
        <f>+K31+'5'!M31+L31</f>
        <v>0</v>
      </c>
    </row>
    <row r="32" spans="1:14" ht="13.5" thickBot="1">
      <c r="A32" s="806"/>
      <c r="B32" s="169" t="s">
        <v>3</v>
      </c>
      <c r="C32" s="103">
        <f>SUM(C25:C31)</f>
        <v>0</v>
      </c>
      <c r="D32" s="104">
        <f>SUM(D25:D31)</f>
        <v>0</v>
      </c>
      <c r="E32" s="105">
        <f>SUM(E25:E31)</f>
        <v>0</v>
      </c>
      <c r="F32" s="103">
        <f>SUM(F24:F31)</f>
        <v>480</v>
      </c>
      <c r="G32" s="173"/>
      <c r="H32" s="174"/>
      <c r="I32" s="172"/>
      <c r="J32" s="216">
        <f>+'5'!J32</f>
        <v>0</v>
      </c>
      <c r="K32" s="240"/>
      <c r="L32" s="242"/>
      <c r="M32" s="121">
        <f>+K32+'5'!M32+L32</f>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0</v>
      </c>
      <c r="D34" s="111">
        <f>D14+D23+D32</f>
        <v>0</v>
      </c>
      <c r="E34" s="111">
        <f>E14+E23+E32</f>
        <v>0</v>
      </c>
      <c r="F34" s="112">
        <f>F14+F23+F32</f>
        <v>1440</v>
      </c>
      <c r="H34" s="180"/>
      <c r="I34" s="180"/>
      <c r="J34" s="127" t="s">
        <v>28</v>
      </c>
      <c r="K34" s="128">
        <f>SUM(K7:K32)</f>
        <v>0</v>
      </c>
      <c r="L34" s="214">
        <f>SUM(L7:L32)</f>
        <v>0</v>
      </c>
      <c r="M34" s="124">
        <f>SUM(M7:M32)</f>
        <v>3364</v>
      </c>
      <c r="N34" s="159"/>
    </row>
    <row r="35" spans="1:14" ht="13.5" thickBot="1">
      <c r="A35" s="594"/>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(13*1440)/1440*G42*2.66*1440/1000000</f>
        <v>0</v>
      </c>
      <c r="J37" s="129">
        <f>+I37+'5'!J37</f>
        <v>0</v>
      </c>
      <c r="K37" s="130" t="s">
        <v>75</v>
      </c>
    </row>
    <row r="38" spans="1:14" ht="17.45" customHeight="1">
      <c r="A38" s="797" t="s">
        <v>12</v>
      </c>
      <c r="B38" s="798"/>
      <c r="C38" s="168">
        <f>SUMIF($G$7:$G$31,"Process",$F$7:$F$31)</f>
        <v>0</v>
      </c>
      <c r="D38" s="122">
        <f>C38+'5'!D38</f>
        <v>0</v>
      </c>
      <c r="E38" s="147">
        <f t="shared" ref="E38:E52" si="0">D38/60</f>
        <v>0</v>
      </c>
      <c r="F38" s="311"/>
      <c r="G38" s="311"/>
      <c r="H38" s="189" t="s">
        <v>76</v>
      </c>
      <c r="I38" s="534"/>
      <c r="J38" s="131">
        <f>+I38+'5'!J38</f>
        <v>0</v>
      </c>
      <c r="K38" s="132" t="s">
        <v>75</v>
      </c>
    </row>
    <row r="39" spans="1:14" ht="17.45" customHeight="1">
      <c r="A39" s="799" t="s">
        <v>13</v>
      </c>
      <c r="B39" s="800"/>
      <c r="C39" s="168">
        <f>SUMIF($G$7:$G$31,"Cleaning",$F$7:$F$31)</f>
        <v>0</v>
      </c>
      <c r="D39" s="122">
        <f>C39+'5'!D39</f>
        <v>0</v>
      </c>
      <c r="E39" s="147">
        <f t="shared" si="0"/>
        <v>0</v>
      </c>
      <c r="F39" s="311"/>
      <c r="G39" s="311"/>
      <c r="H39" s="189" t="s">
        <v>77</v>
      </c>
      <c r="I39" s="146"/>
      <c r="J39" s="133">
        <f>J37/G4</f>
        <v>0</v>
      </c>
      <c r="K39" s="134" t="s">
        <v>75</v>
      </c>
    </row>
    <row r="40" spans="1:14" ht="17.45" customHeight="1">
      <c r="A40" s="799" t="s">
        <v>78</v>
      </c>
      <c r="B40" s="800"/>
      <c r="C40" s="168">
        <f>SUMIF($G$7:$G$31,"Mechanical",$F$7:$F$31)</f>
        <v>0</v>
      </c>
      <c r="D40" s="122">
        <f>C40+'5'!D40</f>
        <v>0</v>
      </c>
      <c r="E40" s="147">
        <f t="shared" si="0"/>
        <v>0</v>
      </c>
      <c r="F40" s="311"/>
      <c r="G40" s="311"/>
      <c r="H40" s="189" t="s">
        <v>79</v>
      </c>
      <c r="I40" s="122">
        <f>(K34+L34)/1000</f>
        <v>0</v>
      </c>
      <c r="J40" s="135">
        <f>+I40+'5'!J40</f>
        <v>3.3639999999999999</v>
      </c>
      <c r="K40" s="134" t="s">
        <v>75</v>
      </c>
    </row>
    <row r="41" spans="1:14" ht="17.45" customHeight="1">
      <c r="A41" s="799" t="s">
        <v>80</v>
      </c>
      <c r="B41" s="800"/>
      <c r="C41" s="168">
        <f>SUMIF($G$7:$G$31,"Electrical",$F$7:$F$31)</f>
        <v>0</v>
      </c>
      <c r="D41" s="122">
        <f>C41+'5'!D41</f>
        <v>0</v>
      </c>
      <c r="E41" s="147">
        <f t="shared" si="0"/>
        <v>0</v>
      </c>
      <c r="F41" s="311"/>
      <c r="G41" s="311"/>
      <c r="H41" s="189" t="s">
        <v>81</v>
      </c>
      <c r="I41" s="146"/>
      <c r="J41" s="133">
        <f>J40/G4</f>
        <v>0.56066666666666665</v>
      </c>
      <c r="K41" s="134" t="s">
        <v>75</v>
      </c>
    </row>
    <row r="42" spans="1:14" ht="17.45" customHeight="1">
      <c r="A42" s="799" t="s">
        <v>16</v>
      </c>
      <c r="B42" s="800"/>
      <c r="C42" s="168">
        <f>SUMIF($G$7:$G$31,"Instrument",$F$7:$F$31)</f>
        <v>0</v>
      </c>
      <c r="D42" s="122">
        <f>C42+'5'!D42</f>
        <v>0</v>
      </c>
      <c r="E42" s="147">
        <f t="shared" si="0"/>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C43+'5'!D43</f>
        <v>0</v>
      </c>
      <c r="E43" s="147">
        <f t="shared" si="0"/>
        <v>0</v>
      </c>
      <c r="F43" s="311"/>
      <c r="G43" s="312"/>
      <c r="H43" s="190" t="s">
        <v>85</v>
      </c>
      <c r="I43" s="122">
        <f>+Report1!Z14</f>
        <v>0.1</v>
      </c>
      <c r="J43" s="137">
        <f>+I43+'5'!J43</f>
        <v>0.89999999999999991</v>
      </c>
      <c r="K43" s="134" t="s">
        <v>75</v>
      </c>
      <c r="L43" s="191"/>
    </row>
    <row r="44" spans="1:14" ht="17.45" customHeight="1">
      <c r="A44" s="799" t="s">
        <v>17</v>
      </c>
      <c r="B44" s="800"/>
      <c r="C44" s="168">
        <f>SUMIF($G$7:$G$31,"PLN",$F$7:$F$31)</f>
        <v>0</v>
      </c>
      <c r="D44" s="122">
        <f>C44+'5'!D44</f>
        <v>0</v>
      </c>
      <c r="E44" s="147">
        <f t="shared" si="0"/>
        <v>0</v>
      </c>
      <c r="F44" s="311"/>
      <c r="G44" s="312"/>
      <c r="H44" s="190" t="s">
        <v>86</v>
      </c>
      <c r="I44" s="122" t="e">
        <f>I43/I38</f>
        <v>#DIV/0!</v>
      </c>
      <c r="J44" s="138" t="e">
        <f>J43/J38</f>
        <v>#DIV/0!</v>
      </c>
      <c r="K44" s="134" t="s">
        <v>75</v>
      </c>
    </row>
    <row r="45" spans="1:14" ht="17.45" customHeight="1">
      <c r="A45" s="799" t="s">
        <v>18</v>
      </c>
      <c r="B45" s="800"/>
      <c r="C45" s="168">
        <f>SUMIF($G$7:$G$31,"Boiler",$F$7:$F$31)</f>
        <v>0</v>
      </c>
      <c r="D45" s="122">
        <f>C45+'5'!D45</f>
        <v>0</v>
      </c>
      <c r="E45" s="147">
        <f t="shared" si="0"/>
        <v>0</v>
      </c>
      <c r="F45" s="311"/>
      <c r="G45" s="314"/>
      <c r="H45" s="190" t="s">
        <v>87</v>
      </c>
      <c r="I45" s="122" t="e">
        <f>I43/I40</f>
        <v>#DIV/0!</v>
      </c>
      <c r="J45" s="138">
        <f>J43/J40</f>
        <v>0.267538644470868</v>
      </c>
      <c r="K45" s="134" t="s">
        <v>75</v>
      </c>
    </row>
    <row r="46" spans="1:14" ht="17.45" customHeight="1">
      <c r="A46" s="799" t="s">
        <v>88</v>
      </c>
      <c r="B46" s="800"/>
      <c r="C46" s="168">
        <f>SUMIF($G$7:$G$31,"Gas",$F$7:$F$31)</f>
        <v>0</v>
      </c>
      <c r="D46" s="122">
        <f>C46+'5'!D46</f>
        <v>0</v>
      </c>
      <c r="E46" s="147">
        <f t="shared" si="0"/>
        <v>0</v>
      </c>
      <c r="F46" s="311"/>
      <c r="G46" s="312"/>
      <c r="H46" s="190" t="s">
        <v>89</v>
      </c>
      <c r="I46" s="144">
        <f>+SUMIF(Listrik!X13,"&gt;0")</f>
        <v>2234.7400000007092</v>
      </c>
      <c r="J46" s="139">
        <f>+I46+'5'!J46</f>
        <v>20395.360000000357</v>
      </c>
      <c r="K46" s="134" t="s">
        <v>90</v>
      </c>
    </row>
    <row r="47" spans="1:14" ht="17.45" customHeight="1">
      <c r="A47" s="799" t="s">
        <v>91</v>
      </c>
      <c r="B47" s="800"/>
      <c r="C47" s="168">
        <f>SUMIF($G$7:$G$31,"Gas",$F$7:$F$31)</f>
        <v>0</v>
      </c>
      <c r="D47" s="122">
        <f>C47+'5'!D47</f>
        <v>0</v>
      </c>
      <c r="E47" s="147">
        <f t="shared" si="0"/>
        <v>0</v>
      </c>
      <c r="F47" s="311"/>
      <c r="G47" s="312"/>
      <c r="H47" s="190" t="s">
        <v>92</v>
      </c>
      <c r="I47" s="122" t="e">
        <f>I46/I38</f>
        <v>#DIV/0!</v>
      </c>
      <c r="J47" s="139" t="e">
        <f>J46/J38</f>
        <v>#DIV/0!</v>
      </c>
      <c r="K47" s="134" t="s">
        <v>24</v>
      </c>
    </row>
    <row r="48" spans="1:14" ht="17.45" customHeight="1">
      <c r="A48" s="799" t="s">
        <v>14</v>
      </c>
      <c r="B48" s="800"/>
      <c r="C48" s="168">
        <f>SUMIF($G$7:$G$31,"Start Up",$F$7:$F$31)</f>
        <v>0</v>
      </c>
      <c r="D48" s="122">
        <f>C48+'5'!D48</f>
        <v>0</v>
      </c>
      <c r="E48" s="147">
        <f t="shared" si="0"/>
        <v>0</v>
      </c>
      <c r="F48" s="311"/>
      <c r="G48" s="312"/>
      <c r="H48" s="190" t="s">
        <v>93</v>
      </c>
      <c r="I48" s="122" t="e">
        <f>I46/I40</f>
        <v>#DIV/0!</v>
      </c>
      <c r="J48" s="139">
        <f>J46/J40</f>
        <v>6062.8299643282871</v>
      </c>
      <c r="K48" s="134" t="s">
        <v>24</v>
      </c>
    </row>
    <row r="49" spans="1:11" ht="17.45" customHeight="1">
      <c r="A49" s="799" t="s">
        <v>20</v>
      </c>
      <c r="B49" s="800"/>
      <c r="C49" s="168">
        <f>SUMIF($G$7:$G$31,"Others",$F$7:$F$31)</f>
        <v>1440</v>
      </c>
      <c r="D49" s="122">
        <f>C49+'5'!D49</f>
        <v>8640</v>
      </c>
      <c r="E49" s="147">
        <f t="shared" si="0"/>
        <v>144</v>
      </c>
      <c r="F49" s="187"/>
      <c r="H49" s="190" t="s">
        <v>278</v>
      </c>
      <c r="I49" s="122">
        <f>+Report1!T14</f>
        <v>0</v>
      </c>
      <c r="J49" s="139">
        <f>+I49+'5'!J49</f>
        <v>0</v>
      </c>
      <c r="K49" s="134" t="s">
        <v>94</v>
      </c>
    </row>
    <row r="50" spans="1:11" ht="17.45" customHeight="1">
      <c r="A50" s="799" t="s">
        <v>19</v>
      </c>
      <c r="B50" s="800"/>
      <c r="C50" s="168">
        <f>SUMIF($G$7:$G$31,"Steam",$F$7:$F$31)</f>
        <v>0</v>
      </c>
      <c r="D50" s="122">
        <f>C50+'5'!D50</f>
        <v>0</v>
      </c>
      <c r="E50" s="147">
        <f t="shared" si="0"/>
        <v>0</v>
      </c>
      <c r="F50" s="187"/>
      <c r="H50" s="190" t="s">
        <v>95</v>
      </c>
      <c r="I50" s="144" t="e">
        <f>I49/I38</f>
        <v>#DIV/0!</v>
      </c>
      <c r="J50" s="137" t="e">
        <f>J49/J38</f>
        <v>#DIV/0!</v>
      </c>
      <c r="K50" s="134" t="s">
        <v>94</v>
      </c>
    </row>
    <row r="51" spans="1:11" ht="17.45" customHeight="1">
      <c r="A51" s="801" t="s">
        <v>96</v>
      </c>
      <c r="B51" s="801"/>
      <c r="C51" s="168">
        <f>SUMIF($G$7:$G$31,"Planned shut",$F$7:$F$31)</f>
        <v>0</v>
      </c>
      <c r="D51" s="122">
        <f>C51+'5'!D51</f>
        <v>0</v>
      </c>
      <c r="E51" s="147">
        <f t="shared" si="0"/>
        <v>0</v>
      </c>
      <c r="F51" s="187"/>
      <c r="H51" s="192" t="s">
        <v>97</v>
      </c>
      <c r="I51" s="145" t="e">
        <f>I49/I40</f>
        <v>#DIV/0!</v>
      </c>
      <c r="J51" s="140">
        <f>J49/J40</f>
        <v>0</v>
      </c>
      <c r="K51" s="141" t="s">
        <v>94</v>
      </c>
    </row>
    <row r="52" spans="1:11" ht="13.5" thickBot="1">
      <c r="A52" s="802" t="s">
        <v>229</v>
      </c>
      <c r="B52" s="803"/>
      <c r="C52" s="168">
        <f>SUMIF($G$7:$G$31,"Change Grade",$F$7:$F$31)</f>
        <v>0</v>
      </c>
      <c r="D52" s="122">
        <f>C52+'5'!D52</f>
        <v>0</v>
      </c>
      <c r="E52" s="147">
        <f t="shared" si="0"/>
        <v>0</v>
      </c>
      <c r="F52" s="187"/>
      <c r="H52" s="193"/>
      <c r="I52" s="194"/>
      <c r="J52" s="142"/>
      <c r="K52" s="143"/>
    </row>
    <row r="53" spans="1:11">
      <c r="A53" s="797" t="s">
        <v>28</v>
      </c>
      <c r="B53" s="798"/>
      <c r="C53" s="148">
        <f>SUM(C38:C52)</f>
        <v>1440</v>
      </c>
      <c r="D53" s="148">
        <f>SUM(D38:D52)</f>
        <v>8640</v>
      </c>
      <c r="E53" s="149">
        <f>SUM(E38:E52)</f>
        <v>144</v>
      </c>
      <c r="F53" s="187"/>
    </row>
    <row r="54" spans="1:11" ht="13.5" thickBot="1">
      <c r="A54" s="795"/>
      <c r="B54" s="796"/>
      <c r="C54" s="150">
        <f>C53/(24*60)</f>
        <v>1</v>
      </c>
      <c r="D54" s="150">
        <f>D53/(24*60*G4)</f>
        <v>1</v>
      </c>
      <c r="E54" s="151">
        <f>E53/(G4*24)</f>
        <v>1</v>
      </c>
      <c r="F54" s="187"/>
    </row>
    <row r="55" spans="1:11">
      <c r="E55" s="195"/>
    </row>
    <row r="56" spans="1:11">
      <c r="A56" s="196" t="s">
        <v>98</v>
      </c>
      <c r="B56" s="197"/>
      <c r="C56" s="198"/>
      <c r="D56" s="198"/>
      <c r="E56" s="198"/>
      <c r="F56" s="199"/>
      <c r="G56" s="198"/>
      <c r="H56" s="200"/>
      <c r="I56" s="201" t="s">
        <v>99</v>
      </c>
      <c r="J56" s="202">
        <f>+D34+'5'!J56</f>
        <v>0</v>
      </c>
      <c r="K56" s="203">
        <f>J56/(J40+J56/1000)/1000</f>
        <v>0</v>
      </c>
    </row>
    <row r="57" spans="1:11">
      <c r="A57" s="178"/>
      <c r="I57" s="201" t="s">
        <v>100</v>
      </c>
      <c r="J57" s="202">
        <f>+E34+'5'!J57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A4" zoomScale="80" zoomScaleNormal="75" zoomScaleSheetLayoutView="80" workbookViewId="0">
      <selection activeCell="J7" sqref="J7:J3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customWidth="1"/>
    <col min="12" max="12" width="8.28515625" style="153" customWidth="1"/>
    <col min="13" max="13" width="15.140625" style="153" customWidth="1"/>
    <col min="14" max="16384" width="9.140625" style="153"/>
  </cols>
  <sheetData>
    <row r="1" spans="1:27" ht="15.75">
      <c r="A1" s="152"/>
      <c r="V1" s="529"/>
    </row>
    <row r="2" spans="1:27" ht="15.75">
      <c r="A2" s="152" t="s">
        <v>230</v>
      </c>
      <c r="V2" s="564"/>
    </row>
    <row r="3" spans="1:27" ht="15">
      <c r="A3" s="154"/>
      <c r="Y3" s="178"/>
    </row>
    <row r="4" spans="1:27" ht="20.25">
      <c r="A4" s="155" t="s">
        <v>4</v>
      </c>
      <c r="B4" s="156"/>
      <c r="F4" s="157" t="s">
        <v>30</v>
      </c>
      <c r="G4" s="158">
        <v>5</v>
      </c>
      <c r="H4" s="158" t="s">
        <v>411</v>
      </c>
      <c r="Z4" s="178"/>
      <c r="AA4" s="178"/>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V6" s="530"/>
    </row>
    <row r="7" spans="1:27" ht="13.5" customHeight="1" thickBot="1">
      <c r="A7" s="804"/>
      <c r="B7" s="217"/>
      <c r="C7" s="218"/>
      <c r="D7" s="219"/>
      <c r="E7" s="220"/>
      <c r="F7" s="235"/>
      <c r="G7" s="582" t="s">
        <v>12</v>
      </c>
      <c r="H7" s="583" t="s">
        <v>400</v>
      </c>
      <c r="I7" s="807"/>
      <c r="J7" s="216" t="str">
        <f>+'4'!J7</f>
        <v>TW 17 RC HW</v>
      </c>
      <c r="K7" s="237"/>
      <c r="L7" s="241"/>
      <c r="M7" s="121">
        <f>+K7+'4'!M7+L7</f>
        <v>3364</v>
      </c>
      <c r="V7" s="530"/>
    </row>
    <row r="8" spans="1:27" ht="13.5" thickBot="1">
      <c r="A8" s="805"/>
      <c r="B8" s="217"/>
      <c r="C8" s="218"/>
      <c r="D8" s="219"/>
      <c r="E8" s="221"/>
      <c r="F8" s="231"/>
      <c r="G8" s="584" t="s">
        <v>12</v>
      </c>
      <c r="H8" s="230" t="s">
        <v>398</v>
      </c>
      <c r="I8" s="808"/>
      <c r="J8" s="216">
        <f>+'4'!J8</f>
        <v>0</v>
      </c>
      <c r="K8" s="238"/>
      <c r="L8" s="238"/>
      <c r="M8" s="121">
        <f>+K8+'4'!M8+L8</f>
        <v>0</v>
      </c>
      <c r="N8" s="529"/>
      <c r="Y8" s="531"/>
    </row>
    <row r="9" spans="1:27" ht="13.5" thickBot="1">
      <c r="A9" s="805"/>
      <c r="B9" s="217"/>
      <c r="C9" s="218"/>
      <c r="D9" s="219"/>
      <c r="E9" s="222"/>
      <c r="F9" s="231"/>
      <c r="G9" s="584" t="s">
        <v>12</v>
      </c>
      <c r="H9" s="233" t="s">
        <v>399</v>
      </c>
      <c r="I9" s="808"/>
      <c r="J9" s="216">
        <f>+'4'!J9</f>
        <v>0</v>
      </c>
      <c r="K9" s="238">
        <f>+C7+C16</f>
        <v>0</v>
      </c>
      <c r="L9" s="238"/>
      <c r="M9" s="121">
        <f>+K9+'4'!M9+L9</f>
        <v>0</v>
      </c>
      <c r="N9" s="530"/>
      <c r="Z9" s="531"/>
      <c r="AA9" s="531"/>
    </row>
    <row r="10" spans="1:27" ht="77.25" thickBot="1">
      <c r="A10" s="805"/>
      <c r="B10" s="217"/>
      <c r="C10" s="218"/>
      <c r="D10" s="219"/>
      <c r="E10" s="221"/>
      <c r="F10" s="231">
        <v>480</v>
      </c>
      <c r="G10" s="229" t="s">
        <v>20</v>
      </c>
      <c r="H10" s="585" t="s">
        <v>435</v>
      </c>
      <c r="I10" s="808"/>
      <c r="J10" s="216">
        <f>+'4'!J10</f>
        <v>0</v>
      </c>
      <c r="K10" s="238">
        <f>+C17+C25</f>
        <v>0</v>
      </c>
      <c r="L10" s="238"/>
      <c r="M10" s="121">
        <f>+K10+'4'!M10+L10</f>
        <v>0</v>
      </c>
      <c r="Q10" s="178"/>
    </row>
    <row r="11" spans="1:27" ht="13.5" thickBot="1">
      <c r="A11" s="805"/>
      <c r="B11" s="217"/>
      <c r="C11" s="218"/>
      <c r="D11" s="219"/>
      <c r="E11" s="221"/>
      <c r="F11" s="228"/>
      <c r="G11" s="232"/>
      <c r="H11" s="233"/>
      <c r="I11" s="808"/>
      <c r="J11" s="216">
        <f>+'4'!J11</f>
        <v>0</v>
      </c>
      <c r="K11" s="238">
        <f>+C26</f>
        <v>0</v>
      </c>
      <c r="L11" s="238"/>
      <c r="M11" s="121">
        <f>+K11+'4'!M11+L11</f>
        <v>0</v>
      </c>
      <c r="R11" s="178"/>
      <c r="S11" s="178"/>
    </row>
    <row r="12" spans="1:27" ht="13.5" thickBot="1">
      <c r="A12" s="805"/>
      <c r="B12" s="217"/>
      <c r="C12" s="218"/>
      <c r="D12" s="219"/>
      <c r="E12" s="221"/>
      <c r="F12" s="228"/>
      <c r="G12" s="232"/>
      <c r="H12" s="233"/>
      <c r="I12" s="808"/>
      <c r="J12" s="216">
        <f>+'4'!J12</f>
        <v>0</v>
      </c>
      <c r="K12" s="238"/>
      <c r="L12" s="238"/>
      <c r="M12" s="121">
        <f>+K12+'4'!M12+L12</f>
        <v>0</v>
      </c>
    </row>
    <row r="13" spans="1:27" ht="13.5" thickBot="1">
      <c r="A13" s="805"/>
      <c r="B13" s="217"/>
      <c r="C13" s="218"/>
      <c r="D13" s="218"/>
      <c r="E13" s="221"/>
      <c r="F13" s="228"/>
      <c r="G13" s="232"/>
      <c r="H13" s="233"/>
      <c r="I13" s="809"/>
      <c r="J13" s="216">
        <f>+'4'!J13</f>
        <v>0</v>
      </c>
      <c r="K13" s="238"/>
      <c r="L13" s="238"/>
      <c r="M13" s="121">
        <f>+K13+'4'!M13+L13</f>
        <v>0</v>
      </c>
      <c r="V13" s="586"/>
    </row>
    <row r="14" spans="1:27" ht="13.5" thickBot="1">
      <c r="A14" s="806"/>
      <c r="B14" s="169" t="s">
        <v>3</v>
      </c>
      <c r="C14" s="103">
        <f>SUM(C7:C13)</f>
        <v>0</v>
      </c>
      <c r="D14" s="115">
        <f>SUM(D7:D13)</f>
        <v>0</v>
      </c>
      <c r="E14" s="116">
        <f>SUM(E5:E13)</f>
        <v>0</v>
      </c>
      <c r="F14" s="120">
        <f>SUM(F7:F13)</f>
        <v>480</v>
      </c>
      <c r="G14" s="163"/>
      <c r="H14" s="170"/>
      <c r="I14" s="171"/>
      <c r="J14" s="216">
        <f>+'4'!J14</f>
        <v>0</v>
      </c>
      <c r="K14" s="238"/>
      <c r="L14" s="238"/>
      <c r="M14" s="121">
        <f>+K14+'4'!M14+L14</f>
        <v>0</v>
      </c>
      <c r="V14" s="586"/>
    </row>
    <row r="15" spans="1:27" ht="13.5" customHeight="1" thickBot="1">
      <c r="A15" s="810"/>
      <c r="B15" s="528"/>
      <c r="C15" s="117" t="e">
        <f>C14/($C$23+$D$23+$E$23)</f>
        <v>#DIV/0!</v>
      </c>
      <c r="D15" s="118" t="e">
        <f>D14/($C$23+$D$23+$E$23)</f>
        <v>#DIV/0!</v>
      </c>
      <c r="E15" s="119" t="e">
        <f>E14/($C$23+$D$23+$E$23)</f>
        <v>#DIV/0!</v>
      </c>
      <c r="F15" s="235"/>
      <c r="G15" s="582" t="s">
        <v>12</v>
      </c>
      <c r="H15" s="583" t="s">
        <v>400</v>
      </c>
      <c r="I15" s="807"/>
      <c r="J15" s="216">
        <f>+'4'!J15</f>
        <v>0</v>
      </c>
      <c r="K15" s="238"/>
      <c r="L15" s="238"/>
      <c r="M15" s="121">
        <f>+K15+'4'!M15+L15</f>
        <v>0</v>
      </c>
      <c r="N15" s="530"/>
      <c r="Y15" s="587"/>
    </row>
    <row r="16" spans="1:27" ht="13.5" thickBot="1">
      <c r="A16" s="805"/>
      <c r="B16" s="527"/>
      <c r="C16" s="526"/>
      <c r="D16" s="223"/>
      <c r="E16" s="224"/>
      <c r="F16" s="231"/>
      <c r="G16" s="584" t="s">
        <v>12</v>
      </c>
      <c r="H16" s="230" t="s">
        <v>398</v>
      </c>
      <c r="I16" s="808"/>
      <c r="J16" s="216">
        <f>+'4'!J16</f>
        <v>0</v>
      </c>
      <c r="K16" s="229"/>
      <c r="L16" s="229"/>
      <c r="M16" s="121">
        <f>+K16+'4'!M16+L16</f>
        <v>0</v>
      </c>
      <c r="N16" s="586"/>
      <c r="Z16" s="587"/>
      <c r="AA16" s="587"/>
    </row>
    <row r="17" spans="1:19" ht="13.5" thickBot="1">
      <c r="A17" s="805"/>
      <c r="B17" s="217"/>
      <c r="C17" s="218"/>
      <c r="D17" s="219"/>
      <c r="E17" s="225"/>
      <c r="F17" s="231"/>
      <c r="G17" s="584" t="s">
        <v>12</v>
      </c>
      <c r="H17" s="233" t="s">
        <v>399</v>
      </c>
      <c r="I17" s="808"/>
      <c r="J17" s="216">
        <f>+'4'!J17</f>
        <v>0</v>
      </c>
      <c r="K17" s="229"/>
      <c r="L17" s="229"/>
      <c r="M17" s="121">
        <f>+K17+'4'!M17+L17</f>
        <v>0</v>
      </c>
      <c r="Q17" s="178"/>
    </row>
    <row r="18" spans="1:19" ht="77.25" thickBot="1">
      <c r="A18" s="805"/>
      <c r="B18" s="217"/>
      <c r="C18" s="218"/>
      <c r="D18" s="219"/>
      <c r="E18" s="225"/>
      <c r="F18" s="231">
        <v>480</v>
      </c>
      <c r="G18" s="229" t="s">
        <v>20</v>
      </c>
      <c r="H18" s="585" t="s">
        <v>434</v>
      </c>
      <c r="I18" s="808"/>
      <c r="J18" s="216">
        <f>+'4'!J18</f>
        <v>0</v>
      </c>
      <c r="K18" s="238"/>
      <c r="L18" s="238"/>
      <c r="M18" s="121">
        <f>+K18+'4'!M18+L18</f>
        <v>0</v>
      </c>
      <c r="R18" s="178"/>
      <c r="S18" s="178"/>
    </row>
    <row r="19" spans="1:19" ht="13.5" thickBot="1">
      <c r="A19" s="805"/>
      <c r="B19" s="217"/>
      <c r="C19" s="218"/>
      <c r="D19" s="219"/>
      <c r="E19" s="222"/>
      <c r="F19" s="234"/>
      <c r="G19" s="232"/>
      <c r="H19" s="233"/>
      <c r="I19" s="808"/>
      <c r="J19" s="216">
        <f>+'4'!J19</f>
        <v>0</v>
      </c>
      <c r="K19" s="238"/>
      <c r="L19" s="238"/>
      <c r="M19" s="121">
        <f>+K19+'4'!M19+L19</f>
        <v>0</v>
      </c>
    </row>
    <row r="20" spans="1:19" ht="13.5" thickBot="1">
      <c r="A20" s="805"/>
      <c r="B20" s="217"/>
      <c r="C20" s="218"/>
      <c r="D20" s="219"/>
      <c r="E20" s="225"/>
      <c r="F20" s="228"/>
      <c r="G20" s="232"/>
      <c r="H20" s="233"/>
      <c r="I20" s="808"/>
      <c r="J20" s="216">
        <f>+'4'!J20</f>
        <v>0</v>
      </c>
      <c r="K20" s="239"/>
      <c r="L20" s="239"/>
      <c r="M20" s="121">
        <f>+K20+'4'!M20+L20</f>
        <v>0</v>
      </c>
    </row>
    <row r="21" spans="1:19" ht="13.5" thickBot="1">
      <c r="A21" s="805"/>
      <c r="B21" s="217"/>
      <c r="C21" s="218"/>
      <c r="D21" s="219"/>
      <c r="E21" s="225"/>
      <c r="F21" s="231"/>
      <c r="G21" s="232"/>
      <c r="H21" s="233"/>
      <c r="I21" s="808"/>
      <c r="J21" s="216">
        <f>+'4'!J21</f>
        <v>0</v>
      </c>
      <c r="K21" s="238"/>
      <c r="L21" s="238"/>
      <c r="M21" s="121">
        <f>+K21+'4'!M21+L21</f>
        <v>0</v>
      </c>
    </row>
    <row r="22" spans="1:19" ht="13.5" thickBot="1">
      <c r="A22" s="805"/>
      <c r="B22" s="217"/>
      <c r="C22" s="218"/>
      <c r="D22" s="219"/>
      <c r="E22" s="225"/>
      <c r="F22" s="235"/>
      <c r="G22" s="232"/>
      <c r="H22" s="233"/>
      <c r="I22" s="809"/>
      <c r="J22" s="216">
        <f>+'4'!J22</f>
        <v>0</v>
      </c>
      <c r="K22" s="238"/>
      <c r="L22" s="238"/>
      <c r="M22" s="121">
        <f>+K22+'4'!M22+L22</f>
        <v>0</v>
      </c>
    </row>
    <row r="23" spans="1:19" ht="13.5" thickBot="1">
      <c r="A23" s="806"/>
      <c r="B23" s="169" t="s">
        <v>3</v>
      </c>
      <c r="C23" s="103">
        <f>SUM(C16:C22)</f>
        <v>0</v>
      </c>
      <c r="D23" s="115">
        <f>SUM(D16:D22)</f>
        <v>0</v>
      </c>
      <c r="E23" s="116">
        <f>SUM(E18:E22)</f>
        <v>0</v>
      </c>
      <c r="F23" s="120">
        <f>SUM(F15:F22)</f>
        <v>480</v>
      </c>
      <c r="G23" s="163"/>
      <c r="H23" s="170"/>
      <c r="I23" s="172"/>
      <c r="J23" s="216">
        <f>+'4'!J23</f>
        <v>0</v>
      </c>
      <c r="K23" s="238"/>
      <c r="L23" s="238"/>
      <c r="M23" s="121">
        <f>+K23+'4'!M23+L23</f>
        <v>0</v>
      </c>
    </row>
    <row r="24" spans="1:19" ht="13.5" customHeight="1" thickBot="1">
      <c r="A24" s="810"/>
      <c r="B24" s="528"/>
      <c r="C24" s="117" t="e">
        <f>C23/($C$23+$D$23+$E$23)</f>
        <v>#DIV/0!</v>
      </c>
      <c r="D24" s="118" t="e">
        <f>D23/($C$23+$D$23+$E$23)</f>
        <v>#DIV/0!</v>
      </c>
      <c r="E24" s="119" t="e">
        <f>E23/($C$23+$D$23+$E$23)</f>
        <v>#DIV/0!</v>
      </c>
      <c r="F24" s="235"/>
      <c r="G24" s="582" t="s">
        <v>12</v>
      </c>
      <c r="H24" s="583" t="s">
        <v>400</v>
      </c>
      <c r="I24" s="807"/>
      <c r="J24" s="216">
        <f>+'4'!J24</f>
        <v>0</v>
      </c>
      <c r="K24" s="238"/>
      <c r="L24" s="238"/>
      <c r="M24" s="121">
        <f>+K24+'4'!M24+L24</f>
        <v>0</v>
      </c>
      <c r="N24" s="586"/>
    </row>
    <row r="25" spans="1:19" ht="13.5" thickBot="1">
      <c r="A25" s="805"/>
      <c r="B25" s="527"/>
      <c r="C25" s="226"/>
      <c r="D25" s="219"/>
      <c r="E25" s="225"/>
      <c r="F25" s="231"/>
      <c r="G25" s="584" t="s">
        <v>12</v>
      </c>
      <c r="H25" s="230" t="s">
        <v>398</v>
      </c>
      <c r="I25" s="808"/>
      <c r="J25" s="216">
        <f>+'4'!J25</f>
        <v>0</v>
      </c>
      <c r="K25" s="238"/>
      <c r="L25" s="238"/>
      <c r="M25" s="121">
        <f>+K25+'4'!M25+L25</f>
        <v>0</v>
      </c>
      <c r="N25" s="564"/>
    </row>
    <row r="26" spans="1:19" ht="13.5" thickBot="1">
      <c r="A26" s="805"/>
      <c r="B26" s="217"/>
      <c r="C26" s="226"/>
      <c r="D26" s="219"/>
      <c r="E26" s="227"/>
      <c r="F26" s="231"/>
      <c r="G26" s="584" t="s">
        <v>12</v>
      </c>
      <c r="H26" s="233" t="s">
        <v>399</v>
      </c>
      <c r="I26" s="808"/>
      <c r="J26" s="216">
        <f>+'4'!J26</f>
        <v>0</v>
      </c>
      <c r="K26" s="238"/>
      <c r="L26" s="238"/>
      <c r="M26" s="121">
        <f>+K26+'4'!M26+L26</f>
        <v>0</v>
      </c>
      <c r="Q26" s="178"/>
    </row>
    <row r="27" spans="1:19" ht="90" thickBot="1">
      <c r="A27" s="805"/>
      <c r="B27" s="217"/>
      <c r="C27" s="218"/>
      <c r="D27" s="219"/>
      <c r="E27" s="225"/>
      <c r="F27" s="231">
        <v>480</v>
      </c>
      <c r="G27" s="229" t="s">
        <v>20</v>
      </c>
      <c r="H27" s="585" t="s">
        <v>433</v>
      </c>
      <c r="I27" s="808"/>
      <c r="J27" s="216">
        <f>+'4'!J27</f>
        <v>0</v>
      </c>
      <c r="K27" s="238"/>
      <c r="L27" s="238"/>
      <c r="M27" s="121">
        <f>+K27+'4'!M27+L27</f>
        <v>0</v>
      </c>
      <c r="R27" s="178"/>
      <c r="S27" s="178"/>
    </row>
    <row r="28" spans="1:19" ht="13.5" thickBot="1">
      <c r="A28" s="805"/>
      <c r="B28" s="217"/>
      <c r="C28" s="218"/>
      <c r="D28" s="219"/>
      <c r="E28" s="225"/>
      <c r="F28" s="231"/>
      <c r="G28" s="229"/>
      <c r="H28" s="233"/>
      <c r="I28" s="808"/>
      <c r="J28" s="216">
        <f>+'4'!J28</f>
        <v>0</v>
      </c>
      <c r="K28" s="238"/>
      <c r="L28" s="238"/>
      <c r="M28" s="121">
        <f>+K28+'4'!M28+L28</f>
        <v>0</v>
      </c>
    </row>
    <row r="29" spans="1:19" ht="13.5" thickBot="1">
      <c r="A29" s="805"/>
      <c r="B29" s="217"/>
      <c r="C29" s="218"/>
      <c r="D29" s="219"/>
      <c r="E29" s="225"/>
      <c r="F29" s="235"/>
      <c r="G29" s="232"/>
      <c r="H29" s="233"/>
      <c r="I29" s="808"/>
      <c r="J29" s="216">
        <f>+'4'!J29</f>
        <v>0</v>
      </c>
      <c r="K29" s="238"/>
      <c r="L29" s="238"/>
      <c r="M29" s="121">
        <f>+K29+'4'!M29+L29</f>
        <v>0</v>
      </c>
    </row>
    <row r="30" spans="1:19" ht="13.5" thickBot="1">
      <c r="A30" s="805"/>
      <c r="B30" s="217"/>
      <c r="C30" s="226"/>
      <c r="D30" s="219"/>
      <c r="E30" s="225"/>
      <c r="F30" s="235"/>
      <c r="G30" s="232"/>
      <c r="H30" s="233"/>
      <c r="I30" s="808"/>
      <c r="J30" s="216">
        <f>+'4'!J30</f>
        <v>0</v>
      </c>
      <c r="K30" s="238"/>
      <c r="L30" s="238"/>
      <c r="M30" s="121">
        <f>+K30+'4'!M30+L30</f>
        <v>0</v>
      </c>
      <c r="N30" s="159"/>
    </row>
    <row r="31" spans="1:19" ht="13.5" thickBot="1">
      <c r="A31" s="805"/>
      <c r="B31" s="217"/>
      <c r="C31" s="226"/>
      <c r="D31" s="219"/>
      <c r="E31" s="225"/>
      <c r="F31" s="235"/>
      <c r="G31" s="236"/>
      <c r="H31" s="413"/>
      <c r="I31" s="809"/>
      <c r="J31" s="216">
        <f>+'4'!J31</f>
        <v>0</v>
      </c>
      <c r="K31" s="238"/>
      <c r="L31" s="238"/>
      <c r="M31" s="121">
        <f>+K31+'4'!M31+L31</f>
        <v>0</v>
      </c>
    </row>
    <row r="32" spans="1:19" ht="13.5" thickBot="1">
      <c r="A32" s="806"/>
      <c r="B32" s="169" t="s">
        <v>3</v>
      </c>
      <c r="C32" s="103">
        <f>SUM(C25:C31)</f>
        <v>0</v>
      </c>
      <c r="D32" s="104">
        <f>SUM(D25:D31)</f>
        <v>0</v>
      </c>
      <c r="E32" s="105">
        <f>SUM(E25:E31)</f>
        <v>0</v>
      </c>
      <c r="F32" s="103">
        <f>SUM(F24:F31)</f>
        <v>480</v>
      </c>
      <c r="G32" s="173"/>
      <c r="H32" s="174"/>
      <c r="I32" s="172"/>
      <c r="J32" s="216">
        <f>+'4'!J32</f>
        <v>0</v>
      </c>
      <c r="K32" s="240"/>
      <c r="L32" s="242"/>
      <c r="M32" s="121">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0</v>
      </c>
      <c r="D34" s="111">
        <f>D14+D23+D32</f>
        <v>0</v>
      </c>
      <c r="E34" s="111">
        <f>E14+E23+E32</f>
        <v>0</v>
      </c>
      <c r="F34" s="112">
        <f>F14+F23+F32</f>
        <v>1440</v>
      </c>
      <c r="H34" s="180"/>
      <c r="I34" s="180"/>
      <c r="J34" s="127" t="s">
        <v>28</v>
      </c>
      <c r="K34" s="128">
        <f>SUM(K7:K32)</f>
        <v>0</v>
      </c>
      <c r="L34" s="214">
        <f>SUM(L7:L32)</f>
        <v>0</v>
      </c>
      <c r="M34" s="124">
        <f>SUM(M7:M32)</f>
        <v>3364</v>
      </c>
      <c r="N34" s="159"/>
    </row>
    <row r="35" spans="1:14" ht="13.5" thickBot="1">
      <c r="A35" s="594"/>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(13*730+17*480+15*230)/1440*G42*2.66*1440/1000000</f>
        <v>0</v>
      </c>
      <c r="J37" s="129">
        <f>+I37+'4'!J37</f>
        <v>0</v>
      </c>
      <c r="K37" s="130" t="s">
        <v>75</v>
      </c>
    </row>
    <row r="38" spans="1:14" ht="17.45" customHeight="1">
      <c r="A38" s="797" t="s">
        <v>12</v>
      </c>
      <c r="B38" s="798"/>
      <c r="C38" s="168">
        <f>SUMIF($G$7:$G$31,"Process",$F$7:$F$31)</f>
        <v>0</v>
      </c>
      <c r="D38" s="122">
        <f>C38+'4'!D38</f>
        <v>0</v>
      </c>
      <c r="E38" s="147">
        <f t="shared" ref="E38:E52" si="0">D38/60</f>
        <v>0</v>
      </c>
      <c r="F38" s="311"/>
      <c r="G38" s="311"/>
      <c r="H38" s="189" t="s">
        <v>76</v>
      </c>
      <c r="I38" s="534"/>
      <c r="J38" s="131">
        <f>+I38+'4'!J38</f>
        <v>0</v>
      </c>
      <c r="K38" s="132" t="s">
        <v>75</v>
      </c>
    </row>
    <row r="39" spans="1:14" ht="17.45" customHeight="1">
      <c r="A39" s="799" t="s">
        <v>13</v>
      </c>
      <c r="B39" s="800"/>
      <c r="C39" s="168">
        <f>SUMIF($G$7:$G$31,"Cleaning",$F$7:$F$31)</f>
        <v>0</v>
      </c>
      <c r="D39" s="122">
        <f>C39+'4'!D39</f>
        <v>0</v>
      </c>
      <c r="E39" s="147">
        <f t="shared" si="0"/>
        <v>0</v>
      </c>
      <c r="F39" s="311"/>
      <c r="G39" s="311"/>
      <c r="H39" s="189" t="s">
        <v>77</v>
      </c>
      <c r="I39" s="146"/>
      <c r="J39" s="133">
        <f>J37/G4</f>
        <v>0</v>
      </c>
      <c r="K39" s="134" t="s">
        <v>75</v>
      </c>
      <c r="M39" s="159"/>
    </row>
    <row r="40" spans="1:14" ht="17.45" customHeight="1">
      <c r="A40" s="799" t="s">
        <v>78</v>
      </c>
      <c r="B40" s="800"/>
      <c r="C40" s="168">
        <f>SUMIF($G$7:$G$31,"Mechanical",$F$7:$F$31)</f>
        <v>0</v>
      </c>
      <c r="D40" s="122">
        <f>C40+'4'!D40</f>
        <v>0</v>
      </c>
      <c r="E40" s="147">
        <f t="shared" si="0"/>
        <v>0</v>
      </c>
      <c r="F40" s="311"/>
      <c r="G40" s="311"/>
      <c r="H40" s="189" t="s">
        <v>79</v>
      </c>
      <c r="I40" s="122">
        <f>(K34+L34)/1000</f>
        <v>0</v>
      </c>
      <c r="J40" s="135">
        <f>+I40+'4'!J40</f>
        <v>3.3639999999999999</v>
      </c>
      <c r="K40" s="134" t="s">
        <v>75</v>
      </c>
    </row>
    <row r="41" spans="1:14" ht="17.45" customHeight="1">
      <c r="A41" s="799" t="s">
        <v>80</v>
      </c>
      <c r="B41" s="800"/>
      <c r="C41" s="168">
        <f>SUMIF($G$7:$G$31,"Electrical",$F$7:$F$31)</f>
        <v>0</v>
      </c>
      <c r="D41" s="122">
        <f>C41+'4'!D41</f>
        <v>0</v>
      </c>
      <c r="E41" s="147">
        <f t="shared" si="0"/>
        <v>0</v>
      </c>
      <c r="F41" s="311"/>
      <c r="G41" s="311"/>
      <c r="H41" s="189" t="s">
        <v>81</v>
      </c>
      <c r="I41" s="146"/>
      <c r="J41" s="133">
        <f>J40/G4</f>
        <v>0.67279999999999995</v>
      </c>
      <c r="K41" s="134" t="s">
        <v>75</v>
      </c>
    </row>
    <row r="42" spans="1:14" ht="17.45" customHeight="1">
      <c r="A42" s="799" t="s">
        <v>16</v>
      </c>
      <c r="B42" s="800"/>
      <c r="C42" s="168">
        <f>SUMIF($G$7:$G$31,"Instrument",$F$7:$F$31)</f>
        <v>0</v>
      </c>
      <c r="D42" s="122">
        <f>C42+'4'!D42</f>
        <v>0</v>
      </c>
      <c r="E42" s="147">
        <f t="shared" si="0"/>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C43+'4'!D43</f>
        <v>0</v>
      </c>
      <c r="E43" s="147">
        <f t="shared" si="0"/>
        <v>0</v>
      </c>
      <c r="F43" s="311"/>
      <c r="G43" s="312"/>
      <c r="H43" s="190" t="s">
        <v>85</v>
      </c>
      <c r="I43" s="122">
        <f>+Report1!Z13</f>
        <v>0.1</v>
      </c>
      <c r="J43" s="137">
        <f>+I43+'4'!J43</f>
        <v>0.79999999999999993</v>
      </c>
      <c r="K43" s="134" t="s">
        <v>75</v>
      </c>
      <c r="L43" s="191"/>
    </row>
    <row r="44" spans="1:14" ht="17.45" customHeight="1">
      <c r="A44" s="799" t="s">
        <v>17</v>
      </c>
      <c r="B44" s="800"/>
      <c r="C44" s="168">
        <f>SUMIF($G$7:$G$31,"PLN",$F$7:$F$31)</f>
        <v>0</v>
      </c>
      <c r="D44" s="122">
        <f>C44+'4'!D44</f>
        <v>0</v>
      </c>
      <c r="E44" s="147">
        <f t="shared" si="0"/>
        <v>0</v>
      </c>
      <c r="F44" s="311"/>
      <c r="G44" s="312"/>
      <c r="H44" s="190" t="s">
        <v>86</v>
      </c>
      <c r="I44" s="122" t="e">
        <f>I43/I38</f>
        <v>#DIV/0!</v>
      </c>
      <c r="J44" s="138" t="e">
        <f>J43/J38</f>
        <v>#DIV/0!</v>
      </c>
      <c r="K44" s="134" t="s">
        <v>75</v>
      </c>
    </row>
    <row r="45" spans="1:14" ht="17.45" customHeight="1">
      <c r="A45" s="799" t="s">
        <v>18</v>
      </c>
      <c r="B45" s="800"/>
      <c r="C45" s="168">
        <f>SUMIF($G$7:$G$31,"Boiler",$F$7:$F$31)</f>
        <v>0</v>
      </c>
      <c r="D45" s="122">
        <f>C45+'4'!D45</f>
        <v>0</v>
      </c>
      <c r="E45" s="147">
        <f t="shared" si="0"/>
        <v>0</v>
      </c>
      <c r="F45" s="311"/>
      <c r="G45" s="314"/>
      <c r="H45" s="190" t="s">
        <v>87</v>
      </c>
      <c r="I45" s="122" t="e">
        <f>I43/I40</f>
        <v>#DIV/0!</v>
      </c>
      <c r="J45" s="138">
        <f>J43/J40</f>
        <v>0.23781212841854935</v>
      </c>
      <c r="K45" s="134" t="s">
        <v>75</v>
      </c>
    </row>
    <row r="46" spans="1:14" ht="17.45" customHeight="1">
      <c r="A46" s="799" t="s">
        <v>88</v>
      </c>
      <c r="B46" s="800"/>
      <c r="C46" s="168">
        <f>SUMIF($G$7:$G$31,"Gas",$F$7:$F$31)</f>
        <v>0</v>
      </c>
      <c r="D46" s="122">
        <f>C46+'4'!D46</f>
        <v>0</v>
      </c>
      <c r="E46" s="147">
        <f t="shared" si="0"/>
        <v>0</v>
      </c>
      <c r="F46" s="311"/>
      <c r="G46" s="312"/>
      <c r="H46" s="190" t="s">
        <v>89</v>
      </c>
      <c r="I46" s="144">
        <f>+SUMIF(Listrik!X12,"&gt;0")</f>
        <v>3020.4800000000114</v>
      </c>
      <c r="J46" s="139">
        <f>+I46+'4'!J46</f>
        <v>18160.619999999646</v>
      </c>
      <c r="K46" s="134" t="s">
        <v>90</v>
      </c>
    </row>
    <row r="47" spans="1:14" ht="17.45" customHeight="1">
      <c r="A47" s="799" t="s">
        <v>91</v>
      </c>
      <c r="B47" s="800"/>
      <c r="C47" s="168">
        <f>SUMIF($G$7:$G$31,"Gas",$F$7:$F$31)</f>
        <v>0</v>
      </c>
      <c r="D47" s="122">
        <f>C47+'4'!D47</f>
        <v>0</v>
      </c>
      <c r="E47" s="147">
        <f t="shared" si="0"/>
        <v>0</v>
      </c>
      <c r="F47" s="311"/>
      <c r="G47" s="312"/>
      <c r="H47" s="190" t="s">
        <v>92</v>
      </c>
      <c r="I47" s="122" t="e">
        <f>I46/I38</f>
        <v>#DIV/0!</v>
      </c>
      <c r="J47" s="139" t="e">
        <f>J46/J38</f>
        <v>#DIV/0!</v>
      </c>
      <c r="K47" s="134" t="s">
        <v>24</v>
      </c>
    </row>
    <row r="48" spans="1:14" ht="17.45" customHeight="1">
      <c r="A48" s="799" t="s">
        <v>14</v>
      </c>
      <c r="B48" s="800"/>
      <c r="C48" s="168">
        <f>SUMIF($G$7:$G$31,"Start Up",$F$7:$F$31)</f>
        <v>0</v>
      </c>
      <c r="D48" s="122">
        <f>C48+'4'!D48</f>
        <v>0</v>
      </c>
      <c r="E48" s="147">
        <f t="shared" si="0"/>
        <v>0</v>
      </c>
      <c r="F48" s="311"/>
      <c r="G48" s="312"/>
      <c r="H48" s="190" t="s">
        <v>93</v>
      </c>
      <c r="I48" s="122" t="e">
        <f>I46/I40</f>
        <v>#DIV/0!</v>
      </c>
      <c r="J48" s="139">
        <f>J46/J40</f>
        <v>5398.5196195004892</v>
      </c>
      <c r="K48" s="134" t="s">
        <v>24</v>
      </c>
    </row>
    <row r="49" spans="1:11" ht="17.45" customHeight="1">
      <c r="A49" s="799" t="s">
        <v>20</v>
      </c>
      <c r="B49" s="800"/>
      <c r="C49" s="168">
        <f>SUMIF($G$7:$G$31,"Others",$F$7:$F$31)</f>
        <v>1440</v>
      </c>
      <c r="D49" s="122">
        <f>C49+'4'!D49</f>
        <v>7200</v>
      </c>
      <c r="E49" s="147">
        <f t="shared" si="0"/>
        <v>120</v>
      </c>
      <c r="F49" s="187"/>
      <c r="H49" s="190" t="s">
        <v>278</v>
      </c>
      <c r="I49" s="122">
        <f>+Report1!T13</f>
        <v>0</v>
      </c>
      <c r="J49" s="139">
        <f>+I49+'4'!J49</f>
        <v>0</v>
      </c>
      <c r="K49" s="134" t="s">
        <v>94</v>
      </c>
    </row>
    <row r="50" spans="1:11" ht="17.45" customHeight="1">
      <c r="A50" s="799" t="s">
        <v>19</v>
      </c>
      <c r="B50" s="800"/>
      <c r="C50" s="168">
        <f>SUMIF($G$7:$G$31,"Steam",$F$7:$F$31)</f>
        <v>0</v>
      </c>
      <c r="D50" s="122">
        <f>C50+'4'!D50</f>
        <v>0</v>
      </c>
      <c r="E50" s="147">
        <f t="shared" si="0"/>
        <v>0</v>
      </c>
      <c r="F50" s="187"/>
      <c r="H50" s="190" t="s">
        <v>95</v>
      </c>
      <c r="I50" s="144" t="e">
        <f>I49/I38</f>
        <v>#DIV/0!</v>
      </c>
      <c r="J50" s="137" t="e">
        <f>J49/J38</f>
        <v>#DIV/0!</v>
      </c>
      <c r="K50" s="134" t="s">
        <v>94</v>
      </c>
    </row>
    <row r="51" spans="1:11" ht="17.45" customHeight="1">
      <c r="A51" s="801" t="s">
        <v>96</v>
      </c>
      <c r="B51" s="801"/>
      <c r="C51" s="168">
        <f>SUMIF($G$7:$G$31,"Planned shut",$F$7:$F$31)</f>
        <v>0</v>
      </c>
      <c r="D51" s="122">
        <f>C51+'4'!D51</f>
        <v>0</v>
      </c>
      <c r="E51" s="147">
        <f t="shared" si="0"/>
        <v>0</v>
      </c>
      <c r="F51" s="187"/>
      <c r="H51" s="192" t="s">
        <v>97</v>
      </c>
      <c r="I51" s="145" t="e">
        <f>I49/I40</f>
        <v>#DIV/0!</v>
      </c>
      <c r="J51" s="140">
        <f>J49/J40</f>
        <v>0</v>
      </c>
      <c r="K51" s="141" t="s">
        <v>94</v>
      </c>
    </row>
    <row r="52" spans="1:11" ht="13.5" thickBot="1">
      <c r="A52" s="802" t="s">
        <v>229</v>
      </c>
      <c r="B52" s="803"/>
      <c r="C52" s="168">
        <f>SUMIF($G$7:$G$31,"Change Grade",$F$7:$F$31)</f>
        <v>0</v>
      </c>
      <c r="D52" s="122">
        <f>C52+'4'!D52</f>
        <v>0</v>
      </c>
      <c r="E52" s="147">
        <f t="shared" si="0"/>
        <v>0</v>
      </c>
      <c r="F52" s="187"/>
      <c r="H52" s="193"/>
      <c r="I52" s="194"/>
      <c r="J52" s="142"/>
      <c r="K52" s="143"/>
    </row>
    <row r="53" spans="1:11">
      <c r="A53" s="797" t="s">
        <v>28</v>
      </c>
      <c r="B53" s="798"/>
      <c r="C53" s="148">
        <f>SUM(C38:C52)</f>
        <v>1440</v>
      </c>
      <c r="D53" s="148">
        <f>SUM(D38:D52)</f>
        <v>7200</v>
      </c>
      <c r="E53" s="149">
        <f>SUM(E38:E52)</f>
        <v>120</v>
      </c>
      <c r="F53" s="187"/>
    </row>
    <row r="54" spans="1:11" ht="13.5" thickBot="1">
      <c r="A54" s="795"/>
      <c r="B54" s="796"/>
      <c r="C54" s="150">
        <f>C53/(24*60)</f>
        <v>1</v>
      </c>
      <c r="D54" s="150">
        <f>D53/(24*60*G4)</f>
        <v>1</v>
      </c>
      <c r="E54" s="151">
        <f>E53/(G4*24)</f>
        <v>1</v>
      </c>
      <c r="F54" s="187"/>
    </row>
    <row r="55" spans="1:11">
      <c r="E55" s="195"/>
    </row>
    <row r="56" spans="1:11">
      <c r="A56" s="196" t="s">
        <v>98</v>
      </c>
      <c r="B56" s="197"/>
      <c r="C56" s="198"/>
      <c r="D56" s="198"/>
      <c r="E56" s="198"/>
      <c r="F56" s="199"/>
      <c r="G56" s="198"/>
      <c r="H56" s="200"/>
      <c r="I56" s="201" t="s">
        <v>99</v>
      </c>
      <c r="J56" s="202">
        <f>+D34+'4'!J56</f>
        <v>0</v>
      </c>
      <c r="K56" s="203">
        <f>J56/(J40+J56/1000)/1000</f>
        <v>0</v>
      </c>
    </row>
    <row r="57" spans="1:11">
      <c r="A57" s="178"/>
      <c r="I57" s="201" t="s">
        <v>100</v>
      </c>
      <c r="J57" s="202">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4027777777777778" header="0" footer="0"/>
  <pageSetup paperSize="9" scale="51"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7" zoomScale="80" zoomScaleNormal="80" zoomScaleSheetLayoutView="80" workbookViewId="0">
      <selection activeCell="J7" sqref="J7:J31"/>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52"/>
      <c r="B1" s="153"/>
      <c r="C1" s="153"/>
      <c r="D1" s="153"/>
      <c r="E1" s="153"/>
      <c r="F1" s="114"/>
      <c r="G1" s="153"/>
      <c r="H1" s="153"/>
      <c r="I1" s="153"/>
      <c r="J1" s="153"/>
      <c r="K1" s="153"/>
      <c r="L1" s="153"/>
      <c r="M1" s="153"/>
      <c r="V1" s="586"/>
      <c r="W1" s="153"/>
      <c r="X1" s="153"/>
      <c r="Y1" s="153"/>
      <c r="Z1" s="153"/>
      <c r="AA1" s="153"/>
    </row>
    <row r="2" spans="1:27" ht="15.75">
      <c r="A2" s="152" t="s">
        <v>230</v>
      </c>
      <c r="B2" s="153"/>
      <c r="C2" s="153"/>
      <c r="D2" s="153"/>
      <c r="E2" s="153"/>
      <c r="F2" s="114"/>
      <c r="G2" s="153"/>
      <c r="H2" s="153"/>
      <c r="I2" s="153"/>
      <c r="J2" s="153"/>
      <c r="K2" s="153"/>
      <c r="L2" s="153"/>
      <c r="M2" s="153"/>
      <c r="V2" s="532"/>
      <c r="W2" s="533"/>
      <c r="X2" s="533"/>
      <c r="Y2" s="533"/>
      <c r="Z2" s="153"/>
      <c r="AA2" s="153"/>
    </row>
    <row r="3" spans="1:27" ht="15">
      <c r="A3" s="154"/>
      <c r="B3" s="153"/>
      <c r="C3" s="153"/>
      <c r="D3" s="153"/>
      <c r="E3" s="153"/>
      <c r="F3" s="114"/>
      <c r="G3" s="153"/>
      <c r="H3" s="153"/>
      <c r="I3" s="153"/>
      <c r="J3" s="153"/>
      <c r="K3" s="153"/>
      <c r="L3" s="153"/>
      <c r="M3" s="153"/>
      <c r="V3" s="532"/>
      <c r="W3" s="533"/>
      <c r="X3" s="533"/>
      <c r="Y3" s="533"/>
      <c r="Z3" s="153"/>
      <c r="AA3" s="153"/>
    </row>
    <row r="4" spans="1:27" ht="20.25">
      <c r="A4" s="155" t="s">
        <v>4</v>
      </c>
      <c r="B4" s="156"/>
      <c r="C4" s="153"/>
      <c r="D4" s="153"/>
      <c r="E4" s="153"/>
      <c r="F4" s="157" t="s">
        <v>30</v>
      </c>
      <c r="G4" s="158">
        <v>4</v>
      </c>
      <c r="H4" s="158" t="str">
        <f>+'1'!H4</f>
        <v>.10.25</v>
      </c>
      <c r="I4" s="153"/>
      <c r="J4" s="153"/>
      <c r="K4" s="153"/>
      <c r="L4" s="153"/>
      <c r="M4" s="153"/>
      <c r="V4" s="365"/>
      <c r="W4" s="365"/>
      <c r="X4" s="365"/>
      <c r="Y4" s="588"/>
      <c r="Z4" s="365"/>
      <c r="AA4" s="365"/>
    </row>
    <row r="5" spans="1:27" ht="13.5" thickBot="1">
      <c r="A5" s="153"/>
      <c r="B5" s="153"/>
      <c r="C5" s="159"/>
      <c r="D5" s="159"/>
      <c r="E5" s="153"/>
      <c r="F5" s="114"/>
      <c r="G5" s="153"/>
      <c r="H5" s="153"/>
      <c r="I5" s="153"/>
      <c r="J5" s="153"/>
      <c r="K5" s="153"/>
      <c r="L5" s="153"/>
      <c r="M5" s="153"/>
      <c r="V5" s="365"/>
      <c r="W5" s="365"/>
      <c r="X5" s="365"/>
      <c r="Y5" s="365"/>
      <c r="Z5" s="588"/>
      <c r="AA5" s="588"/>
    </row>
    <row r="6" spans="1:27" ht="26.25" customHeight="1"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27" ht="13.5" customHeight="1" thickBot="1">
      <c r="A7" s="804"/>
      <c r="B7" s="217"/>
      <c r="C7" s="218"/>
      <c r="D7" s="219"/>
      <c r="E7" s="220"/>
      <c r="F7" s="235"/>
      <c r="G7" s="582" t="s">
        <v>12</v>
      </c>
      <c r="H7" s="583" t="s">
        <v>400</v>
      </c>
      <c r="I7" s="807"/>
      <c r="J7" s="216" t="str">
        <f>+'3'!J7</f>
        <v>TW 17 RC HW</v>
      </c>
      <c r="K7" s="237"/>
      <c r="L7" s="241"/>
      <c r="M7" s="121">
        <f>+K7+'3'!M7+L7</f>
        <v>3364</v>
      </c>
    </row>
    <row r="8" spans="1:27" ht="13.5" thickBot="1">
      <c r="A8" s="805"/>
      <c r="B8" s="217"/>
      <c r="C8" s="218"/>
      <c r="D8" s="219"/>
      <c r="E8" s="221"/>
      <c r="F8" s="231"/>
      <c r="G8" s="584" t="s">
        <v>12</v>
      </c>
      <c r="H8" s="230" t="s">
        <v>398</v>
      </c>
      <c r="I8" s="808"/>
      <c r="J8" s="216">
        <f>+'3'!J8</f>
        <v>0</v>
      </c>
      <c r="K8" s="238">
        <f>+C7</f>
        <v>0</v>
      </c>
      <c r="L8" s="238"/>
      <c r="M8" s="121">
        <f>+K8+'3'!M8+L8</f>
        <v>0</v>
      </c>
      <c r="N8" s="529"/>
      <c r="O8" s="178"/>
      <c r="P8" s="178"/>
      <c r="Q8" s="178"/>
      <c r="R8" s="153"/>
      <c r="S8" s="153"/>
    </row>
    <row r="9" spans="1:27" ht="13.5" thickBot="1">
      <c r="A9" s="805"/>
      <c r="B9" s="217"/>
      <c r="C9" s="218"/>
      <c r="D9" s="219"/>
      <c r="E9" s="222"/>
      <c r="F9" s="231"/>
      <c r="G9" s="584" t="s">
        <v>12</v>
      </c>
      <c r="H9" s="233" t="s">
        <v>399</v>
      </c>
      <c r="I9" s="808"/>
      <c r="J9" s="216">
        <f>+'3'!J9</f>
        <v>0</v>
      </c>
      <c r="K9" s="238">
        <f>+C8+C16+C25</f>
        <v>0</v>
      </c>
      <c r="L9" s="238"/>
      <c r="M9" s="121">
        <f>+K9+'3'!M9+L9</f>
        <v>0</v>
      </c>
      <c r="N9" s="586"/>
      <c r="O9" s="153"/>
      <c r="P9" s="153"/>
      <c r="Q9" s="153"/>
      <c r="R9" s="153"/>
      <c r="S9" s="153"/>
    </row>
    <row r="10" spans="1:27" ht="102.75" thickBot="1">
      <c r="A10" s="805"/>
      <c r="B10" s="217"/>
      <c r="C10" s="218"/>
      <c r="D10" s="219"/>
      <c r="E10" s="221"/>
      <c r="F10" s="231">
        <v>480</v>
      </c>
      <c r="G10" s="229" t="s">
        <v>20</v>
      </c>
      <c r="H10" s="585" t="s">
        <v>432</v>
      </c>
      <c r="I10" s="808"/>
      <c r="J10" s="216">
        <f>+'3'!J10</f>
        <v>0</v>
      </c>
      <c r="K10" s="238"/>
      <c r="L10" s="238"/>
      <c r="M10" s="121">
        <f>+K10+'3'!M10+L10</f>
        <v>0</v>
      </c>
      <c r="N10" s="153"/>
      <c r="O10" s="153"/>
      <c r="P10" s="153"/>
      <c r="Q10" s="178"/>
      <c r="R10" s="153"/>
      <c r="S10" s="153"/>
    </row>
    <row r="11" spans="1:27" ht="13.5" thickBot="1">
      <c r="A11" s="805"/>
      <c r="B11" s="217"/>
      <c r="C11" s="218"/>
      <c r="D11" s="219"/>
      <c r="E11" s="221"/>
      <c r="F11" s="228"/>
      <c r="G11" s="232"/>
      <c r="H11" s="233"/>
      <c r="I11" s="808"/>
      <c r="J11" s="216">
        <f>+'3'!J11</f>
        <v>0</v>
      </c>
      <c r="K11" s="238"/>
      <c r="L11" s="238"/>
      <c r="M11" s="121">
        <f>+K11+'3'!M11+L11</f>
        <v>0</v>
      </c>
      <c r="N11" s="153"/>
      <c r="O11" s="153"/>
      <c r="P11" s="153"/>
      <c r="Q11" s="153"/>
      <c r="R11" s="178"/>
      <c r="S11" s="178"/>
    </row>
    <row r="12" spans="1:27" ht="13.5" thickBot="1">
      <c r="A12" s="805"/>
      <c r="B12" s="217"/>
      <c r="C12" s="218"/>
      <c r="D12" s="219"/>
      <c r="E12" s="221"/>
      <c r="F12" s="228"/>
      <c r="G12" s="232"/>
      <c r="H12" s="233"/>
      <c r="I12" s="808"/>
      <c r="J12" s="216">
        <f>+'3'!J12</f>
        <v>0</v>
      </c>
      <c r="K12" s="238"/>
      <c r="L12" s="238"/>
      <c r="M12" s="121">
        <f>+K12+'3'!M12+L12</f>
        <v>0</v>
      </c>
    </row>
    <row r="13" spans="1:27" ht="13.5" thickBot="1">
      <c r="A13" s="805"/>
      <c r="B13" s="217"/>
      <c r="C13" s="218"/>
      <c r="D13" s="218"/>
      <c r="E13" s="221"/>
      <c r="F13" s="228"/>
      <c r="G13" s="232"/>
      <c r="H13" s="233"/>
      <c r="I13" s="809"/>
      <c r="J13" s="216">
        <f>+'3'!J13</f>
        <v>0</v>
      </c>
      <c r="K13" s="238"/>
      <c r="L13" s="238"/>
      <c r="M13" s="121">
        <f>+K13+'3'!M13+L13</f>
        <v>0</v>
      </c>
    </row>
    <row r="14" spans="1:27" ht="13.5" thickBot="1">
      <c r="A14" s="806"/>
      <c r="B14" s="169" t="s">
        <v>3</v>
      </c>
      <c r="C14" s="103">
        <f>SUM(C7:C13)</f>
        <v>0</v>
      </c>
      <c r="D14" s="115">
        <f>SUM(D7:D13)</f>
        <v>0</v>
      </c>
      <c r="E14" s="116">
        <f>SUM(E5:E13)</f>
        <v>0</v>
      </c>
      <c r="F14" s="120">
        <f>SUM(F7:F13)</f>
        <v>480</v>
      </c>
      <c r="G14" s="163"/>
      <c r="H14" s="170"/>
      <c r="I14" s="171"/>
      <c r="J14" s="216">
        <f>+'3'!J14</f>
        <v>0</v>
      </c>
      <c r="K14" s="238"/>
      <c r="L14" s="238"/>
      <c r="M14" s="121">
        <f>+K14+'3'!M14+L14</f>
        <v>0</v>
      </c>
    </row>
    <row r="15" spans="1:27" ht="13.5" customHeight="1" thickBot="1">
      <c r="A15" s="810"/>
      <c r="B15" s="528"/>
      <c r="C15" s="117" t="e">
        <f>C14/($C$23+$D$23+$E$23)</f>
        <v>#DIV/0!</v>
      </c>
      <c r="D15" s="118" t="e">
        <f>D14/($C$23+$D$23+$E$23)</f>
        <v>#DIV/0!</v>
      </c>
      <c r="E15" s="119" t="e">
        <f>E14/($C$23+$D$23+$E$23)</f>
        <v>#DIV/0!</v>
      </c>
      <c r="F15" s="235"/>
      <c r="G15" s="582" t="s">
        <v>12</v>
      </c>
      <c r="H15" s="583" t="s">
        <v>400</v>
      </c>
      <c r="I15" s="807"/>
      <c r="J15" s="216">
        <f>+'3'!J15</f>
        <v>0</v>
      </c>
      <c r="K15" s="238"/>
      <c r="L15" s="238"/>
      <c r="M15" s="121">
        <f>+K15+'3'!M15+L15</f>
        <v>0</v>
      </c>
    </row>
    <row r="16" spans="1:27" ht="13.5" thickBot="1">
      <c r="A16" s="805"/>
      <c r="B16" s="527"/>
      <c r="C16" s="526"/>
      <c r="D16" s="223"/>
      <c r="E16" s="224"/>
      <c r="F16" s="231"/>
      <c r="G16" s="584" t="s">
        <v>12</v>
      </c>
      <c r="H16" s="230" t="s">
        <v>398</v>
      </c>
      <c r="I16" s="808"/>
      <c r="J16" s="216">
        <f>+'3'!J16</f>
        <v>0</v>
      </c>
      <c r="K16" s="229"/>
      <c r="L16" s="229"/>
      <c r="M16" s="121">
        <f>+K16+'3'!M16+L16</f>
        <v>0</v>
      </c>
    </row>
    <row r="17" spans="1:17" ht="13.5" thickBot="1">
      <c r="A17" s="805"/>
      <c r="B17" s="217"/>
      <c r="C17" s="218"/>
      <c r="D17" s="219"/>
      <c r="E17" s="225"/>
      <c r="F17" s="231"/>
      <c r="G17" s="584" t="s">
        <v>12</v>
      </c>
      <c r="H17" s="233" t="s">
        <v>399</v>
      </c>
      <c r="I17" s="808"/>
      <c r="J17" s="216">
        <f>+'3'!J17</f>
        <v>0</v>
      </c>
      <c r="K17" s="229"/>
      <c r="L17" s="229"/>
      <c r="M17" s="121">
        <f>+K17+'3'!M17+L17</f>
        <v>0</v>
      </c>
      <c r="N17" s="586"/>
      <c r="O17" s="587"/>
      <c r="P17" s="587"/>
      <c r="Q17" s="587"/>
    </row>
    <row r="18" spans="1:17" ht="128.25" thickBot="1">
      <c r="A18" s="805"/>
      <c r="B18" s="217"/>
      <c r="C18" s="218"/>
      <c r="D18" s="219"/>
      <c r="E18" s="225"/>
      <c r="F18" s="231">
        <v>480</v>
      </c>
      <c r="G18" s="229" t="s">
        <v>20</v>
      </c>
      <c r="H18" s="585" t="s">
        <v>431</v>
      </c>
      <c r="I18" s="808"/>
      <c r="J18" s="216">
        <f>+'3'!J18</f>
        <v>0</v>
      </c>
      <c r="K18" s="238"/>
      <c r="L18" s="238"/>
      <c r="M18" s="121">
        <f>+K18+'3'!M18+L18</f>
        <v>0</v>
      </c>
    </row>
    <row r="19" spans="1:17" ht="41.25" customHeight="1" thickBot="1">
      <c r="A19" s="805"/>
      <c r="B19" s="217"/>
      <c r="C19" s="218"/>
      <c r="D19" s="219"/>
      <c r="E19" s="222"/>
      <c r="F19" s="234"/>
      <c r="G19" s="232"/>
      <c r="H19" s="233"/>
      <c r="I19" s="808"/>
      <c r="J19" s="216">
        <f>+'3'!J19</f>
        <v>0</v>
      </c>
      <c r="K19" s="238"/>
      <c r="L19" s="238"/>
      <c r="M19" s="121">
        <f>+K19+'3'!M19+L19</f>
        <v>0</v>
      </c>
    </row>
    <row r="20" spans="1:17" ht="13.5" thickBot="1">
      <c r="A20" s="805"/>
      <c r="B20" s="217"/>
      <c r="C20" s="218"/>
      <c r="D20" s="219"/>
      <c r="E20" s="225"/>
      <c r="F20" s="228"/>
      <c r="G20" s="232"/>
      <c r="H20" s="233"/>
      <c r="I20" s="808"/>
      <c r="J20" s="216">
        <f>+'3'!J20</f>
        <v>0</v>
      </c>
      <c r="K20" s="239"/>
      <c r="L20" s="239"/>
      <c r="M20" s="121">
        <f>+K20+'3'!M20+L20</f>
        <v>0</v>
      </c>
    </row>
    <row r="21" spans="1:17" ht="13.5" thickBot="1">
      <c r="A21" s="805"/>
      <c r="B21" s="217"/>
      <c r="C21" s="218"/>
      <c r="D21" s="219"/>
      <c r="E21" s="225"/>
      <c r="F21" s="231"/>
      <c r="G21" s="232"/>
      <c r="H21" s="233"/>
      <c r="I21" s="808"/>
      <c r="J21" s="216">
        <f>+'3'!J21</f>
        <v>0</v>
      </c>
      <c r="K21" s="238"/>
      <c r="L21" s="238"/>
      <c r="M21" s="121">
        <f>+K21+'3'!M21+L21</f>
        <v>0</v>
      </c>
    </row>
    <row r="22" spans="1:17" ht="13.5" thickBot="1">
      <c r="A22" s="805"/>
      <c r="B22" s="217"/>
      <c r="C22" s="218"/>
      <c r="D22" s="219"/>
      <c r="E22" s="225"/>
      <c r="F22" s="235"/>
      <c r="G22" s="232"/>
      <c r="H22" s="233"/>
      <c r="I22" s="809"/>
      <c r="J22" s="216">
        <f>+'3'!J22</f>
        <v>0</v>
      </c>
      <c r="K22" s="238"/>
      <c r="L22" s="238"/>
      <c r="M22" s="121">
        <f>+K22+'3'!M22+L22</f>
        <v>0</v>
      </c>
    </row>
    <row r="23" spans="1:17" ht="13.5" thickBot="1">
      <c r="A23" s="806"/>
      <c r="B23" s="169" t="s">
        <v>3</v>
      </c>
      <c r="C23" s="103">
        <f>SUM(C16:C22)</f>
        <v>0</v>
      </c>
      <c r="D23" s="115">
        <f>SUM(D16:D22)</f>
        <v>0</v>
      </c>
      <c r="E23" s="116">
        <f>SUM(E18:E22)</f>
        <v>0</v>
      </c>
      <c r="F23" s="120">
        <f>SUM(F15:F22)</f>
        <v>480</v>
      </c>
      <c r="G23" s="163"/>
      <c r="H23" s="170"/>
      <c r="I23" s="172"/>
      <c r="J23" s="216">
        <f>+'3'!J23</f>
        <v>0</v>
      </c>
      <c r="K23" s="238"/>
      <c r="L23" s="238"/>
      <c r="M23" s="121">
        <f>+K23+'3'!M23+L23</f>
        <v>0</v>
      </c>
    </row>
    <row r="24" spans="1:17" ht="13.5" customHeight="1" thickBot="1">
      <c r="A24" s="810"/>
      <c r="B24" s="528"/>
      <c r="C24" s="117" t="e">
        <f>C23/($C$23+$D$23+$E$23)</f>
        <v>#DIV/0!</v>
      </c>
      <c r="D24" s="118" t="e">
        <f>D23/($C$23+$D$23+$E$23)</f>
        <v>#DIV/0!</v>
      </c>
      <c r="E24" s="119" t="e">
        <f>E23/($C$23+$D$23+$E$23)</f>
        <v>#DIV/0!</v>
      </c>
      <c r="F24" s="235"/>
      <c r="G24" s="582" t="s">
        <v>12</v>
      </c>
      <c r="H24" s="583" t="s">
        <v>400</v>
      </c>
      <c r="I24" s="807"/>
      <c r="J24" s="216">
        <f>+'3'!J24</f>
        <v>0</v>
      </c>
      <c r="K24" s="238"/>
      <c r="L24" s="238"/>
      <c r="M24" s="121">
        <f>+K24+'3'!M24+L24</f>
        <v>0</v>
      </c>
    </row>
    <row r="25" spans="1:17" ht="13.5" thickBot="1">
      <c r="A25" s="805"/>
      <c r="B25" s="527"/>
      <c r="C25" s="226"/>
      <c r="D25" s="219"/>
      <c r="E25" s="225"/>
      <c r="F25" s="231"/>
      <c r="G25" s="584" t="s">
        <v>12</v>
      </c>
      <c r="H25" s="230" t="s">
        <v>398</v>
      </c>
      <c r="I25" s="808"/>
      <c r="J25" s="216">
        <f>+'3'!J25</f>
        <v>0</v>
      </c>
      <c r="K25" s="238"/>
      <c r="L25" s="238"/>
      <c r="M25" s="121">
        <f>+K25+'3'!M25+L25</f>
        <v>0</v>
      </c>
    </row>
    <row r="26" spans="1:17" ht="13.5" thickBot="1">
      <c r="A26" s="805"/>
      <c r="B26" s="217"/>
      <c r="C26" s="226"/>
      <c r="D26" s="219"/>
      <c r="E26" s="227"/>
      <c r="F26" s="231"/>
      <c r="G26" s="584" t="s">
        <v>12</v>
      </c>
      <c r="H26" s="233" t="s">
        <v>399</v>
      </c>
      <c r="I26" s="808"/>
      <c r="J26" s="216">
        <f>+'3'!J26</f>
        <v>0</v>
      </c>
      <c r="K26" s="238"/>
      <c r="L26" s="238"/>
      <c r="M26" s="121">
        <f>+K26+'3'!M26+L26</f>
        <v>0</v>
      </c>
      <c r="N26" s="586"/>
      <c r="O26" s="587"/>
      <c r="P26" s="587"/>
      <c r="Q26" s="587"/>
    </row>
    <row r="27" spans="1:17" ht="13.5" thickBot="1">
      <c r="A27" s="805"/>
      <c r="B27" s="217"/>
      <c r="C27" s="218"/>
      <c r="D27" s="219"/>
      <c r="E27" s="225"/>
      <c r="F27" s="231">
        <v>480</v>
      </c>
      <c r="G27" s="229" t="s">
        <v>20</v>
      </c>
      <c r="H27" s="585"/>
      <c r="I27" s="808"/>
      <c r="J27" s="216">
        <f>+'3'!J27</f>
        <v>0</v>
      </c>
      <c r="K27" s="238"/>
      <c r="L27" s="238"/>
      <c r="M27" s="121">
        <f>+K27+'3'!M27+L27</f>
        <v>0</v>
      </c>
    </row>
    <row r="28" spans="1:17" ht="119.25" customHeight="1" thickBot="1">
      <c r="A28" s="805"/>
      <c r="B28" s="217"/>
      <c r="C28" s="218"/>
      <c r="D28" s="219"/>
      <c r="E28" s="225"/>
      <c r="F28" s="231"/>
      <c r="G28" s="229"/>
      <c r="H28" s="233"/>
      <c r="I28" s="808"/>
      <c r="J28" s="216">
        <f>+'3'!J28</f>
        <v>0</v>
      </c>
      <c r="K28" s="238"/>
      <c r="L28" s="238"/>
      <c r="M28" s="121">
        <f>+K28+'3'!M28+L28</f>
        <v>0</v>
      </c>
    </row>
    <row r="29" spans="1:17" ht="13.5" thickBot="1">
      <c r="A29" s="805"/>
      <c r="B29" s="217"/>
      <c r="C29" s="218"/>
      <c r="D29" s="219"/>
      <c r="E29" s="225"/>
      <c r="F29" s="235"/>
      <c r="G29" s="232"/>
      <c r="H29" s="233"/>
      <c r="I29" s="808"/>
      <c r="J29" s="216">
        <f>+'3'!J29</f>
        <v>0</v>
      </c>
      <c r="K29" s="238"/>
      <c r="L29" s="238"/>
      <c r="M29" s="121">
        <f>+K29+'3'!M29+L29</f>
        <v>0</v>
      </c>
    </row>
    <row r="30" spans="1:17" ht="13.5" thickBot="1">
      <c r="A30" s="805"/>
      <c r="B30" s="217"/>
      <c r="C30" s="226"/>
      <c r="D30" s="219"/>
      <c r="E30" s="225"/>
      <c r="F30" s="235"/>
      <c r="G30" s="232"/>
      <c r="H30" s="233"/>
      <c r="I30" s="808"/>
      <c r="J30" s="216">
        <f>+'3'!J30</f>
        <v>0</v>
      </c>
      <c r="K30" s="238"/>
      <c r="L30" s="238"/>
      <c r="M30" s="121">
        <f>+K30+'3'!M30+L30</f>
        <v>0</v>
      </c>
    </row>
    <row r="31" spans="1:17" ht="13.5" thickBot="1">
      <c r="A31" s="805"/>
      <c r="B31" s="217"/>
      <c r="C31" s="226"/>
      <c r="D31" s="219"/>
      <c r="E31" s="225"/>
      <c r="F31" s="235"/>
      <c r="G31" s="236"/>
      <c r="H31" s="413"/>
      <c r="I31" s="809"/>
      <c r="J31" s="216">
        <f>+'3'!J31</f>
        <v>0</v>
      </c>
      <c r="K31" s="238"/>
      <c r="L31" s="238"/>
      <c r="M31" s="121">
        <f>+K31+'3'!M31+L31</f>
        <v>0</v>
      </c>
    </row>
    <row r="32" spans="1:17" ht="13.5" thickBot="1">
      <c r="A32" s="806"/>
      <c r="B32" s="169" t="s">
        <v>3</v>
      </c>
      <c r="C32" s="103">
        <f>SUM(C25:C31)</f>
        <v>0</v>
      </c>
      <c r="D32" s="104">
        <f>SUM(D25:D31)</f>
        <v>0</v>
      </c>
      <c r="E32" s="105">
        <f>SUM(E25:E31)</f>
        <v>0</v>
      </c>
      <c r="F32" s="103">
        <f>SUM(F24:F31)</f>
        <v>480</v>
      </c>
      <c r="G32" s="173"/>
      <c r="H32" s="174"/>
      <c r="I32" s="172"/>
      <c r="J32" s="216">
        <f>+'3'!J32</f>
        <v>0</v>
      </c>
      <c r="K32" s="240"/>
      <c r="L32" s="242"/>
      <c r="M32" s="121">
        <f>+K32+'3'!M32+L32</f>
        <v>0</v>
      </c>
    </row>
    <row r="33" spans="1:13" ht="13.5" thickBot="1">
      <c r="A33" s="175"/>
      <c r="B33" s="176"/>
      <c r="C33" s="107" t="e">
        <f>C32/($C$32+$D$32+$E$32)</f>
        <v>#DIV/0!</v>
      </c>
      <c r="D33" s="108" t="e">
        <f>D32/($C$32+$D$32+$E$32)</f>
        <v>#DIV/0!</v>
      </c>
      <c r="E33" s="109" t="e">
        <f>E32/($C$32+$D$32+$E$32)</f>
        <v>#DIV/0!</v>
      </c>
      <c r="F33" s="110"/>
      <c r="G33" s="177"/>
      <c r="H33" s="178"/>
      <c r="I33" s="179"/>
      <c r="J33" s="125"/>
      <c r="K33" s="126"/>
      <c r="L33" s="215"/>
      <c r="M33" s="123"/>
    </row>
    <row r="34" spans="1:13" ht="13.5" thickBot="1">
      <c r="A34" s="811" t="s">
        <v>69</v>
      </c>
      <c r="B34" s="812"/>
      <c r="C34" s="111">
        <f>C14+C23+C32</f>
        <v>0</v>
      </c>
      <c r="D34" s="111">
        <f>D14+D23+D32</f>
        <v>0</v>
      </c>
      <c r="E34" s="111">
        <f>E14+E23+E32</f>
        <v>0</v>
      </c>
      <c r="F34" s="112">
        <f>F14+F23+F32</f>
        <v>1440</v>
      </c>
      <c r="G34" s="153"/>
      <c r="H34" s="180"/>
      <c r="I34" s="180"/>
      <c r="J34" s="127" t="s">
        <v>28</v>
      </c>
      <c r="K34" s="128">
        <f>SUM(K7:K32)</f>
        <v>0</v>
      </c>
      <c r="L34" s="214">
        <f>SUM(L7:L32)</f>
        <v>0</v>
      </c>
      <c r="M34" s="124">
        <f>SUM(M7:M32)</f>
        <v>3364</v>
      </c>
    </row>
    <row r="35" spans="1:13" ht="13.5" thickBot="1">
      <c r="A35" s="594"/>
      <c r="B35" s="182"/>
      <c r="C35" s="108" t="e">
        <f>C34/($C$34+$D$34+$E$34)</f>
        <v>#DIV/0!</v>
      </c>
      <c r="D35" s="108" t="e">
        <f>D34/($C$34+$D$34+$E$34)</f>
        <v>#DIV/0!</v>
      </c>
      <c r="E35" s="113" t="e">
        <f>E34/($C$34+$D$34+$E$34)</f>
        <v>#DIV/0!</v>
      </c>
      <c r="F35" s="114"/>
      <c r="G35" s="153"/>
      <c r="H35" s="153"/>
      <c r="I35" s="153"/>
      <c r="J35" s="153"/>
      <c r="K35" s="159"/>
      <c r="L35" s="153"/>
      <c r="M35" s="153"/>
    </row>
    <row r="36" spans="1:13" ht="13.5" thickBot="1">
      <c r="A36" s="180"/>
      <c r="B36" s="180"/>
      <c r="C36" s="159"/>
      <c r="D36" s="159"/>
      <c r="E36" s="159"/>
      <c r="F36" s="114"/>
      <c r="G36" s="159"/>
      <c r="H36" s="183"/>
      <c r="I36" s="166" t="s">
        <v>38</v>
      </c>
      <c r="J36" s="166" t="s">
        <v>39</v>
      </c>
      <c r="K36" s="184"/>
      <c r="L36" s="153"/>
      <c r="M36" s="153"/>
    </row>
    <row r="37" spans="1:13" ht="17.25" customHeight="1" thickBot="1">
      <c r="A37" s="813" t="s">
        <v>70</v>
      </c>
      <c r="B37" s="814"/>
      <c r="C37" s="166" t="s">
        <v>71</v>
      </c>
      <c r="D37" s="185" t="s">
        <v>72</v>
      </c>
      <c r="E37" s="186" t="s">
        <v>73</v>
      </c>
      <c r="F37" s="311"/>
      <c r="G37" s="313"/>
      <c r="H37" s="188" t="s">
        <v>74</v>
      </c>
      <c r="I37" s="243">
        <f>(13*1440)/1440*G42*2.66*1440/1000000</f>
        <v>0</v>
      </c>
      <c r="J37" s="129">
        <f>+I37+'3'!J37</f>
        <v>0</v>
      </c>
      <c r="K37" s="130" t="s">
        <v>75</v>
      </c>
      <c r="L37" s="153"/>
      <c r="M37" s="153"/>
    </row>
    <row r="38" spans="1:13" ht="16.5" customHeight="1">
      <c r="A38" s="797" t="s">
        <v>12</v>
      </c>
      <c r="B38" s="798"/>
      <c r="C38" s="168">
        <f>SUMIF($G$7:$G$31,"Process",$F$7:$F$31)</f>
        <v>0</v>
      </c>
      <c r="D38" s="122">
        <f>C38+'3'!D38</f>
        <v>0</v>
      </c>
      <c r="E38" s="147">
        <f t="shared" ref="E38:E52" si="0">D38/60</f>
        <v>0</v>
      </c>
      <c r="F38" s="311"/>
      <c r="G38" s="311"/>
      <c r="H38" s="189" t="s">
        <v>76</v>
      </c>
      <c r="I38" s="534"/>
      <c r="J38" s="131">
        <f>+I38+'3'!J38</f>
        <v>0</v>
      </c>
      <c r="K38" s="132" t="s">
        <v>75</v>
      </c>
      <c r="L38" s="153"/>
      <c r="M38" s="153"/>
    </row>
    <row r="39" spans="1:13" ht="16.5" customHeight="1">
      <c r="A39" s="799" t="s">
        <v>13</v>
      </c>
      <c r="B39" s="800"/>
      <c r="C39" s="168">
        <f>SUMIF($G$7:$G$31,"Cleaning",$F$7:$F$31)</f>
        <v>0</v>
      </c>
      <c r="D39" s="122">
        <f>C39+'3'!D39</f>
        <v>0</v>
      </c>
      <c r="E39" s="147">
        <f t="shared" si="0"/>
        <v>0</v>
      </c>
      <c r="F39" s="311"/>
      <c r="G39" s="311"/>
      <c r="H39" s="189" t="s">
        <v>77</v>
      </c>
      <c r="I39" s="146"/>
      <c r="J39" s="133">
        <f>J37/G4</f>
        <v>0</v>
      </c>
      <c r="K39" s="134" t="s">
        <v>75</v>
      </c>
      <c r="L39" s="153"/>
      <c r="M39" s="153"/>
    </row>
    <row r="40" spans="1:13" ht="16.5" customHeight="1">
      <c r="A40" s="799" t="s">
        <v>78</v>
      </c>
      <c r="B40" s="800"/>
      <c r="C40" s="168">
        <f>SUMIF($G$7:$G$31,"Mechanical",$F$7:$F$31)</f>
        <v>0</v>
      </c>
      <c r="D40" s="122">
        <f>C40+'3'!D40</f>
        <v>0</v>
      </c>
      <c r="E40" s="147">
        <f t="shared" si="0"/>
        <v>0</v>
      </c>
      <c r="F40" s="311"/>
      <c r="G40" s="311"/>
      <c r="H40" s="189" t="s">
        <v>79</v>
      </c>
      <c r="I40" s="122">
        <f>(K34+L34)/1000</f>
        <v>0</v>
      </c>
      <c r="J40" s="135">
        <f>+I40+'3'!J40</f>
        <v>3.3639999999999999</v>
      </c>
      <c r="K40" s="134" t="s">
        <v>75</v>
      </c>
      <c r="L40" s="153"/>
      <c r="M40" s="153"/>
    </row>
    <row r="41" spans="1:13" ht="16.5" customHeight="1">
      <c r="A41" s="799" t="s">
        <v>80</v>
      </c>
      <c r="B41" s="800"/>
      <c r="C41" s="168">
        <f>SUMIF($G$7:$G$31,"Electrical",$F$7:$F$31)</f>
        <v>0</v>
      </c>
      <c r="D41" s="122">
        <f>C41+'3'!D41</f>
        <v>0</v>
      </c>
      <c r="E41" s="147">
        <f t="shared" si="0"/>
        <v>0</v>
      </c>
      <c r="F41" s="311"/>
      <c r="G41" s="311"/>
      <c r="H41" s="189" t="s">
        <v>81</v>
      </c>
      <c r="I41" s="146"/>
      <c r="J41" s="133">
        <f>J40/G4</f>
        <v>0.84099999999999997</v>
      </c>
      <c r="K41" s="134" t="s">
        <v>75</v>
      </c>
      <c r="L41" s="153"/>
      <c r="M41" s="159"/>
    </row>
    <row r="42" spans="1:13" ht="16.5" customHeight="1">
      <c r="A42" s="799" t="s">
        <v>16</v>
      </c>
      <c r="B42" s="800"/>
      <c r="C42" s="168">
        <f>SUMIF($G$7:$G$31,"Instrument",$F$7:$F$31)</f>
        <v>0</v>
      </c>
      <c r="D42" s="122">
        <f>C42+'3'!D42</f>
        <v>0</v>
      </c>
      <c r="E42" s="147">
        <f t="shared" si="0"/>
        <v>0</v>
      </c>
      <c r="F42" s="187">
        <f>+(F38*480+F39*480+F40*480)/1440</f>
        <v>0</v>
      </c>
      <c r="G42" s="187">
        <f>+(G38*480+G39*480+G40*480)/1440</f>
        <v>0</v>
      </c>
      <c r="H42" s="189" t="s">
        <v>82</v>
      </c>
      <c r="I42" s="245"/>
      <c r="J42" s="136"/>
      <c r="K42" s="134" t="s">
        <v>83</v>
      </c>
      <c r="L42" s="153"/>
      <c r="M42" s="153"/>
    </row>
    <row r="43" spans="1:13" ht="16.5" customHeight="1">
      <c r="A43" s="799" t="s">
        <v>84</v>
      </c>
      <c r="B43" s="800"/>
      <c r="C43" s="168">
        <f>SUMIF($G$7:$G$31,"Water",$F$7:$F$31)</f>
        <v>0</v>
      </c>
      <c r="D43" s="122">
        <f>C43+'3'!D43</f>
        <v>0</v>
      </c>
      <c r="E43" s="147">
        <f t="shared" si="0"/>
        <v>0</v>
      </c>
      <c r="F43" s="311"/>
      <c r="G43" s="312"/>
      <c r="H43" s="190" t="s">
        <v>85</v>
      </c>
      <c r="I43" s="122">
        <f>+Report1!Z11</f>
        <v>0.1</v>
      </c>
      <c r="J43" s="137">
        <f>+I43+'3'!J43</f>
        <v>0.7</v>
      </c>
      <c r="K43" s="134" t="s">
        <v>75</v>
      </c>
      <c r="L43" s="191"/>
      <c r="M43" s="153"/>
    </row>
    <row r="44" spans="1:13" ht="16.5" customHeight="1">
      <c r="A44" s="799" t="s">
        <v>17</v>
      </c>
      <c r="B44" s="800"/>
      <c r="C44" s="168">
        <f>SUMIF($G$7:$G$31,"PLN",$F$7:$F$31)</f>
        <v>0</v>
      </c>
      <c r="D44" s="122">
        <f>C44+'3'!D44</f>
        <v>0</v>
      </c>
      <c r="E44" s="147">
        <f t="shared" si="0"/>
        <v>0</v>
      </c>
      <c r="F44" s="311"/>
      <c r="G44" s="312"/>
      <c r="H44" s="190" t="s">
        <v>86</v>
      </c>
      <c r="I44" s="122" t="e">
        <f>I43/I38</f>
        <v>#DIV/0!</v>
      </c>
      <c r="J44" s="138" t="e">
        <f>J43/J38</f>
        <v>#DIV/0!</v>
      </c>
      <c r="K44" s="134" t="s">
        <v>75</v>
      </c>
      <c r="L44" s="153"/>
      <c r="M44" s="153"/>
    </row>
    <row r="45" spans="1:13" ht="16.5" customHeight="1">
      <c r="A45" s="799" t="s">
        <v>18</v>
      </c>
      <c r="B45" s="800"/>
      <c r="C45" s="168">
        <f>SUMIF($G$7:$G$31,"Boiler",$F$7:$F$31)</f>
        <v>0</v>
      </c>
      <c r="D45" s="122">
        <f>C45+'3'!D45</f>
        <v>0</v>
      </c>
      <c r="E45" s="147">
        <f t="shared" si="0"/>
        <v>0</v>
      </c>
      <c r="F45" s="311"/>
      <c r="G45" s="314"/>
      <c r="H45" s="190" t="s">
        <v>87</v>
      </c>
      <c r="I45" s="122" t="e">
        <f>I43/I40</f>
        <v>#DIV/0!</v>
      </c>
      <c r="J45" s="138">
        <f>J43/J40</f>
        <v>0.20808561236623066</v>
      </c>
      <c r="K45" s="134" t="s">
        <v>75</v>
      </c>
      <c r="L45" s="153"/>
      <c r="M45" s="153"/>
    </row>
    <row r="46" spans="1:13" ht="16.5" customHeight="1">
      <c r="A46" s="799" t="s">
        <v>88</v>
      </c>
      <c r="B46" s="800"/>
      <c r="C46" s="168">
        <f>SUMIF($G$7:$G$31,"Gas",$F$7:$F$31)</f>
        <v>0</v>
      </c>
      <c r="D46" s="122">
        <f>C46+'3'!D46</f>
        <v>0</v>
      </c>
      <c r="E46" s="147">
        <f t="shared" si="0"/>
        <v>0</v>
      </c>
      <c r="F46" s="311"/>
      <c r="G46" s="312"/>
      <c r="H46" s="190" t="s">
        <v>89</v>
      </c>
      <c r="I46" s="144">
        <f>+SUMIF(Listrik!X11,"&gt;0")</f>
        <v>3976.4399999996594</v>
      </c>
      <c r="J46" s="139">
        <f>+I46+'3'!J46</f>
        <v>15140.139999999636</v>
      </c>
      <c r="K46" s="134" t="s">
        <v>90</v>
      </c>
      <c r="L46" s="153"/>
      <c r="M46" s="153"/>
    </row>
    <row r="47" spans="1:13" ht="16.5" customHeight="1">
      <c r="A47" s="799" t="s">
        <v>91</v>
      </c>
      <c r="B47" s="800"/>
      <c r="C47" s="168">
        <f>SUMIF($G$7:$G$31,"Gas",$F$7:$F$31)</f>
        <v>0</v>
      </c>
      <c r="D47" s="122">
        <f>C47+'3'!D47</f>
        <v>0</v>
      </c>
      <c r="E47" s="147">
        <f t="shared" si="0"/>
        <v>0</v>
      </c>
      <c r="F47" s="311"/>
      <c r="G47" s="312"/>
      <c r="H47" s="190" t="s">
        <v>92</v>
      </c>
      <c r="I47" s="122" t="e">
        <f>I46/I38</f>
        <v>#DIV/0!</v>
      </c>
      <c r="J47" s="139" t="e">
        <f>J46/J38</f>
        <v>#DIV/0!</v>
      </c>
      <c r="K47" s="134" t="s">
        <v>24</v>
      </c>
      <c r="L47" s="153"/>
      <c r="M47" s="153"/>
    </row>
    <row r="48" spans="1:13" ht="16.5" customHeight="1">
      <c r="A48" s="799" t="s">
        <v>14</v>
      </c>
      <c r="B48" s="800"/>
      <c r="C48" s="168">
        <f>SUMIF($G$7:$G$31,"Start Up",$F$7:$F$31)</f>
        <v>0</v>
      </c>
      <c r="D48" s="122">
        <f>C48+'3'!D48</f>
        <v>0</v>
      </c>
      <c r="E48" s="147">
        <f t="shared" si="0"/>
        <v>0</v>
      </c>
      <c r="F48" s="311"/>
      <c r="G48" s="312"/>
      <c r="H48" s="190" t="s">
        <v>93</v>
      </c>
      <c r="I48" s="122" t="e">
        <f>I46/I40</f>
        <v>#DIV/0!</v>
      </c>
      <c r="J48" s="139">
        <f>J46/J40</f>
        <v>4500.6361474434116</v>
      </c>
      <c r="K48" s="134" t="s">
        <v>24</v>
      </c>
      <c r="L48" s="153"/>
      <c r="M48" s="153"/>
    </row>
    <row r="49" spans="1:13" ht="16.5" customHeight="1">
      <c r="A49" s="799" t="s">
        <v>20</v>
      </c>
      <c r="B49" s="800"/>
      <c r="C49" s="168">
        <f>SUMIF($G$7:$G$31,"Others",$F$7:$F$31)</f>
        <v>1440</v>
      </c>
      <c r="D49" s="122">
        <f>C49+'3'!D49</f>
        <v>5760</v>
      </c>
      <c r="E49" s="147">
        <f t="shared" si="0"/>
        <v>96</v>
      </c>
      <c r="F49" s="187"/>
      <c r="G49" s="153"/>
      <c r="H49" s="190" t="s">
        <v>278</v>
      </c>
      <c r="I49" s="122">
        <f>+Report1!T11</f>
        <v>0</v>
      </c>
      <c r="J49" s="139">
        <f>+I49+'3'!J49</f>
        <v>0</v>
      </c>
      <c r="K49" s="134" t="s">
        <v>94</v>
      </c>
      <c r="L49" s="153"/>
      <c r="M49" s="153"/>
    </row>
    <row r="50" spans="1:13" ht="16.5" customHeight="1">
      <c r="A50" s="799" t="s">
        <v>19</v>
      </c>
      <c r="B50" s="800"/>
      <c r="C50" s="168">
        <f>SUMIF($G$7:$G$31,"Steam",$F$7:$F$31)</f>
        <v>0</v>
      </c>
      <c r="D50" s="122">
        <f>C50+'3'!D50</f>
        <v>0</v>
      </c>
      <c r="E50" s="147">
        <f t="shared" si="0"/>
        <v>0</v>
      </c>
      <c r="F50" s="187"/>
      <c r="G50" s="153"/>
      <c r="H50" s="190" t="s">
        <v>95</v>
      </c>
      <c r="I50" s="144" t="e">
        <f>I49/I38</f>
        <v>#DIV/0!</v>
      </c>
      <c r="J50" s="137" t="e">
        <f>J49/J38</f>
        <v>#DIV/0!</v>
      </c>
      <c r="K50" s="134" t="s">
        <v>94</v>
      </c>
      <c r="L50" s="153"/>
      <c r="M50" s="153"/>
    </row>
    <row r="51" spans="1:13" ht="16.5" customHeight="1">
      <c r="A51" s="801" t="s">
        <v>96</v>
      </c>
      <c r="B51" s="801"/>
      <c r="C51" s="168">
        <f>SUMIF($G$7:$G$31,"Planned shut",$F$7:$F$31)</f>
        <v>0</v>
      </c>
      <c r="D51" s="122">
        <f>C51+'3'!D51</f>
        <v>0</v>
      </c>
      <c r="E51" s="147">
        <f t="shared" si="0"/>
        <v>0</v>
      </c>
      <c r="F51" s="187"/>
      <c r="G51" s="153"/>
      <c r="H51" s="192" t="s">
        <v>97</v>
      </c>
      <c r="I51" s="145" t="e">
        <f>I49/I40</f>
        <v>#DIV/0!</v>
      </c>
      <c r="J51" s="140">
        <f>J49/J40</f>
        <v>0</v>
      </c>
      <c r="K51" s="141" t="s">
        <v>94</v>
      </c>
      <c r="L51" s="153"/>
      <c r="M51" s="153"/>
    </row>
    <row r="52" spans="1:13" ht="17.25" customHeight="1" thickBot="1">
      <c r="A52" s="802" t="s">
        <v>229</v>
      </c>
      <c r="B52" s="803"/>
      <c r="C52" s="168">
        <f>SUMIF($G$7:$G$31,"Change Grade",$F$7:$F$31)</f>
        <v>0</v>
      </c>
      <c r="D52" s="122">
        <f>C52+'3'!D52</f>
        <v>0</v>
      </c>
      <c r="E52" s="147">
        <f t="shared" si="0"/>
        <v>0</v>
      </c>
      <c r="F52" s="187"/>
      <c r="G52" s="153"/>
      <c r="H52" s="193"/>
      <c r="I52" s="194"/>
      <c r="J52" s="142"/>
      <c r="K52" s="143"/>
      <c r="L52" s="153"/>
      <c r="M52" s="153"/>
    </row>
    <row r="53" spans="1:13">
      <c r="A53" s="797" t="s">
        <v>28</v>
      </c>
      <c r="B53" s="798"/>
      <c r="C53" s="148">
        <f>SUM(C38:C52)</f>
        <v>1440</v>
      </c>
      <c r="D53" s="148">
        <f>SUM(D38:D52)</f>
        <v>5760</v>
      </c>
      <c r="E53" s="149">
        <f>SUM(E38:E52)</f>
        <v>96</v>
      </c>
      <c r="F53" s="187"/>
      <c r="G53" s="153"/>
      <c r="H53" s="153"/>
      <c r="I53" s="153"/>
      <c r="J53" s="153"/>
      <c r="K53" s="153"/>
      <c r="L53" s="153"/>
      <c r="M53" s="153"/>
    </row>
    <row r="54" spans="1:13" ht="13.5" thickBot="1">
      <c r="A54" s="795"/>
      <c r="B54" s="796"/>
      <c r="C54" s="150">
        <f>C53/(24*60)</f>
        <v>1</v>
      </c>
      <c r="D54" s="150">
        <f>D53/(24*60*G4)</f>
        <v>1</v>
      </c>
      <c r="E54" s="151">
        <f>E53/(G4*24)</f>
        <v>1</v>
      </c>
      <c r="F54" s="187"/>
      <c r="G54" s="153"/>
      <c r="H54" s="153"/>
      <c r="I54" s="153"/>
      <c r="J54" s="153"/>
      <c r="K54" s="153"/>
      <c r="L54" s="153"/>
      <c r="M54" s="153"/>
    </row>
    <row r="55" spans="1:13">
      <c r="A55" s="153"/>
      <c r="B55" s="153"/>
      <c r="C55" s="153"/>
      <c r="D55" s="153"/>
      <c r="E55" s="195"/>
      <c r="F55" s="114"/>
      <c r="G55" s="153"/>
      <c r="H55" s="153"/>
      <c r="I55" s="153"/>
      <c r="J55" s="153"/>
      <c r="K55" s="153"/>
      <c r="L55" s="153"/>
      <c r="M55" s="153"/>
    </row>
    <row r="56" spans="1:13">
      <c r="A56" s="196" t="s">
        <v>98</v>
      </c>
      <c r="B56" s="197"/>
      <c r="C56" s="198"/>
      <c r="D56" s="198"/>
      <c r="E56" s="198"/>
      <c r="F56" s="199"/>
      <c r="G56" s="198"/>
      <c r="H56" s="200"/>
      <c r="I56" s="201" t="s">
        <v>99</v>
      </c>
      <c r="J56" s="202">
        <f>+D34+'3'!J56</f>
        <v>0</v>
      </c>
      <c r="K56" s="203">
        <f>J56/(J40+J56/1000)/1000</f>
        <v>0</v>
      </c>
      <c r="L56" s="153"/>
      <c r="M56" s="153"/>
    </row>
    <row r="57" spans="1:13">
      <c r="A57" s="178"/>
      <c r="B57" s="153"/>
      <c r="C57" s="153"/>
      <c r="D57" s="153"/>
      <c r="E57" s="153"/>
      <c r="F57" s="114"/>
      <c r="G57" s="153"/>
      <c r="H57" s="153"/>
      <c r="I57" s="201" t="s">
        <v>100</v>
      </c>
      <c r="J57" s="202">
        <f>+E34+'3'!J57</f>
        <v>0</v>
      </c>
      <c r="K57" s="203">
        <f>J57/(J40+J57/1000)/1000</f>
        <v>0</v>
      </c>
      <c r="L57" s="153"/>
      <c r="M57" s="153"/>
    </row>
    <row r="58" spans="1:13">
      <c r="A58" s="204"/>
      <c r="B58" s="205"/>
      <c r="C58" s="153"/>
      <c r="D58" s="153"/>
      <c r="E58" s="153"/>
      <c r="F58" s="187"/>
      <c r="G58" s="153"/>
      <c r="H58" s="206"/>
      <c r="I58" s="153"/>
      <c r="J58" s="153"/>
      <c r="K58" s="153"/>
      <c r="L58" s="153"/>
      <c r="M58" s="153"/>
    </row>
    <row r="59" spans="1:13">
      <c r="A59" s="207"/>
      <c r="B59" s="178"/>
      <c r="C59" s="178"/>
      <c r="D59" s="178"/>
      <c r="E59" s="178"/>
      <c r="F59" s="191"/>
      <c r="G59" s="178"/>
      <c r="H59" s="206"/>
      <c r="I59" s="153"/>
      <c r="J59" s="153"/>
      <c r="K59" s="153"/>
      <c r="L59" s="153"/>
      <c r="M59" s="153"/>
    </row>
    <row r="60" spans="1:13">
      <c r="A60" s="153"/>
      <c r="B60" s="153"/>
      <c r="C60" s="153"/>
      <c r="D60" s="153"/>
      <c r="E60" s="153"/>
      <c r="F60" s="114"/>
      <c r="G60" s="153"/>
      <c r="H60" s="206"/>
      <c r="I60" s="153"/>
      <c r="J60" s="153"/>
      <c r="K60" s="153"/>
      <c r="L60" s="153"/>
      <c r="M60" s="153"/>
    </row>
    <row r="61" spans="1:13">
      <c r="A61" s="208"/>
      <c r="B61" s="209"/>
      <c r="C61" s="209"/>
      <c r="D61" s="209"/>
      <c r="E61" s="209"/>
      <c r="F61" s="210"/>
      <c r="G61" s="209"/>
      <c r="H61" s="211"/>
      <c r="I61" s="153"/>
      <c r="J61" s="153"/>
      <c r="K61" s="153"/>
      <c r="L61" s="153"/>
      <c r="M61" s="153"/>
    </row>
  </sheetData>
  <mergeCells count="25">
    <mergeCell ref="A54:B54"/>
    <mergeCell ref="A48:B48"/>
    <mergeCell ref="A49:B49"/>
    <mergeCell ref="A50:B50"/>
    <mergeCell ref="A51:B51"/>
    <mergeCell ref="A52:B52"/>
    <mergeCell ref="A53:B53"/>
    <mergeCell ref="A47:B47"/>
    <mergeCell ref="A34:B34"/>
    <mergeCell ref="A37:B37"/>
    <mergeCell ref="A38:B38"/>
    <mergeCell ref="A39:B39"/>
    <mergeCell ref="A40:B40"/>
    <mergeCell ref="A41:B41"/>
    <mergeCell ref="A42:B42"/>
    <mergeCell ref="A43:B43"/>
    <mergeCell ref="A44:B44"/>
    <mergeCell ref="A45:B45"/>
    <mergeCell ref="A46:B46"/>
    <mergeCell ref="A7:A14"/>
    <mergeCell ref="I7:I13"/>
    <mergeCell ref="A15:A23"/>
    <mergeCell ref="I15:I22"/>
    <mergeCell ref="A24:A32"/>
    <mergeCell ref="I24:I31"/>
  </mergeCells>
  <pageMargins left="0.7" right="0.7" top="0.75" bottom="0.75" header="0.3" footer="0.3"/>
  <pageSetup scale="43" orientation="portrait" horizontalDpi="4294967293"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75" zoomScaleSheetLayoutView="80" workbookViewId="0">
      <selection activeCell="F24" sqref="F24:H27"/>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3.7109375" style="153" bestFit="1" customWidth="1"/>
    <col min="12" max="12" width="8.28515625" style="153" customWidth="1"/>
    <col min="13" max="13" width="14.570312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3</v>
      </c>
      <c r="H4" s="158" t="str">
        <f>+'1'!H4</f>
        <v>.10.25</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9" ht="13.5" customHeight="1" thickBot="1">
      <c r="A7" s="804"/>
      <c r="B7" s="217"/>
      <c r="C7" s="218"/>
      <c r="D7" s="219"/>
      <c r="E7" s="220"/>
      <c r="F7" s="235"/>
      <c r="G7" s="582" t="s">
        <v>12</v>
      </c>
      <c r="H7" s="583" t="s">
        <v>400</v>
      </c>
      <c r="I7" s="807"/>
      <c r="J7" s="216" t="str">
        <f>+'2'!J7</f>
        <v>TW 17 RC HW</v>
      </c>
      <c r="K7" s="237"/>
      <c r="L7" s="241"/>
      <c r="M7" s="121">
        <f>+K7+'2'!M7+L7</f>
        <v>3364</v>
      </c>
    </row>
    <row r="8" spans="1:19" ht="13.5" thickBot="1">
      <c r="A8" s="805"/>
      <c r="B8" s="217"/>
      <c r="C8" s="218"/>
      <c r="D8" s="219"/>
      <c r="E8" s="221"/>
      <c r="F8" s="231"/>
      <c r="G8" s="584" t="s">
        <v>12</v>
      </c>
      <c r="H8" s="230" t="s">
        <v>398</v>
      </c>
      <c r="I8" s="808"/>
      <c r="J8" s="216">
        <f>+'2'!J8</f>
        <v>0</v>
      </c>
      <c r="K8" s="238">
        <f>+C7+C16+C25</f>
        <v>0</v>
      </c>
      <c r="L8" s="238"/>
      <c r="M8" s="121">
        <f>+K8+'2'!M8+L8</f>
        <v>0</v>
      </c>
      <c r="N8" s="529"/>
    </row>
    <row r="9" spans="1:19" ht="13.5" thickBot="1">
      <c r="A9" s="805"/>
      <c r="B9" s="217"/>
      <c r="C9" s="218"/>
      <c r="D9" s="219"/>
      <c r="E9" s="222"/>
      <c r="F9" s="231"/>
      <c r="G9" s="584" t="s">
        <v>12</v>
      </c>
      <c r="H9" s="233" t="s">
        <v>399</v>
      </c>
      <c r="I9" s="808"/>
      <c r="J9" s="216"/>
      <c r="K9" s="238"/>
      <c r="L9" s="238"/>
      <c r="M9" s="121">
        <f>+K9+'2'!M9+L9</f>
        <v>0</v>
      </c>
      <c r="N9" s="530"/>
    </row>
    <row r="10" spans="1:19" ht="77.25" thickBot="1">
      <c r="A10" s="805"/>
      <c r="B10" s="217"/>
      <c r="C10" s="218"/>
      <c r="D10" s="219"/>
      <c r="E10" s="221"/>
      <c r="F10" s="231">
        <v>480</v>
      </c>
      <c r="G10" s="229" t="s">
        <v>20</v>
      </c>
      <c r="H10" s="585" t="s">
        <v>429</v>
      </c>
      <c r="I10" s="808"/>
      <c r="J10" s="216">
        <f>+'2'!J10</f>
        <v>0</v>
      </c>
      <c r="K10" s="238"/>
      <c r="L10" s="238"/>
      <c r="M10" s="121">
        <f>+K10+'2'!M10+L10</f>
        <v>0</v>
      </c>
      <c r="Q10" s="178"/>
    </row>
    <row r="11" spans="1:19" ht="13.5" thickBot="1">
      <c r="A11" s="805"/>
      <c r="B11" s="217"/>
      <c r="C11" s="218"/>
      <c r="D11" s="219"/>
      <c r="E11" s="221"/>
      <c r="F11" s="228"/>
      <c r="G11" s="232"/>
      <c r="H11" s="233"/>
      <c r="I11" s="808"/>
      <c r="J11" s="216">
        <f>+'2'!J11</f>
        <v>0</v>
      </c>
      <c r="K11" s="238"/>
      <c r="L11" s="238"/>
      <c r="M11" s="121">
        <f>+K11+'2'!M11+L11</f>
        <v>0</v>
      </c>
      <c r="R11" s="178"/>
      <c r="S11" s="178"/>
    </row>
    <row r="12" spans="1:19" ht="13.5" thickBot="1">
      <c r="A12" s="805"/>
      <c r="B12" s="217"/>
      <c r="C12" s="218"/>
      <c r="D12" s="219"/>
      <c r="E12" s="221"/>
      <c r="F12" s="228"/>
      <c r="G12" s="232"/>
      <c r="H12" s="233"/>
      <c r="I12" s="808"/>
      <c r="J12" s="216">
        <f>+'2'!J12</f>
        <v>0</v>
      </c>
      <c r="K12" s="238"/>
      <c r="L12" s="238"/>
      <c r="M12" s="121">
        <f>+K12+'2'!M12+L12</f>
        <v>0</v>
      </c>
    </row>
    <row r="13" spans="1:19" ht="13.5" thickBot="1">
      <c r="A13" s="805"/>
      <c r="B13" s="217"/>
      <c r="C13" s="218"/>
      <c r="D13" s="218"/>
      <c r="E13" s="221"/>
      <c r="F13" s="228"/>
      <c r="G13" s="232"/>
      <c r="H13" s="233"/>
      <c r="I13" s="809"/>
      <c r="J13" s="216">
        <f>+'2'!J13</f>
        <v>0</v>
      </c>
      <c r="K13" s="238"/>
      <c r="L13" s="238"/>
      <c r="M13" s="121">
        <f>+K13+'2'!M13+L13</f>
        <v>0</v>
      </c>
    </row>
    <row r="14" spans="1:19" ht="13.5" thickBot="1">
      <c r="A14" s="806"/>
      <c r="B14" s="169" t="s">
        <v>3</v>
      </c>
      <c r="C14" s="103">
        <f>SUM(C7:C13)</f>
        <v>0</v>
      </c>
      <c r="D14" s="115">
        <f>SUM(D7:D13)</f>
        <v>0</v>
      </c>
      <c r="E14" s="116">
        <f>SUM(E5:E13)</f>
        <v>0</v>
      </c>
      <c r="F14" s="120">
        <f>SUM(F7:F13)</f>
        <v>480</v>
      </c>
      <c r="G14" s="163"/>
      <c r="H14" s="170"/>
      <c r="I14" s="171"/>
      <c r="J14" s="216">
        <f>+'2'!J14</f>
        <v>0</v>
      </c>
      <c r="K14" s="238"/>
      <c r="L14" s="238"/>
      <c r="M14" s="121">
        <f>+K14+'2'!M14+L14</f>
        <v>0</v>
      </c>
    </row>
    <row r="15" spans="1:19" ht="13.5" customHeight="1" thickBot="1">
      <c r="A15" s="810"/>
      <c r="B15" s="528"/>
      <c r="C15" s="117" t="e">
        <f>C14/($C$23+$D$23+$E$23)</f>
        <v>#DIV/0!</v>
      </c>
      <c r="D15" s="118" t="e">
        <f>D14/($C$23+$D$23+$E$23)</f>
        <v>#DIV/0!</v>
      </c>
      <c r="E15" s="119" t="e">
        <f>E14/($C$23+$D$23+$E$23)</f>
        <v>#DIV/0!</v>
      </c>
      <c r="F15" s="235"/>
      <c r="G15" s="582" t="s">
        <v>12</v>
      </c>
      <c r="H15" s="583" t="s">
        <v>400</v>
      </c>
      <c r="I15" s="807"/>
      <c r="J15" s="216">
        <f>+'2'!J15</f>
        <v>0</v>
      </c>
      <c r="K15" s="238"/>
      <c r="L15" s="238"/>
      <c r="M15" s="121">
        <f>+K15+'2'!M15+L15</f>
        <v>0</v>
      </c>
    </row>
    <row r="16" spans="1:19" ht="13.5" thickBot="1">
      <c r="A16" s="805"/>
      <c r="B16" s="527"/>
      <c r="C16" s="526"/>
      <c r="D16" s="223"/>
      <c r="E16" s="224"/>
      <c r="F16" s="231"/>
      <c r="G16" s="584" t="s">
        <v>12</v>
      </c>
      <c r="H16" s="230" t="s">
        <v>398</v>
      </c>
      <c r="I16" s="808"/>
      <c r="J16" s="216">
        <f>+'2'!J16</f>
        <v>0</v>
      </c>
      <c r="K16" s="229"/>
      <c r="L16" s="229"/>
      <c r="M16" s="121">
        <f>+K16+'2'!M16+L16</f>
        <v>0</v>
      </c>
      <c r="N16" s="529"/>
    </row>
    <row r="17" spans="1:19" ht="13.5" thickBot="1">
      <c r="A17" s="805"/>
      <c r="B17" s="217"/>
      <c r="C17" s="218"/>
      <c r="D17" s="219"/>
      <c r="E17" s="225"/>
      <c r="F17" s="231"/>
      <c r="G17" s="584" t="s">
        <v>12</v>
      </c>
      <c r="H17" s="233" t="s">
        <v>399</v>
      </c>
      <c r="I17" s="808"/>
      <c r="J17" s="216">
        <f>+'2'!J17</f>
        <v>0</v>
      </c>
      <c r="K17" s="229"/>
      <c r="L17" s="229"/>
      <c r="M17" s="121">
        <f>+K17+'2'!M17+L17</f>
        <v>0</v>
      </c>
      <c r="N17" s="530"/>
    </row>
    <row r="18" spans="1:19" ht="77.25" thickBot="1">
      <c r="A18" s="805"/>
      <c r="B18" s="217"/>
      <c r="C18" s="218"/>
      <c r="D18" s="219"/>
      <c r="E18" s="225"/>
      <c r="F18" s="231">
        <v>480</v>
      </c>
      <c r="G18" s="229" t="s">
        <v>20</v>
      </c>
      <c r="H18" s="585" t="s">
        <v>430</v>
      </c>
      <c r="I18" s="808"/>
      <c r="J18" s="216">
        <f>+'2'!J18</f>
        <v>0</v>
      </c>
      <c r="K18" s="238"/>
      <c r="L18" s="238"/>
      <c r="M18" s="121">
        <f>+K18+'2'!M18+L18</f>
        <v>0</v>
      </c>
      <c r="Q18" s="178"/>
    </row>
    <row r="19" spans="1:19" ht="13.5" thickBot="1">
      <c r="A19" s="805"/>
      <c r="B19" s="217"/>
      <c r="C19" s="218"/>
      <c r="D19" s="219"/>
      <c r="E19" s="222"/>
      <c r="F19" s="234"/>
      <c r="G19" s="232"/>
      <c r="H19" s="233"/>
      <c r="I19" s="808"/>
      <c r="J19" s="216">
        <f>+'2'!J19</f>
        <v>0</v>
      </c>
      <c r="K19" s="238"/>
      <c r="L19" s="238"/>
      <c r="M19" s="121">
        <f>+K19+'2'!M19+L19</f>
        <v>0</v>
      </c>
      <c r="R19" s="178"/>
      <c r="S19" s="178"/>
    </row>
    <row r="20" spans="1:19" ht="13.5" thickBot="1">
      <c r="A20" s="805"/>
      <c r="B20" s="217"/>
      <c r="C20" s="218"/>
      <c r="D20" s="219"/>
      <c r="E20" s="225"/>
      <c r="F20" s="228"/>
      <c r="G20" s="232"/>
      <c r="H20" s="233"/>
      <c r="I20" s="808"/>
      <c r="J20" s="216">
        <f>+'2'!J20</f>
        <v>0</v>
      </c>
      <c r="K20" s="239"/>
      <c r="L20" s="239"/>
      <c r="M20" s="121">
        <f>+K20+'2'!M20+L20</f>
        <v>0</v>
      </c>
    </row>
    <row r="21" spans="1:19" ht="13.5" thickBot="1">
      <c r="A21" s="805"/>
      <c r="B21" s="217"/>
      <c r="C21" s="218"/>
      <c r="D21" s="219"/>
      <c r="E21" s="225"/>
      <c r="F21" s="231"/>
      <c r="G21" s="232"/>
      <c r="H21" s="233"/>
      <c r="I21" s="808"/>
      <c r="J21" s="216">
        <f>+'2'!J21</f>
        <v>0</v>
      </c>
      <c r="K21" s="238"/>
      <c r="L21" s="238"/>
      <c r="M21" s="121">
        <f>+K21+'2'!M21+L21</f>
        <v>0</v>
      </c>
    </row>
    <row r="22" spans="1:19" ht="13.5" thickBot="1">
      <c r="A22" s="805"/>
      <c r="B22" s="217"/>
      <c r="C22" s="218"/>
      <c r="D22" s="219"/>
      <c r="E22" s="225"/>
      <c r="F22" s="235"/>
      <c r="G22" s="232"/>
      <c r="H22" s="233"/>
      <c r="I22" s="809"/>
      <c r="J22" s="216">
        <f>+'2'!J22</f>
        <v>0</v>
      </c>
      <c r="K22" s="238"/>
      <c r="L22" s="238"/>
      <c r="M22" s="121">
        <f>+K22+'2'!M22+L22</f>
        <v>0</v>
      </c>
    </row>
    <row r="23" spans="1:19" ht="13.5" thickBot="1">
      <c r="A23" s="806"/>
      <c r="B23" s="169" t="s">
        <v>3</v>
      </c>
      <c r="C23" s="103">
        <f>SUM(C16:C22)</f>
        <v>0</v>
      </c>
      <c r="D23" s="115">
        <f>SUM(D16:D22)</f>
        <v>0</v>
      </c>
      <c r="E23" s="116">
        <f>SUM(E18:E22)</f>
        <v>0</v>
      </c>
      <c r="F23" s="120">
        <f>SUM(F15:F22)</f>
        <v>480</v>
      </c>
      <c r="G23" s="163"/>
      <c r="H23" s="170"/>
      <c r="I23" s="172"/>
      <c r="J23" s="216">
        <f>+'2'!J23</f>
        <v>0</v>
      </c>
      <c r="K23" s="238"/>
      <c r="L23" s="238"/>
      <c r="M23" s="121">
        <f>+K23+'2'!M23+L23</f>
        <v>0</v>
      </c>
    </row>
    <row r="24" spans="1:19" ht="13.5" customHeight="1" thickBot="1">
      <c r="A24" s="810"/>
      <c r="B24" s="528"/>
      <c r="C24" s="117" t="e">
        <f>C23/($C$23+$D$23+$E$23)</f>
        <v>#DIV/0!</v>
      </c>
      <c r="D24" s="118" t="e">
        <f>D23/($C$23+$D$23+$E$23)</f>
        <v>#DIV/0!</v>
      </c>
      <c r="E24" s="119" t="e">
        <f>E23/($C$23+$D$23+$E$23)</f>
        <v>#DIV/0!</v>
      </c>
      <c r="F24" s="235"/>
      <c r="G24" s="582" t="s">
        <v>12</v>
      </c>
      <c r="H24" s="583" t="s">
        <v>400</v>
      </c>
      <c r="I24" s="807"/>
      <c r="J24" s="216">
        <f>+'2'!J24</f>
        <v>0</v>
      </c>
      <c r="K24" s="238"/>
      <c r="L24" s="238"/>
      <c r="M24" s="121">
        <f>+K24+'2'!M24+L24</f>
        <v>0</v>
      </c>
    </row>
    <row r="25" spans="1:19" ht="13.5" thickBot="1">
      <c r="A25" s="805"/>
      <c r="B25" s="527"/>
      <c r="C25" s="226"/>
      <c r="D25" s="219"/>
      <c r="E25" s="225"/>
      <c r="F25" s="231"/>
      <c r="G25" s="584" t="s">
        <v>12</v>
      </c>
      <c r="H25" s="230" t="s">
        <v>398</v>
      </c>
      <c r="I25" s="808"/>
      <c r="J25" s="216">
        <f>+'2'!J25</f>
        <v>0</v>
      </c>
      <c r="K25" s="238"/>
      <c r="L25" s="238"/>
      <c r="M25" s="121">
        <f>+K25+'2'!M25+L25</f>
        <v>0</v>
      </c>
      <c r="N25" s="529"/>
    </row>
    <row r="26" spans="1:19" ht="13.5" thickBot="1">
      <c r="A26" s="805"/>
      <c r="B26" s="217"/>
      <c r="C26" s="226"/>
      <c r="D26" s="219"/>
      <c r="E26" s="227"/>
      <c r="F26" s="231"/>
      <c r="G26" s="584" t="s">
        <v>12</v>
      </c>
      <c r="H26" s="233" t="s">
        <v>399</v>
      </c>
      <c r="I26" s="808"/>
      <c r="J26" s="216">
        <f>+'2'!J26</f>
        <v>0</v>
      </c>
      <c r="K26" s="238"/>
      <c r="L26" s="238"/>
      <c r="M26" s="121">
        <f>+K26+'2'!M26+L26</f>
        <v>0</v>
      </c>
      <c r="N26" s="530"/>
    </row>
    <row r="27" spans="1:19" ht="13.5" thickBot="1">
      <c r="A27" s="805"/>
      <c r="B27" s="217"/>
      <c r="C27" s="218"/>
      <c r="D27" s="219"/>
      <c r="E27" s="225"/>
      <c r="F27" s="231">
        <v>480</v>
      </c>
      <c r="G27" s="229" t="s">
        <v>20</v>
      </c>
      <c r="H27" s="585"/>
      <c r="I27" s="808"/>
      <c r="J27" s="216">
        <f>+'2'!J27</f>
        <v>0</v>
      </c>
      <c r="K27" s="238"/>
      <c r="L27" s="238"/>
      <c r="M27" s="121">
        <f>+K27+'2'!M27+L27</f>
        <v>0</v>
      </c>
      <c r="Q27" s="178"/>
    </row>
    <row r="28" spans="1:19" ht="13.5" thickBot="1">
      <c r="A28" s="805"/>
      <c r="B28" s="217"/>
      <c r="C28" s="218"/>
      <c r="D28" s="219"/>
      <c r="E28" s="225"/>
      <c r="F28" s="231"/>
      <c r="G28" s="229"/>
      <c r="H28" s="233"/>
      <c r="I28" s="808"/>
      <c r="J28" s="216">
        <f>+'2'!J28</f>
        <v>0</v>
      </c>
      <c r="K28" s="238"/>
      <c r="L28" s="238"/>
      <c r="M28" s="121">
        <f>+K28+'2'!M28+L28</f>
        <v>0</v>
      </c>
      <c r="R28" s="178"/>
      <c r="S28" s="178"/>
    </row>
    <row r="29" spans="1:19" ht="13.5" thickBot="1">
      <c r="A29" s="805"/>
      <c r="B29" s="217"/>
      <c r="C29" s="218"/>
      <c r="D29" s="219"/>
      <c r="E29" s="225"/>
      <c r="F29" s="235"/>
      <c r="G29" s="232"/>
      <c r="H29" s="233"/>
      <c r="I29" s="808"/>
      <c r="J29" s="216">
        <f>+'2'!J29</f>
        <v>0</v>
      </c>
      <c r="K29" s="238"/>
      <c r="L29" s="238"/>
      <c r="M29" s="121">
        <f>+K29+'2'!M29+L29</f>
        <v>0</v>
      </c>
    </row>
    <row r="30" spans="1:19" ht="13.5" thickBot="1">
      <c r="A30" s="805"/>
      <c r="B30" s="217"/>
      <c r="C30" s="226"/>
      <c r="D30" s="219"/>
      <c r="E30" s="225"/>
      <c r="F30" s="235"/>
      <c r="G30" s="232"/>
      <c r="H30" s="233"/>
      <c r="I30" s="808"/>
      <c r="J30" s="216">
        <f>+'2'!J30</f>
        <v>0</v>
      </c>
      <c r="K30" s="238"/>
      <c r="L30" s="238"/>
      <c r="M30" s="121">
        <f>+K30+'2'!M30+L30</f>
        <v>0</v>
      </c>
      <c r="N30" s="159"/>
    </row>
    <row r="31" spans="1:19" ht="13.5" thickBot="1">
      <c r="A31" s="805"/>
      <c r="B31" s="217"/>
      <c r="C31" s="226"/>
      <c r="D31" s="219"/>
      <c r="E31" s="225"/>
      <c r="F31" s="235"/>
      <c r="G31" s="236"/>
      <c r="H31" s="413"/>
      <c r="I31" s="809"/>
      <c r="J31" s="216">
        <f>+'2'!J31</f>
        <v>0</v>
      </c>
      <c r="K31" s="238"/>
      <c r="L31" s="238"/>
      <c r="M31" s="121">
        <f>+K31+'2'!M31+L31</f>
        <v>0</v>
      </c>
    </row>
    <row r="32" spans="1:19" ht="13.5" thickBot="1">
      <c r="A32" s="806"/>
      <c r="B32" s="169" t="s">
        <v>3</v>
      </c>
      <c r="C32" s="103">
        <f>SUM(C25:C31)</f>
        <v>0</v>
      </c>
      <c r="D32" s="104">
        <f>SUM(D25:D31)</f>
        <v>0</v>
      </c>
      <c r="E32" s="105">
        <f>SUM(E25:E31)</f>
        <v>0</v>
      </c>
      <c r="F32" s="103">
        <f>SUM(F24:F31)</f>
        <v>480</v>
      </c>
      <c r="G32" s="173"/>
      <c r="H32" s="174"/>
      <c r="I32" s="172"/>
      <c r="J32" s="216">
        <f>+'2'!J32</f>
        <v>0</v>
      </c>
      <c r="K32" s="240"/>
      <c r="L32" s="242"/>
      <c r="M32" s="121">
        <f>+K32+'2'!M32+L32</f>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0</v>
      </c>
      <c r="D34" s="111">
        <f>D14+D23+D32</f>
        <v>0</v>
      </c>
      <c r="E34" s="111">
        <f>E14+E23+E32</f>
        <v>0</v>
      </c>
      <c r="F34" s="112">
        <f>F14+F23+F32</f>
        <v>1440</v>
      </c>
      <c r="H34" s="180"/>
      <c r="I34" s="180"/>
      <c r="J34" s="127" t="s">
        <v>28</v>
      </c>
      <c r="K34" s="128">
        <f>SUM(K7:K32)</f>
        <v>0</v>
      </c>
      <c r="L34" s="214">
        <f>SUM(L7:L32)</f>
        <v>0</v>
      </c>
      <c r="M34" s="124">
        <f>SUM(M7:M32)</f>
        <v>3364</v>
      </c>
      <c r="N34" s="159"/>
    </row>
    <row r="35" spans="1:14" ht="13.5" thickBot="1">
      <c r="A35" s="594"/>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(13*1440)/1440*G42*2.66*1440/1000000</f>
        <v>0</v>
      </c>
      <c r="J37" s="129">
        <f>+I37+'2'!J37</f>
        <v>0</v>
      </c>
      <c r="K37" s="130" t="s">
        <v>75</v>
      </c>
    </row>
    <row r="38" spans="1:14" ht="17.45" customHeight="1">
      <c r="A38" s="797" t="s">
        <v>12</v>
      </c>
      <c r="B38" s="798"/>
      <c r="C38" s="168">
        <f>SUMIF($G$7:$G$31,"Process",$F$7:$F$31)</f>
        <v>0</v>
      </c>
      <c r="D38" s="122">
        <f>C38+'2'!D38</f>
        <v>0</v>
      </c>
      <c r="E38" s="147">
        <f t="shared" ref="E38:E52" si="0">D38/60</f>
        <v>0</v>
      </c>
      <c r="F38" s="311"/>
      <c r="G38" s="311"/>
      <c r="H38" s="189" t="s">
        <v>76</v>
      </c>
      <c r="I38" s="534"/>
      <c r="J38" s="131">
        <f>+I38+'2'!J38</f>
        <v>0</v>
      </c>
      <c r="K38" s="132" t="s">
        <v>75</v>
      </c>
    </row>
    <row r="39" spans="1:14" ht="17.45" customHeight="1">
      <c r="A39" s="799" t="s">
        <v>13</v>
      </c>
      <c r="B39" s="800"/>
      <c r="C39" s="168">
        <f>SUMIF($G$7:$G$31,"Cleaning",$F$7:$F$31)</f>
        <v>0</v>
      </c>
      <c r="D39" s="122">
        <f>C39+'2'!D39</f>
        <v>0</v>
      </c>
      <c r="E39" s="147">
        <f t="shared" si="0"/>
        <v>0</v>
      </c>
      <c r="F39" s="311"/>
      <c r="G39" s="311"/>
      <c r="H39" s="189" t="s">
        <v>77</v>
      </c>
      <c r="I39" s="146"/>
      <c r="J39" s="133">
        <f>J37/G4</f>
        <v>0</v>
      </c>
      <c r="K39" s="134" t="s">
        <v>75</v>
      </c>
    </row>
    <row r="40" spans="1:14" ht="17.45" customHeight="1">
      <c r="A40" s="799" t="s">
        <v>78</v>
      </c>
      <c r="B40" s="800"/>
      <c r="C40" s="168">
        <f>SUMIF($G$7:$G$31,"Mechanical",$F$7:$F$31)</f>
        <v>0</v>
      </c>
      <c r="D40" s="122">
        <f>C40+'2'!D40</f>
        <v>0</v>
      </c>
      <c r="E40" s="147">
        <f t="shared" si="0"/>
        <v>0</v>
      </c>
      <c r="F40" s="311"/>
      <c r="G40" s="311"/>
      <c r="H40" s="189" t="s">
        <v>79</v>
      </c>
      <c r="I40" s="122">
        <f>(K34+L34)/1000</f>
        <v>0</v>
      </c>
      <c r="J40" s="135">
        <f>+I40+'2'!J40</f>
        <v>3.3639999999999999</v>
      </c>
      <c r="K40" s="134" t="s">
        <v>75</v>
      </c>
    </row>
    <row r="41" spans="1:14" ht="17.45" customHeight="1">
      <c r="A41" s="799" t="s">
        <v>80</v>
      </c>
      <c r="B41" s="800"/>
      <c r="C41" s="168">
        <f>SUMIF($G$7:$G$31,"Electrical",$F$7:$F$31)</f>
        <v>0</v>
      </c>
      <c r="D41" s="122">
        <f>C41+'2'!D41</f>
        <v>0</v>
      </c>
      <c r="E41" s="147">
        <f t="shared" si="0"/>
        <v>0</v>
      </c>
      <c r="F41" s="311"/>
      <c r="G41" s="311"/>
      <c r="H41" s="189" t="s">
        <v>81</v>
      </c>
      <c r="I41" s="146"/>
      <c r="J41" s="133">
        <f>J40/G4</f>
        <v>1.1213333333333333</v>
      </c>
      <c r="K41" s="134" t="s">
        <v>75</v>
      </c>
      <c r="M41" s="159"/>
    </row>
    <row r="42" spans="1:14" ht="17.45" customHeight="1">
      <c r="A42" s="799" t="s">
        <v>16</v>
      </c>
      <c r="B42" s="800"/>
      <c r="C42" s="168">
        <f>SUMIF($G$7:$G$31,"Instrument",$F$7:$F$31)</f>
        <v>0</v>
      </c>
      <c r="D42" s="122">
        <f>C42+'2'!D42</f>
        <v>0</v>
      </c>
      <c r="E42" s="147">
        <f t="shared" si="0"/>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C43+'2'!D43</f>
        <v>0</v>
      </c>
      <c r="E43" s="147">
        <f t="shared" si="0"/>
        <v>0</v>
      </c>
      <c r="F43" s="311"/>
      <c r="G43" s="312"/>
      <c r="H43" s="190" t="s">
        <v>85</v>
      </c>
      <c r="I43" s="122">
        <f>+Report1!Z11</f>
        <v>0.1</v>
      </c>
      <c r="J43" s="137">
        <f>+I43+'2'!J43</f>
        <v>0.6</v>
      </c>
      <c r="K43" s="134" t="s">
        <v>75</v>
      </c>
      <c r="L43" s="191"/>
    </row>
    <row r="44" spans="1:14" ht="17.45" customHeight="1">
      <c r="A44" s="799" t="s">
        <v>17</v>
      </c>
      <c r="B44" s="800"/>
      <c r="C44" s="168">
        <f>SUMIF($G$7:$G$31,"PLN",$F$7:$F$31)</f>
        <v>0</v>
      </c>
      <c r="D44" s="122">
        <f>C44+'2'!D44</f>
        <v>0</v>
      </c>
      <c r="E44" s="147">
        <f t="shared" si="0"/>
        <v>0</v>
      </c>
      <c r="F44" s="311"/>
      <c r="G44" s="312"/>
      <c r="H44" s="190" t="s">
        <v>86</v>
      </c>
      <c r="I44" s="122" t="e">
        <f>I43/I38</f>
        <v>#DIV/0!</v>
      </c>
      <c r="J44" s="138" t="e">
        <f>J43/J38</f>
        <v>#DIV/0!</v>
      </c>
      <c r="K44" s="134" t="s">
        <v>75</v>
      </c>
    </row>
    <row r="45" spans="1:14" ht="17.45" customHeight="1">
      <c r="A45" s="799" t="s">
        <v>18</v>
      </c>
      <c r="B45" s="800"/>
      <c r="C45" s="168">
        <f>SUMIF($G$7:$G$31,"Boiler",$F$7:$F$31)</f>
        <v>0</v>
      </c>
      <c r="D45" s="122">
        <f>C45+'2'!D45</f>
        <v>0</v>
      </c>
      <c r="E45" s="147">
        <f t="shared" si="0"/>
        <v>0</v>
      </c>
      <c r="F45" s="311"/>
      <c r="G45" s="314"/>
      <c r="H45" s="190" t="s">
        <v>87</v>
      </c>
      <c r="I45" s="122" t="e">
        <f>I43/I40</f>
        <v>#DIV/0!</v>
      </c>
      <c r="J45" s="138">
        <f>J43/J40</f>
        <v>0.178359096313912</v>
      </c>
      <c r="K45" s="134" t="s">
        <v>75</v>
      </c>
    </row>
    <row r="46" spans="1:14" ht="17.45" customHeight="1">
      <c r="A46" s="799" t="s">
        <v>88</v>
      </c>
      <c r="B46" s="800"/>
      <c r="C46" s="168">
        <f>SUMIF($G$7:$G$31,"Gas",$F$7:$F$31)</f>
        <v>0</v>
      </c>
      <c r="D46" s="122">
        <f>C46+'2'!D46</f>
        <v>0</v>
      </c>
      <c r="E46" s="147">
        <f t="shared" si="0"/>
        <v>0</v>
      </c>
      <c r="F46" s="311"/>
      <c r="G46" s="312"/>
      <c r="H46" s="190" t="s">
        <v>89</v>
      </c>
      <c r="I46" s="144">
        <f>+SUMIF(Listrik!X10,"&gt;0")</f>
        <v>1722.2199999999661</v>
      </c>
      <c r="J46" s="139">
        <f>+I46+'2'!J46</f>
        <v>11163.699999999977</v>
      </c>
      <c r="K46" s="134" t="s">
        <v>90</v>
      </c>
    </row>
    <row r="47" spans="1:14" ht="17.45" customHeight="1">
      <c r="A47" s="799" t="s">
        <v>91</v>
      </c>
      <c r="B47" s="800"/>
      <c r="C47" s="168">
        <f>SUMIF($G$7:$G$31,"Gas",$F$7:$F$31)</f>
        <v>0</v>
      </c>
      <c r="D47" s="122">
        <f>C47+'2'!D47</f>
        <v>0</v>
      </c>
      <c r="E47" s="147">
        <f t="shared" si="0"/>
        <v>0</v>
      </c>
      <c r="F47" s="311"/>
      <c r="G47" s="312"/>
      <c r="H47" s="190" t="s">
        <v>92</v>
      </c>
      <c r="I47" s="122" t="e">
        <f>I46/I38</f>
        <v>#DIV/0!</v>
      </c>
      <c r="J47" s="139" t="e">
        <f>J46/J38</f>
        <v>#DIV/0!</v>
      </c>
      <c r="K47" s="134" t="s">
        <v>24</v>
      </c>
    </row>
    <row r="48" spans="1:14" ht="17.45" customHeight="1">
      <c r="A48" s="799" t="s">
        <v>14</v>
      </c>
      <c r="B48" s="800"/>
      <c r="C48" s="168">
        <f>SUMIF($G$7:$G$31,"Start Up",$F$7:$F$31)</f>
        <v>0</v>
      </c>
      <c r="D48" s="122">
        <f>C48+'2'!D48</f>
        <v>0</v>
      </c>
      <c r="E48" s="147">
        <f t="shared" si="0"/>
        <v>0</v>
      </c>
      <c r="F48" s="311"/>
      <c r="G48" s="312"/>
      <c r="H48" s="190" t="s">
        <v>93</v>
      </c>
      <c r="I48" s="122" t="e">
        <f>I46/I40</f>
        <v>#DIV/0!</v>
      </c>
      <c r="J48" s="139">
        <f>J46/J40</f>
        <v>3318.5790725326924</v>
      </c>
      <c r="K48" s="134" t="s">
        <v>24</v>
      </c>
    </row>
    <row r="49" spans="1:11" ht="17.45" customHeight="1">
      <c r="A49" s="799" t="s">
        <v>20</v>
      </c>
      <c r="B49" s="800"/>
      <c r="C49" s="168">
        <f>SUMIF($G$7:$G$31,"Others",$F$7:$F$31)</f>
        <v>1440</v>
      </c>
      <c r="D49" s="122">
        <f>C49+'2'!D49</f>
        <v>4320</v>
      </c>
      <c r="E49" s="147">
        <f t="shared" si="0"/>
        <v>72</v>
      </c>
      <c r="F49" s="187"/>
      <c r="H49" s="190" t="s">
        <v>278</v>
      </c>
      <c r="I49" s="122">
        <f>+Report1!T11</f>
        <v>0</v>
      </c>
      <c r="J49" s="139">
        <f>+I49+'2'!J49</f>
        <v>0</v>
      </c>
      <c r="K49" s="134" t="s">
        <v>94</v>
      </c>
    </row>
    <row r="50" spans="1:11" ht="17.45" customHeight="1">
      <c r="A50" s="799" t="s">
        <v>19</v>
      </c>
      <c r="B50" s="800"/>
      <c r="C50" s="168">
        <f>SUMIF($G$7:$G$31,"Steam",$F$7:$F$31)</f>
        <v>0</v>
      </c>
      <c r="D50" s="122">
        <f>C50+'2'!D50</f>
        <v>0</v>
      </c>
      <c r="E50" s="147">
        <f t="shared" si="0"/>
        <v>0</v>
      </c>
      <c r="F50" s="187"/>
      <c r="H50" s="190" t="s">
        <v>95</v>
      </c>
      <c r="I50" s="144" t="e">
        <f>I49/I38</f>
        <v>#DIV/0!</v>
      </c>
      <c r="J50" s="137" t="e">
        <f>J49/J38</f>
        <v>#DIV/0!</v>
      </c>
      <c r="K50" s="134" t="s">
        <v>94</v>
      </c>
    </row>
    <row r="51" spans="1:11" ht="17.45" customHeight="1">
      <c r="A51" s="801" t="s">
        <v>96</v>
      </c>
      <c r="B51" s="801"/>
      <c r="C51" s="168">
        <f>SUMIF($G$7:$G$31,"Planned shut",$F$7:$F$31)</f>
        <v>0</v>
      </c>
      <c r="D51" s="122">
        <f>C51+'2'!D51</f>
        <v>0</v>
      </c>
      <c r="E51" s="147">
        <f t="shared" si="0"/>
        <v>0</v>
      </c>
      <c r="F51" s="187"/>
      <c r="H51" s="192" t="s">
        <v>97</v>
      </c>
      <c r="I51" s="145" t="e">
        <f>I49/I40</f>
        <v>#DIV/0!</v>
      </c>
      <c r="J51" s="140">
        <f>J49/J40</f>
        <v>0</v>
      </c>
      <c r="K51" s="141" t="s">
        <v>94</v>
      </c>
    </row>
    <row r="52" spans="1:11" ht="13.5" thickBot="1">
      <c r="A52" s="802" t="s">
        <v>229</v>
      </c>
      <c r="B52" s="803"/>
      <c r="C52" s="168">
        <f>SUMIF($G$7:$G$31,"Change Grade",$F$7:$F$31)</f>
        <v>0</v>
      </c>
      <c r="D52" s="122">
        <f>C52+'2'!D52</f>
        <v>0</v>
      </c>
      <c r="E52" s="147">
        <f t="shared" si="0"/>
        <v>0</v>
      </c>
      <c r="F52" s="187"/>
      <c r="H52" s="193"/>
      <c r="I52" s="194"/>
      <c r="J52" s="142"/>
      <c r="K52" s="143"/>
    </row>
    <row r="53" spans="1:11">
      <c r="A53" s="797" t="s">
        <v>28</v>
      </c>
      <c r="B53" s="798"/>
      <c r="C53" s="148">
        <f>SUM(C38:C52)</f>
        <v>1440</v>
      </c>
      <c r="D53" s="148">
        <f>SUM(D38:D52)</f>
        <v>4320</v>
      </c>
      <c r="E53" s="149">
        <f>SUM(E38:E52)</f>
        <v>72</v>
      </c>
      <c r="F53" s="187"/>
    </row>
    <row r="54" spans="1:11" ht="13.5" thickBot="1">
      <c r="A54" s="795"/>
      <c r="B54" s="796"/>
      <c r="C54" s="150">
        <f>C53/(24*60)</f>
        <v>1</v>
      </c>
      <c r="D54" s="150">
        <f>D53/(24*60*G4)</f>
        <v>1</v>
      </c>
      <c r="E54" s="151">
        <f>E53/(G4*24)</f>
        <v>1</v>
      </c>
      <c r="F54" s="187"/>
    </row>
    <row r="55" spans="1:11">
      <c r="E55" s="195"/>
    </row>
    <row r="56" spans="1:11">
      <c r="A56" s="196" t="s">
        <v>98</v>
      </c>
      <c r="B56" s="197"/>
      <c r="C56" s="198"/>
      <c r="D56" s="198"/>
      <c r="E56" s="198"/>
      <c r="F56" s="199"/>
      <c r="G56" s="198"/>
      <c r="H56" s="200"/>
      <c r="I56" s="201" t="s">
        <v>99</v>
      </c>
      <c r="J56" s="202">
        <f>+D34+'2'!J56</f>
        <v>0</v>
      </c>
      <c r="K56" s="203">
        <f>J56/(J40+J56/1000)/1000</f>
        <v>0</v>
      </c>
    </row>
    <row r="57" spans="1:11">
      <c r="A57" s="178"/>
      <c r="I57" s="201" t="s">
        <v>100</v>
      </c>
      <c r="J57" s="202">
        <f>+E34+'2'!J57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55"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zoomScale="80" zoomScaleNormal="75" zoomScaleSheetLayoutView="80" workbookViewId="0">
      <selection activeCell="J7" sqref="J7:J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customWidth="1"/>
    <col min="7" max="7" width="11.42578125" style="153"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5703125" style="153" customWidth="1"/>
    <col min="14" max="16384" width="9.140625" style="153"/>
  </cols>
  <sheetData>
    <row r="1" spans="1:28" ht="15.75">
      <c r="A1" s="152"/>
      <c r="U1" s="529"/>
      <c r="V1" s="553"/>
    </row>
    <row r="2" spans="1:28" ht="15.75">
      <c r="A2" s="152" t="s">
        <v>230</v>
      </c>
      <c r="U2" s="529"/>
      <c r="V2" s="553"/>
    </row>
    <row r="3" spans="1:28" ht="15">
      <c r="A3" s="154"/>
      <c r="U3" s="529"/>
      <c r="V3" s="553"/>
    </row>
    <row r="4" spans="1:28" ht="20.25">
      <c r="A4" s="155" t="s">
        <v>4</v>
      </c>
      <c r="B4" s="156"/>
      <c r="F4" s="157" t="s">
        <v>30</v>
      </c>
      <c r="G4" s="158">
        <v>2</v>
      </c>
      <c r="H4" s="158" t="str">
        <f>+'1'!H4</f>
        <v>.10.25</v>
      </c>
      <c r="X4" s="178"/>
    </row>
    <row r="5" spans="1:28" ht="13.5" thickBot="1">
      <c r="C5" s="159"/>
      <c r="D5" s="159"/>
      <c r="Y5" s="178"/>
      <c r="Z5" s="178"/>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W6" s="529"/>
    </row>
    <row r="7" spans="1:28" ht="13.5" customHeight="1" thickBot="1">
      <c r="A7" s="804"/>
      <c r="B7" s="217"/>
      <c r="C7" s="218"/>
      <c r="D7" s="219"/>
      <c r="E7" s="220"/>
      <c r="F7" s="235"/>
      <c r="G7" s="582" t="s">
        <v>12</v>
      </c>
      <c r="H7" s="583" t="s">
        <v>400</v>
      </c>
      <c r="I7" s="807" t="s">
        <v>421</v>
      </c>
      <c r="J7" s="216" t="str">
        <f>+'1'!J7</f>
        <v>TW 17 RC HW</v>
      </c>
      <c r="K7" s="237">
        <f>+C7+C16+C25</f>
        <v>0</v>
      </c>
      <c r="L7" s="241"/>
      <c r="M7" s="121">
        <f>+K7+'1'!M7+L7</f>
        <v>3364</v>
      </c>
      <c r="Z7" s="178"/>
    </row>
    <row r="8" spans="1:28" ht="13.5" thickBot="1">
      <c r="A8" s="805"/>
      <c r="B8" s="217"/>
      <c r="C8" s="218"/>
      <c r="D8" s="219"/>
      <c r="E8" s="221"/>
      <c r="F8" s="231"/>
      <c r="G8" s="584" t="s">
        <v>12</v>
      </c>
      <c r="H8" s="230" t="s">
        <v>398</v>
      </c>
      <c r="I8" s="808"/>
      <c r="J8" s="216">
        <f>+'1'!J8</f>
        <v>0</v>
      </c>
      <c r="K8" s="238">
        <f>+C26</f>
        <v>0</v>
      </c>
      <c r="L8" s="238"/>
      <c r="M8" s="121">
        <f>+K8+'1'!M8+L8</f>
        <v>0</v>
      </c>
      <c r="N8" s="529"/>
      <c r="O8" s="529"/>
      <c r="P8" s="178"/>
      <c r="Q8" s="178"/>
      <c r="AA8" s="178"/>
      <c r="AB8" s="178"/>
    </row>
    <row r="9" spans="1:28" ht="13.5" thickBot="1">
      <c r="A9" s="805"/>
      <c r="B9" s="217"/>
      <c r="C9" s="218"/>
      <c r="D9" s="219"/>
      <c r="E9" s="222"/>
      <c r="F9" s="231"/>
      <c r="G9" s="584" t="s">
        <v>12</v>
      </c>
      <c r="H9" s="233" t="s">
        <v>399</v>
      </c>
      <c r="I9" s="808"/>
      <c r="J9" s="216">
        <f>+'1'!J9</f>
        <v>0</v>
      </c>
      <c r="K9" s="238"/>
      <c r="L9" s="238"/>
      <c r="M9" s="121">
        <f>+K9+'1'!M9+L9</f>
        <v>0</v>
      </c>
    </row>
    <row r="10" spans="1:28" ht="102.75" thickBot="1">
      <c r="A10" s="805"/>
      <c r="B10" s="217"/>
      <c r="C10" s="218"/>
      <c r="D10" s="219"/>
      <c r="E10" s="221"/>
      <c r="F10" s="231">
        <v>480</v>
      </c>
      <c r="G10" s="229" t="s">
        <v>20</v>
      </c>
      <c r="H10" s="585" t="s">
        <v>426</v>
      </c>
      <c r="I10" s="808"/>
      <c r="J10" s="216">
        <f>+'1'!J10</f>
        <v>0</v>
      </c>
      <c r="K10" s="238"/>
      <c r="L10" s="238"/>
      <c r="M10" s="121">
        <f>+K10+'1'!M10+L10</f>
        <v>0</v>
      </c>
    </row>
    <row r="11" spans="1:28" ht="13.5" thickBot="1">
      <c r="A11" s="805"/>
      <c r="B11" s="217"/>
      <c r="C11" s="218"/>
      <c r="D11" s="219"/>
      <c r="E11" s="221"/>
      <c r="F11" s="228"/>
      <c r="G11" s="232"/>
      <c r="H11" s="233"/>
      <c r="I11" s="808"/>
      <c r="J11" s="216">
        <f>+'1'!J11</f>
        <v>0</v>
      </c>
      <c r="K11" s="238"/>
      <c r="L11" s="238"/>
      <c r="M11" s="121">
        <f>+K11+'1'!M11+L11</f>
        <v>0</v>
      </c>
      <c r="R11" s="178"/>
      <c r="S11" s="178"/>
      <c r="W11" s="530"/>
    </row>
    <row r="12" spans="1:28" ht="13.5" thickBot="1">
      <c r="A12" s="805"/>
      <c r="B12" s="217"/>
      <c r="C12" s="218"/>
      <c r="D12" s="219"/>
      <c r="E12" s="221"/>
      <c r="F12" s="228"/>
      <c r="G12" s="232"/>
      <c r="H12" s="233"/>
      <c r="I12" s="808"/>
      <c r="J12" s="216">
        <f>+'1'!J12</f>
        <v>0</v>
      </c>
      <c r="K12" s="238"/>
      <c r="L12" s="238"/>
      <c r="M12" s="121">
        <f>+K12+'1'!M12+L12</f>
        <v>0</v>
      </c>
    </row>
    <row r="13" spans="1:28" ht="13.5" thickBot="1">
      <c r="A13" s="805"/>
      <c r="B13" s="217"/>
      <c r="C13" s="218"/>
      <c r="D13" s="218"/>
      <c r="E13" s="221"/>
      <c r="F13" s="228"/>
      <c r="G13" s="232"/>
      <c r="H13" s="233"/>
      <c r="I13" s="809"/>
      <c r="J13" s="216">
        <f>+'1'!J13</f>
        <v>0</v>
      </c>
      <c r="K13" s="238"/>
      <c r="L13" s="238"/>
      <c r="M13" s="121">
        <f>+K13+'1'!M13+L13</f>
        <v>0</v>
      </c>
    </row>
    <row r="14" spans="1:28" ht="13.5" thickBot="1">
      <c r="A14" s="806"/>
      <c r="B14" s="169" t="s">
        <v>3</v>
      </c>
      <c r="C14" s="103">
        <f>SUM(C7:C13)</f>
        <v>0</v>
      </c>
      <c r="D14" s="115">
        <f>SUM(D7:D13)</f>
        <v>0</v>
      </c>
      <c r="E14" s="116">
        <f>SUM(E5:E13)</f>
        <v>0</v>
      </c>
      <c r="F14" s="120">
        <f>SUM(F7:F13)</f>
        <v>480</v>
      </c>
      <c r="G14" s="163"/>
      <c r="H14" s="170"/>
      <c r="I14" s="171"/>
      <c r="J14" s="216">
        <f>+'1'!J14</f>
        <v>0</v>
      </c>
      <c r="K14" s="238"/>
      <c r="L14" s="238"/>
      <c r="M14" s="121">
        <f>+K14+'1'!M14+L14</f>
        <v>0</v>
      </c>
      <c r="Z14" s="531"/>
    </row>
    <row r="15" spans="1:28" ht="13.5" customHeight="1" thickBot="1">
      <c r="A15" s="810"/>
      <c r="B15" s="528"/>
      <c r="C15" s="117" t="e">
        <f>C14/($C$23+$D$23+$E$23)</f>
        <v>#DIV/0!</v>
      </c>
      <c r="D15" s="118" t="e">
        <f>D14/($C$23+$D$23+$E$23)</f>
        <v>#DIV/0!</v>
      </c>
      <c r="E15" s="119" t="e">
        <f>E14/($C$23+$D$23+$E$23)</f>
        <v>#DIV/0!</v>
      </c>
      <c r="F15" s="235"/>
      <c r="G15" s="582" t="s">
        <v>12</v>
      </c>
      <c r="H15" s="583" t="s">
        <v>400</v>
      </c>
      <c r="I15" s="807" t="s">
        <v>421</v>
      </c>
      <c r="J15" s="216">
        <f>+'1'!J15</f>
        <v>0</v>
      </c>
      <c r="K15" s="238"/>
      <c r="L15" s="238"/>
      <c r="M15" s="121">
        <f>+K15+'1'!M15+L15</f>
        <v>0</v>
      </c>
      <c r="AA15" s="531"/>
      <c r="AB15" s="531"/>
    </row>
    <row r="16" spans="1:28" ht="13.5" thickBot="1">
      <c r="A16" s="805"/>
      <c r="B16" s="527"/>
      <c r="C16" s="526"/>
      <c r="D16" s="223"/>
      <c r="E16" s="224"/>
      <c r="F16" s="231"/>
      <c r="G16" s="584" t="s">
        <v>12</v>
      </c>
      <c r="H16" s="230" t="s">
        <v>398</v>
      </c>
      <c r="I16" s="808"/>
      <c r="J16" s="216">
        <f>+'1'!J16</f>
        <v>0</v>
      </c>
      <c r="K16" s="229"/>
      <c r="L16" s="229"/>
      <c r="M16" s="121">
        <f>+K16+'1'!M16+L16</f>
        <v>0</v>
      </c>
      <c r="O16" s="529"/>
    </row>
    <row r="17" spans="1:19" ht="13.5" thickBot="1">
      <c r="A17" s="805"/>
      <c r="B17" s="217"/>
      <c r="C17" s="218"/>
      <c r="D17" s="219"/>
      <c r="E17" s="225"/>
      <c r="F17" s="231"/>
      <c r="G17" s="584" t="s">
        <v>12</v>
      </c>
      <c r="H17" s="233" t="s">
        <v>399</v>
      </c>
      <c r="I17" s="808"/>
      <c r="J17" s="216">
        <f>+'1'!J17</f>
        <v>0</v>
      </c>
      <c r="K17" s="229"/>
      <c r="L17" s="229"/>
      <c r="M17" s="121">
        <f>+K17+'1'!M17+L17</f>
        <v>0</v>
      </c>
      <c r="N17" s="529"/>
      <c r="O17" s="529"/>
      <c r="P17" s="178"/>
      <c r="Q17" s="178"/>
    </row>
    <row r="18" spans="1:19" ht="64.5" thickBot="1">
      <c r="A18" s="805"/>
      <c r="B18" s="217"/>
      <c r="C18" s="218"/>
      <c r="D18" s="219"/>
      <c r="E18" s="225"/>
      <c r="F18" s="231">
        <v>480</v>
      </c>
      <c r="G18" s="229" t="s">
        <v>20</v>
      </c>
      <c r="H18" s="585" t="s">
        <v>427</v>
      </c>
      <c r="I18" s="808"/>
      <c r="J18" s="216">
        <f>+'1'!J18</f>
        <v>0</v>
      </c>
      <c r="K18" s="238"/>
      <c r="L18" s="238"/>
      <c r="M18" s="121">
        <f>+K18+'1'!M18+L18</f>
        <v>0</v>
      </c>
    </row>
    <row r="19" spans="1:19" ht="53.25" customHeight="1" thickBot="1">
      <c r="A19" s="805"/>
      <c r="B19" s="217"/>
      <c r="C19" s="218"/>
      <c r="D19" s="219"/>
      <c r="E19" s="222"/>
      <c r="F19" s="234"/>
      <c r="G19" s="232"/>
      <c r="H19" s="233"/>
      <c r="I19" s="808"/>
      <c r="J19" s="216">
        <f>+'1'!J19</f>
        <v>0</v>
      </c>
      <c r="K19" s="238"/>
      <c r="L19" s="238"/>
      <c r="M19" s="121">
        <f>+K19+'1'!M19+L19</f>
        <v>0</v>
      </c>
      <c r="Q19" s="178"/>
    </row>
    <row r="20" spans="1:19" ht="13.5" thickBot="1">
      <c r="A20" s="805"/>
      <c r="B20" s="217"/>
      <c r="C20" s="218"/>
      <c r="D20" s="219"/>
      <c r="E20" s="225"/>
      <c r="F20" s="228"/>
      <c r="G20" s="232"/>
      <c r="H20" s="233"/>
      <c r="I20" s="808"/>
      <c r="J20" s="216">
        <f>+'1'!J20</f>
        <v>0</v>
      </c>
      <c r="K20" s="239"/>
      <c r="L20" s="239"/>
      <c r="M20" s="121">
        <f>+K20+'1'!M20+L20</f>
        <v>0</v>
      </c>
      <c r="R20" s="178"/>
      <c r="S20" s="178"/>
    </row>
    <row r="21" spans="1:19" ht="13.5" thickBot="1">
      <c r="A21" s="805"/>
      <c r="B21" s="217"/>
      <c r="C21" s="218"/>
      <c r="D21" s="219"/>
      <c r="E21" s="225"/>
      <c r="F21" s="231"/>
      <c r="G21" s="232"/>
      <c r="H21" s="233"/>
      <c r="I21" s="808"/>
      <c r="J21" s="216">
        <f>+'1'!J21</f>
        <v>0</v>
      </c>
      <c r="K21" s="238"/>
      <c r="L21" s="238"/>
      <c r="M21" s="121">
        <f>+K21+'1'!M21+L21</f>
        <v>0</v>
      </c>
    </row>
    <row r="22" spans="1:19" ht="13.5" thickBot="1">
      <c r="A22" s="805"/>
      <c r="B22" s="217"/>
      <c r="C22" s="218"/>
      <c r="D22" s="219"/>
      <c r="E22" s="225"/>
      <c r="F22" s="235"/>
      <c r="G22" s="232"/>
      <c r="H22" s="233"/>
      <c r="I22" s="809"/>
      <c r="J22" s="216">
        <f>+'1'!J22</f>
        <v>0</v>
      </c>
      <c r="K22" s="238"/>
      <c r="L22" s="238"/>
      <c r="M22" s="121">
        <f>+K22+'1'!M22+L22</f>
        <v>0</v>
      </c>
    </row>
    <row r="23" spans="1:19" ht="13.5" thickBot="1">
      <c r="A23" s="806"/>
      <c r="B23" s="169" t="s">
        <v>3</v>
      </c>
      <c r="C23" s="103">
        <f>SUM(C16:C22)</f>
        <v>0</v>
      </c>
      <c r="D23" s="115">
        <f>SUM(D16:D22)</f>
        <v>0</v>
      </c>
      <c r="E23" s="116">
        <f>SUM(E18:E22)</f>
        <v>0</v>
      </c>
      <c r="F23" s="120">
        <f>SUM(F15:F22)</f>
        <v>480</v>
      </c>
      <c r="G23" s="163"/>
      <c r="H23" s="170"/>
      <c r="I23" s="172"/>
      <c r="J23" s="216">
        <f>+'1'!J23</f>
        <v>0</v>
      </c>
      <c r="K23" s="238"/>
      <c r="L23" s="238"/>
      <c r="M23" s="121">
        <f>+K23+'1'!M23+L23</f>
        <v>0</v>
      </c>
    </row>
    <row r="24" spans="1:19" ht="13.5" customHeight="1" thickBot="1">
      <c r="A24" s="810"/>
      <c r="B24" s="528"/>
      <c r="C24" s="117" t="e">
        <f>C23/($C$23+$D$23+$E$23)</f>
        <v>#DIV/0!</v>
      </c>
      <c r="D24" s="118" t="e">
        <f>D23/($C$23+$D$23+$E$23)</f>
        <v>#DIV/0!</v>
      </c>
      <c r="E24" s="119" t="e">
        <f>E23/($C$23+$D$23+$E$23)</f>
        <v>#DIV/0!</v>
      </c>
      <c r="F24" s="235"/>
      <c r="G24" s="582" t="s">
        <v>12</v>
      </c>
      <c r="H24" s="583" t="s">
        <v>400</v>
      </c>
      <c r="I24" s="807" t="s">
        <v>421</v>
      </c>
      <c r="J24" s="216">
        <f>+'1'!J24</f>
        <v>0</v>
      </c>
      <c r="K24" s="238"/>
      <c r="L24" s="238"/>
      <c r="M24" s="121">
        <f>+K24+'1'!M24+L24</f>
        <v>0</v>
      </c>
      <c r="N24" s="529"/>
      <c r="O24" s="553"/>
    </row>
    <row r="25" spans="1:19" ht="13.5" thickBot="1">
      <c r="A25" s="805"/>
      <c r="B25" s="527"/>
      <c r="C25" s="226"/>
      <c r="D25" s="219"/>
      <c r="E25" s="225"/>
      <c r="F25" s="231"/>
      <c r="G25" s="584" t="s">
        <v>12</v>
      </c>
      <c r="H25" s="230" t="s">
        <v>398</v>
      </c>
      <c r="I25" s="808"/>
      <c r="J25" s="216">
        <f>+'1'!J25</f>
        <v>0</v>
      </c>
      <c r="K25" s="238"/>
      <c r="L25" s="238"/>
      <c r="M25" s="121">
        <f>+K25+'1'!M25+L25</f>
        <v>0</v>
      </c>
      <c r="N25" s="530"/>
      <c r="O25" s="530"/>
      <c r="P25" s="531"/>
      <c r="Q25" s="531"/>
    </row>
    <row r="26" spans="1:19" ht="13.5" thickBot="1">
      <c r="A26" s="805"/>
      <c r="B26" s="217"/>
      <c r="C26" s="226"/>
      <c r="D26" s="219"/>
      <c r="E26" s="227"/>
      <c r="F26" s="231"/>
      <c r="G26" s="584" t="s">
        <v>12</v>
      </c>
      <c r="H26" s="233" t="s">
        <v>399</v>
      </c>
      <c r="I26" s="808"/>
      <c r="J26" s="216">
        <f>+'1'!J26</f>
        <v>0</v>
      </c>
      <c r="K26" s="238"/>
      <c r="L26" s="238"/>
      <c r="M26" s="121">
        <f>+K26+'1'!M26+L26</f>
        <v>0</v>
      </c>
      <c r="N26" s="530"/>
      <c r="Q26" s="178"/>
    </row>
    <row r="27" spans="1:19" ht="51.75" thickBot="1">
      <c r="A27" s="805"/>
      <c r="B27" s="217"/>
      <c r="C27" s="218"/>
      <c r="D27" s="219"/>
      <c r="E27" s="225"/>
      <c r="F27" s="231">
        <v>480</v>
      </c>
      <c r="G27" s="229" t="s">
        <v>20</v>
      </c>
      <c r="H27" s="585" t="s">
        <v>428</v>
      </c>
      <c r="I27" s="808"/>
      <c r="J27" s="216">
        <f>+'1'!J27</f>
        <v>0</v>
      </c>
      <c r="K27" s="238"/>
      <c r="L27" s="238"/>
      <c r="M27" s="121">
        <f>+K27+'1'!M27+L27</f>
        <v>0</v>
      </c>
      <c r="R27" s="178"/>
      <c r="S27" s="178"/>
    </row>
    <row r="28" spans="1:19" ht="13.5" thickBot="1">
      <c r="A28" s="805"/>
      <c r="B28" s="217"/>
      <c r="C28" s="218"/>
      <c r="D28" s="219"/>
      <c r="E28" s="225"/>
      <c r="F28" s="231"/>
      <c r="G28" s="229"/>
      <c r="H28" s="233"/>
      <c r="I28" s="808"/>
      <c r="J28" s="216">
        <f>+'1'!J28</f>
        <v>0</v>
      </c>
      <c r="K28" s="238"/>
      <c r="L28" s="238"/>
      <c r="M28" s="121">
        <f>+K28+'1'!M28+L28</f>
        <v>0</v>
      </c>
    </row>
    <row r="29" spans="1:19" ht="13.5" thickBot="1">
      <c r="A29" s="805"/>
      <c r="B29" s="217"/>
      <c r="C29" s="218"/>
      <c r="D29" s="219"/>
      <c r="E29" s="225"/>
      <c r="F29" s="235"/>
      <c r="G29" s="232"/>
      <c r="H29" s="233"/>
      <c r="I29" s="808"/>
      <c r="J29" s="216">
        <f>+'1'!J29</f>
        <v>0</v>
      </c>
      <c r="K29" s="238"/>
      <c r="L29" s="238"/>
      <c r="M29" s="121">
        <f>+K29+'1'!M29+L29</f>
        <v>0</v>
      </c>
      <c r="Q29" s="178"/>
    </row>
    <row r="30" spans="1:19" ht="13.5" thickBot="1">
      <c r="A30" s="805"/>
      <c r="B30" s="217"/>
      <c r="C30" s="226"/>
      <c r="D30" s="219"/>
      <c r="E30" s="225"/>
      <c r="F30" s="235"/>
      <c r="G30" s="232"/>
      <c r="H30" s="233"/>
      <c r="I30" s="808"/>
      <c r="J30" s="216">
        <f>+'1'!J30</f>
        <v>0</v>
      </c>
      <c r="K30" s="238"/>
      <c r="L30" s="238"/>
      <c r="M30" s="121">
        <f>+K30+'1'!M30+L30</f>
        <v>0</v>
      </c>
      <c r="N30" s="159"/>
      <c r="R30" s="178"/>
      <c r="S30" s="178"/>
    </row>
    <row r="31" spans="1:19" ht="13.5" thickBot="1">
      <c r="A31" s="805"/>
      <c r="B31" s="217"/>
      <c r="C31" s="226"/>
      <c r="D31" s="219"/>
      <c r="E31" s="225"/>
      <c r="F31" s="235"/>
      <c r="G31" s="236"/>
      <c r="H31" s="413"/>
      <c r="I31" s="809"/>
      <c r="J31" s="216">
        <f>+'1'!J31</f>
        <v>0</v>
      </c>
      <c r="K31" s="238"/>
      <c r="L31" s="238"/>
      <c r="M31" s="121">
        <f>+K31+'1'!M31+L31</f>
        <v>0</v>
      </c>
    </row>
    <row r="32" spans="1:19" ht="13.5" thickBot="1">
      <c r="A32" s="806"/>
      <c r="B32" s="169" t="s">
        <v>3</v>
      </c>
      <c r="C32" s="103">
        <f>SUM(C25:C31)</f>
        <v>0</v>
      </c>
      <c r="D32" s="104">
        <f>SUM(D25:D31)</f>
        <v>0</v>
      </c>
      <c r="E32" s="105">
        <f>SUM(E25:E31)</f>
        <v>0</v>
      </c>
      <c r="F32" s="103">
        <f>SUM(F24:F31)</f>
        <v>480</v>
      </c>
      <c r="G32" s="173"/>
      <c r="H32" s="174"/>
      <c r="I32" s="172"/>
      <c r="J32" s="216">
        <f>+'1'!J32</f>
        <v>0</v>
      </c>
      <c r="K32" s="240"/>
      <c r="L32" s="242"/>
      <c r="M32" s="121">
        <f>+K32+'1'!M32+L32</f>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0</v>
      </c>
      <c r="D34" s="111">
        <f>D14+D23+D32</f>
        <v>0</v>
      </c>
      <c r="E34" s="111">
        <f>E14+E23+E32</f>
        <v>0</v>
      </c>
      <c r="F34" s="112">
        <f>F14+F23+F32</f>
        <v>1440</v>
      </c>
      <c r="H34" s="180"/>
      <c r="I34" s="180"/>
      <c r="J34" s="127" t="s">
        <v>28</v>
      </c>
      <c r="K34" s="128">
        <f>SUM(K7:K32)</f>
        <v>0</v>
      </c>
      <c r="L34" s="214">
        <f>SUM(L7:L32)</f>
        <v>0</v>
      </c>
      <c r="M34" s="124">
        <f>SUM(M7:M32)</f>
        <v>3364</v>
      </c>
      <c r="N34" s="159"/>
    </row>
    <row r="35" spans="1:14" ht="13.5" thickBot="1">
      <c r="A35" s="573"/>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311"/>
      <c r="G37" s="313"/>
      <c r="H37" s="188" t="s">
        <v>74</v>
      </c>
      <c r="I37" s="243">
        <f>(12*1090+13*350)/1440*G42*2.66*1440/1000000</f>
        <v>0</v>
      </c>
      <c r="J37" s="129">
        <f>+I37+'1'!J37</f>
        <v>0</v>
      </c>
      <c r="K37" s="130" t="s">
        <v>75</v>
      </c>
    </row>
    <row r="38" spans="1:14" ht="17.45" customHeight="1">
      <c r="A38" s="797" t="s">
        <v>12</v>
      </c>
      <c r="B38" s="798"/>
      <c r="C38" s="168">
        <f>SUMIF($G$7:$G$31,"Process",$F$7:$F$31)</f>
        <v>0</v>
      </c>
      <c r="D38" s="122">
        <f>C38+'1'!D38</f>
        <v>0</v>
      </c>
      <c r="E38" s="147">
        <f t="shared" ref="E38:E52" si="0">D38/60</f>
        <v>0</v>
      </c>
      <c r="F38" s="311"/>
      <c r="G38" s="311"/>
      <c r="H38" s="189" t="s">
        <v>76</v>
      </c>
      <c r="I38" s="534"/>
      <c r="J38" s="131">
        <f>+I38+'1'!J38</f>
        <v>0</v>
      </c>
      <c r="K38" s="132" t="s">
        <v>75</v>
      </c>
    </row>
    <row r="39" spans="1:14" ht="17.45" customHeight="1">
      <c r="A39" s="799" t="s">
        <v>13</v>
      </c>
      <c r="B39" s="800"/>
      <c r="C39" s="168">
        <f>SUMIF($G$7:$G$31,"Cleaning",$F$7:$F$31)</f>
        <v>0</v>
      </c>
      <c r="D39" s="122">
        <f>C39+'1'!D39</f>
        <v>0</v>
      </c>
      <c r="E39" s="147">
        <f t="shared" si="0"/>
        <v>0</v>
      </c>
      <c r="F39" s="311"/>
      <c r="G39" s="311"/>
      <c r="H39" s="189" t="s">
        <v>77</v>
      </c>
      <c r="I39" s="146"/>
      <c r="J39" s="133">
        <f>J37/G4</f>
        <v>0</v>
      </c>
      <c r="K39" s="134" t="s">
        <v>75</v>
      </c>
    </row>
    <row r="40" spans="1:14" ht="17.45" customHeight="1">
      <c r="A40" s="799" t="s">
        <v>78</v>
      </c>
      <c r="B40" s="800"/>
      <c r="C40" s="168">
        <f>SUMIF($G$7:$G$31,"Mechanical",$F$7:$F$31)</f>
        <v>0</v>
      </c>
      <c r="D40" s="122">
        <f>C40+'1'!D40</f>
        <v>0</v>
      </c>
      <c r="E40" s="147">
        <f t="shared" si="0"/>
        <v>0</v>
      </c>
      <c r="F40" s="311"/>
      <c r="G40" s="311"/>
      <c r="H40" s="189" t="s">
        <v>79</v>
      </c>
      <c r="I40" s="122">
        <f>(K34+L34)/1000</f>
        <v>0</v>
      </c>
      <c r="J40" s="135">
        <f>+I40+'1'!J40</f>
        <v>3.3639999999999999</v>
      </c>
      <c r="K40" s="134" t="s">
        <v>75</v>
      </c>
    </row>
    <row r="41" spans="1:14" ht="17.45" customHeight="1">
      <c r="A41" s="799" t="s">
        <v>80</v>
      </c>
      <c r="B41" s="800"/>
      <c r="C41" s="168">
        <f>SUMIF($G$7:$G$31,"Electrical",$F$7:$F$31)</f>
        <v>0</v>
      </c>
      <c r="D41" s="122">
        <f>C41+'1'!D41</f>
        <v>0</v>
      </c>
      <c r="E41" s="147">
        <f t="shared" si="0"/>
        <v>0</v>
      </c>
      <c r="F41" s="311"/>
      <c r="G41" s="311"/>
      <c r="H41" s="189" t="s">
        <v>81</v>
      </c>
      <c r="I41" s="146"/>
      <c r="J41" s="133">
        <f>J40/G4</f>
        <v>1.6819999999999999</v>
      </c>
      <c r="K41" s="134" t="s">
        <v>75</v>
      </c>
    </row>
    <row r="42" spans="1:14" ht="17.45" customHeight="1">
      <c r="A42" s="799" t="s">
        <v>16</v>
      </c>
      <c r="B42" s="800"/>
      <c r="C42" s="168">
        <f>SUMIF($G$7:$G$31,"Instrument",$F$7:$F$31)</f>
        <v>0</v>
      </c>
      <c r="D42" s="122">
        <f>C42+'1'!D42</f>
        <v>0</v>
      </c>
      <c r="E42" s="147">
        <f t="shared" si="0"/>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C43+'1'!D43</f>
        <v>0</v>
      </c>
      <c r="E43" s="147">
        <f t="shared" si="0"/>
        <v>0</v>
      </c>
      <c r="F43" s="311"/>
      <c r="G43" s="312"/>
      <c r="H43" s="190" t="s">
        <v>85</v>
      </c>
      <c r="I43" s="122">
        <f>+Report1!Z10</f>
        <v>0.1</v>
      </c>
      <c r="J43" s="137">
        <f>+I43+'1'!J43</f>
        <v>0.5</v>
      </c>
      <c r="K43" s="134" t="s">
        <v>75</v>
      </c>
      <c r="L43" s="191"/>
    </row>
    <row r="44" spans="1:14" ht="17.45" customHeight="1">
      <c r="A44" s="799" t="s">
        <v>17</v>
      </c>
      <c r="B44" s="800"/>
      <c r="C44" s="168">
        <f>SUMIF($G$7:$G$31,"PLN",$F$7:$F$31)</f>
        <v>0</v>
      </c>
      <c r="D44" s="122">
        <f>C44+'1'!D44</f>
        <v>0</v>
      </c>
      <c r="E44" s="147">
        <f t="shared" si="0"/>
        <v>0</v>
      </c>
      <c r="F44" s="311"/>
      <c r="G44" s="312"/>
      <c r="H44" s="190" t="s">
        <v>86</v>
      </c>
      <c r="I44" s="122" t="e">
        <f>I43/I38</f>
        <v>#DIV/0!</v>
      </c>
      <c r="J44" s="138" t="e">
        <f>J43/J38</f>
        <v>#DIV/0!</v>
      </c>
      <c r="K44" s="134" t="s">
        <v>75</v>
      </c>
    </row>
    <row r="45" spans="1:14" ht="17.45" customHeight="1">
      <c r="A45" s="799" t="s">
        <v>18</v>
      </c>
      <c r="B45" s="800"/>
      <c r="C45" s="168">
        <f>SUMIF($G$7:$G$31,"Boiler",$F$7:$F$31)</f>
        <v>0</v>
      </c>
      <c r="D45" s="122">
        <f>C45+'1'!D45</f>
        <v>0</v>
      </c>
      <c r="E45" s="147">
        <f t="shared" si="0"/>
        <v>0</v>
      </c>
      <c r="F45" s="311"/>
      <c r="G45" s="314"/>
      <c r="H45" s="190" t="s">
        <v>87</v>
      </c>
      <c r="I45" s="122" t="e">
        <f>I43/I40</f>
        <v>#DIV/0!</v>
      </c>
      <c r="J45" s="138">
        <f>J43/J40</f>
        <v>0.14863258026159334</v>
      </c>
      <c r="K45" s="134" t="s">
        <v>75</v>
      </c>
    </row>
    <row r="46" spans="1:14" ht="17.45" customHeight="1">
      <c r="A46" s="799" t="s">
        <v>88</v>
      </c>
      <c r="B46" s="800"/>
      <c r="C46" s="168">
        <f>SUMIF($G$7:$G$31,"Gas",$F$7:$F$31)</f>
        <v>0</v>
      </c>
      <c r="D46" s="122">
        <f>C46+'1'!D46</f>
        <v>0</v>
      </c>
      <c r="E46" s="147">
        <f t="shared" si="0"/>
        <v>0</v>
      </c>
      <c r="F46" s="311"/>
      <c r="G46" s="312"/>
      <c r="H46" s="190" t="s">
        <v>89</v>
      </c>
      <c r="I46" s="144">
        <f>+SUMIF(Listrik!X9,"&gt;0")</f>
        <v>4254.1799999996701</v>
      </c>
      <c r="J46" s="139">
        <f>+I46+'1'!J46</f>
        <v>9441.4800000000105</v>
      </c>
      <c r="K46" s="134" t="s">
        <v>90</v>
      </c>
    </row>
    <row r="47" spans="1:14" ht="17.45" customHeight="1">
      <c r="A47" s="799" t="s">
        <v>91</v>
      </c>
      <c r="B47" s="800"/>
      <c r="C47" s="168">
        <f>SUMIF($G$7:$G$31,"Gas",$F$7:$F$31)</f>
        <v>0</v>
      </c>
      <c r="D47" s="122">
        <f>C47+'1'!D47</f>
        <v>0</v>
      </c>
      <c r="E47" s="147">
        <f t="shared" si="0"/>
        <v>0</v>
      </c>
      <c r="F47" s="311"/>
      <c r="G47" s="312"/>
      <c r="H47" s="190" t="s">
        <v>92</v>
      </c>
      <c r="I47" s="122" t="e">
        <f>I46/I38</f>
        <v>#DIV/0!</v>
      </c>
      <c r="J47" s="139" t="e">
        <f>J46/J38</f>
        <v>#DIV/0!</v>
      </c>
      <c r="K47" s="134" t="s">
        <v>24</v>
      </c>
    </row>
    <row r="48" spans="1:14" ht="17.45" customHeight="1">
      <c r="A48" s="799" t="s">
        <v>14</v>
      </c>
      <c r="B48" s="800"/>
      <c r="C48" s="168">
        <f>SUMIF($G$7:$G$31,"Start Up",$F$7:$F$31)</f>
        <v>0</v>
      </c>
      <c r="D48" s="122">
        <f>C48+'1'!D48</f>
        <v>0</v>
      </c>
      <c r="E48" s="147">
        <f t="shared" si="0"/>
        <v>0</v>
      </c>
      <c r="F48" s="311"/>
      <c r="G48" s="312"/>
      <c r="H48" s="190" t="s">
        <v>93</v>
      </c>
      <c r="I48" s="122" t="e">
        <f>I46/I40</f>
        <v>#DIV/0!</v>
      </c>
      <c r="J48" s="139">
        <f>J46/J40</f>
        <v>2806.6230677764597</v>
      </c>
      <c r="K48" s="134" t="s">
        <v>24</v>
      </c>
    </row>
    <row r="49" spans="1:11" ht="17.45" customHeight="1">
      <c r="A49" s="799" t="s">
        <v>20</v>
      </c>
      <c r="B49" s="800"/>
      <c r="C49" s="168">
        <f>SUMIF($G$7:$G$31,"Others",$F$7:$F$31)</f>
        <v>1440</v>
      </c>
      <c r="D49" s="122">
        <f>C49+'1'!D49</f>
        <v>2880</v>
      </c>
      <c r="E49" s="147">
        <f t="shared" si="0"/>
        <v>48</v>
      </c>
      <c r="F49" s="187"/>
      <c r="H49" s="190" t="s">
        <v>278</v>
      </c>
      <c r="I49" s="122">
        <f>+Report1!T10</f>
        <v>0</v>
      </c>
      <c r="J49" s="139">
        <f>+I49+'1'!J49</f>
        <v>0</v>
      </c>
      <c r="K49" s="134" t="s">
        <v>94</v>
      </c>
    </row>
    <row r="50" spans="1:11" ht="17.45" customHeight="1">
      <c r="A50" s="799" t="s">
        <v>19</v>
      </c>
      <c r="B50" s="800"/>
      <c r="C50" s="168">
        <f>SUMIF($G$7:$G$31,"Steam",$F$7:$F$31)</f>
        <v>0</v>
      </c>
      <c r="D50" s="122">
        <f>C50+'1'!D50</f>
        <v>0</v>
      </c>
      <c r="E50" s="147">
        <f t="shared" si="0"/>
        <v>0</v>
      </c>
      <c r="F50" s="187"/>
      <c r="H50" s="190" t="s">
        <v>95</v>
      </c>
      <c r="I50" s="144" t="e">
        <f>I49/I38</f>
        <v>#DIV/0!</v>
      </c>
      <c r="J50" s="137" t="e">
        <f>J49/J38</f>
        <v>#DIV/0!</v>
      </c>
      <c r="K50" s="134" t="s">
        <v>94</v>
      </c>
    </row>
    <row r="51" spans="1:11" ht="17.45" customHeight="1">
      <c r="A51" s="801" t="s">
        <v>96</v>
      </c>
      <c r="B51" s="801"/>
      <c r="C51" s="168">
        <f>SUMIF($G$7:$G$31,"Planned shut",$F$7:$F$31)</f>
        <v>0</v>
      </c>
      <c r="D51" s="122">
        <f>C51+'1'!D51</f>
        <v>0</v>
      </c>
      <c r="E51" s="147">
        <f t="shared" si="0"/>
        <v>0</v>
      </c>
      <c r="F51" s="187"/>
      <c r="H51" s="192" t="s">
        <v>97</v>
      </c>
      <c r="I51" s="145" t="e">
        <f>I49/I40</f>
        <v>#DIV/0!</v>
      </c>
      <c r="J51" s="140">
        <f>J49/J40</f>
        <v>0</v>
      </c>
      <c r="K51" s="141" t="s">
        <v>94</v>
      </c>
    </row>
    <row r="52" spans="1:11" ht="13.5" thickBot="1">
      <c r="A52" s="802" t="s">
        <v>229</v>
      </c>
      <c r="B52" s="803"/>
      <c r="C52" s="168">
        <f>SUMIF($G$7:$G$31,"Change Grade",$F$7:$F$31)</f>
        <v>0</v>
      </c>
      <c r="D52" s="122">
        <f>C52+'1'!D52</f>
        <v>0</v>
      </c>
      <c r="E52" s="147">
        <f t="shared" si="0"/>
        <v>0</v>
      </c>
      <c r="F52" s="187"/>
      <c r="H52" s="193"/>
      <c r="I52" s="194"/>
      <c r="J52" s="142"/>
      <c r="K52" s="143"/>
    </row>
    <row r="53" spans="1:11">
      <c r="A53" s="797" t="s">
        <v>28</v>
      </c>
      <c r="B53" s="798"/>
      <c r="C53" s="148">
        <f>SUM(C38:C52)</f>
        <v>1440</v>
      </c>
      <c r="D53" s="148">
        <f>SUM(D38:D52)</f>
        <v>2880</v>
      </c>
      <c r="E53" s="149">
        <f>SUM(E38:E52)</f>
        <v>48</v>
      </c>
      <c r="F53" s="187"/>
    </row>
    <row r="54" spans="1:11" ht="13.5" thickBot="1">
      <c r="A54" s="795"/>
      <c r="B54" s="796"/>
      <c r="C54" s="150">
        <f>C53/(24*60)</f>
        <v>1</v>
      </c>
      <c r="D54" s="150">
        <f>D53/(24*60*G4)</f>
        <v>1</v>
      </c>
      <c r="E54" s="151">
        <f>E53/(G4*24)</f>
        <v>1</v>
      </c>
      <c r="F54" s="187"/>
    </row>
    <row r="55" spans="1:11">
      <c r="E55" s="195"/>
    </row>
    <row r="56" spans="1:11">
      <c r="A56" s="196" t="s">
        <v>98</v>
      </c>
      <c r="B56" s="197"/>
      <c r="C56" s="198"/>
      <c r="D56" s="198"/>
      <c r="E56" s="198"/>
      <c r="F56" s="199"/>
      <c r="G56" s="198"/>
      <c r="H56" s="200"/>
      <c r="I56" s="201" t="s">
        <v>99</v>
      </c>
      <c r="J56" s="202">
        <f>+D34+'1'!J57</f>
        <v>0</v>
      </c>
      <c r="K56" s="203">
        <f>J56/(J40+J56/1000)/1000</f>
        <v>0</v>
      </c>
    </row>
    <row r="57" spans="1:11">
      <c r="A57" s="178"/>
      <c r="I57" s="201" t="s">
        <v>100</v>
      </c>
      <c r="J57" s="202">
        <f>+E34+'1'!J58</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I7:I13"/>
    <mergeCell ref="I15:I22"/>
    <mergeCell ref="A7:A14"/>
    <mergeCell ref="A15:A23"/>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zoomScale="80" zoomScaleNormal="75" zoomScaleSheetLayoutView="80" workbookViewId="0">
      <selection activeCell="E22" sqref="E22"/>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42578125" style="153" bestFit="1" customWidth="1"/>
    <col min="14" max="14" width="9.140625" style="153" bestFit="1"/>
    <col min="15" max="16384" width="9.140625" style="153"/>
  </cols>
  <sheetData>
    <row r="1" spans="1:26" ht="15.75">
      <c r="A1" s="152"/>
      <c r="U1" s="529"/>
    </row>
    <row r="2" spans="1:26" ht="15.75">
      <c r="A2" s="152" t="s">
        <v>230</v>
      </c>
      <c r="U2" s="529"/>
    </row>
    <row r="3" spans="1:26" ht="15">
      <c r="A3" s="154"/>
      <c r="X3" s="178"/>
    </row>
    <row r="4" spans="1:26" ht="20.25">
      <c r="A4" s="155" t="s">
        <v>4</v>
      </c>
      <c r="B4" s="156"/>
      <c r="F4" s="157" t="s">
        <v>30</v>
      </c>
      <c r="G4" s="158">
        <v>1</v>
      </c>
      <c r="H4" s="158" t="s">
        <v>411</v>
      </c>
      <c r="Y4" s="178"/>
      <c r="Z4" s="178"/>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U6" s="530"/>
    </row>
    <row r="7" spans="1:26" ht="13.5" customHeight="1" thickBot="1">
      <c r="A7" s="804"/>
      <c r="B7" s="217" t="s">
        <v>423</v>
      </c>
      <c r="C7" s="218">
        <v>1666</v>
      </c>
      <c r="D7" s="219"/>
      <c r="E7" s="220"/>
      <c r="F7" s="235"/>
      <c r="G7" s="582" t="s">
        <v>12</v>
      </c>
      <c r="H7" s="583" t="s">
        <v>400</v>
      </c>
      <c r="I7" s="807"/>
      <c r="J7" s="249" t="s">
        <v>423</v>
      </c>
      <c r="K7" s="237">
        <f>+C34</f>
        <v>3364</v>
      </c>
      <c r="L7" s="241"/>
      <c r="M7" s="121">
        <f>+K7+L7</f>
        <v>3364</v>
      </c>
    </row>
    <row r="8" spans="1:26" ht="13.5" thickBot="1">
      <c r="A8" s="805"/>
      <c r="B8" s="217"/>
      <c r="C8" s="218"/>
      <c r="D8" s="219"/>
      <c r="E8" s="221"/>
      <c r="F8" s="231"/>
      <c r="G8" s="584" t="s">
        <v>12</v>
      </c>
      <c r="H8" s="230" t="s">
        <v>398</v>
      </c>
      <c r="I8" s="808"/>
      <c r="J8" s="250"/>
      <c r="K8" s="238"/>
      <c r="L8" s="238"/>
      <c r="M8" s="121">
        <f t="shared" ref="M8:M32" si="0">+K8+L8</f>
        <v>0</v>
      </c>
      <c r="N8" s="529"/>
      <c r="O8" s="178"/>
      <c r="P8" s="178"/>
      <c r="Q8" s="178"/>
      <c r="U8" s="532"/>
      <c r="V8" s="533"/>
      <c r="W8" s="533"/>
      <c r="X8" s="533"/>
    </row>
    <row r="9" spans="1:26" ht="13.5" thickBot="1">
      <c r="A9" s="805"/>
      <c r="B9" s="217"/>
      <c r="C9" s="218"/>
      <c r="D9" s="219"/>
      <c r="E9" s="222"/>
      <c r="F9" s="231"/>
      <c r="G9" s="584" t="s">
        <v>12</v>
      </c>
      <c r="H9" s="233" t="s">
        <v>399</v>
      </c>
      <c r="I9" s="808"/>
      <c r="J9" s="250"/>
      <c r="K9" s="238"/>
      <c r="L9" s="238"/>
      <c r="M9" s="121">
        <f t="shared" si="0"/>
        <v>0</v>
      </c>
      <c r="X9" s="531"/>
    </row>
    <row r="10" spans="1:26" ht="147.75" customHeight="1" thickBot="1">
      <c r="A10" s="805"/>
      <c r="B10" s="217"/>
      <c r="C10" s="218"/>
      <c r="D10" s="219"/>
      <c r="E10" s="221"/>
      <c r="F10" s="231">
        <v>480</v>
      </c>
      <c r="G10" s="229" t="s">
        <v>20</v>
      </c>
      <c r="H10" s="585" t="s">
        <v>416</v>
      </c>
      <c r="I10" s="808"/>
      <c r="J10" s="249"/>
      <c r="K10" s="238"/>
      <c r="L10" s="238"/>
      <c r="M10" s="121">
        <f t="shared" si="0"/>
        <v>0</v>
      </c>
      <c r="Y10" s="531"/>
      <c r="Z10" s="531"/>
    </row>
    <row r="11" spans="1:26" ht="13.5" thickBot="1">
      <c r="A11" s="805"/>
      <c r="B11" s="217"/>
      <c r="C11" s="218"/>
      <c r="D11" s="219"/>
      <c r="E11" s="221"/>
      <c r="F11" s="228"/>
      <c r="G11" s="232"/>
      <c r="H11" s="233"/>
      <c r="I11" s="808"/>
      <c r="J11" s="249"/>
      <c r="K11" s="238"/>
      <c r="L11" s="238"/>
      <c r="M11" s="121">
        <f t="shared" si="0"/>
        <v>0</v>
      </c>
    </row>
    <row r="12" spans="1:26" ht="13.5" thickBot="1">
      <c r="A12" s="805"/>
      <c r="B12" s="217"/>
      <c r="C12" s="218"/>
      <c r="D12" s="219"/>
      <c r="E12" s="221"/>
      <c r="F12" s="228"/>
      <c r="G12" s="232"/>
      <c r="H12" s="233"/>
      <c r="I12" s="808"/>
      <c r="J12" s="249"/>
      <c r="K12" s="238"/>
      <c r="L12" s="238"/>
      <c r="M12" s="121">
        <f t="shared" si="0"/>
        <v>0</v>
      </c>
    </row>
    <row r="13" spans="1:26" ht="13.5" thickBot="1">
      <c r="A13" s="805"/>
      <c r="B13" s="217"/>
      <c r="C13" s="218"/>
      <c r="D13" s="218"/>
      <c r="E13" s="221"/>
      <c r="F13" s="228"/>
      <c r="G13" s="232"/>
      <c r="H13" s="233"/>
      <c r="I13" s="809"/>
      <c r="J13" s="249"/>
      <c r="K13" s="238"/>
      <c r="L13" s="238"/>
      <c r="M13" s="121">
        <f t="shared" si="0"/>
        <v>0</v>
      </c>
    </row>
    <row r="14" spans="1:26" ht="13.5" thickBot="1">
      <c r="A14" s="806"/>
      <c r="B14" s="169" t="s">
        <v>3</v>
      </c>
      <c r="C14" s="103">
        <f>SUM(C7:C13)</f>
        <v>1666</v>
      </c>
      <c r="D14" s="115">
        <f>SUM(D7:D13)</f>
        <v>0</v>
      </c>
      <c r="E14" s="116">
        <f>SUM(E5:E13)</f>
        <v>0</v>
      </c>
      <c r="F14" s="120">
        <f>SUM(F7:F13)</f>
        <v>480</v>
      </c>
      <c r="G14" s="163"/>
      <c r="H14" s="170"/>
      <c r="I14" s="171"/>
      <c r="J14" s="249"/>
      <c r="K14" s="238"/>
      <c r="L14" s="238"/>
      <c r="M14" s="121">
        <f t="shared" si="0"/>
        <v>0</v>
      </c>
    </row>
    <row r="15" spans="1:26" ht="13.5" customHeight="1" thickBot="1">
      <c r="A15" s="810"/>
      <c r="B15" s="528"/>
      <c r="C15" s="117">
        <f>C14/($C$23+$D$23+$E$23)</f>
        <v>0.98115429917550057</v>
      </c>
      <c r="D15" s="118">
        <f>D14/($C$23+$D$23+$E$23)</f>
        <v>0</v>
      </c>
      <c r="E15" s="119">
        <f>E14/($C$23+$D$23+$E$23)</f>
        <v>0</v>
      </c>
      <c r="F15" s="235"/>
      <c r="G15" s="582" t="s">
        <v>12</v>
      </c>
      <c r="H15" s="583" t="s">
        <v>400</v>
      </c>
      <c r="I15" s="807"/>
      <c r="J15" s="249"/>
      <c r="K15" s="238"/>
      <c r="L15" s="238"/>
      <c r="M15" s="121">
        <f t="shared" si="0"/>
        <v>0</v>
      </c>
      <c r="N15" s="529"/>
    </row>
    <row r="16" spans="1:26" ht="13.5" thickBot="1">
      <c r="A16" s="805"/>
      <c r="B16" s="527" t="s">
        <v>423</v>
      </c>
      <c r="C16" s="526">
        <v>1698</v>
      </c>
      <c r="D16" s="223"/>
      <c r="E16" s="224"/>
      <c r="F16" s="231"/>
      <c r="G16" s="584" t="s">
        <v>12</v>
      </c>
      <c r="H16" s="230" t="s">
        <v>398</v>
      </c>
      <c r="I16" s="808"/>
      <c r="J16" s="249"/>
      <c r="K16" s="229"/>
      <c r="L16" s="229"/>
      <c r="M16" s="121">
        <f t="shared" si="0"/>
        <v>0</v>
      </c>
      <c r="N16" s="530"/>
    </row>
    <row r="17" spans="1:19" ht="13.5" thickBot="1">
      <c r="A17" s="805"/>
      <c r="B17" s="217"/>
      <c r="C17" s="218"/>
      <c r="D17" s="219"/>
      <c r="E17" s="225"/>
      <c r="F17" s="231"/>
      <c r="G17" s="584" t="s">
        <v>12</v>
      </c>
      <c r="H17" s="233" t="s">
        <v>399</v>
      </c>
      <c r="I17" s="808"/>
      <c r="J17" s="249"/>
      <c r="K17" s="229"/>
      <c r="L17" s="229"/>
      <c r="M17" s="121">
        <f t="shared" si="0"/>
        <v>0</v>
      </c>
      <c r="N17" s="529"/>
      <c r="O17" s="178"/>
      <c r="P17" s="178"/>
    </row>
    <row r="18" spans="1:19" ht="13.5" thickBot="1">
      <c r="A18" s="805"/>
      <c r="B18" s="217"/>
      <c r="C18" s="218"/>
      <c r="D18" s="219"/>
      <c r="E18" s="225"/>
      <c r="F18" s="231">
        <v>480</v>
      </c>
      <c r="G18" s="229" t="s">
        <v>20</v>
      </c>
      <c r="H18" s="585" t="s">
        <v>415</v>
      </c>
      <c r="I18" s="808"/>
      <c r="J18" s="249"/>
      <c r="K18" s="238"/>
      <c r="L18" s="238"/>
      <c r="M18" s="121">
        <f t="shared" si="0"/>
        <v>0</v>
      </c>
      <c r="Q18" s="178"/>
    </row>
    <row r="19" spans="1:19" ht="13.5" thickBot="1">
      <c r="A19" s="805"/>
      <c r="B19" s="217"/>
      <c r="C19" s="218"/>
      <c r="D19" s="219"/>
      <c r="E19" s="225"/>
      <c r="F19" s="234"/>
      <c r="G19" s="232"/>
      <c r="H19" s="233"/>
      <c r="I19" s="808"/>
      <c r="J19" s="249"/>
      <c r="K19" s="238"/>
      <c r="L19" s="238"/>
      <c r="M19" s="121">
        <f t="shared" si="0"/>
        <v>0</v>
      </c>
      <c r="R19" s="178"/>
      <c r="S19" s="178"/>
    </row>
    <row r="20" spans="1:19" ht="13.5" thickBot="1">
      <c r="A20" s="805"/>
      <c r="B20" s="217"/>
      <c r="C20" s="218"/>
      <c r="D20" s="219"/>
      <c r="E20" s="225"/>
      <c r="F20" s="228"/>
      <c r="G20" s="232"/>
      <c r="H20" s="233"/>
      <c r="I20" s="808"/>
      <c r="J20" s="249"/>
      <c r="K20" s="239"/>
      <c r="L20" s="239"/>
      <c r="M20" s="121">
        <f t="shared" si="0"/>
        <v>0</v>
      </c>
    </row>
    <row r="21" spans="1:19" ht="13.5" thickBot="1">
      <c r="A21" s="805"/>
      <c r="B21" s="217"/>
      <c r="C21" s="218"/>
      <c r="D21" s="219"/>
      <c r="E21" s="225"/>
      <c r="F21" s="231"/>
      <c r="G21" s="232"/>
      <c r="H21" s="233"/>
      <c r="I21" s="808"/>
      <c r="J21" s="249"/>
      <c r="K21" s="238"/>
      <c r="L21" s="238"/>
      <c r="M21" s="121">
        <f t="shared" si="0"/>
        <v>0</v>
      </c>
    </row>
    <row r="22" spans="1:19" ht="13.5" thickBot="1">
      <c r="A22" s="805"/>
      <c r="B22" s="217"/>
      <c r="C22" s="218"/>
      <c r="D22" s="219"/>
      <c r="E22" s="225"/>
      <c r="F22" s="235"/>
      <c r="G22" s="232"/>
      <c r="H22" s="233"/>
      <c r="I22" s="809"/>
      <c r="J22" s="249"/>
      <c r="K22" s="238"/>
      <c r="L22" s="238"/>
      <c r="M22" s="121">
        <f t="shared" si="0"/>
        <v>0</v>
      </c>
    </row>
    <row r="23" spans="1:19" ht="13.5" thickBot="1">
      <c r="A23" s="806"/>
      <c r="B23" s="169" t="s">
        <v>3</v>
      </c>
      <c r="C23" s="103">
        <f>SUM(C16:C22)</f>
        <v>1698</v>
      </c>
      <c r="D23" s="115">
        <f>SUM(D16:D22)</f>
        <v>0</v>
      </c>
      <c r="E23" s="116">
        <f>SUM(E18:E22)</f>
        <v>0</v>
      </c>
      <c r="F23" s="120">
        <f>SUM(F15:F22)</f>
        <v>480</v>
      </c>
      <c r="G23" s="163"/>
      <c r="H23" s="170"/>
      <c r="I23" s="172"/>
      <c r="J23" s="249"/>
      <c r="K23" s="238"/>
      <c r="L23" s="238"/>
      <c r="M23" s="121">
        <f t="shared" si="0"/>
        <v>0</v>
      </c>
    </row>
    <row r="24" spans="1:19" ht="13.5" customHeight="1" thickBot="1">
      <c r="A24" s="810"/>
      <c r="B24" s="528"/>
      <c r="C24" s="117">
        <f>C23/($C$23+$D$23+$E$23)</f>
        <v>1</v>
      </c>
      <c r="D24" s="118">
        <f>D23/($C$23+$D$23+$E$23)</f>
        <v>0</v>
      </c>
      <c r="E24" s="119">
        <f>E23/($C$23+$D$23+$E$23)</f>
        <v>0</v>
      </c>
      <c r="F24" s="235"/>
      <c r="G24" s="582" t="s">
        <v>12</v>
      </c>
      <c r="H24" s="583" t="s">
        <v>400</v>
      </c>
      <c r="I24" s="807"/>
      <c r="J24" s="249"/>
      <c r="K24" s="238"/>
      <c r="L24" s="238"/>
      <c r="M24" s="121">
        <f t="shared" si="0"/>
        <v>0</v>
      </c>
    </row>
    <row r="25" spans="1:19" ht="13.5" thickBot="1">
      <c r="A25" s="805"/>
      <c r="B25" s="527"/>
      <c r="C25" s="226"/>
      <c r="D25" s="219"/>
      <c r="E25" s="225"/>
      <c r="F25" s="231"/>
      <c r="G25" s="584" t="s">
        <v>12</v>
      </c>
      <c r="H25" s="230" t="s">
        <v>398</v>
      </c>
      <c r="I25" s="808"/>
      <c r="J25" s="249"/>
      <c r="K25" s="238"/>
      <c r="L25" s="238"/>
      <c r="M25" s="121">
        <f t="shared" si="0"/>
        <v>0</v>
      </c>
      <c r="N25" s="530"/>
      <c r="O25" s="531"/>
      <c r="P25" s="531"/>
      <c r="Q25" s="531"/>
    </row>
    <row r="26" spans="1:19" ht="13.5" thickBot="1">
      <c r="A26" s="805"/>
      <c r="B26" s="217"/>
      <c r="C26" s="226"/>
      <c r="D26" s="219"/>
      <c r="E26" s="227"/>
      <c r="F26" s="231"/>
      <c r="G26" s="584" t="s">
        <v>12</v>
      </c>
      <c r="H26" s="233" t="s">
        <v>399</v>
      </c>
      <c r="I26" s="808"/>
      <c r="J26" s="249"/>
      <c r="K26" s="238"/>
      <c r="L26" s="238"/>
      <c r="M26" s="121">
        <f t="shared" si="0"/>
        <v>0</v>
      </c>
      <c r="N26" s="529"/>
      <c r="O26" s="178"/>
      <c r="P26" s="178"/>
    </row>
    <row r="27" spans="1:19" ht="51.75" thickBot="1">
      <c r="A27" s="805"/>
      <c r="B27" s="217"/>
      <c r="C27" s="218"/>
      <c r="D27" s="219"/>
      <c r="E27" s="225"/>
      <c r="F27" s="231">
        <v>480</v>
      </c>
      <c r="G27" s="229" t="s">
        <v>20</v>
      </c>
      <c r="H27" s="585" t="s">
        <v>414</v>
      </c>
      <c r="I27" s="808"/>
      <c r="J27" s="249"/>
      <c r="K27" s="238"/>
      <c r="L27" s="238"/>
      <c r="M27" s="121">
        <f t="shared" si="0"/>
        <v>0</v>
      </c>
    </row>
    <row r="28" spans="1:19" ht="13.5" thickBot="1">
      <c r="A28" s="805"/>
      <c r="B28" s="217"/>
      <c r="C28" s="218"/>
      <c r="D28" s="219"/>
      <c r="E28" s="225"/>
      <c r="F28" s="231"/>
      <c r="G28" s="229"/>
      <c r="H28" s="233"/>
      <c r="I28" s="808"/>
      <c r="J28" s="249"/>
      <c r="K28" s="238"/>
      <c r="L28" s="238"/>
      <c r="M28" s="121">
        <f t="shared" si="0"/>
        <v>0</v>
      </c>
    </row>
    <row r="29" spans="1:19" ht="13.5" thickBot="1">
      <c r="A29" s="805"/>
      <c r="B29" s="217"/>
      <c r="C29" s="218"/>
      <c r="D29" s="219"/>
      <c r="E29" s="225"/>
      <c r="F29" s="235"/>
      <c r="G29" s="232"/>
      <c r="H29" s="233"/>
      <c r="I29" s="808"/>
      <c r="J29" s="249"/>
      <c r="K29" s="238"/>
      <c r="L29" s="238"/>
      <c r="M29" s="121">
        <f t="shared" si="0"/>
        <v>0</v>
      </c>
    </row>
    <row r="30" spans="1:19" ht="13.5" thickBot="1">
      <c r="A30" s="805"/>
      <c r="B30" s="217"/>
      <c r="C30" s="226"/>
      <c r="D30" s="219"/>
      <c r="E30" s="225"/>
      <c r="F30" s="235"/>
      <c r="G30" s="232"/>
      <c r="H30" s="233"/>
      <c r="I30" s="808"/>
      <c r="J30" s="249"/>
      <c r="K30" s="238"/>
      <c r="L30" s="238"/>
      <c r="M30" s="121">
        <f t="shared" si="0"/>
        <v>0</v>
      </c>
      <c r="N30" s="159"/>
    </row>
    <row r="31" spans="1:19" ht="13.5" thickBot="1">
      <c r="A31" s="805"/>
      <c r="B31" s="217"/>
      <c r="C31" s="226"/>
      <c r="D31" s="219"/>
      <c r="E31" s="225"/>
      <c r="F31" s="235"/>
      <c r="G31" s="236"/>
      <c r="H31" s="413"/>
      <c r="I31" s="809"/>
      <c r="J31" s="249"/>
      <c r="K31" s="238"/>
      <c r="L31" s="238"/>
      <c r="M31" s="121">
        <f t="shared" si="0"/>
        <v>0</v>
      </c>
    </row>
    <row r="32" spans="1:19" ht="13.5" thickBot="1">
      <c r="A32" s="806"/>
      <c r="B32" s="169" t="s">
        <v>3</v>
      </c>
      <c r="C32" s="103">
        <f>SUM(C25:C31)</f>
        <v>0</v>
      </c>
      <c r="D32" s="104">
        <f>SUM(D25:D31)</f>
        <v>0</v>
      </c>
      <c r="E32" s="105">
        <f>SUM(E25:E31)</f>
        <v>0</v>
      </c>
      <c r="F32" s="103">
        <f>SUM(F24:F31)</f>
        <v>480</v>
      </c>
      <c r="G32" s="173"/>
      <c r="H32" s="174"/>
      <c r="I32" s="172"/>
      <c r="J32" s="251"/>
      <c r="K32" s="240"/>
      <c r="L32" s="242"/>
      <c r="M32" s="121">
        <f t="shared" si="0"/>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11" t="s">
        <v>69</v>
      </c>
      <c r="B34" s="812"/>
      <c r="C34" s="111">
        <f>C14+C23+C32</f>
        <v>3364</v>
      </c>
      <c r="D34" s="111">
        <f>D14+D23+D32</f>
        <v>0</v>
      </c>
      <c r="E34" s="111">
        <f>E14+E23+E32</f>
        <v>0</v>
      </c>
      <c r="F34" s="112">
        <f>F14+F23+F32</f>
        <v>1440</v>
      </c>
      <c r="H34" s="180"/>
      <c r="I34" s="180"/>
      <c r="J34" s="127" t="s">
        <v>28</v>
      </c>
      <c r="K34" s="128">
        <f>SUM(K7:K32)</f>
        <v>3364</v>
      </c>
      <c r="L34" s="214">
        <f>SUM(L7:L32)</f>
        <v>0</v>
      </c>
      <c r="M34" s="124">
        <f>SUM(M7:M32)</f>
        <v>3364</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13" t="s">
        <v>70</v>
      </c>
      <c r="B37" s="814"/>
      <c r="C37" s="166" t="s">
        <v>71</v>
      </c>
      <c r="D37" s="185" t="s">
        <v>72</v>
      </c>
      <c r="E37" s="186" t="s">
        <v>73</v>
      </c>
      <c r="F37" s="187"/>
      <c r="G37" s="159"/>
      <c r="H37" s="188" t="s">
        <v>74</v>
      </c>
      <c r="I37" s="243">
        <f>(12*1440)/1440*G42*2.7*1440/1000000</f>
        <v>0</v>
      </c>
      <c r="J37" s="129">
        <f>I37</f>
        <v>0</v>
      </c>
      <c r="K37" s="130" t="s">
        <v>75</v>
      </c>
    </row>
    <row r="38" spans="1:14" ht="17.45" customHeight="1">
      <c r="A38" s="797" t="s">
        <v>12</v>
      </c>
      <c r="B38" s="798"/>
      <c r="C38" s="168">
        <f>SUMIF($G$7:$G$31,"Process",$F$7:$F$31)</f>
        <v>0</v>
      </c>
      <c r="D38" s="122">
        <f>C38</f>
        <v>0</v>
      </c>
      <c r="E38" s="147">
        <f t="shared" ref="E38:E51" si="1">D38/60</f>
        <v>0</v>
      </c>
      <c r="F38" s="187"/>
      <c r="G38" s="187"/>
      <c r="H38" s="189" t="s">
        <v>76</v>
      </c>
      <c r="I38" s="534"/>
      <c r="J38" s="131">
        <f>I38</f>
        <v>0</v>
      </c>
      <c r="K38" s="132" t="s">
        <v>75</v>
      </c>
    </row>
    <row r="39" spans="1:14" ht="17.45" customHeight="1">
      <c r="A39" s="799" t="s">
        <v>13</v>
      </c>
      <c r="B39" s="800"/>
      <c r="C39" s="168">
        <f>SUMIF($G$7:$G$31,"Cleaning",$F$7:$F$31)</f>
        <v>0</v>
      </c>
      <c r="D39" s="122">
        <f>C39</f>
        <v>0</v>
      </c>
      <c r="E39" s="147">
        <f t="shared" si="1"/>
        <v>0</v>
      </c>
      <c r="F39" s="187"/>
      <c r="G39" s="187"/>
      <c r="H39" s="189" t="s">
        <v>77</v>
      </c>
      <c r="I39" s="146"/>
      <c r="J39" s="133">
        <f>J37/G4</f>
        <v>0</v>
      </c>
      <c r="K39" s="134" t="s">
        <v>75</v>
      </c>
    </row>
    <row r="40" spans="1:14" ht="17.45" customHeight="1">
      <c r="A40" s="799" t="s">
        <v>78</v>
      </c>
      <c r="B40" s="800"/>
      <c r="C40" s="168">
        <f>SUMIF($G$7:$G$31,"Mechanical",$F$7:$F$31)</f>
        <v>0</v>
      </c>
      <c r="D40" s="122">
        <f t="shared" ref="D40:D51" si="2">C40</f>
        <v>0</v>
      </c>
      <c r="E40" s="147">
        <f t="shared" si="1"/>
        <v>0</v>
      </c>
      <c r="F40" s="187"/>
      <c r="G40" s="187"/>
      <c r="H40" s="189" t="s">
        <v>79</v>
      </c>
      <c r="I40" s="122">
        <f>(K34+L34)/1000</f>
        <v>3.3639999999999999</v>
      </c>
      <c r="J40" s="135">
        <f>M34/1000</f>
        <v>3.3639999999999999</v>
      </c>
      <c r="K40" s="134" t="s">
        <v>75</v>
      </c>
    </row>
    <row r="41" spans="1:14" ht="17.45" customHeight="1">
      <c r="A41" s="799" t="s">
        <v>80</v>
      </c>
      <c r="B41" s="800"/>
      <c r="C41" s="168">
        <f>SUMIF($G$7:$G$31,"Electrical",$F$7:$F$31)</f>
        <v>0</v>
      </c>
      <c r="D41" s="122">
        <f t="shared" si="2"/>
        <v>0</v>
      </c>
      <c r="E41" s="147">
        <f t="shared" si="1"/>
        <v>0</v>
      </c>
      <c r="F41" s="187"/>
      <c r="G41" s="187"/>
      <c r="H41" s="189" t="s">
        <v>81</v>
      </c>
      <c r="I41" s="146"/>
      <c r="J41" s="133">
        <f>J40/G4</f>
        <v>3.3639999999999999</v>
      </c>
      <c r="K41" s="134" t="s">
        <v>75</v>
      </c>
    </row>
    <row r="42" spans="1:14" ht="17.45" customHeight="1">
      <c r="A42" s="799" t="s">
        <v>16</v>
      </c>
      <c r="B42" s="800"/>
      <c r="C42" s="168">
        <f>SUMIF($G$7:$G$31,"Instrument",$F$7:$F$31)</f>
        <v>0</v>
      </c>
      <c r="D42" s="122">
        <f t="shared" si="2"/>
        <v>0</v>
      </c>
      <c r="E42" s="147">
        <f t="shared" si="1"/>
        <v>0</v>
      </c>
      <c r="F42" s="187">
        <f>+(F38*480+F39*480+F40*480)/1440</f>
        <v>0</v>
      </c>
      <c r="G42" s="187">
        <f>+(G38*480+G39*480+G40*480)/1440</f>
        <v>0</v>
      </c>
      <c r="H42" s="189" t="s">
        <v>82</v>
      </c>
      <c r="I42" s="245"/>
      <c r="J42" s="136"/>
      <c r="K42" s="134" t="s">
        <v>83</v>
      </c>
    </row>
    <row r="43" spans="1:14" ht="17.45" customHeight="1">
      <c r="A43" s="799" t="s">
        <v>84</v>
      </c>
      <c r="B43" s="800"/>
      <c r="C43" s="168">
        <f>SUMIF($G$7:$G$31,"Water",$F$7:$F$31)</f>
        <v>0</v>
      </c>
      <c r="D43" s="122">
        <f t="shared" si="2"/>
        <v>0</v>
      </c>
      <c r="E43" s="147">
        <f t="shared" si="1"/>
        <v>0</v>
      </c>
      <c r="F43" s="187"/>
      <c r="H43" s="190" t="s">
        <v>85</v>
      </c>
      <c r="I43" s="122">
        <f>+Report1!Z9</f>
        <v>0.4</v>
      </c>
      <c r="J43" s="137">
        <f>I43</f>
        <v>0.4</v>
      </c>
      <c r="K43" s="134" t="s">
        <v>75</v>
      </c>
      <c r="L43" s="191"/>
    </row>
    <row r="44" spans="1:14" ht="17.45" customHeight="1">
      <c r="A44" s="799" t="s">
        <v>17</v>
      </c>
      <c r="B44" s="800"/>
      <c r="C44" s="168">
        <f>SUMIF($G$7:$G$31,"PLN",$F$7:$F$31)</f>
        <v>0</v>
      </c>
      <c r="D44" s="122">
        <f>C44</f>
        <v>0</v>
      </c>
      <c r="E44" s="147">
        <f t="shared" si="1"/>
        <v>0</v>
      </c>
      <c r="F44" s="187"/>
      <c r="H44" s="190" t="s">
        <v>86</v>
      </c>
      <c r="I44" s="122" t="e">
        <f>I43/I38</f>
        <v>#DIV/0!</v>
      </c>
      <c r="J44" s="138" t="e">
        <f>J43/J38</f>
        <v>#DIV/0!</v>
      </c>
      <c r="K44" s="134" t="s">
        <v>75</v>
      </c>
    </row>
    <row r="45" spans="1:14" ht="17.45" customHeight="1">
      <c r="A45" s="799" t="s">
        <v>18</v>
      </c>
      <c r="B45" s="800"/>
      <c r="C45" s="168">
        <f>SUMIF($G$7:$G$31,"Boiler",$F$7:$F$31)</f>
        <v>0</v>
      </c>
      <c r="D45" s="122">
        <f t="shared" si="2"/>
        <v>0</v>
      </c>
      <c r="E45" s="147">
        <f t="shared" si="1"/>
        <v>0</v>
      </c>
      <c r="F45" s="187"/>
      <c r="G45" s="178"/>
      <c r="H45" s="190" t="s">
        <v>87</v>
      </c>
      <c r="I45" s="122">
        <f>I43/I40</f>
        <v>0.11890606420927469</v>
      </c>
      <c r="J45" s="138">
        <f>J43/J40</f>
        <v>0.11890606420927469</v>
      </c>
      <c r="K45" s="134" t="s">
        <v>75</v>
      </c>
    </row>
    <row r="46" spans="1:14" ht="17.45" customHeight="1">
      <c r="A46" s="799" t="s">
        <v>88</v>
      </c>
      <c r="B46" s="800"/>
      <c r="C46" s="168">
        <f>SUMIF($G$7:$G$31,"Gas",$F$7:$F$31)</f>
        <v>0</v>
      </c>
      <c r="D46" s="122">
        <f t="shared" si="2"/>
        <v>0</v>
      </c>
      <c r="E46" s="147">
        <f t="shared" si="1"/>
        <v>0</v>
      </c>
      <c r="F46" s="187"/>
      <c r="H46" s="190" t="s">
        <v>89</v>
      </c>
      <c r="I46" s="144">
        <f>+SUMIF(Listrik!X8,"&gt;0")</f>
        <v>5187.3000000003412</v>
      </c>
      <c r="J46" s="139">
        <f>I46</f>
        <v>5187.3000000003412</v>
      </c>
      <c r="K46" s="134" t="s">
        <v>90</v>
      </c>
    </row>
    <row r="47" spans="1:14" ht="17.45" customHeight="1">
      <c r="A47" s="799" t="s">
        <v>91</v>
      </c>
      <c r="B47" s="800"/>
      <c r="C47" s="168">
        <f>SUMIF($G$7:$G$31,"Gas",$F$7:$F$31)</f>
        <v>0</v>
      </c>
      <c r="D47" s="122">
        <f t="shared" si="2"/>
        <v>0</v>
      </c>
      <c r="E47" s="147">
        <f t="shared" si="1"/>
        <v>0</v>
      </c>
      <c r="F47" s="187"/>
      <c r="H47" s="190" t="s">
        <v>92</v>
      </c>
      <c r="I47" s="122" t="e">
        <f>I46/I38</f>
        <v>#DIV/0!</v>
      </c>
      <c r="J47" s="139" t="e">
        <f>J46/J38</f>
        <v>#DIV/0!</v>
      </c>
      <c r="K47" s="134" t="s">
        <v>24</v>
      </c>
    </row>
    <row r="48" spans="1:14" ht="17.45" customHeight="1">
      <c r="A48" s="799" t="s">
        <v>14</v>
      </c>
      <c r="B48" s="800"/>
      <c r="C48" s="168">
        <f>SUMIF($G$7:$G$31,"Start Up",$F$7:$F$31)</f>
        <v>0</v>
      </c>
      <c r="D48" s="122">
        <f t="shared" si="2"/>
        <v>0</v>
      </c>
      <c r="E48" s="147">
        <f t="shared" si="1"/>
        <v>0</v>
      </c>
      <c r="F48" s="187"/>
      <c r="H48" s="190" t="s">
        <v>93</v>
      </c>
      <c r="I48" s="122">
        <f>I46/I40</f>
        <v>1542.0035671820278</v>
      </c>
      <c r="J48" s="139">
        <f>J46/J40</f>
        <v>1542.0035671820278</v>
      </c>
      <c r="K48" s="134" t="s">
        <v>24</v>
      </c>
    </row>
    <row r="49" spans="1:11" ht="17.45" customHeight="1">
      <c r="A49" s="799" t="s">
        <v>20</v>
      </c>
      <c r="B49" s="800"/>
      <c r="C49" s="168">
        <f>SUMIF($G$7:$G$31,"Others",$F$7:$F$31)</f>
        <v>1440</v>
      </c>
      <c r="D49" s="122">
        <f t="shared" si="2"/>
        <v>1440</v>
      </c>
      <c r="E49" s="147">
        <f t="shared" si="1"/>
        <v>24</v>
      </c>
      <c r="F49" s="187"/>
      <c r="H49" s="190" t="s">
        <v>278</v>
      </c>
      <c r="I49" s="122">
        <f>+Report1!T9</f>
        <v>0</v>
      </c>
      <c r="J49" s="139">
        <f>I49</f>
        <v>0</v>
      </c>
      <c r="K49" s="134" t="s">
        <v>94</v>
      </c>
    </row>
    <row r="50" spans="1:11" ht="17.45" customHeight="1">
      <c r="A50" s="799" t="s">
        <v>19</v>
      </c>
      <c r="B50" s="800"/>
      <c r="C50" s="168">
        <f>SUMIF($G$7:$G$31,"Steam",$F$7:$F$31)</f>
        <v>0</v>
      </c>
      <c r="D50" s="122">
        <f t="shared" si="2"/>
        <v>0</v>
      </c>
      <c r="E50" s="147">
        <f t="shared" si="1"/>
        <v>0</v>
      </c>
      <c r="F50" s="187"/>
      <c r="H50" s="190" t="s">
        <v>95</v>
      </c>
      <c r="I50" s="144" t="e">
        <f>I49/I38</f>
        <v>#DIV/0!</v>
      </c>
      <c r="J50" s="137" t="e">
        <f>J49/J38</f>
        <v>#DIV/0!</v>
      </c>
      <c r="K50" s="134" t="s">
        <v>94</v>
      </c>
    </row>
    <row r="51" spans="1:11" ht="17.45" customHeight="1">
      <c r="A51" s="801" t="s">
        <v>96</v>
      </c>
      <c r="B51" s="801"/>
      <c r="C51" s="168">
        <f>SUMIF($G$7:$G$31,"Planned shut",$F$7:$F$31)</f>
        <v>0</v>
      </c>
      <c r="D51" s="122">
        <f t="shared" si="2"/>
        <v>0</v>
      </c>
      <c r="E51" s="147">
        <f t="shared" si="1"/>
        <v>0</v>
      </c>
      <c r="F51" s="187"/>
      <c r="H51" s="192" t="s">
        <v>97</v>
      </c>
      <c r="I51" s="145">
        <f>I49/I40</f>
        <v>0</v>
      </c>
      <c r="J51" s="140">
        <f>J49/J40</f>
        <v>0</v>
      </c>
      <c r="K51" s="141" t="s">
        <v>94</v>
      </c>
    </row>
    <row r="52" spans="1:11" ht="17.45" customHeight="1" thickBot="1">
      <c r="A52" s="802" t="s">
        <v>229</v>
      </c>
      <c r="B52" s="803"/>
      <c r="C52" s="168">
        <f>SUMIF($G$7:$G$31,"Change Grade",$F$7:$F$31)</f>
        <v>0</v>
      </c>
      <c r="D52" s="122">
        <f t="shared" ref="D52" si="3">C52</f>
        <v>0</v>
      </c>
      <c r="E52" s="147">
        <f t="shared" ref="E52" si="4">D52/60</f>
        <v>0</v>
      </c>
      <c r="F52" s="187"/>
      <c r="H52" s="192"/>
      <c r="I52" s="145"/>
      <c r="J52" s="140"/>
      <c r="K52" s="141"/>
    </row>
    <row r="53" spans="1:11" ht="13.5" thickBot="1">
      <c r="A53" s="797" t="s">
        <v>28</v>
      </c>
      <c r="B53" s="798"/>
      <c r="C53" s="148">
        <f>SUM(C38:C52)</f>
        <v>1440</v>
      </c>
      <c r="D53" s="148">
        <f>SUM(D38:D52)</f>
        <v>1440</v>
      </c>
      <c r="E53" s="149">
        <f>SUM(E38:E52)</f>
        <v>24</v>
      </c>
      <c r="F53" s="187"/>
      <c r="H53" s="193"/>
      <c r="I53" s="194"/>
      <c r="J53" s="142"/>
      <c r="K53" s="143"/>
    </row>
    <row r="54" spans="1:11" ht="13.5" thickBot="1">
      <c r="A54" s="795"/>
      <c r="B54" s="796"/>
      <c r="C54" s="150">
        <f>C53/(24*60)</f>
        <v>1</v>
      </c>
      <c r="D54" s="150">
        <f>D53/(24*60*G4)</f>
        <v>1</v>
      </c>
      <c r="E54" s="151">
        <f>E53/(G4*24)</f>
        <v>1</v>
      </c>
      <c r="F54" s="187"/>
    </row>
    <row r="55" spans="1:11">
      <c r="E55" s="195"/>
      <c r="F55" s="187"/>
    </row>
    <row r="56" spans="1:11">
      <c r="E56" s="195"/>
    </row>
    <row r="57" spans="1:11">
      <c r="A57" s="196" t="s">
        <v>98</v>
      </c>
      <c r="B57" s="197"/>
      <c r="C57" s="198"/>
      <c r="D57" s="198"/>
      <c r="E57" s="198"/>
      <c r="F57" s="199"/>
      <c r="G57" s="198"/>
      <c r="H57" s="200"/>
      <c r="I57" s="201" t="s">
        <v>99</v>
      </c>
      <c r="J57" s="202">
        <f>D34</f>
        <v>0</v>
      </c>
      <c r="K57" s="203">
        <f>J57/(J40+J57/1000)/1000</f>
        <v>0</v>
      </c>
    </row>
    <row r="58" spans="1:11">
      <c r="A58" s="178"/>
      <c r="I58" s="201" t="s">
        <v>100</v>
      </c>
      <c r="J58" s="202">
        <f>+E34</f>
        <v>0</v>
      </c>
      <c r="K58" s="203">
        <f>J58/(J40+J58/1000)/1000</f>
        <v>0</v>
      </c>
    </row>
    <row r="59" spans="1:11">
      <c r="A59" s="204"/>
      <c r="B59" s="205"/>
      <c r="F59" s="187"/>
      <c r="H59" s="206"/>
    </row>
    <row r="60" spans="1:11">
      <c r="A60" s="207"/>
      <c r="B60" s="178"/>
      <c r="C60" s="178"/>
      <c r="D60" s="178"/>
      <c r="E60" s="178"/>
      <c r="F60" s="191"/>
      <c r="G60" s="178"/>
      <c r="H60" s="206"/>
    </row>
    <row r="61" spans="1:11">
      <c r="H61" s="206"/>
    </row>
    <row r="62" spans="1:11">
      <c r="A62" s="208"/>
      <c r="B62" s="209"/>
      <c r="C62" s="209"/>
      <c r="D62" s="209"/>
      <c r="E62" s="209"/>
      <c r="F62" s="210"/>
      <c r="G62" s="209"/>
      <c r="H62" s="211"/>
    </row>
  </sheetData>
  <mergeCells count="25">
    <mergeCell ref="A53:B53"/>
    <mergeCell ref="A54:B54"/>
    <mergeCell ref="A42:B42"/>
    <mergeCell ref="A43:B43"/>
    <mergeCell ref="A44:B44"/>
    <mergeCell ref="A45:B45"/>
    <mergeCell ref="A46:B46"/>
    <mergeCell ref="A47:B47"/>
    <mergeCell ref="A50:B50"/>
    <mergeCell ref="A51:B51"/>
    <mergeCell ref="A48:B48"/>
    <mergeCell ref="A49:B49"/>
    <mergeCell ref="A52:B52"/>
    <mergeCell ref="A41:B41"/>
    <mergeCell ref="A38:B38"/>
    <mergeCell ref="A39:B39"/>
    <mergeCell ref="A7:A14"/>
    <mergeCell ref="I7:I13"/>
    <mergeCell ref="A15:A23"/>
    <mergeCell ref="I15:I22"/>
    <mergeCell ref="A34:B34"/>
    <mergeCell ref="A37:B37"/>
    <mergeCell ref="A24:A32"/>
    <mergeCell ref="I24:I31"/>
    <mergeCell ref="A40:B40"/>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2025-11-05T04:07:29Z</cp:lastPrinted>
  <dcterms:created xsi:type="dcterms:W3CDTF">2007-07-30T03:52:39Z</dcterms:created>
  <dcterms:modified xsi:type="dcterms:W3CDTF">2025-11-06T05:01:13Z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